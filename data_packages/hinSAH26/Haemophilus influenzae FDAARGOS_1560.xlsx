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ropbox\MyProjects\kinmodre\data_packages\hinSAH26\"/>
    </mc:Choice>
  </mc:AlternateContent>
  <xr:revisionPtr revIDLastSave="0" documentId="13_ncr:1_{1923681C-B3F5-48F0-8ADE-7DFBD3D60546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Information" sheetId="1" r:id="rId1"/>
    <sheet name="Peptides" sheetId="2" r:id="rId2"/>
    <sheet name="EC number " sheetId="3" r:id="rId3"/>
    <sheet name="Metabolites" sheetId="4" r:id="rId4"/>
    <sheet name="Enzymes " sheetId="5" r:id="rId5"/>
    <sheet name="Reactions " sheetId="6" r:id="rId6"/>
  </sheets>
  <definedNames>
    <definedName name="NamedRang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0" i="6" l="1"/>
  <c r="J700" i="6" s="1"/>
  <c r="K700" i="6" s="1"/>
  <c r="E699" i="6"/>
  <c r="J699" i="6" s="1"/>
  <c r="K699" i="6" s="1"/>
  <c r="E698" i="6"/>
  <c r="J698" i="6" s="1"/>
  <c r="K698" i="6" s="1"/>
  <c r="E697" i="6"/>
  <c r="J697" i="6" s="1"/>
  <c r="K697" i="6" s="1"/>
  <c r="E696" i="6"/>
  <c r="J696" i="6" s="1"/>
  <c r="K696" i="6" s="1"/>
  <c r="E695" i="6"/>
  <c r="J695" i="6" s="1"/>
  <c r="K695" i="6" s="1"/>
  <c r="E694" i="6"/>
  <c r="J694" i="6" s="1"/>
  <c r="K694" i="6" s="1"/>
  <c r="E693" i="6"/>
  <c r="J693" i="6" s="1"/>
  <c r="K693" i="6" s="1"/>
  <c r="E692" i="6"/>
  <c r="J692" i="6" s="1"/>
  <c r="K692" i="6" s="1"/>
  <c r="E691" i="6"/>
  <c r="J691" i="6" s="1"/>
  <c r="K691" i="6" s="1"/>
  <c r="E690" i="6"/>
  <c r="J690" i="6" s="1"/>
  <c r="K690" i="6" s="1"/>
  <c r="E689" i="6"/>
  <c r="J689" i="6" s="1"/>
  <c r="K689" i="6" s="1"/>
  <c r="E688" i="6"/>
  <c r="J688" i="6" s="1"/>
  <c r="K688" i="6" s="1"/>
  <c r="E687" i="6"/>
  <c r="J687" i="6" s="1"/>
  <c r="K687" i="6" s="1"/>
  <c r="E686" i="6"/>
  <c r="J686" i="6" s="1"/>
  <c r="K686" i="6" s="1"/>
  <c r="E685" i="6"/>
  <c r="J685" i="6" s="1"/>
  <c r="K685" i="6" s="1"/>
  <c r="J684" i="6"/>
  <c r="K684" i="6" s="1"/>
  <c r="E684" i="6"/>
  <c r="E683" i="6"/>
  <c r="J683" i="6" s="1"/>
  <c r="K683" i="6" s="1"/>
  <c r="E682" i="6"/>
  <c r="J682" i="6" s="1"/>
  <c r="K682" i="6" s="1"/>
  <c r="E681" i="6"/>
  <c r="J681" i="6" s="1"/>
  <c r="K681" i="6" s="1"/>
  <c r="E680" i="6"/>
  <c r="J680" i="6" s="1"/>
  <c r="K680" i="6" s="1"/>
  <c r="E679" i="6"/>
  <c r="J679" i="6" s="1"/>
  <c r="K679" i="6" s="1"/>
  <c r="E678" i="6"/>
  <c r="J678" i="6" s="1"/>
  <c r="K678" i="6" s="1"/>
  <c r="E677" i="6"/>
  <c r="J677" i="6" s="1"/>
  <c r="K677" i="6" s="1"/>
  <c r="E676" i="6"/>
  <c r="J676" i="6" s="1"/>
  <c r="K676" i="6" s="1"/>
  <c r="E675" i="6"/>
  <c r="J675" i="6" s="1"/>
  <c r="K675" i="6" s="1"/>
  <c r="J674" i="6"/>
  <c r="K674" i="6" s="1"/>
  <c r="E674" i="6"/>
  <c r="E673" i="6"/>
  <c r="J673" i="6" s="1"/>
  <c r="K673" i="6" s="1"/>
  <c r="E672" i="6"/>
  <c r="J672" i="6" s="1"/>
  <c r="K672" i="6" s="1"/>
  <c r="E671" i="6"/>
  <c r="J671" i="6" s="1"/>
  <c r="K671" i="6" s="1"/>
  <c r="E670" i="6"/>
  <c r="J670" i="6" s="1"/>
  <c r="K670" i="6" s="1"/>
  <c r="E669" i="6"/>
  <c r="J669" i="6" s="1"/>
  <c r="K669" i="6" s="1"/>
  <c r="J668" i="6"/>
  <c r="K668" i="6" s="1"/>
  <c r="E668" i="6"/>
  <c r="E667" i="6"/>
  <c r="J667" i="6" s="1"/>
  <c r="K667" i="6" s="1"/>
  <c r="E666" i="6"/>
  <c r="J666" i="6" s="1"/>
  <c r="K666" i="6" s="1"/>
  <c r="J665" i="6"/>
  <c r="K665" i="6" s="1"/>
  <c r="E665" i="6"/>
  <c r="E664" i="6"/>
  <c r="J664" i="6" s="1"/>
  <c r="K664" i="6" s="1"/>
  <c r="E663" i="6"/>
  <c r="J663" i="6" s="1"/>
  <c r="K663" i="6" s="1"/>
  <c r="E662" i="6"/>
  <c r="J662" i="6" s="1"/>
  <c r="K662" i="6" s="1"/>
  <c r="J661" i="6"/>
  <c r="K661" i="6" s="1"/>
  <c r="E661" i="6"/>
  <c r="E660" i="6"/>
  <c r="J660" i="6" s="1"/>
  <c r="K660" i="6" s="1"/>
  <c r="E659" i="6"/>
  <c r="J659" i="6" s="1"/>
  <c r="K659" i="6" s="1"/>
  <c r="E658" i="6"/>
  <c r="J658" i="6" s="1"/>
  <c r="K658" i="6" s="1"/>
  <c r="E657" i="6"/>
  <c r="J657" i="6" s="1"/>
  <c r="K657" i="6" s="1"/>
  <c r="E656" i="6"/>
  <c r="J656" i="6" s="1"/>
  <c r="K656" i="6" s="1"/>
  <c r="E655" i="6"/>
  <c r="J655" i="6" s="1"/>
  <c r="K655" i="6" s="1"/>
  <c r="E654" i="6"/>
  <c r="J654" i="6" s="1"/>
  <c r="K654" i="6" s="1"/>
  <c r="E653" i="6"/>
  <c r="J653" i="6" s="1"/>
  <c r="K653" i="6" s="1"/>
  <c r="E652" i="6"/>
  <c r="J652" i="6" s="1"/>
  <c r="K652" i="6" s="1"/>
  <c r="E651" i="6"/>
  <c r="J651" i="6" s="1"/>
  <c r="K651" i="6" s="1"/>
  <c r="E650" i="6"/>
  <c r="J650" i="6" s="1"/>
  <c r="K650" i="6" s="1"/>
  <c r="E649" i="6"/>
  <c r="J649" i="6" s="1"/>
  <c r="K649" i="6" s="1"/>
  <c r="J648" i="6"/>
  <c r="K648" i="6" s="1"/>
  <c r="E648" i="6"/>
  <c r="E647" i="6"/>
  <c r="J647" i="6" s="1"/>
  <c r="K647" i="6" s="1"/>
  <c r="E646" i="6"/>
  <c r="J646" i="6" s="1"/>
  <c r="K646" i="6" s="1"/>
  <c r="J645" i="6"/>
  <c r="K645" i="6" s="1"/>
  <c r="E645" i="6"/>
  <c r="E644" i="6"/>
  <c r="J644" i="6" s="1"/>
  <c r="K644" i="6" s="1"/>
  <c r="J643" i="6"/>
  <c r="K643" i="6" s="1"/>
  <c r="E643" i="6"/>
  <c r="E642" i="6"/>
  <c r="J642" i="6" s="1"/>
  <c r="K642" i="6" s="1"/>
  <c r="E641" i="6"/>
  <c r="J641" i="6" s="1"/>
  <c r="K641" i="6" s="1"/>
  <c r="E640" i="6"/>
  <c r="J640" i="6" s="1"/>
  <c r="K640" i="6" s="1"/>
  <c r="E639" i="6"/>
  <c r="J639" i="6" s="1"/>
  <c r="K639" i="6" s="1"/>
  <c r="K638" i="6"/>
  <c r="J638" i="6"/>
  <c r="E638" i="6"/>
  <c r="E637" i="6"/>
  <c r="J637" i="6" s="1"/>
  <c r="K637" i="6" s="1"/>
  <c r="J636" i="6"/>
  <c r="K636" i="6" s="1"/>
  <c r="E636" i="6"/>
  <c r="E635" i="6"/>
  <c r="J635" i="6" s="1"/>
  <c r="K635" i="6" s="1"/>
  <c r="J634" i="6"/>
  <c r="K634" i="6" s="1"/>
  <c r="E634" i="6"/>
  <c r="E633" i="6"/>
  <c r="J633" i="6" s="1"/>
  <c r="K633" i="6" s="1"/>
  <c r="E632" i="6"/>
  <c r="J632" i="6" s="1"/>
  <c r="K632" i="6" s="1"/>
  <c r="E631" i="6"/>
  <c r="J631" i="6" s="1"/>
  <c r="K631" i="6" s="1"/>
  <c r="E630" i="6"/>
  <c r="J630" i="6" s="1"/>
  <c r="K630" i="6" s="1"/>
  <c r="E629" i="6"/>
  <c r="J629" i="6" s="1"/>
  <c r="K629" i="6" s="1"/>
  <c r="E628" i="6"/>
  <c r="J628" i="6" s="1"/>
  <c r="K628" i="6" s="1"/>
  <c r="E627" i="6"/>
  <c r="J627" i="6" s="1"/>
  <c r="K627" i="6" s="1"/>
  <c r="E626" i="6"/>
  <c r="J626" i="6" s="1"/>
  <c r="K626" i="6" s="1"/>
  <c r="E625" i="6"/>
  <c r="J625" i="6" s="1"/>
  <c r="K625" i="6" s="1"/>
  <c r="E624" i="6"/>
  <c r="J624" i="6" s="1"/>
  <c r="K624" i="6" s="1"/>
  <c r="E623" i="6"/>
  <c r="J623" i="6" s="1"/>
  <c r="K623" i="6" s="1"/>
  <c r="E622" i="6"/>
  <c r="J622" i="6" s="1"/>
  <c r="K622" i="6" s="1"/>
  <c r="E621" i="6"/>
  <c r="J621" i="6" s="1"/>
  <c r="K621" i="6" s="1"/>
  <c r="J620" i="6"/>
  <c r="K620" i="6" s="1"/>
  <c r="E620" i="6"/>
  <c r="E619" i="6"/>
  <c r="J619" i="6" s="1"/>
  <c r="K619" i="6" s="1"/>
  <c r="E618" i="6"/>
  <c r="J618" i="6" s="1"/>
  <c r="K618" i="6" s="1"/>
  <c r="E617" i="6"/>
  <c r="J617" i="6" s="1"/>
  <c r="K617" i="6" s="1"/>
  <c r="E616" i="6"/>
  <c r="J616" i="6" s="1"/>
  <c r="K616" i="6" s="1"/>
  <c r="E615" i="6"/>
  <c r="J615" i="6" s="1"/>
  <c r="K615" i="6" s="1"/>
  <c r="E614" i="6"/>
  <c r="J614" i="6" s="1"/>
  <c r="K614" i="6" s="1"/>
  <c r="E613" i="6"/>
  <c r="J613" i="6" s="1"/>
  <c r="K613" i="6" s="1"/>
  <c r="E612" i="6"/>
  <c r="J612" i="6" s="1"/>
  <c r="K612" i="6" s="1"/>
  <c r="E611" i="6"/>
  <c r="J611" i="6" s="1"/>
  <c r="K611" i="6" s="1"/>
  <c r="J610" i="6"/>
  <c r="K610" i="6" s="1"/>
  <c r="E610" i="6"/>
  <c r="E609" i="6"/>
  <c r="J609" i="6" s="1"/>
  <c r="K609" i="6" s="1"/>
  <c r="E608" i="6"/>
  <c r="J608" i="6" s="1"/>
  <c r="K608" i="6" s="1"/>
  <c r="E607" i="6"/>
  <c r="J607" i="6" s="1"/>
  <c r="K607" i="6" s="1"/>
  <c r="E606" i="6"/>
  <c r="J606" i="6" s="1"/>
  <c r="K606" i="6" s="1"/>
  <c r="E605" i="6"/>
  <c r="J605" i="6" s="1"/>
  <c r="K605" i="6" s="1"/>
  <c r="E604" i="6"/>
  <c r="J604" i="6" s="1"/>
  <c r="K604" i="6" s="1"/>
  <c r="J603" i="6"/>
  <c r="K603" i="6" s="1"/>
  <c r="E603" i="6"/>
  <c r="E602" i="6"/>
  <c r="J602" i="6" s="1"/>
  <c r="K602" i="6" s="1"/>
  <c r="J601" i="6"/>
  <c r="K601" i="6" s="1"/>
  <c r="E601" i="6"/>
  <c r="E600" i="6"/>
  <c r="J600" i="6" s="1"/>
  <c r="K600" i="6" s="1"/>
  <c r="E599" i="6"/>
  <c r="J599" i="6" s="1"/>
  <c r="K599" i="6" s="1"/>
  <c r="E598" i="6"/>
  <c r="J598" i="6" s="1"/>
  <c r="K598" i="6" s="1"/>
  <c r="J597" i="6"/>
  <c r="K597" i="6" s="1"/>
  <c r="E597" i="6"/>
  <c r="E596" i="6"/>
  <c r="J596" i="6" s="1"/>
  <c r="K596" i="6" s="1"/>
  <c r="J595" i="6"/>
  <c r="K595" i="6" s="1"/>
  <c r="E595" i="6"/>
  <c r="E594" i="6"/>
  <c r="J594" i="6" s="1"/>
  <c r="K594" i="6" s="1"/>
  <c r="E593" i="6"/>
  <c r="J593" i="6" s="1"/>
  <c r="K593" i="6" s="1"/>
  <c r="E592" i="6"/>
  <c r="J592" i="6" s="1"/>
  <c r="K592" i="6" s="1"/>
  <c r="E591" i="6"/>
  <c r="J591" i="6" s="1"/>
  <c r="K591" i="6" s="1"/>
  <c r="E590" i="6"/>
  <c r="J590" i="6" s="1"/>
  <c r="K590" i="6" s="1"/>
  <c r="E589" i="6"/>
  <c r="J589" i="6" s="1"/>
  <c r="K589" i="6" s="1"/>
  <c r="E588" i="6"/>
  <c r="J588" i="6" s="1"/>
  <c r="K588" i="6" s="1"/>
  <c r="E587" i="6"/>
  <c r="J587" i="6" s="1"/>
  <c r="K587" i="6" s="1"/>
  <c r="J586" i="6"/>
  <c r="K586" i="6" s="1"/>
  <c r="E586" i="6"/>
  <c r="E585" i="6"/>
  <c r="J585" i="6" s="1"/>
  <c r="K585" i="6" s="1"/>
  <c r="K584" i="6"/>
  <c r="J584" i="6"/>
  <c r="E584" i="6"/>
  <c r="E583" i="6"/>
  <c r="J583" i="6" s="1"/>
  <c r="K583" i="6" s="1"/>
  <c r="E582" i="6"/>
  <c r="J582" i="6" s="1"/>
  <c r="K582" i="6" s="1"/>
  <c r="J581" i="6"/>
  <c r="K581" i="6" s="1"/>
  <c r="E581" i="6"/>
  <c r="E580" i="6"/>
  <c r="J580" i="6" s="1"/>
  <c r="K580" i="6" s="1"/>
  <c r="E579" i="6"/>
  <c r="J579" i="6" s="1"/>
  <c r="K579" i="6" s="1"/>
  <c r="E578" i="6"/>
  <c r="J578" i="6" s="1"/>
  <c r="K578" i="6" s="1"/>
  <c r="E577" i="6"/>
  <c r="J577" i="6" s="1"/>
  <c r="K577" i="6" s="1"/>
  <c r="E576" i="6"/>
  <c r="J576" i="6" s="1"/>
  <c r="K576" i="6" s="1"/>
  <c r="E575" i="6"/>
  <c r="J575" i="6" s="1"/>
  <c r="K575" i="6" s="1"/>
  <c r="J574" i="6"/>
  <c r="K574" i="6" s="1"/>
  <c r="E574" i="6"/>
  <c r="E573" i="6"/>
  <c r="J573" i="6" s="1"/>
  <c r="K573" i="6" s="1"/>
  <c r="E572" i="6"/>
  <c r="J572" i="6" s="1"/>
  <c r="K572" i="6" s="1"/>
  <c r="J571" i="6"/>
  <c r="K571" i="6" s="1"/>
  <c r="E571" i="6"/>
  <c r="E570" i="6"/>
  <c r="J570" i="6" s="1"/>
  <c r="K570" i="6" s="1"/>
  <c r="J569" i="6"/>
  <c r="K569" i="6" s="1"/>
  <c r="E569" i="6"/>
  <c r="J568" i="6"/>
  <c r="K568" i="6" s="1"/>
  <c r="E568" i="6"/>
  <c r="E567" i="6"/>
  <c r="J567" i="6" s="1"/>
  <c r="K567" i="6" s="1"/>
  <c r="E566" i="6"/>
  <c r="J566" i="6" s="1"/>
  <c r="K566" i="6" s="1"/>
  <c r="E565" i="6"/>
  <c r="J565" i="6" s="1"/>
  <c r="K565" i="6" s="1"/>
  <c r="E564" i="6"/>
  <c r="J564" i="6" s="1"/>
  <c r="K564" i="6" s="1"/>
  <c r="E563" i="6"/>
  <c r="J563" i="6" s="1"/>
  <c r="K563" i="6" s="1"/>
  <c r="E562" i="6"/>
  <c r="J562" i="6" s="1"/>
  <c r="K562" i="6" s="1"/>
  <c r="J561" i="6"/>
  <c r="K561" i="6" s="1"/>
  <c r="E561" i="6"/>
  <c r="E560" i="6"/>
  <c r="J560" i="6" s="1"/>
  <c r="K560" i="6" s="1"/>
  <c r="E559" i="6"/>
  <c r="J559" i="6" s="1"/>
  <c r="K559" i="6" s="1"/>
  <c r="K558" i="6"/>
  <c r="E558" i="6"/>
  <c r="J558" i="6" s="1"/>
  <c r="E557" i="6"/>
  <c r="J557" i="6" s="1"/>
  <c r="K557" i="6" s="1"/>
  <c r="J556" i="6"/>
  <c r="K556" i="6" s="1"/>
  <c r="E556" i="6"/>
  <c r="J555" i="6"/>
  <c r="K555" i="6" s="1"/>
  <c r="E555" i="6"/>
  <c r="J554" i="6"/>
  <c r="K554" i="6" s="1"/>
  <c r="E554" i="6"/>
  <c r="E553" i="6"/>
  <c r="J553" i="6" s="1"/>
  <c r="K553" i="6" s="1"/>
  <c r="K552" i="6"/>
  <c r="J552" i="6"/>
  <c r="E552" i="6"/>
  <c r="E551" i="6"/>
  <c r="J551" i="6" s="1"/>
  <c r="K551" i="6" s="1"/>
  <c r="E550" i="6"/>
  <c r="J550" i="6" s="1"/>
  <c r="K550" i="6" s="1"/>
  <c r="J549" i="6"/>
  <c r="K549" i="6" s="1"/>
  <c r="E549" i="6"/>
  <c r="E548" i="6"/>
  <c r="J548" i="6" s="1"/>
  <c r="K548" i="6" s="1"/>
  <c r="E547" i="6"/>
  <c r="J547" i="6" s="1"/>
  <c r="K547" i="6" s="1"/>
  <c r="J546" i="6"/>
  <c r="K546" i="6" s="1"/>
  <c r="E546" i="6"/>
  <c r="E545" i="6"/>
  <c r="J545" i="6" s="1"/>
  <c r="K545" i="6" s="1"/>
  <c r="E544" i="6"/>
  <c r="J544" i="6" s="1"/>
  <c r="K544" i="6" s="1"/>
  <c r="E543" i="6"/>
  <c r="J543" i="6" s="1"/>
  <c r="K543" i="6" s="1"/>
  <c r="K542" i="6"/>
  <c r="E542" i="6"/>
  <c r="J542" i="6" s="1"/>
  <c r="E541" i="6"/>
  <c r="J541" i="6" s="1"/>
  <c r="K541" i="6" s="1"/>
  <c r="J540" i="6"/>
  <c r="K540" i="6" s="1"/>
  <c r="E540" i="6"/>
  <c r="E539" i="6"/>
  <c r="J539" i="6" s="1"/>
  <c r="K539" i="6" s="1"/>
  <c r="J538" i="6"/>
  <c r="K538" i="6" s="1"/>
  <c r="E538" i="6"/>
  <c r="E537" i="6"/>
  <c r="J537" i="6" s="1"/>
  <c r="K537" i="6" s="1"/>
  <c r="E536" i="6"/>
  <c r="J536" i="6" s="1"/>
  <c r="K536" i="6" s="1"/>
  <c r="E535" i="6"/>
  <c r="J535" i="6" s="1"/>
  <c r="K535" i="6" s="1"/>
  <c r="E534" i="6"/>
  <c r="J534" i="6" s="1"/>
  <c r="K534" i="6" s="1"/>
  <c r="E533" i="6"/>
  <c r="J533" i="6" s="1"/>
  <c r="K533" i="6" s="1"/>
  <c r="E532" i="6"/>
  <c r="J532" i="6" s="1"/>
  <c r="K532" i="6" s="1"/>
  <c r="J531" i="6"/>
  <c r="K531" i="6" s="1"/>
  <c r="E531" i="6"/>
  <c r="J530" i="6"/>
  <c r="K530" i="6" s="1"/>
  <c r="E530" i="6"/>
  <c r="K529" i="6"/>
  <c r="J529" i="6"/>
  <c r="E529" i="6"/>
  <c r="E528" i="6"/>
  <c r="J528" i="6" s="1"/>
  <c r="K528" i="6" s="1"/>
  <c r="E527" i="6"/>
  <c r="J527" i="6" s="1"/>
  <c r="K527" i="6" s="1"/>
  <c r="E526" i="6"/>
  <c r="J526" i="6" s="1"/>
  <c r="K526" i="6" s="1"/>
  <c r="E525" i="6"/>
  <c r="J525" i="6" s="1"/>
  <c r="K525" i="6" s="1"/>
  <c r="J524" i="6"/>
  <c r="K524" i="6" s="1"/>
  <c r="E524" i="6"/>
  <c r="E523" i="6"/>
  <c r="J523" i="6" s="1"/>
  <c r="K523" i="6" s="1"/>
  <c r="E522" i="6"/>
  <c r="J522" i="6" s="1"/>
  <c r="K522" i="6" s="1"/>
  <c r="E521" i="6"/>
  <c r="J521" i="6" s="1"/>
  <c r="K521" i="6" s="1"/>
  <c r="E520" i="6"/>
  <c r="J520" i="6" s="1"/>
  <c r="K520" i="6" s="1"/>
  <c r="E519" i="6"/>
  <c r="J519" i="6" s="1"/>
  <c r="K519" i="6" s="1"/>
  <c r="E518" i="6"/>
  <c r="J518" i="6" s="1"/>
  <c r="K518" i="6" s="1"/>
  <c r="E517" i="6"/>
  <c r="J517" i="6" s="1"/>
  <c r="K517" i="6" s="1"/>
  <c r="E516" i="6"/>
  <c r="J516" i="6" s="1"/>
  <c r="K516" i="6" s="1"/>
  <c r="E515" i="6"/>
  <c r="J515" i="6" s="1"/>
  <c r="K515" i="6" s="1"/>
  <c r="J514" i="6"/>
  <c r="K514" i="6" s="1"/>
  <c r="E514" i="6"/>
  <c r="J513" i="6"/>
  <c r="K513" i="6" s="1"/>
  <c r="E513" i="6"/>
  <c r="E512" i="6"/>
  <c r="J512" i="6" s="1"/>
  <c r="K512" i="6" s="1"/>
  <c r="E511" i="6"/>
  <c r="J511" i="6" s="1"/>
  <c r="K511" i="6" s="1"/>
  <c r="E510" i="6"/>
  <c r="J510" i="6" s="1"/>
  <c r="K510" i="6" s="1"/>
  <c r="E509" i="6"/>
  <c r="J509" i="6" s="1"/>
  <c r="K509" i="6" s="1"/>
  <c r="E508" i="6"/>
  <c r="J508" i="6" s="1"/>
  <c r="K508" i="6" s="1"/>
  <c r="J507" i="6"/>
  <c r="K507" i="6" s="1"/>
  <c r="E507" i="6"/>
  <c r="E506" i="6"/>
  <c r="J506" i="6" s="1"/>
  <c r="K506" i="6" s="1"/>
  <c r="J505" i="6"/>
  <c r="K505" i="6" s="1"/>
  <c r="E505" i="6"/>
  <c r="E504" i="6"/>
  <c r="J504" i="6" s="1"/>
  <c r="K504" i="6" s="1"/>
  <c r="K503" i="6"/>
  <c r="E503" i="6"/>
  <c r="J503" i="6" s="1"/>
  <c r="E502" i="6"/>
  <c r="J502" i="6" s="1"/>
  <c r="K502" i="6" s="1"/>
  <c r="J501" i="6"/>
  <c r="K501" i="6" s="1"/>
  <c r="E501" i="6"/>
  <c r="E500" i="6"/>
  <c r="J500" i="6" s="1"/>
  <c r="K500" i="6" s="1"/>
  <c r="J499" i="6"/>
  <c r="K499" i="6" s="1"/>
  <c r="E499" i="6"/>
  <c r="E498" i="6"/>
  <c r="J498" i="6" s="1"/>
  <c r="K498" i="6" s="1"/>
  <c r="K497" i="6"/>
  <c r="J497" i="6"/>
  <c r="E497" i="6"/>
  <c r="E496" i="6"/>
  <c r="J496" i="6" s="1"/>
  <c r="K496" i="6" s="1"/>
  <c r="E495" i="6"/>
  <c r="J495" i="6" s="1"/>
  <c r="K495" i="6" s="1"/>
  <c r="E494" i="6"/>
  <c r="J494" i="6" s="1"/>
  <c r="K494" i="6" s="1"/>
  <c r="E493" i="6"/>
  <c r="J493" i="6" s="1"/>
  <c r="K493" i="6" s="1"/>
  <c r="E492" i="6"/>
  <c r="J492" i="6" s="1"/>
  <c r="K492" i="6" s="1"/>
  <c r="J491" i="6"/>
  <c r="K491" i="6" s="1"/>
  <c r="E491" i="6"/>
  <c r="J490" i="6"/>
  <c r="K490" i="6" s="1"/>
  <c r="E490" i="6"/>
  <c r="E489" i="6"/>
  <c r="J489" i="6" s="1"/>
  <c r="K489" i="6" s="1"/>
  <c r="K488" i="6"/>
  <c r="J488" i="6"/>
  <c r="E488" i="6"/>
  <c r="E487" i="6"/>
  <c r="J487" i="6" s="1"/>
  <c r="K487" i="6" s="1"/>
  <c r="E486" i="6"/>
  <c r="J486" i="6" s="1"/>
  <c r="K486" i="6" s="1"/>
  <c r="J485" i="6"/>
  <c r="K485" i="6" s="1"/>
  <c r="E485" i="6"/>
  <c r="E484" i="6"/>
  <c r="J484" i="6" s="1"/>
  <c r="K484" i="6" s="1"/>
  <c r="J483" i="6"/>
  <c r="K483" i="6" s="1"/>
  <c r="E483" i="6"/>
  <c r="E482" i="6"/>
  <c r="J482" i="6" s="1"/>
  <c r="K482" i="6" s="1"/>
  <c r="K481" i="6"/>
  <c r="J481" i="6"/>
  <c r="E481" i="6"/>
  <c r="E480" i="6"/>
  <c r="J480" i="6" s="1"/>
  <c r="K480" i="6" s="1"/>
  <c r="E479" i="6"/>
  <c r="J479" i="6" s="1"/>
  <c r="K479" i="6" s="1"/>
  <c r="K478" i="6"/>
  <c r="E478" i="6"/>
  <c r="J478" i="6" s="1"/>
  <c r="E477" i="6"/>
  <c r="J477" i="6" s="1"/>
  <c r="K477" i="6" s="1"/>
  <c r="E476" i="6"/>
  <c r="J476" i="6" s="1"/>
  <c r="K476" i="6" s="1"/>
  <c r="J475" i="6"/>
  <c r="K475" i="6" s="1"/>
  <c r="E475" i="6"/>
  <c r="K474" i="6"/>
  <c r="J474" i="6"/>
  <c r="E474" i="6"/>
  <c r="E473" i="6"/>
  <c r="J473" i="6" s="1"/>
  <c r="K473" i="6" s="1"/>
  <c r="E472" i="6"/>
  <c r="J472" i="6" s="1"/>
  <c r="K472" i="6" s="1"/>
  <c r="E471" i="6"/>
  <c r="J471" i="6" s="1"/>
  <c r="K471" i="6" s="1"/>
  <c r="E470" i="6"/>
  <c r="J470" i="6" s="1"/>
  <c r="K470" i="6" s="1"/>
  <c r="E469" i="6"/>
  <c r="J469" i="6" s="1"/>
  <c r="K469" i="6" s="1"/>
  <c r="E468" i="6"/>
  <c r="J468" i="6" s="1"/>
  <c r="K468" i="6" s="1"/>
  <c r="J467" i="6"/>
  <c r="K467" i="6" s="1"/>
  <c r="E467" i="6"/>
  <c r="E466" i="6"/>
  <c r="J466" i="6" s="1"/>
  <c r="K466" i="6" s="1"/>
  <c r="E465" i="6"/>
  <c r="J465" i="6" s="1"/>
  <c r="K465" i="6" s="1"/>
  <c r="E464" i="6"/>
  <c r="J464" i="6" s="1"/>
  <c r="K464" i="6" s="1"/>
  <c r="E463" i="6"/>
  <c r="J463" i="6" s="1"/>
  <c r="K463" i="6" s="1"/>
  <c r="E462" i="6"/>
  <c r="J462" i="6" s="1"/>
  <c r="K462" i="6" s="1"/>
  <c r="E461" i="6"/>
  <c r="J461" i="6" s="1"/>
  <c r="K461" i="6" s="1"/>
  <c r="J460" i="6"/>
  <c r="K460" i="6" s="1"/>
  <c r="E460" i="6"/>
  <c r="J459" i="6"/>
  <c r="K459" i="6" s="1"/>
  <c r="E459" i="6"/>
  <c r="K458" i="6"/>
  <c r="J458" i="6"/>
  <c r="E458" i="6"/>
  <c r="J457" i="6"/>
  <c r="K457" i="6" s="1"/>
  <c r="E457" i="6"/>
  <c r="E456" i="6"/>
  <c r="J456" i="6" s="1"/>
  <c r="K456" i="6" s="1"/>
  <c r="E455" i="6"/>
  <c r="J455" i="6" s="1"/>
  <c r="K455" i="6" s="1"/>
  <c r="E454" i="6"/>
  <c r="J454" i="6" s="1"/>
  <c r="K454" i="6" s="1"/>
  <c r="E453" i="6"/>
  <c r="J453" i="6" s="1"/>
  <c r="K453" i="6" s="1"/>
  <c r="E452" i="6"/>
  <c r="J452" i="6" s="1"/>
  <c r="K452" i="6" s="1"/>
  <c r="E451" i="6"/>
  <c r="J451" i="6" s="1"/>
  <c r="K451" i="6" s="1"/>
  <c r="E450" i="6"/>
  <c r="J450" i="6" s="1"/>
  <c r="K450" i="6" s="1"/>
  <c r="E449" i="6"/>
  <c r="J449" i="6" s="1"/>
  <c r="K449" i="6" s="1"/>
  <c r="E448" i="6"/>
  <c r="J448" i="6" s="1"/>
  <c r="K448" i="6" s="1"/>
  <c r="E447" i="6"/>
  <c r="J447" i="6" s="1"/>
  <c r="K447" i="6" s="1"/>
  <c r="E446" i="6"/>
  <c r="J446" i="6" s="1"/>
  <c r="K446" i="6" s="1"/>
  <c r="E445" i="6"/>
  <c r="J445" i="6" s="1"/>
  <c r="K445" i="6" s="1"/>
  <c r="E444" i="6"/>
  <c r="J444" i="6" s="1"/>
  <c r="K444" i="6" s="1"/>
  <c r="J443" i="6"/>
  <c r="K443" i="6" s="1"/>
  <c r="E443" i="6"/>
  <c r="J442" i="6"/>
  <c r="K442" i="6" s="1"/>
  <c r="E442" i="6"/>
  <c r="J441" i="6"/>
  <c r="K441" i="6" s="1"/>
  <c r="E441" i="6"/>
  <c r="J440" i="6"/>
  <c r="K440" i="6" s="1"/>
  <c r="E440" i="6"/>
  <c r="E439" i="6"/>
  <c r="J439" i="6" s="1"/>
  <c r="K439" i="6" s="1"/>
  <c r="E438" i="6"/>
  <c r="J438" i="6" s="1"/>
  <c r="K438" i="6" s="1"/>
  <c r="J437" i="6"/>
  <c r="K437" i="6" s="1"/>
  <c r="E437" i="6"/>
  <c r="E436" i="6"/>
  <c r="J436" i="6" s="1"/>
  <c r="K436" i="6" s="1"/>
  <c r="E435" i="6"/>
  <c r="J435" i="6" s="1"/>
  <c r="K435" i="6" s="1"/>
  <c r="J434" i="6"/>
  <c r="K434" i="6" s="1"/>
  <c r="E434" i="6"/>
  <c r="E433" i="6"/>
  <c r="J433" i="6" s="1"/>
  <c r="K433" i="6" s="1"/>
  <c r="E432" i="6"/>
  <c r="J432" i="6" s="1"/>
  <c r="K432" i="6" s="1"/>
  <c r="E431" i="6"/>
  <c r="J431" i="6" s="1"/>
  <c r="K431" i="6" s="1"/>
  <c r="K430" i="6"/>
  <c r="E430" i="6"/>
  <c r="J430" i="6" s="1"/>
  <c r="E429" i="6"/>
  <c r="J429" i="6" s="1"/>
  <c r="K429" i="6" s="1"/>
  <c r="E428" i="6"/>
  <c r="J428" i="6" s="1"/>
  <c r="K428" i="6" s="1"/>
  <c r="J427" i="6"/>
  <c r="K427" i="6" s="1"/>
  <c r="E427" i="6"/>
  <c r="J426" i="6"/>
  <c r="K426" i="6" s="1"/>
  <c r="E426" i="6"/>
  <c r="E425" i="6"/>
  <c r="J425" i="6" s="1"/>
  <c r="K425" i="6" s="1"/>
  <c r="J424" i="6"/>
  <c r="K424" i="6" s="1"/>
  <c r="E424" i="6"/>
  <c r="E423" i="6"/>
  <c r="J423" i="6" s="1"/>
  <c r="K423" i="6" s="1"/>
  <c r="E422" i="6"/>
  <c r="J422" i="6" s="1"/>
  <c r="K422" i="6" s="1"/>
  <c r="E421" i="6"/>
  <c r="J421" i="6" s="1"/>
  <c r="K421" i="6" s="1"/>
  <c r="E420" i="6"/>
  <c r="J420" i="6" s="1"/>
  <c r="K420" i="6" s="1"/>
  <c r="J419" i="6"/>
  <c r="K419" i="6" s="1"/>
  <c r="E419" i="6"/>
  <c r="E418" i="6"/>
  <c r="J418" i="6" s="1"/>
  <c r="K418" i="6" s="1"/>
  <c r="K417" i="6"/>
  <c r="J417" i="6"/>
  <c r="E417" i="6"/>
  <c r="E416" i="6"/>
  <c r="J416" i="6" s="1"/>
  <c r="K416" i="6" s="1"/>
  <c r="J415" i="6"/>
  <c r="K415" i="6" s="1"/>
  <c r="E415" i="6"/>
  <c r="E414" i="6"/>
  <c r="J414" i="6" s="1"/>
  <c r="K414" i="6" s="1"/>
  <c r="E413" i="6"/>
  <c r="J413" i="6" s="1"/>
  <c r="K413" i="6" s="1"/>
  <c r="E412" i="6"/>
  <c r="J412" i="6" s="1"/>
  <c r="K412" i="6" s="1"/>
  <c r="J411" i="6"/>
  <c r="K411" i="6" s="1"/>
  <c r="E411" i="6"/>
  <c r="E410" i="6"/>
  <c r="J410" i="6" s="1"/>
  <c r="K410" i="6" s="1"/>
  <c r="J409" i="6"/>
  <c r="K409" i="6" s="1"/>
  <c r="E409" i="6"/>
  <c r="E408" i="6"/>
  <c r="J408" i="6" s="1"/>
  <c r="K408" i="6" s="1"/>
  <c r="E407" i="6"/>
  <c r="J407" i="6" s="1"/>
  <c r="K407" i="6" s="1"/>
  <c r="E406" i="6"/>
  <c r="J406" i="6" s="1"/>
  <c r="K406" i="6" s="1"/>
  <c r="J405" i="6"/>
  <c r="K405" i="6" s="1"/>
  <c r="E405" i="6"/>
  <c r="E404" i="6"/>
  <c r="J404" i="6" s="1"/>
  <c r="K404" i="6" s="1"/>
  <c r="E403" i="6"/>
  <c r="J403" i="6" s="1"/>
  <c r="K403" i="6" s="1"/>
  <c r="J402" i="6"/>
  <c r="K402" i="6" s="1"/>
  <c r="E402" i="6"/>
  <c r="J401" i="6"/>
  <c r="K401" i="6" s="1"/>
  <c r="E401" i="6"/>
  <c r="E400" i="6"/>
  <c r="J400" i="6" s="1"/>
  <c r="K400" i="6" s="1"/>
  <c r="E399" i="6"/>
  <c r="J399" i="6" s="1"/>
  <c r="K399" i="6" s="1"/>
  <c r="K398" i="6"/>
  <c r="E398" i="6"/>
  <c r="J398" i="6" s="1"/>
  <c r="E397" i="6"/>
  <c r="J397" i="6" s="1"/>
  <c r="K397" i="6" s="1"/>
  <c r="E396" i="6"/>
  <c r="J396" i="6" s="1"/>
  <c r="K396" i="6" s="1"/>
  <c r="E395" i="6"/>
  <c r="J395" i="6" s="1"/>
  <c r="K395" i="6" s="1"/>
  <c r="E394" i="6"/>
  <c r="J394" i="6" s="1"/>
  <c r="K394" i="6" s="1"/>
  <c r="J393" i="6"/>
  <c r="K393" i="6" s="1"/>
  <c r="E393" i="6"/>
  <c r="J392" i="6"/>
  <c r="K392" i="6" s="1"/>
  <c r="E392" i="6"/>
  <c r="E391" i="6"/>
  <c r="J391" i="6" s="1"/>
  <c r="K391" i="6" s="1"/>
  <c r="E390" i="6"/>
  <c r="J390" i="6" s="1"/>
  <c r="K390" i="6" s="1"/>
  <c r="E389" i="6"/>
  <c r="J389" i="6" s="1"/>
  <c r="K389" i="6" s="1"/>
  <c r="E388" i="6"/>
  <c r="J388" i="6" s="1"/>
  <c r="K388" i="6" s="1"/>
  <c r="E387" i="6"/>
  <c r="J387" i="6" s="1"/>
  <c r="K387" i="6" s="1"/>
  <c r="J386" i="6"/>
  <c r="K386" i="6" s="1"/>
  <c r="E386" i="6"/>
  <c r="E385" i="6"/>
  <c r="J385" i="6" s="1"/>
  <c r="K385" i="6" s="1"/>
  <c r="E384" i="6"/>
  <c r="J384" i="6" s="1"/>
  <c r="K384" i="6" s="1"/>
  <c r="J383" i="6"/>
  <c r="K383" i="6" s="1"/>
  <c r="E383" i="6"/>
  <c r="K382" i="6"/>
  <c r="E382" i="6"/>
  <c r="J382" i="6" s="1"/>
  <c r="E381" i="6"/>
  <c r="J381" i="6" s="1"/>
  <c r="K381" i="6" s="1"/>
  <c r="J380" i="6"/>
  <c r="K380" i="6" s="1"/>
  <c r="E380" i="6"/>
  <c r="E379" i="6"/>
  <c r="J379" i="6" s="1"/>
  <c r="K379" i="6" s="1"/>
  <c r="K378" i="6"/>
  <c r="J378" i="6"/>
  <c r="E378" i="6"/>
  <c r="E377" i="6"/>
  <c r="J377" i="6" s="1"/>
  <c r="K377" i="6" s="1"/>
  <c r="E376" i="6"/>
  <c r="J376" i="6" s="1"/>
  <c r="K376" i="6" s="1"/>
  <c r="E375" i="6"/>
  <c r="J375" i="6" s="1"/>
  <c r="K375" i="6" s="1"/>
  <c r="E374" i="6"/>
  <c r="J374" i="6" s="1"/>
  <c r="K374" i="6" s="1"/>
  <c r="J373" i="6"/>
  <c r="K373" i="6" s="1"/>
  <c r="E373" i="6"/>
  <c r="E372" i="6"/>
  <c r="J372" i="6" s="1"/>
  <c r="K372" i="6" s="1"/>
  <c r="J371" i="6"/>
  <c r="K371" i="6" s="1"/>
  <c r="E371" i="6"/>
  <c r="E370" i="6"/>
  <c r="J370" i="6" s="1"/>
  <c r="K370" i="6" s="1"/>
  <c r="E369" i="6"/>
  <c r="J369" i="6" s="1"/>
  <c r="K369" i="6" s="1"/>
  <c r="E368" i="6"/>
  <c r="J368" i="6" s="1"/>
  <c r="K368" i="6" s="1"/>
  <c r="E367" i="6"/>
  <c r="J367" i="6" s="1"/>
  <c r="K367" i="6" s="1"/>
  <c r="E366" i="6"/>
  <c r="J366" i="6" s="1"/>
  <c r="K366" i="6" s="1"/>
  <c r="E365" i="6"/>
  <c r="J365" i="6" s="1"/>
  <c r="K365" i="6" s="1"/>
  <c r="E364" i="6"/>
  <c r="J364" i="6" s="1"/>
  <c r="K364" i="6" s="1"/>
  <c r="J363" i="6"/>
  <c r="K363" i="6" s="1"/>
  <c r="E363" i="6"/>
  <c r="J362" i="6"/>
  <c r="K362" i="6" s="1"/>
  <c r="E362" i="6"/>
  <c r="E361" i="6"/>
  <c r="J361" i="6" s="1"/>
  <c r="K361" i="6" s="1"/>
  <c r="K360" i="6"/>
  <c r="J360" i="6"/>
  <c r="E360" i="6"/>
  <c r="E359" i="6"/>
  <c r="J359" i="6" s="1"/>
  <c r="K359" i="6" s="1"/>
  <c r="E358" i="6"/>
  <c r="J358" i="6" s="1"/>
  <c r="K358" i="6" s="1"/>
  <c r="J357" i="6"/>
  <c r="K357" i="6" s="1"/>
  <c r="E357" i="6"/>
  <c r="E356" i="6"/>
  <c r="J356" i="6" s="1"/>
  <c r="K356" i="6" s="1"/>
  <c r="J355" i="6"/>
  <c r="K355" i="6" s="1"/>
  <c r="E355" i="6"/>
  <c r="E354" i="6"/>
  <c r="J354" i="6" s="1"/>
  <c r="K354" i="6" s="1"/>
  <c r="K353" i="6"/>
  <c r="J353" i="6"/>
  <c r="E353" i="6"/>
  <c r="E352" i="6"/>
  <c r="J352" i="6" s="1"/>
  <c r="K352" i="6" s="1"/>
  <c r="K351" i="6"/>
  <c r="J351" i="6"/>
  <c r="E351" i="6"/>
  <c r="K350" i="6"/>
  <c r="E350" i="6"/>
  <c r="J350" i="6" s="1"/>
  <c r="E349" i="6"/>
  <c r="J349" i="6" s="1"/>
  <c r="K349" i="6" s="1"/>
  <c r="J348" i="6"/>
  <c r="K348" i="6" s="1"/>
  <c r="E348" i="6"/>
  <c r="J347" i="6"/>
  <c r="K347" i="6" s="1"/>
  <c r="E347" i="6"/>
  <c r="E346" i="6"/>
  <c r="J346" i="6" s="1"/>
  <c r="K346" i="6" s="1"/>
  <c r="J345" i="6"/>
  <c r="K345" i="6" s="1"/>
  <c r="E345" i="6"/>
  <c r="J344" i="6"/>
  <c r="K344" i="6" s="1"/>
  <c r="E344" i="6"/>
  <c r="E343" i="6"/>
  <c r="J343" i="6" s="1"/>
  <c r="K343" i="6" s="1"/>
  <c r="E342" i="6"/>
  <c r="J342" i="6" s="1"/>
  <c r="K342" i="6" s="1"/>
  <c r="E341" i="6"/>
  <c r="J341" i="6" s="1"/>
  <c r="K341" i="6" s="1"/>
  <c r="E340" i="6"/>
  <c r="J340" i="6" s="1"/>
  <c r="K340" i="6" s="1"/>
  <c r="E339" i="6"/>
  <c r="J339" i="6" s="1"/>
  <c r="K339" i="6" s="1"/>
  <c r="J338" i="6"/>
  <c r="K338" i="6" s="1"/>
  <c r="E338" i="6"/>
  <c r="J337" i="6"/>
  <c r="K337" i="6" s="1"/>
  <c r="E337" i="6"/>
  <c r="E336" i="6"/>
  <c r="J336" i="6" s="1"/>
  <c r="K336" i="6" s="1"/>
  <c r="J335" i="6"/>
  <c r="K335" i="6" s="1"/>
  <c r="E335" i="6"/>
  <c r="E334" i="6"/>
  <c r="J334" i="6" s="1"/>
  <c r="K334" i="6" s="1"/>
  <c r="E333" i="6"/>
  <c r="J333" i="6" s="1"/>
  <c r="K333" i="6" s="1"/>
  <c r="J332" i="6"/>
  <c r="K332" i="6" s="1"/>
  <c r="E332" i="6"/>
  <c r="E331" i="6"/>
  <c r="J331" i="6" s="1"/>
  <c r="K331" i="6" s="1"/>
  <c r="E330" i="6"/>
  <c r="J330" i="6" s="1"/>
  <c r="K330" i="6" s="1"/>
  <c r="J329" i="6"/>
  <c r="K329" i="6" s="1"/>
  <c r="E329" i="6"/>
  <c r="E328" i="6"/>
  <c r="J328" i="6" s="1"/>
  <c r="K328" i="6" s="1"/>
  <c r="E327" i="6"/>
  <c r="J327" i="6" s="1"/>
  <c r="K327" i="6" s="1"/>
  <c r="E326" i="6"/>
  <c r="J326" i="6" s="1"/>
  <c r="K326" i="6" s="1"/>
  <c r="J325" i="6"/>
  <c r="K325" i="6" s="1"/>
  <c r="E325" i="6"/>
  <c r="E324" i="6"/>
  <c r="J324" i="6" s="1"/>
  <c r="K324" i="6" s="1"/>
  <c r="J323" i="6"/>
  <c r="K323" i="6" s="1"/>
  <c r="E323" i="6"/>
  <c r="J322" i="6"/>
  <c r="K322" i="6" s="1"/>
  <c r="E322" i="6"/>
  <c r="E321" i="6"/>
  <c r="J321" i="6" s="1"/>
  <c r="K321" i="6" s="1"/>
  <c r="E320" i="6"/>
  <c r="J320" i="6" s="1"/>
  <c r="K320" i="6" s="1"/>
  <c r="E319" i="6"/>
  <c r="J319" i="6" s="1"/>
  <c r="K319" i="6" s="1"/>
  <c r="K318" i="6"/>
  <c r="E318" i="6"/>
  <c r="J318" i="6" s="1"/>
  <c r="E317" i="6"/>
  <c r="J317" i="6" s="1"/>
  <c r="K317" i="6" s="1"/>
  <c r="E316" i="6"/>
  <c r="J316" i="6" s="1"/>
  <c r="K316" i="6" s="1"/>
  <c r="J315" i="6"/>
  <c r="K315" i="6" s="1"/>
  <c r="E315" i="6"/>
  <c r="K314" i="6"/>
  <c r="J314" i="6"/>
  <c r="E314" i="6"/>
  <c r="E313" i="6"/>
  <c r="J313" i="6" s="1"/>
  <c r="K313" i="6" s="1"/>
  <c r="E312" i="6"/>
  <c r="J312" i="6" s="1"/>
  <c r="K312" i="6" s="1"/>
  <c r="E311" i="6"/>
  <c r="J311" i="6" s="1"/>
  <c r="K311" i="6" s="1"/>
  <c r="E310" i="6"/>
  <c r="J310" i="6" s="1"/>
  <c r="K310" i="6" s="1"/>
  <c r="E309" i="6"/>
  <c r="J309" i="6" s="1"/>
  <c r="K309" i="6" s="1"/>
  <c r="E308" i="6"/>
  <c r="J308" i="6" s="1"/>
  <c r="K308" i="6" s="1"/>
  <c r="J307" i="6"/>
  <c r="K307" i="6" s="1"/>
  <c r="E307" i="6"/>
  <c r="E306" i="6"/>
  <c r="J306" i="6" s="1"/>
  <c r="K306" i="6" s="1"/>
  <c r="E305" i="6"/>
  <c r="J305" i="6" s="1"/>
  <c r="K305" i="6" s="1"/>
  <c r="E304" i="6"/>
  <c r="J304" i="6" s="1"/>
  <c r="K304" i="6" s="1"/>
  <c r="E303" i="6"/>
  <c r="J303" i="6" s="1"/>
  <c r="K303" i="6" s="1"/>
  <c r="J302" i="6"/>
  <c r="K302" i="6" s="1"/>
  <c r="E302" i="6"/>
  <c r="E301" i="6"/>
  <c r="J301" i="6" s="1"/>
  <c r="K301" i="6" s="1"/>
  <c r="J300" i="6"/>
  <c r="K300" i="6" s="1"/>
  <c r="E300" i="6"/>
  <c r="J299" i="6"/>
  <c r="K299" i="6" s="1"/>
  <c r="E299" i="6"/>
  <c r="J298" i="6"/>
  <c r="K298" i="6" s="1"/>
  <c r="E298" i="6"/>
  <c r="E297" i="6"/>
  <c r="J297" i="6" s="1"/>
  <c r="K297" i="6" s="1"/>
  <c r="K296" i="6"/>
  <c r="J296" i="6"/>
  <c r="E296" i="6"/>
  <c r="E295" i="6"/>
  <c r="J295" i="6" s="1"/>
  <c r="K295" i="6" s="1"/>
  <c r="E294" i="6"/>
  <c r="J294" i="6" s="1"/>
  <c r="K294" i="6" s="1"/>
  <c r="J293" i="6"/>
  <c r="K293" i="6" s="1"/>
  <c r="E293" i="6"/>
  <c r="E292" i="6"/>
  <c r="J292" i="6" s="1"/>
  <c r="K292" i="6" s="1"/>
  <c r="J291" i="6"/>
  <c r="K291" i="6" s="1"/>
  <c r="E291" i="6"/>
  <c r="E290" i="6"/>
  <c r="J290" i="6" s="1"/>
  <c r="K290" i="6" s="1"/>
  <c r="E289" i="6"/>
  <c r="J289" i="6" s="1"/>
  <c r="K289" i="6" s="1"/>
  <c r="E288" i="6"/>
  <c r="J288" i="6" s="1"/>
  <c r="K288" i="6" s="1"/>
  <c r="E287" i="6"/>
  <c r="J287" i="6" s="1"/>
  <c r="K287" i="6" s="1"/>
  <c r="J286" i="6"/>
  <c r="K286" i="6" s="1"/>
  <c r="E286" i="6"/>
  <c r="E285" i="6"/>
  <c r="J285" i="6" s="1"/>
  <c r="K285" i="6" s="1"/>
  <c r="J284" i="6"/>
  <c r="K284" i="6" s="1"/>
  <c r="E284" i="6"/>
  <c r="J283" i="6"/>
  <c r="K283" i="6" s="1"/>
  <c r="E283" i="6"/>
  <c r="E282" i="6"/>
  <c r="J282" i="6" s="1"/>
  <c r="K282" i="6" s="1"/>
  <c r="E281" i="6"/>
  <c r="J281" i="6" s="1"/>
  <c r="K281" i="6" s="1"/>
  <c r="E280" i="6"/>
  <c r="J280" i="6" s="1"/>
  <c r="K280" i="6" s="1"/>
  <c r="E279" i="6"/>
  <c r="J279" i="6" s="1"/>
  <c r="K279" i="6" s="1"/>
  <c r="E278" i="6"/>
  <c r="J278" i="6" s="1"/>
  <c r="K278" i="6" s="1"/>
  <c r="E277" i="6"/>
  <c r="J277" i="6" s="1"/>
  <c r="K277" i="6" s="1"/>
  <c r="E276" i="6"/>
  <c r="J276" i="6" s="1"/>
  <c r="K276" i="6" s="1"/>
  <c r="J275" i="6"/>
  <c r="K275" i="6" s="1"/>
  <c r="E275" i="6"/>
  <c r="J274" i="6"/>
  <c r="K274" i="6" s="1"/>
  <c r="E274" i="6"/>
  <c r="J273" i="6"/>
  <c r="K273" i="6" s="1"/>
  <c r="E273" i="6"/>
  <c r="E272" i="6"/>
  <c r="J272" i="6" s="1"/>
  <c r="K272" i="6" s="1"/>
  <c r="J271" i="6"/>
  <c r="K271" i="6" s="1"/>
  <c r="E271" i="6"/>
  <c r="E270" i="6"/>
  <c r="J270" i="6" s="1"/>
  <c r="K270" i="6" s="1"/>
  <c r="E269" i="6"/>
  <c r="J269" i="6" s="1"/>
  <c r="K269" i="6" s="1"/>
  <c r="E268" i="6"/>
  <c r="J268" i="6" s="1"/>
  <c r="K268" i="6" s="1"/>
  <c r="E267" i="6"/>
  <c r="J267" i="6" s="1"/>
  <c r="K267" i="6" s="1"/>
  <c r="E266" i="6"/>
  <c r="J266" i="6" s="1"/>
  <c r="K266" i="6" s="1"/>
  <c r="E265" i="6"/>
  <c r="J265" i="6" s="1"/>
  <c r="K265" i="6" s="1"/>
  <c r="E264" i="6"/>
  <c r="J264" i="6" s="1"/>
  <c r="K264" i="6" s="1"/>
  <c r="K263" i="6"/>
  <c r="E263" i="6"/>
  <c r="J263" i="6" s="1"/>
  <c r="E262" i="6"/>
  <c r="J262" i="6" s="1"/>
  <c r="K262" i="6" s="1"/>
  <c r="J261" i="6"/>
  <c r="K261" i="6" s="1"/>
  <c r="E261" i="6"/>
  <c r="E260" i="6"/>
  <c r="J260" i="6" s="1"/>
  <c r="K260" i="6" s="1"/>
  <c r="E259" i="6"/>
  <c r="J259" i="6" s="1"/>
  <c r="K259" i="6" s="1"/>
  <c r="J258" i="6"/>
  <c r="K258" i="6" s="1"/>
  <c r="E258" i="6"/>
  <c r="K257" i="6"/>
  <c r="J257" i="6"/>
  <c r="E257" i="6"/>
  <c r="E256" i="6"/>
  <c r="J256" i="6" s="1"/>
  <c r="K256" i="6" s="1"/>
  <c r="E255" i="6"/>
  <c r="J255" i="6" s="1"/>
  <c r="K255" i="6" s="1"/>
  <c r="K254" i="6"/>
  <c r="J254" i="6"/>
  <c r="E254" i="6"/>
  <c r="E253" i="6"/>
  <c r="J253" i="6" s="1"/>
  <c r="K253" i="6" s="1"/>
  <c r="E252" i="6"/>
  <c r="J252" i="6" s="1"/>
  <c r="K252" i="6" s="1"/>
  <c r="J251" i="6"/>
  <c r="K251" i="6" s="1"/>
  <c r="E251" i="6"/>
  <c r="J250" i="6"/>
  <c r="K250" i="6" s="1"/>
  <c r="E250" i="6"/>
  <c r="E249" i="6"/>
  <c r="J249" i="6" s="1"/>
  <c r="K249" i="6" s="1"/>
  <c r="K248" i="6"/>
  <c r="J248" i="6"/>
  <c r="E248" i="6"/>
  <c r="E247" i="6"/>
  <c r="J247" i="6" s="1"/>
  <c r="K247" i="6" s="1"/>
  <c r="E246" i="6"/>
  <c r="J246" i="6" s="1"/>
  <c r="K246" i="6" s="1"/>
  <c r="E245" i="6"/>
  <c r="J245" i="6" s="1"/>
  <c r="K245" i="6" s="1"/>
  <c r="E244" i="6"/>
  <c r="J244" i="6" s="1"/>
  <c r="K244" i="6" s="1"/>
  <c r="J243" i="6"/>
  <c r="K243" i="6" s="1"/>
  <c r="E243" i="6"/>
  <c r="E242" i="6"/>
  <c r="J242" i="6" s="1"/>
  <c r="K242" i="6" s="1"/>
  <c r="E241" i="6"/>
  <c r="J241" i="6" s="1"/>
  <c r="K241" i="6" s="1"/>
  <c r="K240" i="6"/>
  <c r="E240" i="6"/>
  <c r="J240" i="6" s="1"/>
  <c r="E239" i="6"/>
  <c r="J239" i="6" s="1"/>
  <c r="K239" i="6" s="1"/>
  <c r="E238" i="6"/>
  <c r="J238" i="6" s="1"/>
  <c r="K238" i="6" s="1"/>
  <c r="E237" i="6"/>
  <c r="J237" i="6" s="1"/>
  <c r="K237" i="6" s="1"/>
  <c r="J236" i="6"/>
  <c r="K236" i="6" s="1"/>
  <c r="E236" i="6"/>
  <c r="J235" i="6"/>
  <c r="K235" i="6" s="1"/>
  <c r="E235" i="6"/>
  <c r="J234" i="6"/>
  <c r="K234" i="6" s="1"/>
  <c r="E234" i="6"/>
  <c r="E233" i="6"/>
  <c r="J233" i="6" s="1"/>
  <c r="K233" i="6" s="1"/>
  <c r="K232" i="6"/>
  <c r="J232" i="6"/>
  <c r="E232" i="6"/>
  <c r="E231" i="6"/>
  <c r="J231" i="6" s="1"/>
  <c r="K231" i="6" s="1"/>
  <c r="E230" i="6"/>
  <c r="J230" i="6" s="1"/>
  <c r="K230" i="6" s="1"/>
  <c r="E229" i="6"/>
  <c r="J229" i="6" s="1"/>
  <c r="K229" i="6" s="1"/>
  <c r="E228" i="6"/>
  <c r="J228" i="6" s="1"/>
  <c r="K228" i="6" s="1"/>
  <c r="J227" i="6"/>
  <c r="K227" i="6" s="1"/>
  <c r="E227" i="6"/>
  <c r="E226" i="6"/>
  <c r="J226" i="6" s="1"/>
  <c r="K226" i="6" s="1"/>
  <c r="E225" i="6"/>
  <c r="J225" i="6" s="1"/>
  <c r="K225" i="6" s="1"/>
  <c r="K224" i="6"/>
  <c r="E224" i="6"/>
  <c r="J224" i="6" s="1"/>
  <c r="E223" i="6"/>
  <c r="J223" i="6" s="1"/>
  <c r="K223" i="6" s="1"/>
  <c r="E222" i="6"/>
  <c r="J222" i="6" s="1"/>
  <c r="K222" i="6" s="1"/>
  <c r="E221" i="6"/>
  <c r="J221" i="6" s="1"/>
  <c r="K221" i="6" s="1"/>
  <c r="E220" i="6"/>
  <c r="J220" i="6" s="1"/>
  <c r="K220" i="6" s="1"/>
  <c r="E219" i="6"/>
  <c r="J219" i="6" s="1"/>
  <c r="K219" i="6" s="1"/>
  <c r="E218" i="6"/>
  <c r="J218" i="6" s="1"/>
  <c r="K218" i="6" s="1"/>
  <c r="J217" i="6"/>
  <c r="K217" i="6" s="1"/>
  <c r="E217" i="6"/>
  <c r="J216" i="6"/>
  <c r="K216" i="6" s="1"/>
  <c r="E216" i="6"/>
  <c r="E215" i="6"/>
  <c r="J215" i="6" s="1"/>
  <c r="K215" i="6" s="1"/>
  <c r="E214" i="6"/>
  <c r="J214" i="6" s="1"/>
  <c r="K214" i="6" s="1"/>
  <c r="E213" i="6"/>
  <c r="J213" i="6" s="1"/>
  <c r="K213" i="6" s="1"/>
  <c r="E212" i="6"/>
  <c r="J212" i="6" s="1"/>
  <c r="K212" i="6" s="1"/>
  <c r="E211" i="6"/>
  <c r="J211" i="6" s="1"/>
  <c r="K211" i="6" s="1"/>
  <c r="J210" i="6"/>
  <c r="K210" i="6" s="1"/>
  <c r="E210" i="6"/>
  <c r="J209" i="6"/>
  <c r="K209" i="6" s="1"/>
  <c r="E209" i="6"/>
  <c r="E208" i="6"/>
  <c r="J208" i="6" s="1"/>
  <c r="K208" i="6" s="1"/>
  <c r="K207" i="6"/>
  <c r="J207" i="6"/>
  <c r="E207" i="6"/>
  <c r="E206" i="6"/>
  <c r="J206" i="6" s="1"/>
  <c r="K206" i="6" s="1"/>
  <c r="E205" i="6"/>
  <c r="J205" i="6" s="1"/>
  <c r="K205" i="6" s="1"/>
  <c r="E204" i="6"/>
  <c r="J204" i="6" s="1"/>
  <c r="K204" i="6" s="1"/>
  <c r="E203" i="6"/>
  <c r="J203" i="6" s="1"/>
  <c r="K203" i="6" s="1"/>
  <c r="J202" i="6"/>
  <c r="K202" i="6" s="1"/>
  <c r="E202" i="6"/>
  <c r="J201" i="6"/>
  <c r="K201" i="6" s="1"/>
  <c r="E201" i="6"/>
  <c r="E200" i="6"/>
  <c r="J200" i="6" s="1"/>
  <c r="K200" i="6" s="1"/>
  <c r="E199" i="6"/>
  <c r="J199" i="6" s="1"/>
  <c r="K199" i="6" s="1"/>
  <c r="E198" i="6"/>
  <c r="J198" i="6" s="1"/>
  <c r="K198" i="6" s="1"/>
  <c r="E197" i="6"/>
  <c r="J197" i="6" s="1"/>
  <c r="K197" i="6" s="1"/>
  <c r="E196" i="6"/>
  <c r="J196" i="6" s="1"/>
  <c r="K196" i="6" s="1"/>
  <c r="J195" i="6"/>
  <c r="K195" i="6" s="1"/>
  <c r="E195" i="6"/>
  <c r="J194" i="6"/>
  <c r="K194" i="6" s="1"/>
  <c r="E194" i="6"/>
  <c r="E193" i="6"/>
  <c r="J193" i="6" s="1"/>
  <c r="K193" i="6" s="1"/>
  <c r="K192" i="6"/>
  <c r="E192" i="6"/>
  <c r="J192" i="6" s="1"/>
  <c r="J191" i="6"/>
  <c r="K191" i="6" s="1"/>
  <c r="E191" i="6"/>
  <c r="E190" i="6"/>
  <c r="J190" i="6" s="1"/>
  <c r="K190" i="6" s="1"/>
  <c r="E189" i="6"/>
  <c r="J189" i="6" s="1"/>
  <c r="K189" i="6" s="1"/>
  <c r="E188" i="6"/>
  <c r="J188" i="6" s="1"/>
  <c r="K188" i="6" s="1"/>
  <c r="J187" i="6"/>
  <c r="K187" i="6" s="1"/>
  <c r="E187" i="6"/>
  <c r="J186" i="6"/>
  <c r="K186" i="6" s="1"/>
  <c r="E186" i="6"/>
  <c r="J185" i="6"/>
  <c r="K185" i="6" s="1"/>
  <c r="E185" i="6"/>
  <c r="J184" i="6"/>
  <c r="K184" i="6" s="1"/>
  <c r="E184" i="6"/>
  <c r="E183" i="6"/>
  <c r="J183" i="6" s="1"/>
  <c r="K183" i="6" s="1"/>
  <c r="K182" i="6"/>
  <c r="E182" i="6"/>
  <c r="J182" i="6" s="1"/>
  <c r="E181" i="6"/>
  <c r="J181" i="6" s="1"/>
  <c r="K181" i="6" s="1"/>
  <c r="E180" i="6"/>
  <c r="J180" i="6" s="1"/>
  <c r="K180" i="6" s="1"/>
  <c r="K179" i="6"/>
  <c r="J179" i="6"/>
  <c r="E179" i="6"/>
  <c r="J178" i="6"/>
  <c r="K178" i="6" s="1"/>
  <c r="E178" i="6"/>
  <c r="J177" i="6"/>
  <c r="K177" i="6" s="1"/>
  <c r="E177" i="6"/>
  <c r="E176" i="6"/>
  <c r="J176" i="6" s="1"/>
  <c r="K176" i="6" s="1"/>
  <c r="E175" i="6"/>
  <c r="J175" i="6" s="1"/>
  <c r="K175" i="6" s="1"/>
  <c r="J174" i="6"/>
  <c r="K174" i="6" s="1"/>
  <c r="E174" i="6"/>
  <c r="E173" i="6"/>
  <c r="J173" i="6" s="1"/>
  <c r="K173" i="6" s="1"/>
  <c r="E172" i="6"/>
  <c r="J172" i="6" s="1"/>
  <c r="K172" i="6" s="1"/>
  <c r="J171" i="6"/>
  <c r="K171" i="6" s="1"/>
  <c r="E171" i="6"/>
  <c r="E170" i="6"/>
  <c r="J170" i="6" s="1"/>
  <c r="K170" i="6" s="1"/>
  <c r="E169" i="6"/>
  <c r="J169" i="6" s="1"/>
  <c r="K169" i="6" s="1"/>
  <c r="K168" i="6"/>
  <c r="J168" i="6"/>
  <c r="E168" i="6"/>
  <c r="E167" i="6"/>
  <c r="J167" i="6" s="1"/>
  <c r="K167" i="6" s="1"/>
  <c r="E166" i="6"/>
  <c r="J166" i="6" s="1"/>
  <c r="K166" i="6" s="1"/>
  <c r="E165" i="6"/>
  <c r="J165" i="6" s="1"/>
  <c r="K165" i="6" s="1"/>
  <c r="E164" i="6"/>
  <c r="J164" i="6" s="1"/>
  <c r="K164" i="6" s="1"/>
  <c r="K163" i="6"/>
  <c r="J163" i="6"/>
  <c r="E163" i="6"/>
  <c r="E162" i="6"/>
  <c r="J162" i="6" s="1"/>
  <c r="K162" i="6" s="1"/>
  <c r="E161" i="6"/>
  <c r="J161" i="6" s="1"/>
  <c r="K161" i="6" s="1"/>
  <c r="E160" i="6"/>
  <c r="J160" i="6" s="1"/>
  <c r="K160" i="6" s="1"/>
  <c r="E159" i="6"/>
  <c r="J159" i="6" s="1"/>
  <c r="K159" i="6" s="1"/>
  <c r="J158" i="6"/>
  <c r="K158" i="6" s="1"/>
  <c r="E158" i="6"/>
  <c r="E157" i="6"/>
  <c r="J157" i="6" s="1"/>
  <c r="K157" i="6" s="1"/>
  <c r="E156" i="6"/>
  <c r="J156" i="6" s="1"/>
  <c r="K156" i="6" s="1"/>
  <c r="J155" i="6"/>
  <c r="K155" i="6" s="1"/>
  <c r="E155" i="6"/>
  <c r="J154" i="6"/>
  <c r="K154" i="6" s="1"/>
  <c r="E154" i="6"/>
  <c r="E153" i="6"/>
  <c r="J153" i="6" s="1"/>
  <c r="K153" i="6" s="1"/>
  <c r="J152" i="6"/>
  <c r="K152" i="6" s="1"/>
  <c r="E152" i="6"/>
  <c r="E151" i="6"/>
  <c r="J151" i="6" s="1"/>
  <c r="K151" i="6" s="1"/>
  <c r="K150" i="6"/>
  <c r="E150" i="6"/>
  <c r="J150" i="6" s="1"/>
  <c r="E149" i="6"/>
  <c r="J149" i="6" s="1"/>
  <c r="K149" i="6" s="1"/>
  <c r="E148" i="6"/>
  <c r="J148" i="6" s="1"/>
  <c r="K148" i="6" s="1"/>
  <c r="J147" i="6"/>
  <c r="K147" i="6" s="1"/>
  <c r="E147" i="6"/>
  <c r="E146" i="6"/>
  <c r="J146" i="6" s="1"/>
  <c r="K146" i="6" s="1"/>
  <c r="J145" i="6"/>
  <c r="K145" i="6" s="1"/>
  <c r="E145" i="6"/>
  <c r="E144" i="6"/>
  <c r="J144" i="6" s="1"/>
  <c r="K144" i="6" s="1"/>
  <c r="E143" i="6"/>
  <c r="J143" i="6" s="1"/>
  <c r="K143" i="6" s="1"/>
  <c r="J142" i="6"/>
  <c r="K142" i="6" s="1"/>
  <c r="E142" i="6"/>
  <c r="E141" i="6"/>
  <c r="J141" i="6" s="1"/>
  <c r="K141" i="6" s="1"/>
  <c r="J140" i="6"/>
  <c r="K140" i="6" s="1"/>
  <c r="E140" i="6"/>
  <c r="E139" i="6"/>
  <c r="J139" i="6" s="1"/>
  <c r="K139" i="6" s="1"/>
  <c r="J138" i="6"/>
  <c r="K138" i="6" s="1"/>
  <c r="E138" i="6"/>
  <c r="E137" i="6"/>
  <c r="J137" i="6" s="1"/>
  <c r="K137" i="6" s="1"/>
  <c r="E136" i="6"/>
  <c r="J136" i="6" s="1"/>
  <c r="K136" i="6" s="1"/>
  <c r="E135" i="6"/>
  <c r="J135" i="6" s="1"/>
  <c r="K135" i="6" s="1"/>
  <c r="E134" i="6"/>
  <c r="J134" i="6" s="1"/>
  <c r="K134" i="6" s="1"/>
  <c r="J133" i="6"/>
  <c r="K133" i="6" s="1"/>
  <c r="E133" i="6"/>
  <c r="K132" i="6"/>
  <c r="E132" i="6"/>
  <c r="J132" i="6" s="1"/>
  <c r="E131" i="6"/>
  <c r="J131" i="6" s="1"/>
  <c r="K131" i="6" s="1"/>
  <c r="J130" i="6"/>
  <c r="K130" i="6" s="1"/>
  <c r="E130" i="6"/>
  <c r="E129" i="6"/>
  <c r="J129" i="6" s="1"/>
  <c r="K129" i="6" s="1"/>
  <c r="E128" i="6"/>
  <c r="J128" i="6" s="1"/>
  <c r="K128" i="6" s="1"/>
  <c r="J127" i="6"/>
  <c r="K127" i="6" s="1"/>
  <c r="E127" i="6"/>
  <c r="J126" i="6"/>
  <c r="K126" i="6" s="1"/>
  <c r="E126" i="6"/>
  <c r="E125" i="6"/>
  <c r="J125" i="6" s="1"/>
  <c r="K125" i="6" s="1"/>
  <c r="J124" i="6"/>
  <c r="K124" i="6" s="1"/>
  <c r="E124" i="6"/>
  <c r="J123" i="6"/>
  <c r="K123" i="6" s="1"/>
  <c r="E123" i="6"/>
  <c r="E122" i="6"/>
  <c r="J122" i="6" s="1"/>
  <c r="K122" i="6" s="1"/>
  <c r="E121" i="6"/>
  <c r="J121" i="6" s="1"/>
  <c r="K121" i="6" s="1"/>
  <c r="E120" i="6"/>
  <c r="J120" i="6" s="1"/>
  <c r="K120" i="6" s="1"/>
  <c r="E119" i="6"/>
  <c r="J119" i="6" s="1"/>
  <c r="K119" i="6" s="1"/>
  <c r="K118" i="6"/>
  <c r="E118" i="6"/>
  <c r="J118" i="6" s="1"/>
  <c r="J117" i="6"/>
  <c r="K117" i="6" s="1"/>
  <c r="E117" i="6"/>
  <c r="K116" i="6"/>
  <c r="E116" i="6"/>
  <c r="J116" i="6" s="1"/>
  <c r="E115" i="6"/>
  <c r="J115" i="6" s="1"/>
  <c r="K115" i="6" s="1"/>
  <c r="J114" i="6"/>
  <c r="K114" i="6" s="1"/>
  <c r="E114" i="6"/>
  <c r="E113" i="6"/>
  <c r="J113" i="6" s="1"/>
  <c r="K113" i="6" s="1"/>
  <c r="E112" i="6"/>
  <c r="J112" i="6" s="1"/>
  <c r="K112" i="6" s="1"/>
  <c r="E111" i="6"/>
  <c r="J111" i="6" s="1"/>
  <c r="K111" i="6" s="1"/>
  <c r="J110" i="6"/>
  <c r="K110" i="6" s="1"/>
  <c r="E110" i="6"/>
  <c r="E109" i="6"/>
  <c r="J109" i="6" s="1"/>
  <c r="K109" i="6" s="1"/>
  <c r="E108" i="6"/>
  <c r="J108" i="6" s="1"/>
  <c r="K108" i="6" s="1"/>
  <c r="J107" i="6"/>
  <c r="K107" i="6" s="1"/>
  <c r="E107" i="6"/>
  <c r="J106" i="6"/>
  <c r="K106" i="6" s="1"/>
  <c r="E106" i="6"/>
  <c r="E105" i="6"/>
  <c r="J105" i="6" s="1"/>
  <c r="K105" i="6" s="1"/>
  <c r="J104" i="6"/>
  <c r="K104" i="6" s="1"/>
  <c r="E104" i="6"/>
  <c r="E103" i="6"/>
  <c r="J103" i="6" s="1"/>
  <c r="K103" i="6" s="1"/>
  <c r="E102" i="6"/>
  <c r="J102" i="6" s="1"/>
  <c r="K102" i="6" s="1"/>
  <c r="J101" i="6"/>
  <c r="K101" i="6" s="1"/>
  <c r="E101" i="6"/>
  <c r="K100" i="6"/>
  <c r="E100" i="6"/>
  <c r="J100" i="6" s="1"/>
  <c r="J99" i="6"/>
  <c r="K99" i="6" s="1"/>
  <c r="E99" i="6"/>
  <c r="E98" i="6"/>
  <c r="J98" i="6" s="1"/>
  <c r="K98" i="6" s="1"/>
  <c r="J97" i="6"/>
  <c r="K97" i="6" s="1"/>
  <c r="E97" i="6"/>
  <c r="E96" i="6"/>
  <c r="J96" i="6" s="1"/>
  <c r="K96" i="6" s="1"/>
  <c r="E95" i="6"/>
  <c r="J95" i="6" s="1"/>
  <c r="K95" i="6" s="1"/>
  <c r="J94" i="6"/>
  <c r="K94" i="6" s="1"/>
  <c r="E94" i="6"/>
  <c r="E93" i="6"/>
  <c r="J93" i="6" s="1"/>
  <c r="K93" i="6" s="1"/>
  <c r="E92" i="6"/>
  <c r="J92" i="6" s="1"/>
  <c r="K92" i="6" s="1"/>
  <c r="J91" i="6"/>
  <c r="K91" i="6" s="1"/>
  <c r="E91" i="6"/>
  <c r="E90" i="6"/>
  <c r="J90" i="6" s="1"/>
  <c r="K90" i="6" s="1"/>
  <c r="E89" i="6"/>
  <c r="J89" i="6" s="1"/>
  <c r="K89" i="6" s="1"/>
  <c r="J88" i="6"/>
  <c r="K88" i="6" s="1"/>
  <c r="E88" i="6"/>
  <c r="E87" i="6"/>
  <c r="J87" i="6" s="1"/>
  <c r="K87" i="6" s="1"/>
  <c r="E86" i="6"/>
  <c r="J86" i="6" s="1"/>
  <c r="K86" i="6" s="1"/>
  <c r="E85" i="6"/>
  <c r="J85" i="6" s="1"/>
  <c r="K85" i="6" s="1"/>
  <c r="E84" i="6"/>
  <c r="J84" i="6" s="1"/>
  <c r="K84" i="6" s="1"/>
  <c r="E83" i="6"/>
  <c r="J83" i="6" s="1"/>
  <c r="K83" i="6" s="1"/>
  <c r="E82" i="6"/>
  <c r="J82" i="6" s="1"/>
  <c r="K82" i="6" s="1"/>
  <c r="J81" i="6"/>
  <c r="K81" i="6" s="1"/>
  <c r="E81" i="6"/>
  <c r="E80" i="6"/>
  <c r="J80" i="6" s="1"/>
  <c r="K80" i="6" s="1"/>
  <c r="E79" i="6"/>
  <c r="J79" i="6" s="1"/>
  <c r="K79" i="6" s="1"/>
  <c r="K78" i="6"/>
  <c r="J78" i="6"/>
  <c r="E78" i="6"/>
  <c r="E77" i="6"/>
  <c r="J77" i="6" s="1"/>
  <c r="K77" i="6" s="1"/>
  <c r="J76" i="6"/>
  <c r="K76" i="6" s="1"/>
  <c r="E76" i="6"/>
  <c r="J75" i="6"/>
  <c r="K75" i="6" s="1"/>
  <c r="E75" i="6"/>
  <c r="E74" i="6"/>
  <c r="J74" i="6" s="1"/>
  <c r="K74" i="6" s="1"/>
  <c r="E73" i="6"/>
  <c r="J73" i="6" s="1"/>
  <c r="K73" i="6" s="1"/>
  <c r="J72" i="6"/>
  <c r="K72" i="6" s="1"/>
  <c r="E72" i="6"/>
  <c r="E71" i="6"/>
  <c r="J71" i="6" s="1"/>
  <c r="K71" i="6" s="1"/>
  <c r="K70" i="6"/>
  <c r="E70" i="6"/>
  <c r="J70" i="6" s="1"/>
  <c r="E69" i="6"/>
  <c r="J69" i="6" s="1"/>
  <c r="K69" i="6" s="1"/>
  <c r="E68" i="6"/>
  <c r="J68" i="6" s="1"/>
  <c r="K68" i="6" s="1"/>
  <c r="E67" i="6"/>
  <c r="J67" i="6" s="1"/>
  <c r="K67" i="6" s="1"/>
  <c r="E66" i="6"/>
  <c r="J66" i="6" s="1"/>
  <c r="K66" i="6" s="1"/>
  <c r="J65" i="6"/>
  <c r="K65" i="6" s="1"/>
  <c r="E65" i="6"/>
  <c r="E64" i="6"/>
  <c r="J64" i="6" s="1"/>
  <c r="K64" i="6" s="1"/>
  <c r="E63" i="6"/>
  <c r="J63" i="6" s="1"/>
  <c r="K63" i="6" s="1"/>
  <c r="E62" i="6"/>
  <c r="J62" i="6" s="1"/>
  <c r="K62" i="6" s="1"/>
  <c r="K61" i="6"/>
  <c r="E61" i="6"/>
  <c r="J61" i="6" s="1"/>
  <c r="E60" i="6"/>
  <c r="J60" i="6" s="1"/>
  <c r="K60" i="6" s="1"/>
  <c r="J59" i="6"/>
  <c r="K59" i="6" s="1"/>
  <c r="E59" i="6"/>
  <c r="J58" i="6"/>
  <c r="K58" i="6" s="1"/>
  <c r="E58" i="6"/>
  <c r="E57" i="6"/>
  <c r="J57" i="6" s="1"/>
  <c r="K57" i="6" s="1"/>
  <c r="J56" i="6"/>
  <c r="K56" i="6" s="1"/>
  <c r="E56" i="6"/>
  <c r="E55" i="6"/>
  <c r="J55" i="6" s="1"/>
  <c r="K55" i="6" s="1"/>
  <c r="K54" i="6"/>
  <c r="E54" i="6"/>
  <c r="J54" i="6" s="1"/>
  <c r="E53" i="6"/>
  <c r="J53" i="6" s="1"/>
  <c r="K53" i="6" s="1"/>
  <c r="E52" i="6"/>
  <c r="J52" i="6" s="1"/>
  <c r="K52" i="6" s="1"/>
  <c r="E51" i="6"/>
  <c r="J51" i="6" s="1"/>
  <c r="K51" i="6" s="1"/>
  <c r="J50" i="6"/>
  <c r="K50" i="6" s="1"/>
  <c r="E50" i="6"/>
  <c r="E49" i="6"/>
  <c r="J49" i="6" s="1"/>
  <c r="K49" i="6" s="1"/>
  <c r="E48" i="6"/>
  <c r="J48" i="6" s="1"/>
  <c r="K48" i="6" s="1"/>
  <c r="K47" i="6"/>
  <c r="J47" i="6"/>
  <c r="E47" i="6"/>
  <c r="E46" i="6"/>
  <c r="J46" i="6" s="1"/>
  <c r="K46" i="6" s="1"/>
  <c r="E45" i="6"/>
  <c r="J45" i="6" s="1"/>
  <c r="K45" i="6" s="1"/>
  <c r="E44" i="6"/>
  <c r="J44" i="6" s="1"/>
  <c r="K44" i="6" s="1"/>
  <c r="J43" i="6"/>
  <c r="K43" i="6" s="1"/>
  <c r="E43" i="6"/>
  <c r="E42" i="6"/>
  <c r="J42" i="6" s="1"/>
  <c r="K42" i="6" s="1"/>
  <c r="E41" i="6"/>
  <c r="J41" i="6" s="1"/>
  <c r="K41" i="6" s="1"/>
  <c r="J40" i="6"/>
  <c r="K40" i="6" s="1"/>
  <c r="E40" i="6"/>
  <c r="E39" i="6"/>
  <c r="J39" i="6" s="1"/>
  <c r="K39" i="6" s="1"/>
  <c r="E38" i="6"/>
  <c r="J38" i="6" s="1"/>
  <c r="K38" i="6" s="1"/>
  <c r="J37" i="6"/>
  <c r="K37" i="6" s="1"/>
  <c r="E37" i="6"/>
  <c r="E36" i="6"/>
  <c r="J36" i="6" s="1"/>
  <c r="K36" i="6" s="1"/>
  <c r="K35" i="6"/>
  <c r="E35" i="6"/>
  <c r="J35" i="6" s="1"/>
  <c r="E34" i="6"/>
  <c r="J34" i="6" s="1"/>
  <c r="K34" i="6" s="1"/>
  <c r="J33" i="6"/>
  <c r="K33" i="6" s="1"/>
  <c r="E33" i="6"/>
  <c r="E32" i="6"/>
  <c r="J32" i="6" s="1"/>
  <c r="K32" i="6" s="1"/>
  <c r="J31" i="6"/>
  <c r="K31" i="6" s="1"/>
  <c r="E31" i="6"/>
  <c r="J30" i="6"/>
  <c r="K30" i="6" s="1"/>
  <c r="E30" i="6"/>
  <c r="K29" i="6"/>
  <c r="E29" i="6"/>
  <c r="J29" i="6" s="1"/>
  <c r="E28" i="6"/>
  <c r="J28" i="6" s="1"/>
  <c r="K28" i="6" s="1"/>
  <c r="J27" i="6"/>
  <c r="K27" i="6" s="1"/>
  <c r="E27" i="6"/>
  <c r="E26" i="6"/>
  <c r="J26" i="6" s="1"/>
  <c r="K26" i="6" s="1"/>
  <c r="E25" i="6"/>
  <c r="J25" i="6" s="1"/>
  <c r="K25" i="6" s="1"/>
  <c r="E24" i="6"/>
  <c r="J24" i="6" s="1"/>
  <c r="K24" i="6" s="1"/>
  <c r="E23" i="6"/>
  <c r="J23" i="6" s="1"/>
  <c r="K23" i="6" s="1"/>
  <c r="J22" i="6"/>
  <c r="K22" i="6" s="1"/>
  <c r="E22" i="6"/>
  <c r="J21" i="6"/>
  <c r="K21" i="6" s="1"/>
  <c r="E21" i="6"/>
  <c r="E20" i="6"/>
  <c r="J20" i="6" s="1"/>
  <c r="K20" i="6" s="1"/>
  <c r="K19" i="6"/>
  <c r="E19" i="6"/>
  <c r="J19" i="6" s="1"/>
  <c r="J18" i="6"/>
  <c r="K18" i="6" s="1"/>
  <c r="E18" i="6"/>
  <c r="E17" i="6"/>
  <c r="J17" i="6" s="1"/>
  <c r="K17" i="6" s="1"/>
  <c r="E16" i="6"/>
  <c r="J16" i="6" s="1"/>
  <c r="K16" i="6" s="1"/>
  <c r="E15" i="6"/>
  <c r="J15" i="6" s="1"/>
  <c r="K15" i="6" s="1"/>
  <c r="J14" i="6"/>
  <c r="K14" i="6" s="1"/>
  <c r="E14" i="6"/>
  <c r="E13" i="6"/>
  <c r="J13" i="6" s="1"/>
  <c r="K13" i="6" s="1"/>
  <c r="J12" i="6"/>
  <c r="K12" i="6" s="1"/>
  <c r="E12" i="6"/>
  <c r="K11" i="6"/>
  <c r="E11" i="6"/>
  <c r="J11" i="6" s="1"/>
  <c r="J10" i="6"/>
  <c r="K10" i="6" s="1"/>
  <c r="E10" i="6"/>
  <c r="E9" i="6"/>
  <c r="J9" i="6" s="1"/>
  <c r="K9" i="6" s="1"/>
  <c r="E8" i="6"/>
  <c r="J8" i="6" s="1"/>
  <c r="K8" i="6" s="1"/>
  <c r="E7" i="6"/>
  <c r="J7" i="6" s="1"/>
  <c r="K7" i="6" s="1"/>
  <c r="E6" i="6"/>
  <c r="J6" i="6" s="1"/>
  <c r="K6" i="6" s="1"/>
  <c r="E5" i="6"/>
  <c r="J5" i="6" s="1"/>
  <c r="K5" i="6" s="1"/>
  <c r="J4" i="6"/>
  <c r="K4" i="6" s="1"/>
  <c r="E4" i="6"/>
  <c r="E3" i="6"/>
  <c r="J3" i="6" s="1"/>
  <c r="K3" i="6" s="1"/>
  <c r="E2" i="6"/>
  <c r="J2" i="6" s="1"/>
  <c r="K2" i="6" s="1"/>
  <c r="F453" i="5"/>
  <c r="E453" i="5"/>
  <c r="D453" i="5"/>
  <c r="C453" i="5"/>
  <c r="M452" i="5"/>
  <c r="F452" i="5"/>
  <c r="E452" i="5"/>
  <c r="D452" i="5"/>
  <c r="C452" i="5" s="1"/>
  <c r="F451" i="5"/>
  <c r="E451" i="5"/>
  <c r="D451" i="5"/>
  <c r="N450" i="5"/>
  <c r="M450" i="5"/>
  <c r="L450" i="5"/>
  <c r="J450" i="5"/>
  <c r="I450" i="5"/>
  <c r="H450" i="5"/>
  <c r="G450" i="5"/>
  <c r="F450" i="5"/>
  <c r="E450" i="5"/>
  <c r="D450" i="5"/>
  <c r="C450" i="5" s="1"/>
  <c r="K450" i="5" s="1"/>
  <c r="F449" i="5"/>
  <c r="E449" i="5"/>
  <c r="D449" i="5"/>
  <c r="F448" i="5"/>
  <c r="E448" i="5"/>
  <c r="D448" i="5"/>
  <c r="C448" i="5" s="1"/>
  <c r="F447" i="5"/>
  <c r="E447" i="5"/>
  <c r="D447" i="5"/>
  <c r="N446" i="5"/>
  <c r="J446" i="5"/>
  <c r="H446" i="5"/>
  <c r="F446" i="5"/>
  <c r="E446" i="5"/>
  <c r="D446" i="5"/>
  <c r="C446" i="5" s="1"/>
  <c r="K446" i="5" s="1"/>
  <c r="F445" i="5"/>
  <c r="E445" i="5"/>
  <c r="D445" i="5"/>
  <c r="J445" i="5" s="1"/>
  <c r="F444" i="5"/>
  <c r="E444" i="5"/>
  <c r="D444" i="5"/>
  <c r="C444" i="5" s="1"/>
  <c r="M444" i="5" s="1"/>
  <c r="F443" i="5"/>
  <c r="E443" i="5"/>
  <c r="D443" i="5"/>
  <c r="F442" i="5"/>
  <c r="E442" i="5"/>
  <c r="D442" i="5"/>
  <c r="C442" i="5" s="1"/>
  <c r="K442" i="5" s="1"/>
  <c r="F441" i="5"/>
  <c r="E441" i="5"/>
  <c r="D441" i="5"/>
  <c r="J440" i="5"/>
  <c r="F440" i="5"/>
  <c r="E440" i="5"/>
  <c r="D440" i="5"/>
  <c r="C440" i="5" s="1"/>
  <c r="F439" i="5"/>
  <c r="E439" i="5"/>
  <c r="D439" i="5"/>
  <c r="F438" i="5"/>
  <c r="E438" i="5"/>
  <c r="D438" i="5"/>
  <c r="C438" i="5" s="1"/>
  <c r="K438" i="5" s="1"/>
  <c r="J437" i="5"/>
  <c r="F437" i="5"/>
  <c r="E437" i="5"/>
  <c r="D437" i="5"/>
  <c r="C437" i="5" s="1"/>
  <c r="F436" i="5"/>
  <c r="E436" i="5"/>
  <c r="D436" i="5"/>
  <c r="C436" i="5" s="1"/>
  <c r="M436" i="5" s="1"/>
  <c r="F435" i="5"/>
  <c r="E435" i="5"/>
  <c r="D435" i="5"/>
  <c r="F434" i="5"/>
  <c r="E434" i="5"/>
  <c r="D434" i="5"/>
  <c r="J433" i="5"/>
  <c r="I433" i="5"/>
  <c r="H433" i="5"/>
  <c r="F433" i="5"/>
  <c r="E433" i="5"/>
  <c r="D433" i="5"/>
  <c r="C433" i="5"/>
  <c r="N433" i="5" s="1"/>
  <c r="J432" i="5"/>
  <c r="F432" i="5"/>
  <c r="E432" i="5"/>
  <c r="D432" i="5"/>
  <c r="C432" i="5" s="1"/>
  <c r="F431" i="5"/>
  <c r="E431" i="5"/>
  <c r="D431" i="5"/>
  <c r="M430" i="5"/>
  <c r="H430" i="5"/>
  <c r="F430" i="5"/>
  <c r="E430" i="5"/>
  <c r="D430" i="5"/>
  <c r="C430" i="5" s="1"/>
  <c r="K430" i="5" s="1"/>
  <c r="F429" i="5"/>
  <c r="E429" i="5"/>
  <c r="D429" i="5"/>
  <c r="H429" i="5" s="1"/>
  <c r="F428" i="5"/>
  <c r="E428" i="5"/>
  <c r="D428" i="5"/>
  <c r="F427" i="5"/>
  <c r="E427" i="5"/>
  <c r="D427" i="5"/>
  <c r="J426" i="5"/>
  <c r="F426" i="5"/>
  <c r="E426" i="5"/>
  <c r="D426" i="5"/>
  <c r="C426" i="5" s="1"/>
  <c r="F425" i="5"/>
  <c r="E425" i="5"/>
  <c r="D425" i="5"/>
  <c r="J425" i="5" s="1"/>
  <c r="F424" i="5"/>
  <c r="E424" i="5"/>
  <c r="D424" i="5"/>
  <c r="F423" i="5"/>
  <c r="E423" i="5"/>
  <c r="D423" i="5"/>
  <c r="F422" i="5"/>
  <c r="E422" i="5"/>
  <c r="D422" i="5"/>
  <c r="C422" i="5" s="1"/>
  <c r="G422" i="5" s="1"/>
  <c r="F421" i="5"/>
  <c r="E421" i="5"/>
  <c r="D421" i="5"/>
  <c r="J421" i="5" s="1"/>
  <c r="F420" i="5"/>
  <c r="E420" i="5"/>
  <c r="D420" i="5"/>
  <c r="F419" i="5"/>
  <c r="E419" i="5"/>
  <c r="D419" i="5"/>
  <c r="J418" i="5"/>
  <c r="H418" i="5"/>
  <c r="F418" i="5"/>
  <c r="E418" i="5"/>
  <c r="D418" i="5"/>
  <c r="C418" i="5" s="1"/>
  <c r="H417" i="5"/>
  <c r="F417" i="5"/>
  <c r="E417" i="5"/>
  <c r="D417" i="5"/>
  <c r="J417" i="5" s="1"/>
  <c r="C417" i="5"/>
  <c r="F416" i="5"/>
  <c r="E416" i="5"/>
  <c r="D416" i="5"/>
  <c r="F415" i="5"/>
  <c r="E415" i="5"/>
  <c r="D415" i="5"/>
  <c r="G414" i="5"/>
  <c r="F414" i="5"/>
  <c r="E414" i="5"/>
  <c r="D414" i="5"/>
  <c r="C414" i="5" s="1"/>
  <c r="K414" i="5" s="1"/>
  <c r="F413" i="5"/>
  <c r="E413" i="5"/>
  <c r="D413" i="5"/>
  <c r="J413" i="5" s="1"/>
  <c r="J412" i="5"/>
  <c r="F412" i="5"/>
  <c r="E412" i="5"/>
  <c r="D412" i="5"/>
  <c r="F411" i="5"/>
  <c r="E411" i="5"/>
  <c r="D411" i="5"/>
  <c r="F410" i="5"/>
  <c r="E410" i="5"/>
  <c r="D410" i="5"/>
  <c r="F409" i="5"/>
  <c r="E409" i="5"/>
  <c r="D409" i="5"/>
  <c r="H409" i="5" s="1"/>
  <c r="F408" i="5"/>
  <c r="E408" i="5"/>
  <c r="D408" i="5"/>
  <c r="C408" i="5" s="1"/>
  <c r="M408" i="5" s="1"/>
  <c r="F407" i="5"/>
  <c r="E407" i="5"/>
  <c r="D407" i="5"/>
  <c r="J406" i="5"/>
  <c r="H406" i="5"/>
  <c r="F406" i="5"/>
  <c r="E406" i="5"/>
  <c r="D406" i="5"/>
  <c r="C406" i="5" s="1"/>
  <c r="F405" i="5"/>
  <c r="E405" i="5"/>
  <c r="D405" i="5"/>
  <c r="J405" i="5" s="1"/>
  <c r="F404" i="5"/>
  <c r="E404" i="5"/>
  <c r="D404" i="5"/>
  <c r="J404" i="5" s="1"/>
  <c r="F403" i="5"/>
  <c r="E403" i="5"/>
  <c r="D403" i="5"/>
  <c r="N402" i="5"/>
  <c r="F402" i="5"/>
  <c r="E402" i="5"/>
  <c r="D402" i="5"/>
  <c r="C402" i="5" s="1"/>
  <c r="M402" i="5" s="1"/>
  <c r="F401" i="5"/>
  <c r="E401" i="5"/>
  <c r="D401" i="5"/>
  <c r="C401" i="5" s="1"/>
  <c r="J400" i="5"/>
  <c r="H400" i="5"/>
  <c r="F400" i="5"/>
  <c r="E400" i="5"/>
  <c r="D400" i="5"/>
  <c r="C400" i="5" s="1"/>
  <c r="F399" i="5"/>
  <c r="E399" i="5"/>
  <c r="D399" i="5"/>
  <c r="F398" i="5"/>
  <c r="E398" i="5"/>
  <c r="D398" i="5"/>
  <c r="C398" i="5" s="1"/>
  <c r="M398" i="5" s="1"/>
  <c r="H397" i="5"/>
  <c r="F397" i="5"/>
  <c r="E397" i="5"/>
  <c r="D397" i="5"/>
  <c r="J396" i="5"/>
  <c r="F396" i="5"/>
  <c r="E396" i="5"/>
  <c r="D396" i="5"/>
  <c r="H396" i="5" s="1"/>
  <c r="C396" i="5"/>
  <c r="F395" i="5"/>
  <c r="E395" i="5"/>
  <c r="D395" i="5"/>
  <c r="F394" i="5"/>
  <c r="E394" i="5"/>
  <c r="D394" i="5"/>
  <c r="F393" i="5"/>
  <c r="E393" i="5"/>
  <c r="D393" i="5"/>
  <c r="C393" i="5" s="1"/>
  <c r="F392" i="5"/>
  <c r="E392" i="5"/>
  <c r="D392" i="5"/>
  <c r="J392" i="5" s="1"/>
  <c r="F391" i="5"/>
  <c r="E391" i="5"/>
  <c r="D391" i="5"/>
  <c r="J391" i="5" s="1"/>
  <c r="F390" i="5"/>
  <c r="E390" i="5"/>
  <c r="D390" i="5"/>
  <c r="C390" i="5" s="1"/>
  <c r="N390" i="5" s="1"/>
  <c r="F389" i="5"/>
  <c r="E389" i="5"/>
  <c r="D389" i="5"/>
  <c r="C389" i="5"/>
  <c r="G389" i="5" s="1"/>
  <c r="F388" i="5"/>
  <c r="E388" i="5"/>
  <c r="D388" i="5"/>
  <c r="H388" i="5" s="1"/>
  <c r="F387" i="5"/>
  <c r="E387" i="5"/>
  <c r="D387" i="5"/>
  <c r="J387" i="5" s="1"/>
  <c r="F386" i="5"/>
  <c r="E386" i="5"/>
  <c r="D386" i="5"/>
  <c r="C386" i="5" s="1"/>
  <c r="M386" i="5" s="1"/>
  <c r="F385" i="5"/>
  <c r="E385" i="5"/>
  <c r="D385" i="5"/>
  <c r="J384" i="5"/>
  <c r="F384" i="5"/>
  <c r="E384" i="5"/>
  <c r="D384" i="5"/>
  <c r="H384" i="5" s="1"/>
  <c r="F383" i="5"/>
  <c r="E383" i="5"/>
  <c r="D383" i="5"/>
  <c r="J383" i="5" s="1"/>
  <c r="M382" i="5"/>
  <c r="L382" i="5"/>
  <c r="J382" i="5"/>
  <c r="I382" i="5"/>
  <c r="H382" i="5"/>
  <c r="F382" i="5"/>
  <c r="E382" i="5"/>
  <c r="D382" i="5"/>
  <c r="C382" i="5" s="1"/>
  <c r="N382" i="5" s="1"/>
  <c r="F381" i="5"/>
  <c r="E381" i="5"/>
  <c r="D381" i="5"/>
  <c r="J381" i="5" s="1"/>
  <c r="C381" i="5"/>
  <c r="N381" i="5" s="1"/>
  <c r="F380" i="5"/>
  <c r="E380" i="5"/>
  <c r="D380" i="5"/>
  <c r="C380" i="5" s="1"/>
  <c r="J379" i="5"/>
  <c r="F379" i="5"/>
  <c r="E379" i="5"/>
  <c r="D379" i="5"/>
  <c r="F378" i="5"/>
  <c r="E378" i="5"/>
  <c r="D378" i="5"/>
  <c r="C378" i="5" s="1"/>
  <c r="N378" i="5" s="1"/>
  <c r="J377" i="5"/>
  <c r="F377" i="5"/>
  <c r="E377" i="5"/>
  <c r="D377" i="5"/>
  <c r="H377" i="5" s="1"/>
  <c r="F376" i="5"/>
  <c r="E376" i="5"/>
  <c r="D376" i="5"/>
  <c r="F375" i="5"/>
  <c r="E375" i="5"/>
  <c r="D375" i="5"/>
  <c r="J375" i="5" s="1"/>
  <c r="J374" i="5"/>
  <c r="I374" i="5"/>
  <c r="F374" i="5"/>
  <c r="E374" i="5"/>
  <c r="D374" i="5"/>
  <c r="C374" i="5" s="1"/>
  <c r="F373" i="5"/>
  <c r="E373" i="5"/>
  <c r="D373" i="5"/>
  <c r="J373" i="5" s="1"/>
  <c r="F372" i="5"/>
  <c r="E372" i="5"/>
  <c r="D372" i="5"/>
  <c r="J372" i="5" s="1"/>
  <c r="C372" i="5"/>
  <c r="N372" i="5" s="1"/>
  <c r="F371" i="5"/>
  <c r="E371" i="5"/>
  <c r="D371" i="5"/>
  <c r="F370" i="5"/>
  <c r="E370" i="5"/>
  <c r="D370" i="5"/>
  <c r="C370" i="5" s="1"/>
  <c r="N370" i="5" s="1"/>
  <c r="F369" i="5"/>
  <c r="E369" i="5"/>
  <c r="D369" i="5"/>
  <c r="J369" i="5" s="1"/>
  <c r="C369" i="5"/>
  <c r="J368" i="5"/>
  <c r="H368" i="5"/>
  <c r="F368" i="5"/>
  <c r="E368" i="5"/>
  <c r="D368" i="5"/>
  <c r="C368" i="5"/>
  <c r="N368" i="5" s="1"/>
  <c r="J367" i="5"/>
  <c r="F367" i="5"/>
  <c r="E367" i="5"/>
  <c r="D367" i="5"/>
  <c r="L366" i="5"/>
  <c r="J366" i="5"/>
  <c r="H366" i="5"/>
  <c r="F366" i="5"/>
  <c r="E366" i="5"/>
  <c r="D366" i="5"/>
  <c r="C366" i="5" s="1"/>
  <c r="N366" i="5" s="1"/>
  <c r="F365" i="5"/>
  <c r="E365" i="5"/>
  <c r="D365" i="5"/>
  <c r="F364" i="5"/>
  <c r="E364" i="5"/>
  <c r="D364" i="5"/>
  <c r="J364" i="5" s="1"/>
  <c r="C364" i="5"/>
  <c r="F363" i="5"/>
  <c r="E363" i="5"/>
  <c r="D363" i="5"/>
  <c r="C363" i="5" s="1"/>
  <c r="N363" i="5" s="1"/>
  <c r="F362" i="5"/>
  <c r="E362" i="5"/>
  <c r="D362" i="5"/>
  <c r="J362" i="5" s="1"/>
  <c r="M361" i="5"/>
  <c r="J361" i="5"/>
  <c r="I361" i="5"/>
  <c r="H361" i="5"/>
  <c r="F361" i="5"/>
  <c r="E361" i="5"/>
  <c r="D361" i="5"/>
  <c r="C361" i="5"/>
  <c r="F360" i="5"/>
  <c r="E360" i="5"/>
  <c r="D360" i="5"/>
  <c r="C360" i="5"/>
  <c r="F359" i="5"/>
  <c r="E359" i="5"/>
  <c r="D359" i="5"/>
  <c r="J359" i="5" s="1"/>
  <c r="N358" i="5"/>
  <c r="M358" i="5"/>
  <c r="L358" i="5"/>
  <c r="K358" i="5"/>
  <c r="J358" i="5"/>
  <c r="H358" i="5"/>
  <c r="G358" i="5"/>
  <c r="F358" i="5"/>
  <c r="E358" i="5"/>
  <c r="D358" i="5"/>
  <c r="C358" i="5"/>
  <c r="I358" i="5" s="1"/>
  <c r="F357" i="5"/>
  <c r="E357" i="5"/>
  <c r="D357" i="5"/>
  <c r="J357" i="5" s="1"/>
  <c r="F356" i="5"/>
  <c r="E356" i="5"/>
  <c r="D356" i="5"/>
  <c r="C356" i="5"/>
  <c r="F355" i="5"/>
  <c r="E355" i="5"/>
  <c r="D355" i="5"/>
  <c r="J355" i="5" s="1"/>
  <c r="F354" i="5"/>
  <c r="E354" i="5"/>
  <c r="D354" i="5"/>
  <c r="J354" i="5" s="1"/>
  <c r="J353" i="5"/>
  <c r="H353" i="5"/>
  <c r="F353" i="5"/>
  <c r="E353" i="5"/>
  <c r="D353" i="5"/>
  <c r="C353" i="5" s="1"/>
  <c r="F352" i="5"/>
  <c r="E352" i="5"/>
  <c r="D352" i="5"/>
  <c r="C352" i="5" s="1"/>
  <c r="F351" i="5"/>
  <c r="E351" i="5"/>
  <c r="D351" i="5"/>
  <c r="J351" i="5" s="1"/>
  <c r="N350" i="5"/>
  <c r="M350" i="5"/>
  <c r="L350" i="5"/>
  <c r="J350" i="5"/>
  <c r="H350" i="5"/>
  <c r="G350" i="5"/>
  <c r="F350" i="5"/>
  <c r="E350" i="5"/>
  <c r="D350" i="5"/>
  <c r="C350" i="5"/>
  <c r="I350" i="5" s="1"/>
  <c r="F349" i="5"/>
  <c r="E349" i="5"/>
  <c r="D349" i="5"/>
  <c r="J349" i="5" s="1"/>
  <c r="C349" i="5"/>
  <c r="F348" i="5"/>
  <c r="E348" i="5"/>
  <c r="D348" i="5"/>
  <c r="J348" i="5" s="1"/>
  <c r="C348" i="5"/>
  <c r="F347" i="5"/>
  <c r="E347" i="5"/>
  <c r="D347" i="5"/>
  <c r="N346" i="5"/>
  <c r="M346" i="5"/>
  <c r="L346" i="5"/>
  <c r="K346" i="5"/>
  <c r="J346" i="5"/>
  <c r="H346" i="5"/>
  <c r="G346" i="5"/>
  <c r="F346" i="5"/>
  <c r="E346" i="5"/>
  <c r="D346" i="5"/>
  <c r="C346" i="5"/>
  <c r="I346" i="5" s="1"/>
  <c r="F345" i="5"/>
  <c r="E345" i="5"/>
  <c r="D345" i="5"/>
  <c r="J345" i="5" s="1"/>
  <c r="F344" i="5"/>
  <c r="E344" i="5"/>
  <c r="D344" i="5"/>
  <c r="F343" i="5"/>
  <c r="E343" i="5"/>
  <c r="D343" i="5"/>
  <c r="F342" i="5"/>
  <c r="E342" i="5"/>
  <c r="D342" i="5"/>
  <c r="J342" i="5" s="1"/>
  <c r="C342" i="5"/>
  <c r="I342" i="5" s="1"/>
  <c r="M341" i="5"/>
  <c r="J341" i="5"/>
  <c r="H341" i="5"/>
  <c r="G341" i="5"/>
  <c r="F341" i="5"/>
  <c r="E341" i="5"/>
  <c r="D341" i="5"/>
  <c r="C341" i="5"/>
  <c r="F340" i="5"/>
  <c r="E340" i="5"/>
  <c r="D340" i="5"/>
  <c r="C340" i="5" s="1"/>
  <c r="F339" i="5"/>
  <c r="E339" i="5"/>
  <c r="D339" i="5"/>
  <c r="N338" i="5"/>
  <c r="M338" i="5"/>
  <c r="L338" i="5"/>
  <c r="K338" i="5"/>
  <c r="J338" i="5"/>
  <c r="H338" i="5"/>
  <c r="G338" i="5"/>
  <c r="F338" i="5"/>
  <c r="E338" i="5"/>
  <c r="D338" i="5"/>
  <c r="C338" i="5"/>
  <c r="I338" i="5" s="1"/>
  <c r="F337" i="5"/>
  <c r="E337" i="5"/>
  <c r="D337" i="5"/>
  <c r="J337" i="5" s="1"/>
  <c r="C337" i="5"/>
  <c r="I337" i="5" s="1"/>
  <c r="F336" i="5"/>
  <c r="E336" i="5"/>
  <c r="D336" i="5"/>
  <c r="J336" i="5" s="1"/>
  <c r="F335" i="5"/>
  <c r="E335" i="5"/>
  <c r="D335" i="5"/>
  <c r="F334" i="5"/>
  <c r="E334" i="5"/>
  <c r="D334" i="5"/>
  <c r="J334" i="5" s="1"/>
  <c r="C334" i="5"/>
  <c r="I334" i="5" s="1"/>
  <c r="J333" i="5"/>
  <c r="H333" i="5"/>
  <c r="F333" i="5"/>
  <c r="E333" i="5"/>
  <c r="D333" i="5"/>
  <c r="C333" i="5"/>
  <c r="F332" i="5"/>
  <c r="E332" i="5"/>
  <c r="D332" i="5"/>
  <c r="J332" i="5" s="1"/>
  <c r="F331" i="5"/>
  <c r="E331" i="5"/>
  <c r="D331" i="5"/>
  <c r="N330" i="5"/>
  <c r="M330" i="5"/>
  <c r="L330" i="5"/>
  <c r="J330" i="5"/>
  <c r="H330" i="5"/>
  <c r="G330" i="5"/>
  <c r="F330" i="5"/>
  <c r="E330" i="5"/>
  <c r="D330" i="5"/>
  <c r="C330" i="5"/>
  <c r="I330" i="5" s="1"/>
  <c r="F329" i="5"/>
  <c r="E329" i="5"/>
  <c r="D329" i="5"/>
  <c r="J329" i="5" s="1"/>
  <c r="F328" i="5"/>
  <c r="E328" i="5"/>
  <c r="D328" i="5"/>
  <c r="J328" i="5" s="1"/>
  <c r="F327" i="5"/>
  <c r="E327" i="5"/>
  <c r="D327" i="5"/>
  <c r="J326" i="5"/>
  <c r="F326" i="5"/>
  <c r="E326" i="5"/>
  <c r="D326" i="5"/>
  <c r="H326" i="5" s="1"/>
  <c r="C326" i="5"/>
  <c r="I326" i="5" s="1"/>
  <c r="M325" i="5"/>
  <c r="H325" i="5"/>
  <c r="F325" i="5"/>
  <c r="E325" i="5"/>
  <c r="D325" i="5"/>
  <c r="J325" i="5" s="1"/>
  <c r="C325" i="5"/>
  <c r="L325" i="5" s="1"/>
  <c r="F324" i="5"/>
  <c r="E324" i="5"/>
  <c r="D324" i="5"/>
  <c r="J324" i="5" s="1"/>
  <c r="F323" i="5"/>
  <c r="E323" i="5"/>
  <c r="D323" i="5"/>
  <c r="J322" i="5"/>
  <c r="H322" i="5"/>
  <c r="F322" i="5"/>
  <c r="E322" i="5"/>
  <c r="D322" i="5"/>
  <c r="C322" i="5" s="1"/>
  <c r="I322" i="5" s="1"/>
  <c r="J321" i="5"/>
  <c r="H321" i="5"/>
  <c r="F321" i="5"/>
  <c r="E321" i="5"/>
  <c r="D321" i="5"/>
  <c r="C321" i="5"/>
  <c r="M321" i="5" s="1"/>
  <c r="F320" i="5"/>
  <c r="E320" i="5"/>
  <c r="D320" i="5"/>
  <c r="J320" i="5" s="1"/>
  <c r="C320" i="5"/>
  <c r="F319" i="5"/>
  <c r="E319" i="5"/>
  <c r="D319" i="5"/>
  <c r="F318" i="5"/>
  <c r="E318" i="5"/>
  <c r="D318" i="5"/>
  <c r="J318" i="5" s="1"/>
  <c r="F317" i="5"/>
  <c r="E317" i="5"/>
  <c r="D317" i="5"/>
  <c r="F316" i="5"/>
  <c r="E316" i="5"/>
  <c r="D316" i="5"/>
  <c r="J316" i="5" s="1"/>
  <c r="F315" i="5"/>
  <c r="E315" i="5"/>
  <c r="D315" i="5"/>
  <c r="H314" i="5"/>
  <c r="F314" i="5"/>
  <c r="E314" i="5"/>
  <c r="D314" i="5"/>
  <c r="J314" i="5" s="1"/>
  <c r="C314" i="5"/>
  <c r="I314" i="5" s="1"/>
  <c r="F313" i="5"/>
  <c r="E313" i="5"/>
  <c r="D313" i="5"/>
  <c r="C313" i="5"/>
  <c r="F312" i="5"/>
  <c r="E312" i="5"/>
  <c r="D312" i="5"/>
  <c r="J312" i="5" s="1"/>
  <c r="F311" i="5"/>
  <c r="E311" i="5"/>
  <c r="D311" i="5"/>
  <c r="F310" i="5"/>
  <c r="E310" i="5"/>
  <c r="D310" i="5"/>
  <c r="F309" i="5"/>
  <c r="E309" i="5"/>
  <c r="D309" i="5"/>
  <c r="J309" i="5" s="1"/>
  <c r="C309" i="5"/>
  <c r="M309" i="5" s="1"/>
  <c r="F308" i="5"/>
  <c r="E308" i="5"/>
  <c r="D308" i="5"/>
  <c r="J308" i="5" s="1"/>
  <c r="C308" i="5"/>
  <c r="M308" i="5" s="1"/>
  <c r="F307" i="5"/>
  <c r="E307" i="5"/>
  <c r="D307" i="5"/>
  <c r="J306" i="5"/>
  <c r="F306" i="5"/>
  <c r="E306" i="5"/>
  <c r="D306" i="5"/>
  <c r="H306" i="5" s="1"/>
  <c r="C306" i="5"/>
  <c r="F305" i="5"/>
  <c r="E305" i="5"/>
  <c r="D305" i="5"/>
  <c r="J305" i="5" s="1"/>
  <c r="H304" i="5"/>
  <c r="F304" i="5"/>
  <c r="E304" i="5"/>
  <c r="D304" i="5"/>
  <c r="J304" i="5" s="1"/>
  <c r="F303" i="5"/>
  <c r="E303" i="5"/>
  <c r="D303" i="5"/>
  <c r="F302" i="5"/>
  <c r="E302" i="5"/>
  <c r="D302" i="5"/>
  <c r="J302" i="5" s="1"/>
  <c r="F301" i="5"/>
  <c r="E301" i="5"/>
  <c r="D301" i="5"/>
  <c r="H300" i="5"/>
  <c r="F300" i="5"/>
  <c r="E300" i="5"/>
  <c r="D300" i="5"/>
  <c r="J300" i="5" s="1"/>
  <c r="F299" i="5"/>
  <c r="E299" i="5"/>
  <c r="D299" i="5"/>
  <c r="H298" i="5"/>
  <c r="F298" i="5"/>
  <c r="E298" i="5"/>
  <c r="D298" i="5"/>
  <c r="J298" i="5" s="1"/>
  <c r="C298" i="5"/>
  <c r="F297" i="5"/>
  <c r="E297" i="5"/>
  <c r="D297" i="5"/>
  <c r="J297" i="5" s="1"/>
  <c r="F296" i="5"/>
  <c r="E296" i="5"/>
  <c r="D296" i="5"/>
  <c r="C296" i="5"/>
  <c r="F295" i="5"/>
  <c r="E295" i="5"/>
  <c r="D295" i="5"/>
  <c r="K294" i="5"/>
  <c r="J294" i="5"/>
  <c r="I294" i="5"/>
  <c r="H294" i="5"/>
  <c r="F294" i="5"/>
  <c r="E294" i="5"/>
  <c r="D294" i="5"/>
  <c r="C294" i="5"/>
  <c r="G294" i="5" s="1"/>
  <c r="F293" i="5"/>
  <c r="E293" i="5"/>
  <c r="D293" i="5"/>
  <c r="C293" i="5"/>
  <c r="H292" i="5"/>
  <c r="F292" i="5"/>
  <c r="E292" i="5"/>
  <c r="D292" i="5"/>
  <c r="J292" i="5" s="1"/>
  <c r="C292" i="5"/>
  <c r="F291" i="5"/>
  <c r="E291" i="5"/>
  <c r="D291" i="5"/>
  <c r="C291" i="5" s="1"/>
  <c r="H290" i="5"/>
  <c r="F290" i="5"/>
  <c r="E290" i="5"/>
  <c r="D290" i="5"/>
  <c r="J290" i="5" s="1"/>
  <c r="C290" i="5"/>
  <c r="N289" i="5"/>
  <c r="I289" i="5"/>
  <c r="F289" i="5"/>
  <c r="E289" i="5"/>
  <c r="D289" i="5"/>
  <c r="J289" i="5" s="1"/>
  <c r="C289" i="5"/>
  <c r="M289" i="5" s="1"/>
  <c r="F288" i="5"/>
  <c r="E288" i="5"/>
  <c r="D288" i="5"/>
  <c r="J288" i="5" s="1"/>
  <c r="C288" i="5"/>
  <c r="M288" i="5" s="1"/>
  <c r="F287" i="5"/>
  <c r="E287" i="5"/>
  <c r="D287" i="5"/>
  <c r="C287" i="5" s="1"/>
  <c r="J286" i="5"/>
  <c r="H286" i="5"/>
  <c r="F286" i="5"/>
  <c r="E286" i="5"/>
  <c r="D286" i="5"/>
  <c r="C286" i="5" s="1"/>
  <c r="F285" i="5"/>
  <c r="E285" i="5"/>
  <c r="D285" i="5"/>
  <c r="H285" i="5" s="1"/>
  <c r="F284" i="5"/>
  <c r="E284" i="5"/>
  <c r="D284" i="5"/>
  <c r="K283" i="5"/>
  <c r="F283" i="5"/>
  <c r="E283" i="5"/>
  <c r="D283" i="5"/>
  <c r="C283" i="5"/>
  <c r="N283" i="5" s="1"/>
  <c r="F282" i="5"/>
  <c r="E282" i="5"/>
  <c r="D282" i="5"/>
  <c r="J282" i="5" s="1"/>
  <c r="N281" i="5"/>
  <c r="M281" i="5"/>
  <c r="L281" i="5"/>
  <c r="K281" i="5"/>
  <c r="J281" i="5"/>
  <c r="H281" i="5"/>
  <c r="G281" i="5"/>
  <c r="F281" i="5"/>
  <c r="E281" i="5"/>
  <c r="D281" i="5"/>
  <c r="C281" i="5"/>
  <c r="I281" i="5" s="1"/>
  <c r="F280" i="5"/>
  <c r="E280" i="5"/>
  <c r="D280" i="5"/>
  <c r="J280" i="5" s="1"/>
  <c r="C280" i="5"/>
  <c r="K280" i="5" s="1"/>
  <c r="N279" i="5"/>
  <c r="M279" i="5"/>
  <c r="F279" i="5"/>
  <c r="E279" i="5"/>
  <c r="D279" i="5"/>
  <c r="C279" i="5" s="1"/>
  <c r="F278" i="5"/>
  <c r="E278" i="5"/>
  <c r="D278" i="5"/>
  <c r="J278" i="5" s="1"/>
  <c r="F277" i="5"/>
  <c r="E277" i="5"/>
  <c r="D277" i="5"/>
  <c r="C277" i="5"/>
  <c r="M276" i="5"/>
  <c r="G276" i="5"/>
  <c r="F276" i="5"/>
  <c r="E276" i="5"/>
  <c r="D276" i="5"/>
  <c r="J276" i="5" s="1"/>
  <c r="C276" i="5"/>
  <c r="N275" i="5"/>
  <c r="M275" i="5"/>
  <c r="L275" i="5"/>
  <c r="K275" i="5"/>
  <c r="I275" i="5"/>
  <c r="G275" i="5"/>
  <c r="F275" i="5"/>
  <c r="E275" i="5"/>
  <c r="D275" i="5"/>
  <c r="C275" i="5"/>
  <c r="J274" i="5"/>
  <c r="H274" i="5"/>
  <c r="F274" i="5"/>
  <c r="E274" i="5"/>
  <c r="D274" i="5"/>
  <c r="C274" i="5"/>
  <c r="F273" i="5"/>
  <c r="E273" i="5"/>
  <c r="D273" i="5"/>
  <c r="J273" i="5" s="1"/>
  <c r="J272" i="5"/>
  <c r="H272" i="5"/>
  <c r="F272" i="5"/>
  <c r="E272" i="5"/>
  <c r="D272" i="5"/>
  <c r="C272" i="5"/>
  <c r="F271" i="5"/>
  <c r="E271" i="5"/>
  <c r="D271" i="5"/>
  <c r="C271" i="5"/>
  <c r="F270" i="5"/>
  <c r="E270" i="5"/>
  <c r="D270" i="5"/>
  <c r="J270" i="5" s="1"/>
  <c r="C270" i="5"/>
  <c r="F269" i="5"/>
  <c r="E269" i="5"/>
  <c r="D269" i="5"/>
  <c r="H269" i="5" s="1"/>
  <c r="F268" i="5"/>
  <c r="E268" i="5"/>
  <c r="D268" i="5"/>
  <c r="C268" i="5" s="1"/>
  <c r="F267" i="5"/>
  <c r="E267" i="5"/>
  <c r="D267" i="5"/>
  <c r="C267" i="5" s="1"/>
  <c r="F266" i="5"/>
  <c r="E266" i="5"/>
  <c r="D266" i="5"/>
  <c r="F265" i="5"/>
  <c r="E265" i="5"/>
  <c r="D265" i="5"/>
  <c r="F264" i="5"/>
  <c r="E264" i="5"/>
  <c r="D264" i="5"/>
  <c r="C264" i="5" s="1"/>
  <c r="G264" i="5" s="1"/>
  <c r="F263" i="5"/>
  <c r="E263" i="5"/>
  <c r="D263" i="5"/>
  <c r="C263" i="5"/>
  <c r="H262" i="5"/>
  <c r="F262" i="5"/>
  <c r="E262" i="5"/>
  <c r="D262" i="5"/>
  <c r="J262" i="5" s="1"/>
  <c r="J261" i="5"/>
  <c r="F261" i="5"/>
  <c r="E261" i="5"/>
  <c r="D261" i="5"/>
  <c r="F260" i="5"/>
  <c r="E260" i="5"/>
  <c r="D260" i="5"/>
  <c r="C260" i="5" s="1"/>
  <c r="F259" i="5"/>
  <c r="E259" i="5"/>
  <c r="D259" i="5"/>
  <c r="C259" i="5" s="1"/>
  <c r="H258" i="5"/>
  <c r="F258" i="5"/>
  <c r="E258" i="5"/>
  <c r="D258" i="5"/>
  <c r="J258" i="5" s="1"/>
  <c r="F257" i="5"/>
  <c r="E257" i="5"/>
  <c r="D257" i="5"/>
  <c r="F256" i="5"/>
  <c r="E256" i="5"/>
  <c r="D256" i="5"/>
  <c r="C256" i="5" s="1"/>
  <c r="F255" i="5"/>
  <c r="E255" i="5"/>
  <c r="D255" i="5"/>
  <c r="C255" i="5" s="1"/>
  <c r="H254" i="5"/>
  <c r="F254" i="5"/>
  <c r="E254" i="5"/>
  <c r="D254" i="5"/>
  <c r="J254" i="5" s="1"/>
  <c r="F253" i="5"/>
  <c r="E253" i="5"/>
  <c r="D253" i="5"/>
  <c r="F252" i="5"/>
  <c r="E252" i="5"/>
  <c r="D252" i="5"/>
  <c r="C252" i="5" s="1"/>
  <c r="I252" i="5" s="1"/>
  <c r="F251" i="5"/>
  <c r="E251" i="5"/>
  <c r="D251" i="5"/>
  <c r="C251" i="5"/>
  <c r="H250" i="5"/>
  <c r="F250" i="5"/>
  <c r="E250" i="5"/>
  <c r="D250" i="5"/>
  <c r="J250" i="5" s="1"/>
  <c r="F249" i="5"/>
  <c r="E249" i="5"/>
  <c r="D249" i="5"/>
  <c r="F248" i="5"/>
  <c r="E248" i="5"/>
  <c r="D248" i="5"/>
  <c r="C248" i="5" s="1"/>
  <c r="F247" i="5"/>
  <c r="E247" i="5"/>
  <c r="D247" i="5"/>
  <c r="H246" i="5"/>
  <c r="F246" i="5"/>
  <c r="E246" i="5"/>
  <c r="D246" i="5"/>
  <c r="J246" i="5" s="1"/>
  <c r="F245" i="5"/>
  <c r="E245" i="5"/>
  <c r="D245" i="5"/>
  <c r="J245" i="5" s="1"/>
  <c r="H244" i="5"/>
  <c r="F244" i="5"/>
  <c r="E244" i="5"/>
  <c r="D244" i="5"/>
  <c r="C244" i="5" s="1"/>
  <c r="F243" i="5"/>
  <c r="E243" i="5"/>
  <c r="D243" i="5"/>
  <c r="C243" i="5" s="1"/>
  <c r="H242" i="5"/>
  <c r="F242" i="5"/>
  <c r="E242" i="5"/>
  <c r="D242" i="5"/>
  <c r="J242" i="5" s="1"/>
  <c r="F241" i="5"/>
  <c r="E241" i="5"/>
  <c r="D241" i="5"/>
  <c r="F240" i="5"/>
  <c r="E240" i="5"/>
  <c r="D240" i="5"/>
  <c r="C240" i="5" s="1"/>
  <c r="N240" i="5" s="1"/>
  <c r="F239" i="5"/>
  <c r="E239" i="5"/>
  <c r="D239" i="5"/>
  <c r="H239" i="5" s="1"/>
  <c r="C239" i="5"/>
  <c r="H238" i="5"/>
  <c r="F238" i="5"/>
  <c r="E238" i="5"/>
  <c r="D238" i="5"/>
  <c r="J238" i="5" s="1"/>
  <c r="F237" i="5"/>
  <c r="E237" i="5"/>
  <c r="D237" i="5"/>
  <c r="N236" i="5"/>
  <c r="J236" i="5"/>
  <c r="I236" i="5"/>
  <c r="H236" i="5"/>
  <c r="F236" i="5"/>
  <c r="E236" i="5"/>
  <c r="D236" i="5"/>
  <c r="C236" i="5" s="1"/>
  <c r="J235" i="5"/>
  <c r="F235" i="5"/>
  <c r="E235" i="5"/>
  <c r="D235" i="5"/>
  <c r="H235" i="5" s="1"/>
  <c r="F234" i="5"/>
  <c r="E234" i="5"/>
  <c r="D234" i="5"/>
  <c r="J234" i="5" s="1"/>
  <c r="F233" i="5"/>
  <c r="E233" i="5"/>
  <c r="D233" i="5"/>
  <c r="N232" i="5"/>
  <c r="J232" i="5"/>
  <c r="I232" i="5"/>
  <c r="H232" i="5"/>
  <c r="F232" i="5"/>
  <c r="E232" i="5"/>
  <c r="D232" i="5"/>
  <c r="C232" i="5" s="1"/>
  <c r="G232" i="5" s="1"/>
  <c r="F231" i="5"/>
  <c r="E231" i="5"/>
  <c r="D231" i="5"/>
  <c r="H231" i="5" s="1"/>
  <c r="C231" i="5"/>
  <c r="F230" i="5"/>
  <c r="E230" i="5"/>
  <c r="D230" i="5"/>
  <c r="J230" i="5" s="1"/>
  <c r="F229" i="5"/>
  <c r="E229" i="5"/>
  <c r="D229" i="5"/>
  <c r="J228" i="5"/>
  <c r="F228" i="5"/>
  <c r="E228" i="5"/>
  <c r="D228" i="5"/>
  <c r="C228" i="5" s="1"/>
  <c r="F227" i="5"/>
  <c r="E227" i="5"/>
  <c r="D227" i="5"/>
  <c r="H227" i="5" s="1"/>
  <c r="C227" i="5"/>
  <c r="L227" i="5" s="1"/>
  <c r="F226" i="5"/>
  <c r="E226" i="5"/>
  <c r="D226" i="5"/>
  <c r="J226" i="5" s="1"/>
  <c r="J225" i="5"/>
  <c r="F225" i="5"/>
  <c r="E225" i="5"/>
  <c r="D225" i="5"/>
  <c r="J224" i="5"/>
  <c r="H224" i="5"/>
  <c r="F224" i="5"/>
  <c r="E224" i="5"/>
  <c r="D224" i="5"/>
  <c r="C224" i="5" s="1"/>
  <c r="J223" i="5"/>
  <c r="F223" i="5"/>
  <c r="E223" i="5"/>
  <c r="D223" i="5"/>
  <c r="F222" i="5"/>
  <c r="E222" i="5"/>
  <c r="D222" i="5"/>
  <c r="F221" i="5"/>
  <c r="E221" i="5"/>
  <c r="D221" i="5"/>
  <c r="J220" i="5"/>
  <c r="H220" i="5"/>
  <c r="F220" i="5"/>
  <c r="E220" i="5"/>
  <c r="D220" i="5"/>
  <c r="C220" i="5" s="1"/>
  <c r="F219" i="5"/>
  <c r="E219" i="5"/>
  <c r="D219" i="5"/>
  <c r="C219" i="5" s="1"/>
  <c r="F218" i="5"/>
  <c r="E218" i="5"/>
  <c r="D218" i="5"/>
  <c r="F217" i="5"/>
  <c r="E217" i="5"/>
  <c r="D217" i="5"/>
  <c r="F216" i="5"/>
  <c r="E216" i="5"/>
  <c r="D216" i="5"/>
  <c r="C216" i="5" s="1"/>
  <c r="K216" i="5" s="1"/>
  <c r="F215" i="5"/>
  <c r="E215" i="5"/>
  <c r="D215" i="5"/>
  <c r="F214" i="5"/>
  <c r="E214" i="5"/>
  <c r="D214" i="5"/>
  <c r="F213" i="5"/>
  <c r="E213" i="5"/>
  <c r="D213" i="5"/>
  <c r="J212" i="5"/>
  <c r="H212" i="5"/>
  <c r="F212" i="5"/>
  <c r="E212" i="5"/>
  <c r="D212" i="5"/>
  <c r="C212" i="5" s="1"/>
  <c r="K212" i="5" s="1"/>
  <c r="J211" i="5"/>
  <c r="H211" i="5"/>
  <c r="F211" i="5"/>
  <c r="E211" i="5"/>
  <c r="D211" i="5"/>
  <c r="C211" i="5"/>
  <c r="L211" i="5" s="1"/>
  <c r="F210" i="5"/>
  <c r="E210" i="5"/>
  <c r="D210" i="5"/>
  <c r="J209" i="5"/>
  <c r="F209" i="5"/>
  <c r="E209" i="5"/>
  <c r="D209" i="5"/>
  <c r="F208" i="5"/>
  <c r="E208" i="5"/>
  <c r="D208" i="5"/>
  <c r="C208" i="5" s="1"/>
  <c r="K208" i="5" s="1"/>
  <c r="J207" i="5"/>
  <c r="H207" i="5"/>
  <c r="F207" i="5"/>
  <c r="E207" i="5"/>
  <c r="D207" i="5"/>
  <c r="C207" i="5"/>
  <c r="L207" i="5" s="1"/>
  <c r="F206" i="5"/>
  <c r="E206" i="5"/>
  <c r="D206" i="5"/>
  <c r="F205" i="5"/>
  <c r="E205" i="5"/>
  <c r="D205" i="5"/>
  <c r="J205" i="5" s="1"/>
  <c r="F204" i="5"/>
  <c r="E204" i="5"/>
  <c r="D204" i="5"/>
  <c r="H203" i="5"/>
  <c r="F203" i="5"/>
  <c r="E203" i="5"/>
  <c r="D203" i="5"/>
  <c r="J203" i="5" s="1"/>
  <c r="F202" i="5"/>
  <c r="E202" i="5"/>
  <c r="D202" i="5"/>
  <c r="F201" i="5"/>
  <c r="E201" i="5"/>
  <c r="D201" i="5"/>
  <c r="J201" i="5" s="1"/>
  <c r="J200" i="5"/>
  <c r="F200" i="5"/>
  <c r="E200" i="5"/>
  <c r="D200" i="5"/>
  <c r="C200" i="5" s="1"/>
  <c r="F199" i="5"/>
  <c r="E199" i="5"/>
  <c r="D199" i="5"/>
  <c r="H199" i="5" s="1"/>
  <c r="C199" i="5"/>
  <c r="L199" i="5" s="1"/>
  <c r="F198" i="5"/>
  <c r="E198" i="5"/>
  <c r="D198" i="5"/>
  <c r="J197" i="5"/>
  <c r="F197" i="5"/>
  <c r="E197" i="5"/>
  <c r="D197" i="5"/>
  <c r="J196" i="5"/>
  <c r="H196" i="5"/>
  <c r="F196" i="5"/>
  <c r="E196" i="5"/>
  <c r="D196" i="5"/>
  <c r="C196" i="5" s="1"/>
  <c r="K196" i="5" s="1"/>
  <c r="J195" i="5"/>
  <c r="F195" i="5"/>
  <c r="E195" i="5"/>
  <c r="D195" i="5"/>
  <c r="H195" i="5" s="1"/>
  <c r="C195" i="5"/>
  <c r="L195" i="5" s="1"/>
  <c r="F194" i="5"/>
  <c r="E194" i="5"/>
  <c r="D194" i="5"/>
  <c r="F193" i="5"/>
  <c r="E193" i="5"/>
  <c r="D193" i="5"/>
  <c r="F192" i="5"/>
  <c r="E192" i="5"/>
  <c r="D192" i="5"/>
  <c r="C192" i="5" s="1"/>
  <c r="G192" i="5" s="1"/>
  <c r="F191" i="5"/>
  <c r="E191" i="5"/>
  <c r="D191" i="5"/>
  <c r="J191" i="5" s="1"/>
  <c r="F190" i="5"/>
  <c r="E190" i="5"/>
  <c r="D190" i="5"/>
  <c r="C190" i="5" s="1"/>
  <c r="F189" i="5"/>
  <c r="E189" i="5"/>
  <c r="D189" i="5"/>
  <c r="H188" i="5"/>
  <c r="F188" i="5"/>
  <c r="E188" i="5"/>
  <c r="D188" i="5"/>
  <c r="C188" i="5" s="1"/>
  <c r="G188" i="5" s="1"/>
  <c r="F187" i="5"/>
  <c r="E187" i="5"/>
  <c r="D187" i="5"/>
  <c r="J187" i="5" s="1"/>
  <c r="C187" i="5"/>
  <c r="H186" i="5"/>
  <c r="F186" i="5"/>
  <c r="E186" i="5"/>
  <c r="D186" i="5"/>
  <c r="J186" i="5" s="1"/>
  <c r="C186" i="5"/>
  <c r="N186" i="5" s="1"/>
  <c r="F185" i="5"/>
  <c r="E185" i="5"/>
  <c r="D185" i="5"/>
  <c r="N184" i="5"/>
  <c r="M184" i="5"/>
  <c r="L184" i="5"/>
  <c r="J184" i="5"/>
  <c r="H184" i="5"/>
  <c r="F184" i="5"/>
  <c r="E184" i="5"/>
  <c r="D184" i="5"/>
  <c r="C184" i="5" s="1"/>
  <c r="K184" i="5" s="1"/>
  <c r="F183" i="5"/>
  <c r="E183" i="5"/>
  <c r="D183" i="5"/>
  <c r="F182" i="5"/>
  <c r="E182" i="5"/>
  <c r="D182" i="5"/>
  <c r="J182" i="5" s="1"/>
  <c r="J181" i="5"/>
  <c r="F181" i="5"/>
  <c r="E181" i="5"/>
  <c r="D181" i="5"/>
  <c r="J180" i="5"/>
  <c r="I180" i="5"/>
  <c r="H180" i="5"/>
  <c r="F180" i="5"/>
  <c r="E180" i="5"/>
  <c r="D180" i="5"/>
  <c r="C180" i="5" s="1"/>
  <c r="N180" i="5" s="1"/>
  <c r="F179" i="5"/>
  <c r="E179" i="5"/>
  <c r="D179" i="5"/>
  <c r="J179" i="5" s="1"/>
  <c r="F178" i="5"/>
  <c r="E178" i="5"/>
  <c r="D178" i="5"/>
  <c r="J178" i="5" s="1"/>
  <c r="F177" i="5"/>
  <c r="E177" i="5"/>
  <c r="D177" i="5"/>
  <c r="H176" i="5"/>
  <c r="G176" i="5"/>
  <c r="F176" i="5"/>
  <c r="E176" i="5"/>
  <c r="D176" i="5"/>
  <c r="C176" i="5" s="1"/>
  <c r="F175" i="5"/>
  <c r="E175" i="5"/>
  <c r="D175" i="5"/>
  <c r="J175" i="5" s="1"/>
  <c r="F174" i="5"/>
  <c r="E174" i="5"/>
  <c r="D174" i="5"/>
  <c r="F173" i="5"/>
  <c r="E173" i="5"/>
  <c r="D173" i="5"/>
  <c r="N172" i="5"/>
  <c r="F172" i="5"/>
  <c r="E172" i="5"/>
  <c r="D172" i="5"/>
  <c r="C172" i="5" s="1"/>
  <c r="G172" i="5" s="1"/>
  <c r="F171" i="5"/>
  <c r="E171" i="5"/>
  <c r="D171" i="5"/>
  <c r="C171" i="5" s="1"/>
  <c r="F170" i="5"/>
  <c r="E170" i="5"/>
  <c r="D170" i="5"/>
  <c r="J170" i="5" s="1"/>
  <c r="C170" i="5"/>
  <c r="F169" i="5"/>
  <c r="E169" i="5"/>
  <c r="D169" i="5"/>
  <c r="H169" i="5" s="1"/>
  <c r="F168" i="5"/>
  <c r="E168" i="5"/>
  <c r="D168" i="5"/>
  <c r="C168" i="5" s="1"/>
  <c r="F167" i="5"/>
  <c r="E167" i="5"/>
  <c r="D167" i="5"/>
  <c r="J167" i="5" s="1"/>
  <c r="F166" i="5"/>
  <c r="E166" i="5"/>
  <c r="D166" i="5"/>
  <c r="J166" i="5" s="1"/>
  <c r="C166" i="5"/>
  <c r="N166" i="5" s="1"/>
  <c r="F165" i="5"/>
  <c r="E165" i="5"/>
  <c r="D165" i="5"/>
  <c r="H165" i="5" s="1"/>
  <c r="C165" i="5"/>
  <c r="N164" i="5"/>
  <c r="H164" i="5"/>
  <c r="F164" i="5"/>
  <c r="E164" i="5"/>
  <c r="D164" i="5"/>
  <c r="C164" i="5" s="1"/>
  <c r="M164" i="5" s="1"/>
  <c r="F163" i="5"/>
  <c r="E163" i="5"/>
  <c r="D163" i="5"/>
  <c r="H163" i="5" s="1"/>
  <c r="C163" i="5"/>
  <c r="G163" i="5" s="1"/>
  <c r="F162" i="5"/>
  <c r="E162" i="5"/>
  <c r="D162" i="5"/>
  <c r="C162" i="5" s="1"/>
  <c r="F161" i="5"/>
  <c r="E161" i="5"/>
  <c r="D161" i="5"/>
  <c r="H161" i="5" s="1"/>
  <c r="F160" i="5"/>
  <c r="E160" i="5"/>
  <c r="D160" i="5"/>
  <c r="C160" i="5" s="1"/>
  <c r="G160" i="5" s="1"/>
  <c r="F159" i="5"/>
  <c r="E159" i="5"/>
  <c r="D159" i="5"/>
  <c r="F158" i="5"/>
  <c r="E158" i="5"/>
  <c r="D158" i="5"/>
  <c r="J158" i="5" s="1"/>
  <c r="J157" i="5"/>
  <c r="F157" i="5"/>
  <c r="E157" i="5"/>
  <c r="D157" i="5"/>
  <c r="H157" i="5" s="1"/>
  <c r="C157" i="5"/>
  <c r="G157" i="5" s="1"/>
  <c r="J156" i="5"/>
  <c r="F156" i="5"/>
  <c r="E156" i="5"/>
  <c r="D156" i="5"/>
  <c r="C156" i="5" s="1"/>
  <c r="F155" i="5"/>
  <c r="E155" i="5"/>
  <c r="D155" i="5"/>
  <c r="J155" i="5" s="1"/>
  <c r="F154" i="5"/>
  <c r="E154" i="5"/>
  <c r="D154" i="5"/>
  <c r="H154" i="5" s="1"/>
  <c r="C154" i="5"/>
  <c r="F153" i="5"/>
  <c r="E153" i="5"/>
  <c r="D153" i="5"/>
  <c r="C153" i="5" s="1"/>
  <c r="F152" i="5"/>
  <c r="E152" i="5"/>
  <c r="D152" i="5"/>
  <c r="C152" i="5" s="1"/>
  <c r="N152" i="5" s="1"/>
  <c r="N151" i="5"/>
  <c r="M151" i="5"/>
  <c r="L151" i="5"/>
  <c r="J151" i="5"/>
  <c r="F151" i="5"/>
  <c r="E151" i="5"/>
  <c r="D151" i="5"/>
  <c r="H151" i="5" s="1"/>
  <c r="C151" i="5"/>
  <c r="I151" i="5" s="1"/>
  <c r="H150" i="5"/>
  <c r="F150" i="5"/>
  <c r="E150" i="5"/>
  <c r="D150" i="5"/>
  <c r="F149" i="5"/>
  <c r="E149" i="5"/>
  <c r="D149" i="5"/>
  <c r="H149" i="5" s="1"/>
  <c r="N148" i="5"/>
  <c r="M148" i="5"/>
  <c r="L148" i="5"/>
  <c r="J148" i="5"/>
  <c r="H148" i="5"/>
  <c r="F148" i="5"/>
  <c r="E148" i="5"/>
  <c r="D148" i="5"/>
  <c r="C148" i="5" s="1"/>
  <c r="I148" i="5" s="1"/>
  <c r="H147" i="5"/>
  <c r="F147" i="5"/>
  <c r="E147" i="5"/>
  <c r="D147" i="5"/>
  <c r="J147" i="5" s="1"/>
  <c r="C147" i="5"/>
  <c r="N147" i="5" s="1"/>
  <c r="F146" i="5"/>
  <c r="E146" i="5"/>
  <c r="D146" i="5"/>
  <c r="J146" i="5" s="1"/>
  <c r="F145" i="5"/>
  <c r="E145" i="5"/>
  <c r="D145" i="5"/>
  <c r="H145" i="5" s="1"/>
  <c r="N144" i="5"/>
  <c r="M144" i="5"/>
  <c r="L144" i="5"/>
  <c r="K144" i="5"/>
  <c r="J144" i="5"/>
  <c r="I144" i="5"/>
  <c r="H144" i="5"/>
  <c r="G144" i="5"/>
  <c r="F144" i="5"/>
  <c r="E144" i="5"/>
  <c r="D144" i="5"/>
  <c r="C144" i="5" s="1"/>
  <c r="F143" i="5"/>
  <c r="E143" i="5"/>
  <c r="D143" i="5"/>
  <c r="J143" i="5" s="1"/>
  <c r="F142" i="5"/>
  <c r="E142" i="5"/>
  <c r="D142" i="5"/>
  <c r="F141" i="5"/>
  <c r="E141" i="5"/>
  <c r="D141" i="5"/>
  <c r="J141" i="5" s="1"/>
  <c r="F140" i="5"/>
  <c r="E140" i="5"/>
  <c r="D140" i="5"/>
  <c r="C140" i="5" s="1"/>
  <c r="G140" i="5" s="1"/>
  <c r="F139" i="5"/>
  <c r="E139" i="5"/>
  <c r="D139" i="5"/>
  <c r="F138" i="5"/>
  <c r="E138" i="5"/>
  <c r="D138" i="5"/>
  <c r="J138" i="5" s="1"/>
  <c r="C138" i="5"/>
  <c r="N138" i="5" s="1"/>
  <c r="F137" i="5"/>
  <c r="E137" i="5"/>
  <c r="D137" i="5"/>
  <c r="H137" i="5" s="1"/>
  <c r="C137" i="5"/>
  <c r="I137" i="5" s="1"/>
  <c r="F136" i="5"/>
  <c r="E136" i="5"/>
  <c r="D136" i="5"/>
  <c r="C136" i="5" s="1"/>
  <c r="I136" i="5" s="1"/>
  <c r="H135" i="5"/>
  <c r="F135" i="5"/>
  <c r="E135" i="5"/>
  <c r="D135" i="5"/>
  <c r="C135" i="5" s="1"/>
  <c r="F134" i="5"/>
  <c r="E134" i="5"/>
  <c r="D134" i="5"/>
  <c r="J134" i="5" s="1"/>
  <c r="C134" i="5"/>
  <c r="F133" i="5"/>
  <c r="E133" i="5"/>
  <c r="D133" i="5"/>
  <c r="H133" i="5" s="1"/>
  <c r="C133" i="5"/>
  <c r="F132" i="5"/>
  <c r="E132" i="5"/>
  <c r="D132" i="5"/>
  <c r="C132" i="5" s="1"/>
  <c r="N132" i="5" s="1"/>
  <c r="F131" i="5"/>
  <c r="E131" i="5"/>
  <c r="D131" i="5"/>
  <c r="J131" i="5" s="1"/>
  <c r="C131" i="5"/>
  <c r="F130" i="5"/>
  <c r="E130" i="5"/>
  <c r="D130" i="5"/>
  <c r="J130" i="5" s="1"/>
  <c r="C130" i="5"/>
  <c r="F129" i="5"/>
  <c r="E129" i="5"/>
  <c r="D129" i="5"/>
  <c r="H129" i="5" s="1"/>
  <c r="C129" i="5"/>
  <c r="G129" i="5" s="1"/>
  <c r="H128" i="5"/>
  <c r="G128" i="5"/>
  <c r="F128" i="5"/>
  <c r="E128" i="5"/>
  <c r="D128" i="5"/>
  <c r="C128" i="5" s="1"/>
  <c r="F127" i="5"/>
  <c r="E127" i="5"/>
  <c r="D127" i="5"/>
  <c r="C127" i="5" s="1"/>
  <c r="F126" i="5"/>
  <c r="E126" i="5"/>
  <c r="D126" i="5"/>
  <c r="J126" i="5" s="1"/>
  <c r="C126" i="5"/>
  <c r="F125" i="5"/>
  <c r="E125" i="5"/>
  <c r="D125" i="5"/>
  <c r="H125" i="5" s="1"/>
  <c r="F124" i="5"/>
  <c r="E124" i="5"/>
  <c r="D124" i="5"/>
  <c r="C124" i="5" s="1"/>
  <c r="J123" i="5"/>
  <c r="H123" i="5"/>
  <c r="F123" i="5"/>
  <c r="E123" i="5"/>
  <c r="D123" i="5"/>
  <c r="C123" i="5" s="1"/>
  <c r="F122" i="5"/>
  <c r="E122" i="5"/>
  <c r="D122" i="5"/>
  <c r="J122" i="5" s="1"/>
  <c r="C122" i="5"/>
  <c r="I122" i="5" s="1"/>
  <c r="F121" i="5"/>
  <c r="E121" i="5"/>
  <c r="D121" i="5"/>
  <c r="C121" i="5" s="1"/>
  <c r="F120" i="5"/>
  <c r="E120" i="5"/>
  <c r="D120" i="5"/>
  <c r="C120" i="5" s="1"/>
  <c r="N120" i="5" s="1"/>
  <c r="F119" i="5"/>
  <c r="E119" i="5"/>
  <c r="D119" i="5"/>
  <c r="J119" i="5" s="1"/>
  <c r="C119" i="5"/>
  <c r="I119" i="5" s="1"/>
  <c r="F118" i="5"/>
  <c r="E118" i="5"/>
  <c r="D118" i="5"/>
  <c r="C118" i="5" s="1"/>
  <c r="F117" i="5"/>
  <c r="E117" i="5"/>
  <c r="D117" i="5"/>
  <c r="H117" i="5" s="1"/>
  <c r="K116" i="5"/>
  <c r="J116" i="5"/>
  <c r="I116" i="5"/>
  <c r="H116" i="5"/>
  <c r="F116" i="5"/>
  <c r="E116" i="5"/>
  <c r="D116" i="5"/>
  <c r="C116" i="5" s="1"/>
  <c r="G116" i="5" s="1"/>
  <c r="F115" i="5"/>
  <c r="E115" i="5"/>
  <c r="D115" i="5"/>
  <c r="C115" i="5" s="1"/>
  <c r="N114" i="5"/>
  <c r="M114" i="5"/>
  <c r="J114" i="5"/>
  <c r="I114" i="5"/>
  <c r="H114" i="5"/>
  <c r="G114" i="5"/>
  <c r="F114" i="5"/>
  <c r="E114" i="5"/>
  <c r="D114" i="5"/>
  <c r="C114" i="5"/>
  <c r="F113" i="5"/>
  <c r="E113" i="5"/>
  <c r="D113" i="5"/>
  <c r="H113" i="5" s="1"/>
  <c r="F112" i="5"/>
  <c r="E112" i="5"/>
  <c r="D112" i="5"/>
  <c r="C112" i="5" s="1"/>
  <c r="N112" i="5" s="1"/>
  <c r="J111" i="5"/>
  <c r="H111" i="5"/>
  <c r="F111" i="5"/>
  <c r="E111" i="5"/>
  <c r="D111" i="5"/>
  <c r="C111" i="5" s="1"/>
  <c r="F110" i="5"/>
  <c r="E110" i="5"/>
  <c r="D110" i="5"/>
  <c r="H110" i="5" s="1"/>
  <c r="F109" i="5"/>
  <c r="E109" i="5"/>
  <c r="D109" i="5"/>
  <c r="C109" i="5"/>
  <c r="N108" i="5"/>
  <c r="H108" i="5"/>
  <c r="F108" i="5"/>
  <c r="E108" i="5"/>
  <c r="D108" i="5"/>
  <c r="C108" i="5" s="1"/>
  <c r="G108" i="5" s="1"/>
  <c r="F107" i="5"/>
  <c r="E107" i="5"/>
  <c r="D107" i="5"/>
  <c r="F106" i="5"/>
  <c r="E106" i="5"/>
  <c r="D106" i="5"/>
  <c r="C106" i="5" s="1"/>
  <c r="J105" i="5"/>
  <c r="F105" i="5"/>
  <c r="E105" i="5"/>
  <c r="D105" i="5"/>
  <c r="H105" i="5" s="1"/>
  <c r="C105" i="5"/>
  <c r="G105" i="5" s="1"/>
  <c r="M104" i="5"/>
  <c r="H104" i="5"/>
  <c r="F104" i="5"/>
  <c r="E104" i="5"/>
  <c r="D104" i="5"/>
  <c r="C104" i="5" s="1"/>
  <c r="N104" i="5" s="1"/>
  <c r="F103" i="5"/>
  <c r="E103" i="5"/>
  <c r="D103" i="5"/>
  <c r="J103" i="5" s="1"/>
  <c r="N102" i="5"/>
  <c r="J102" i="5"/>
  <c r="H102" i="5"/>
  <c r="F102" i="5"/>
  <c r="E102" i="5"/>
  <c r="D102" i="5"/>
  <c r="C102" i="5"/>
  <c r="M102" i="5" s="1"/>
  <c r="F101" i="5"/>
  <c r="E101" i="5"/>
  <c r="D101" i="5"/>
  <c r="H101" i="5" s="1"/>
  <c r="C101" i="5"/>
  <c r="G101" i="5" s="1"/>
  <c r="J100" i="5"/>
  <c r="H100" i="5"/>
  <c r="F100" i="5"/>
  <c r="E100" i="5"/>
  <c r="D100" i="5"/>
  <c r="C100" i="5" s="1"/>
  <c r="F99" i="5"/>
  <c r="E99" i="5"/>
  <c r="D99" i="5"/>
  <c r="H99" i="5" s="1"/>
  <c r="F98" i="5"/>
  <c r="E98" i="5"/>
  <c r="D98" i="5"/>
  <c r="J98" i="5" s="1"/>
  <c r="F97" i="5"/>
  <c r="E97" i="5"/>
  <c r="D97" i="5"/>
  <c r="C97" i="5" s="1"/>
  <c r="I97" i="5" s="1"/>
  <c r="F96" i="5"/>
  <c r="E96" i="5"/>
  <c r="D96" i="5"/>
  <c r="C96" i="5" s="1"/>
  <c r="G96" i="5" s="1"/>
  <c r="N95" i="5"/>
  <c r="M95" i="5"/>
  <c r="L95" i="5"/>
  <c r="F95" i="5"/>
  <c r="E95" i="5"/>
  <c r="D95" i="5"/>
  <c r="C95" i="5" s="1"/>
  <c r="I95" i="5" s="1"/>
  <c r="F94" i="5"/>
  <c r="E94" i="5"/>
  <c r="D94" i="5"/>
  <c r="J94" i="5" s="1"/>
  <c r="F93" i="5"/>
  <c r="E93" i="5"/>
  <c r="D93" i="5"/>
  <c r="C93" i="5" s="1"/>
  <c r="N92" i="5"/>
  <c r="M92" i="5"/>
  <c r="L92" i="5"/>
  <c r="K92" i="5"/>
  <c r="J92" i="5"/>
  <c r="I92" i="5"/>
  <c r="F92" i="5"/>
  <c r="E92" i="5"/>
  <c r="D92" i="5"/>
  <c r="C92" i="5" s="1"/>
  <c r="G92" i="5" s="1"/>
  <c r="F91" i="5"/>
  <c r="E91" i="5"/>
  <c r="D91" i="5"/>
  <c r="J91" i="5" s="1"/>
  <c r="C91" i="5"/>
  <c r="F90" i="5"/>
  <c r="E90" i="5"/>
  <c r="D90" i="5"/>
  <c r="C90" i="5" s="1"/>
  <c r="J89" i="5"/>
  <c r="H89" i="5"/>
  <c r="F89" i="5"/>
  <c r="E89" i="5"/>
  <c r="D89" i="5"/>
  <c r="C89" i="5"/>
  <c r="G89" i="5" s="1"/>
  <c r="M88" i="5"/>
  <c r="L88" i="5"/>
  <c r="F88" i="5"/>
  <c r="E88" i="5"/>
  <c r="D88" i="5"/>
  <c r="C88" i="5" s="1"/>
  <c r="K88" i="5" s="1"/>
  <c r="F87" i="5"/>
  <c r="E87" i="5"/>
  <c r="D87" i="5"/>
  <c r="C87" i="5" s="1"/>
  <c r="F86" i="5"/>
  <c r="E86" i="5"/>
  <c r="D86" i="5"/>
  <c r="C86" i="5" s="1"/>
  <c r="N85" i="5"/>
  <c r="M85" i="5"/>
  <c r="J85" i="5"/>
  <c r="H85" i="5"/>
  <c r="F85" i="5"/>
  <c r="E85" i="5"/>
  <c r="D85" i="5"/>
  <c r="C85" i="5"/>
  <c r="G85" i="5" s="1"/>
  <c r="F84" i="5"/>
  <c r="E84" i="5"/>
  <c r="D84" i="5"/>
  <c r="C84" i="5" s="1"/>
  <c r="N84" i="5" s="1"/>
  <c r="K83" i="5"/>
  <c r="F83" i="5"/>
  <c r="E83" i="5"/>
  <c r="D83" i="5"/>
  <c r="J83" i="5" s="1"/>
  <c r="C83" i="5"/>
  <c r="G82" i="5"/>
  <c r="F82" i="5"/>
  <c r="E82" i="5"/>
  <c r="D82" i="5"/>
  <c r="C82" i="5"/>
  <c r="H81" i="5"/>
  <c r="F81" i="5"/>
  <c r="E81" i="5"/>
  <c r="D81" i="5"/>
  <c r="J81" i="5" s="1"/>
  <c r="C81" i="5"/>
  <c r="G81" i="5" s="1"/>
  <c r="N80" i="5"/>
  <c r="M80" i="5"/>
  <c r="L80" i="5"/>
  <c r="K80" i="5"/>
  <c r="J80" i="5"/>
  <c r="G80" i="5"/>
  <c r="F80" i="5"/>
  <c r="E80" i="5"/>
  <c r="D80" i="5"/>
  <c r="C80" i="5" s="1"/>
  <c r="I80" i="5" s="1"/>
  <c r="F79" i="5"/>
  <c r="E79" i="5"/>
  <c r="D79" i="5"/>
  <c r="H79" i="5" s="1"/>
  <c r="C79" i="5"/>
  <c r="F78" i="5"/>
  <c r="E78" i="5"/>
  <c r="D78" i="5"/>
  <c r="C78" i="5"/>
  <c r="N78" i="5" s="1"/>
  <c r="F77" i="5"/>
  <c r="E77" i="5"/>
  <c r="D77" i="5"/>
  <c r="J77" i="5" s="1"/>
  <c r="C77" i="5"/>
  <c r="G77" i="5" s="1"/>
  <c r="F76" i="5"/>
  <c r="E76" i="5"/>
  <c r="D76" i="5"/>
  <c r="C76" i="5" s="1"/>
  <c r="N76" i="5" s="1"/>
  <c r="J75" i="5"/>
  <c r="F75" i="5"/>
  <c r="E75" i="5"/>
  <c r="D75" i="5"/>
  <c r="H75" i="5" s="1"/>
  <c r="F74" i="5"/>
  <c r="E74" i="5"/>
  <c r="D74" i="5"/>
  <c r="C74" i="5" s="1"/>
  <c r="H73" i="5"/>
  <c r="F73" i="5"/>
  <c r="E73" i="5"/>
  <c r="D73" i="5"/>
  <c r="J73" i="5" s="1"/>
  <c r="C73" i="5"/>
  <c r="G73" i="5" s="1"/>
  <c r="N72" i="5"/>
  <c r="M72" i="5"/>
  <c r="L72" i="5"/>
  <c r="J72" i="5"/>
  <c r="I72" i="5"/>
  <c r="H72" i="5"/>
  <c r="F72" i="5"/>
  <c r="E72" i="5"/>
  <c r="D72" i="5"/>
  <c r="C72" i="5" s="1"/>
  <c r="G72" i="5" s="1"/>
  <c r="F71" i="5"/>
  <c r="E71" i="5"/>
  <c r="D71" i="5"/>
  <c r="H71" i="5" s="1"/>
  <c r="C71" i="5"/>
  <c r="K71" i="5" s="1"/>
  <c r="N70" i="5"/>
  <c r="M70" i="5"/>
  <c r="L70" i="5"/>
  <c r="F70" i="5"/>
  <c r="E70" i="5"/>
  <c r="D70" i="5"/>
  <c r="C70" i="5"/>
  <c r="H69" i="5"/>
  <c r="F69" i="5"/>
  <c r="E69" i="5"/>
  <c r="D69" i="5"/>
  <c r="J69" i="5" s="1"/>
  <c r="C69" i="5"/>
  <c r="G69" i="5" s="1"/>
  <c r="F68" i="5"/>
  <c r="E68" i="5"/>
  <c r="D68" i="5"/>
  <c r="C68" i="5" s="1"/>
  <c r="N68" i="5" s="1"/>
  <c r="L67" i="5"/>
  <c r="J67" i="5"/>
  <c r="H67" i="5"/>
  <c r="F67" i="5"/>
  <c r="E67" i="5"/>
  <c r="D67" i="5"/>
  <c r="C67" i="5"/>
  <c r="K67" i="5" s="1"/>
  <c r="F66" i="5"/>
  <c r="E66" i="5"/>
  <c r="D66" i="5"/>
  <c r="J66" i="5" s="1"/>
  <c r="F65" i="5"/>
  <c r="E65" i="5"/>
  <c r="D65" i="5"/>
  <c r="J65" i="5" s="1"/>
  <c r="M64" i="5"/>
  <c r="K64" i="5"/>
  <c r="I64" i="5"/>
  <c r="H64" i="5"/>
  <c r="F64" i="5"/>
  <c r="E64" i="5"/>
  <c r="D64" i="5"/>
  <c r="C64" i="5" s="1"/>
  <c r="G64" i="5" s="1"/>
  <c r="F63" i="5"/>
  <c r="E63" i="5"/>
  <c r="D63" i="5"/>
  <c r="J63" i="5" s="1"/>
  <c r="F62" i="5"/>
  <c r="E62" i="5"/>
  <c r="D62" i="5"/>
  <c r="J62" i="5" s="1"/>
  <c r="H61" i="5"/>
  <c r="F61" i="5"/>
  <c r="E61" i="5"/>
  <c r="D61" i="5"/>
  <c r="J61" i="5" s="1"/>
  <c r="F60" i="5"/>
  <c r="E60" i="5"/>
  <c r="D60" i="5"/>
  <c r="C60" i="5" s="1"/>
  <c r="N60" i="5" s="1"/>
  <c r="F59" i="5"/>
  <c r="E59" i="5"/>
  <c r="D59" i="5"/>
  <c r="F58" i="5"/>
  <c r="E58" i="5"/>
  <c r="D58" i="5"/>
  <c r="J58" i="5" s="1"/>
  <c r="F57" i="5"/>
  <c r="E57" i="5"/>
  <c r="D57" i="5"/>
  <c r="J57" i="5" s="1"/>
  <c r="N56" i="5"/>
  <c r="L56" i="5"/>
  <c r="J56" i="5"/>
  <c r="G56" i="5"/>
  <c r="F56" i="5"/>
  <c r="E56" i="5"/>
  <c r="D56" i="5"/>
  <c r="C56" i="5" s="1"/>
  <c r="I56" i="5" s="1"/>
  <c r="F55" i="5"/>
  <c r="E55" i="5"/>
  <c r="D55" i="5"/>
  <c r="H55" i="5" s="1"/>
  <c r="F54" i="5"/>
  <c r="E54" i="5"/>
  <c r="D54" i="5"/>
  <c r="J54" i="5" s="1"/>
  <c r="F53" i="5"/>
  <c r="E53" i="5"/>
  <c r="D53" i="5"/>
  <c r="F52" i="5"/>
  <c r="E52" i="5"/>
  <c r="D52" i="5"/>
  <c r="C52" i="5" s="1"/>
  <c r="N52" i="5" s="1"/>
  <c r="F51" i="5"/>
  <c r="E51" i="5"/>
  <c r="D51" i="5"/>
  <c r="J51" i="5" s="1"/>
  <c r="F50" i="5"/>
  <c r="E50" i="5"/>
  <c r="D50" i="5"/>
  <c r="J50" i="5" s="1"/>
  <c r="C50" i="5"/>
  <c r="F49" i="5"/>
  <c r="E49" i="5"/>
  <c r="D49" i="5"/>
  <c r="J49" i="5" s="1"/>
  <c r="F48" i="5"/>
  <c r="E48" i="5"/>
  <c r="D48" i="5"/>
  <c r="C48" i="5" s="1"/>
  <c r="K48" i="5" s="1"/>
  <c r="K47" i="5"/>
  <c r="J47" i="5"/>
  <c r="I47" i="5"/>
  <c r="H47" i="5"/>
  <c r="G47" i="5"/>
  <c r="F47" i="5"/>
  <c r="E47" i="5"/>
  <c r="D47" i="5"/>
  <c r="C47" i="5"/>
  <c r="L47" i="5" s="1"/>
  <c r="F46" i="5"/>
  <c r="E46" i="5"/>
  <c r="D46" i="5"/>
  <c r="J46" i="5" s="1"/>
  <c r="C46" i="5"/>
  <c r="F45" i="5"/>
  <c r="E45" i="5"/>
  <c r="D45" i="5"/>
  <c r="H45" i="5" s="1"/>
  <c r="N44" i="5"/>
  <c r="M44" i="5"/>
  <c r="L44" i="5"/>
  <c r="K44" i="5"/>
  <c r="J44" i="5"/>
  <c r="G44" i="5"/>
  <c r="F44" i="5"/>
  <c r="E44" i="5"/>
  <c r="D44" i="5"/>
  <c r="C44" i="5" s="1"/>
  <c r="I44" i="5" s="1"/>
  <c r="F43" i="5"/>
  <c r="E43" i="5"/>
  <c r="D43" i="5"/>
  <c r="J43" i="5" s="1"/>
  <c r="H42" i="5"/>
  <c r="F42" i="5"/>
  <c r="E42" i="5"/>
  <c r="D42" i="5"/>
  <c r="J42" i="5" s="1"/>
  <c r="H41" i="5"/>
  <c r="F41" i="5"/>
  <c r="E41" i="5"/>
  <c r="D41" i="5"/>
  <c r="J41" i="5" s="1"/>
  <c r="C41" i="5"/>
  <c r="G41" i="5" s="1"/>
  <c r="N40" i="5"/>
  <c r="F40" i="5"/>
  <c r="E40" i="5"/>
  <c r="D40" i="5"/>
  <c r="C40" i="5" s="1"/>
  <c r="M40" i="5" s="1"/>
  <c r="H39" i="5"/>
  <c r="F39" i="5"/>
  <c r="E39" i="5"/>
  <c r="D39" i="5"/>
  <c r="C39" i="5" s="1"/>
  <c r="F38" i="5"/>
  <c r="E38" i="5"/>
  <c r="D38" i="5"/>
  <c r="J38" i="5" s="1"/>
  <c r="C38" i="5"/>
  <c r="G38" i="5" s="1"/>
  <c r="F37" i="5"/>
  <c r="E37" i="5"/>
  <c r="D37" i="5"/>
  <c r="J37" i="5" s="1"/>
  <c r="N36" i="5"/>
  <c r="L36" i="5"/>
  <c r="K36" i="5"/>
  <c r="J36" i="5"/>
  <c r="I36" i="5"/>
  <c r="H36" i="5"/>
  <c r="G36" i="5"/>
  <c r="F36" i="5"/>
  <c r="E36" i="5"/>
  <c r="D36" i="5"/>
  <c r="C36" i="5" s="1"/>
  <c r="M36" i="5" s="1"/>
  <c r="F35" i="5"/>
  <c r="E35" i="5"/>
  <c r="D35" i="5"/>
  <c r="J35" i="5" s="1"/>
  <c r="F34" i="5"/>
  <c r="E34" i="5"/>
  <c r="D34" i="5"/>
  <c r="J34" i="5" s="1"/>
  <c r="C34" i="5"/>
  <c r="K34" i="5" s="1"/>
  <c r="J33" i="5"/>
  <c r="F33" i="5"/>
  <c r="E33" i="5"/>
  <c r="D33" i="5"/>
  <c r="H33" i="5" s="1"/>
  <c r="F32" i="5"/>
  <c r="E32" i="5"/>
  <c r="D32" i="5"/>
  <c r="C32" i="5" s="1"/>
  <c r="L32" i="5" s="1"/>
  <c r="F31" i="5"/>
  <c r="E31" i="5"/>
  <c r="D31" i="5"/>
  <c r="J31" i="5" s="1"/>
  <c r="F30" i="5"/>
  <c r="E30" i="5"/>
  <c r="D30" i="5"/>
  <c r="H30" i="5" s="1"/>
  <c r="F29" i="5"/>
  <c r="E29" i="5"/>
  <c r="D29" i="5"/>
  <c r="F28" i="5"/>
  <c r="E28" i="5"/>
  <c r="D28" i="5"/>
  <c r="C28" i="5" s="1"/>
  <c r="N28" i="5" s="1"/>
  <c r="F27" i="5"/>
  <c r="E27" i="5"/>
  <c r="D27" i="5"/>
  <c r="J27" i="5" s="1"/>
  <c r="H26" i="5"/>
  <c r="F26" i="5"/>
  <c r="E26" i="5"/>
  <c r="D26" i="5"/>
  <c r="C26" i="5" s="1"/>
  <c r="F25" i="5"/>
  <c r="E25" i="5"/>
  <c r="D25" i="5"/>
  <c r="F24" i="5"/>
  <c r="E24" i="5"/>
  <c r="D24" i="5"/>
  <c r="C24" i="5" s="1"/>
  <c r="M24" i="5" s="1"/>
  <c r="F23" i="5"/>
  <c r="E23" i="5"/>
  <c r="D23" i="5"/>
  <c r="H23" i="5" s="1"/>
  <c r="F22" i="5"/>
  <c r="E22" i="5"/>
  <c r="D22" i="5"/>
  <c r="C22" i="5" s="1"/>
  <c r="F21" i="5"/>
  <c r="E21" i="5"/>
  <c r="D21" i="5"/>
  <c r="M20" i="5"/>
  <c r="L20" i="5"/>
  <c r="K20" i="5"/>
  <c r="F20" i="5"/>
  <c r="E20" i="5"/>
  <c r="D20" i="5"/>
  <c r="C20" i="5" s="1"/>
  <c r="I20" i="5" s="1"/>
  <c r="J19" i="5"/>
  <c r="H19" i="5"/>
  <c r="F19" i="5"/>
  <c r="E19" i="5"/>
  <c r="D19" i="5"/>
  <c r="C19" i="5" s="1"/>
  <c r="F18" i="5"/>
  <c r="E18" i="5"/>
  <c r="D18" i="5"/>
  <c r="J18" i="5" s="1"/>
  <c r="F17" i="5"/>
  <c r="E17" i="5"/>
  <c r="D17" i="5"/>
  <c r="J17" i="5" s="1"/>
  <c r="N16" i="5"/>
  <c r="L16" i="5"/>
  <c r="J16" i="5"/>
  <c r="I16" i="5"/>
  <c r="F16" i="5"/>
  <c r="E16" i="5"/>
  <c r="D16" i="5"/>
  <c r="C16" i="5" s="1"/>
  <c r="G16" i="5" s="1"/>
  <c r="F15" i="5"/>
  <c r="E15" i="5"/>
  <c r="D15" i="5"/>
  <c r="H15" i="5" s="1"/>
  <c r="C15" i="5"/>
  <c r="L15" i="5" s="1"/>
  <c r="F14" i="5"/>
  <c r="E14" i="5"/>
  <c r="D14" i="5"/>
  <c r="J14" i="5" s="1"/>
  <c r="C14" i="5"/>
  <c r="K14" i="5" s="1"/>
  <c r="J13" i="5"/>
  <c r="F13" i="5"/>
  <c r="E13" i="5"/>
  <c r="D13" i="5"/>
  <c r="H13" i="5" s="1"/>
  <c r="M12" i="5"/>
  <c r="L12" i="5"/>
  <c r="G12" i="5"/>
  <c r="F12" i="5"/>
  <c r="E12" i="5"/>
  <c r="D12" i="5"/>
  <c r="C12" i="5" s="1"/>
  <c r="N12" i="5" s="1"/>
  <c r="F11" i="5"/>
  <c r="E11" i="5"/>
  <c r="D11" i="5"/>
  <c r="J11" i="5" s="1"/>
  <c r="C11" i="5"/>
  <c r="M11" i="5" s="1"/>
  <c r="L10" i="5"/>
  <c r="F10" i="5"/>
  <c r="E10" i="5"/>
  <c r="D10" i="5"/>
  <c r="J10" i="5" s="1"/>
  <c r="C10" i="5"/>
  <c r="K10" i="5" s="1"/>
  <c r="J9" i="5"/>
  <c r="H9" i="5"/>
  <c r="F9" i="5"/>
  <c r="E9" i="5"/>
  <c r="D9" i="5"/>
  <c r="C9" i="5" s="1"/>
  <c r="F8" i="5"/>
  <c r="E8" i="5"/>
  <c r="D8" i="5"/>
  <c r="C8" i="5" s="1"/>
  <c r="M8" i="5" s="1"/>
  <c r="F7" i="5"/>
  <c r="E7" i="5"/>
  <c r="D7" i="5"/>
  <c r="J7" i="5" s="1"/>
  <c r="C7" i="5"/>
  <c r="L7" i="5" s="1"/>
  <c r="J6" i="5"/>
  <c r="F6" i="5"/>
  <c r="E6" i="5"/>
  <c r="D6" i="5"/>
  <c r="H6" i="5" s="1"/>
  <c r="F5" i="5"/>
  <c r="E5" i="5"/>
  <c r="D5" i="5"/>
  <c r="J5" i="5" s="1"/>
  <c r="F4" i="5"/>
  <c r="E4" i="5"/>
  <c r="D4" i="5"/>
  <c r="C4" i="5" s="1"/>
  <c r="N4" i="5" s="1"/>
  <c r="F3" i="5"/>
  <c r="E3" i="5"/>
  <c r="D3" i="5"/>
  <c r="H3" i="5" s="1"/>
  <c r="F2" i="5"/>
  <c r="E2" i="5"/>
  <c r="D2" i="5"/>
  <c r="D2" i="4"/>
  <c r="C2" i="4"/>
  <c r="C29" i="5" l="1"/>
  <c r="H29" i="5"/>
  <c r="J29" i="5"/>
  <c r="C204" i="5"/>
  <c r="J204" i="5"/>
  <c r="H204" i="5"/>
  <c r="C310" i="5"/>
  <c r="J310" i="5"/>
  <c r="H310" i="5"/>
  <c r="J25" i="5"/>
  <c r="C25" i="5"/>
  <c r="G25" i="5" s="1"/>
  <c r="H25" i="5"/>
  <c r="N126" i="5"/>
  <c r="M126" i="5"/>
  <c r="I126" i="5"/>
  <c r="G126" i="5"/>
  <c r="J218" i="5"/>
  <c r="H218" i="5"/>
  <c r="C2" i="5"/>
  <c r="J2" i="5"/>
  <c r="H2" i="5"/>
  <c r="K291" i="5"/>
  <c r="I291" i="5"/>
  <c r="G291" i="5"/>
  <c r="M291" i="5"/>
  <c r="N291" i="5"/>
  <c r="J107" i="5"/>
  <c r="C107" i="5"/>
  <c r="G107" i="5" s="1"/>
  <c r="J139" i="5"/>
  <c r="C139" i="5"/>
  <c r="C410" i="5"/>
  <c r="J410" i="5"/>
  <c r="H410" i="5"/>
  <c r="C424" i="5"/>
  <c r="J424" i="5"/>
  <c r="C53" i="5"/>
  <c r="H53" i="5"/>
  <c r="J53" i="5"/>
  <c r="G135" i="5"/>
  <c r="I135" i="5"/>
  <c r="N135" i="5"/>
  <c r="M135" i="5"/>
  <c r="L135" i="5"/>
  <c r="K135" i="5"/>
  <c r="M349" i="5"/>
  <c r="I349" i="5"/>
  <c r="H21" i="5"/>
  <c r="C21" i="5"/>
  <c r="G21" i="5" s="1"/>
  <c r="L291" i="5"/>
  <c r="G111" i="5"/>
  <c r="K111" i="5"/>
  <c r="I111" i="5"/>
  <c r="M111" i="5"/>
  <c r="N111" i="5"/>
  <c r="G123" i="5"/>
  <c r="I123" i="5"/>
  <c r="K123" i="5"/>
  <c r="N123" i="5"/>
  <c r="M123" i="5"/>
  <c r="L123" i="5"/>
  <c r="N154" i="5"/>
  <c r="M154" i="5"/>
  <c r="I154" i="5"/>
  <c r="J317" i="5"/>
  <c r="H317" i="5"/>
  <c r="J222" i="5"/>
  <c r="H222" i="5"/>
  <c r="L111" i="5"/>
  <c r="J266" i="5"/>
  <c r="H266" i="5"/>
  <c r="I353" i="5"/>
  <c r="M353" i="5"/>
  <c r="N19" i="5"/>
  <c r="M19" i="5"/>
  <c r="L19" i="5"/>
  <c r="K19" i="5"/>
  <c r="I19" i="5"/>
  <c r="C434" i="5"/>
  <c r="J434" i="5"/>
  <c r="H434" i="5"/>
  <c r="H59" i="5"/>
  <c r="C59" i="5"/>
  <c r="J59" i="5"/>
  <c r="H247" i="5"/>
  <c r="C247" i="5"/>
  <c r="L247" i="5" s="1"/>
  <c r="J247" i="5"/>
  <c r="M270" i="5"/>
  <c r="N270" i="5"/>
  <c r="I270" i="5"/>
  <c r="M286" i="5"/>
  <c r="I286" i="5"/>
  <c r="N286" i="5"/>
  <c r="C394" i="5"/>
  <c r="J394" i="5"/>
  <c r="H394" i="5"/>
  <c r="C441" i="5"/>
  <c r="M441" i="5" s="1"/>
  <c r="J441" i="5"/>
  <c r="H441" i="5"/>
  <c r="M50" i="5"/>
  <c r="N50" i="5"/>
  <c r="L50" i="5"/>
  <c r="G50" i="5"/>
  <c r="G133" i="5"/>
  <c r="N133" i="5"/>
  <c r="M133" i="5"/>
  <c r="L133" i="5"/>
  <c r="G9" i="5"/>
  <c r="I9" i="5"/>
  <c r="M9" i="5"/>
  <c r="N9" i="5"/>
  <c r="K9" i="5"/>
  <c r="L9" i="5"/>
  <c r="G19" i="5"/>
  <c r="H142" i="5"/>
  <c r="C142" i="5"/>
  <c r="J142" i="5"/>
  <c r="K16" i="5"/>
  <c r="C31" i="5"/>
  <c r="N31" i="5" s="1"/>
  <c r="K56" i="5"/>
  <c r="J64" i="5"/>
  <c r="I67" i="5"/>
  <c r="I102" i="5"/>
  <c r="C110" i="5"/>
  <c r="M110" i="5" s="1"/>
  <c r="J128" i="5"/>
  <c r="J135" i="5"/>
  <c r="K148" i="5"/>
  <c r="K151" i="5"/>
  <c r="I207" i="5"/>
  <c r="C273" i="5"/>
  <c r="C278" i="5"/>
  <c r="C302" i="5"/>
  <c r="C324" i="5"/>
  <c r="C329" i="5"/>
  <c r="C354" i="5"/>
  <c r="M16" i="5"/>
  <c r="M56" i="5"/>
  <c r="C62" i="5"/>
  <c r="L64" i="5"/>
  <c r="C99" i="5"/>
  <c r="C117" i="5"/>
  <c r="C145" i="5"/>
  <c r="H160" i="5"/>
  <c r="H168" i="5"/>
  <c r="H226" i="5"/>
  <c r="H240" i="5"/>
  <c r="H270" i="5"/>
  <c r="C282" i="5"/>
  <c r="C318" i="5"/>
  <c r="H336" i="5"/>
  <c r="H349" i="5"/>
  <c r="C357" i="5"/>
  <c r="H363" i="5"/>
  <c r="H369" i="5"/>
  <c r="H386" i="5"/>
  <c r="C392" i="5"/>
  <c r="H398" i="5"/>
  <c r="C404" i="5"/>
  <c r="C425" i="5"/>
  <c r="H438" i="5"/>
  <c r="H444" i="5"/>
  <c r="H50" i="5"/>
  <c r="I105" i="5"/>
  <c r="H126" i="5"/>
  <c r="G147" i="5"/>
  <c r="J154" i="5"/>
  <c r="I160" i="5"/>
  <c r="I163" i="5"/>
  <c r="J168" i="5"/>
  <c r="J240" i="5"/>
  <c r="G326" i="5"/>
  <c r="J363" i="5"/>
  <c r="J386" i="5"/>
  <c r="I398" i="5"/>
  <c r="J438" i="5"/>
  <c r="C5" i="5"/>
  <c r="G5" i="5" s="1"/>
  <c r="H22" i="5"/>
  <c r="C43" i="5"/>
  <c r="K43" i="5" s="1"/>
  <c r="C57" i="5"/>
  <c r="G57" i="5" s="1"/>
  <c r="N64" i="5"/>
  <c r="G84" i="5"/>
  <c r="I96" i="5"/>
  <c r="C103" i="5"/>
  <c r="G103" i="5" s="1"/>
  <c r="J110" i="5"/>
  <c r="H112" i="5"/>
  <c r="K157" i="5"/>
  <c r="J160" i="5"/>
  <c r="J163" i="5"/>
  <c r="C169" i="5"/>
  <c r="C179" i="5"/>
  <c r="I211" i="5"/>
  <c r="H230" i="5"/>
  <c r="J244" i="5"/>
  <c r="H302" i="5"/>
  <c r="H305" i="5"/>
  <c r="I321" i="5"/>
  <c r="H324" i="5"/>
  <c r="H329" i="5"/>
  <c r="C332" i="5"/>
  <c r="C345" i="5"/>
  <c r="C362" i="5"/>
  <c r="L363" i="5"/>
  <c r="G378" i="5"/>
  <c r="K386" i="5"/>
  <c r="J398" i="5"/>
  <c r="M438" i="5"/>
  <c r="C445" i="5"/>
  <c r="I101" i="5"/>
  <c r="K105" i="5"/>
  <c r="J112" i="5"/>
  <c r="G122" i="5"/>
  <c r="I129" i="5"/>
  <c r="I147" i="5"/>
  <c r="L157" i="5"/>
  <c r="K160" i="5"/>
  <c r="K163" i="5"/>
  <c r="H278" i="5"/>
  <c r="K314" i="5"/>
  <c r="G334" i="5"/>
  <c r="H354" i="5"/>
  <c r="H378" i="5"/>
  <c r="K398" i="5"/>
  <c r="N438" i="5"/>
  <c r="H12" i="5"/>
  <c r="J26" i="5"/>
  <c r="J39" i="5"/>
  <c r="J45" i="5"/>
  <c r="C55" i="5"/>
  <c r="G55" i="5" s="1"/>
  <c r="H87" i="5"/>
  <c r="K96" i="5"/>
  <c r="J101" i="5"/>
  <c r="L105" i="5"/>
  <c r="I108" i="5"/>
  <c r="M112" i="5"/>
  <c r="G120" i="5"/>
  <c r="H122" i="5"/>
  <c r="J129" i="5"/>
  <c r="G132" i="5"/>
  <c r="C155" i="5"/>
  <c r="G155" i="5" s="1"/>
  <c r="M157" i="5"/>
  <c r="L160" i="5"/>
  <c r="L163" i="5"/>
  <c r="I188" i="5"/>
  <c r="C203" i="5"/>
  <c r="H208" i="5"/>
  <c r="H248" i="5"/>
  <c r="G252" i="5"/>
  <c r="H282" i="5"/>
  <c r="L314" i="5"/>
  <c r="H318" i="5"/>
  <c r="L321" i="5"/>
  <c r="K326" i="5"/>
  <c r="H334" i="5"/>
  <c r="H357" i="5"/>
  <c r="G370" i="5"/>
  <c r="I378" i="5"/>
  <c r="G390" i="5"/>
  <c r="H392" i="5"/>
  <c r="N398" i="5"/>
  <c r="H404" i="5"/>
  <c r="H414" i="5"/>
  <c r="H425" i="5"/>
  <c r="J96" i="5"/>
  <c r="M7" i="5"/>
  <c r="I12" i="5"/>
  <c r="G32" i="5"/>
  <c r="H34" i="5"/>
  <c r="C61" i="5"/>
  <c r="M73" i="5"/>
  <c r="H77" i="5"/>
  <c r="J79" i="5"/>
  <c r="L96" i="5"/>
  <c r="J99" i="5"/>
  <c r="K101" i="5"/>
  <c r="M105" i="5"/>
  <c r="J108" i="5"/>
  <c r="J117" i="5"/>
  <c r="H120" i="5"/>
  <c r="K129" i="5"/>
  <c r="H132" i="5"/>
  <c r="G138" i="5"/>
  <c r="H140" i="5"/>
  <c r="K147" i="5"/>
  <c r="G152" i="5"/>
  <c r="N157" i="5"/>
  <c r="M160" i="5"/>
  <c r="M163" i="5"/>
  <c r="H166" i="5"/>
  <c r="J188" i="5"/>
  <c r="I199" i="5"/>
  <c r="J208" i="5"/>
  <c r="J227" i="5"/>
  <c r="H234" i="5"/>
  <c r="J248" i="5"/>
  <c r="H252" i="5"/>
  <c r="H256" i="5"/>
  <c r="H260" i="5"/>
  <c r="J285" i="5"/>
  <c r="H288" i="5"/>
  <c r="G309" i="5"/>
  <c r="L326" i="5"/>
  <c r="H337" i="5"/>
  <c r="G342" i="5"/>
  <c r="H370" i="5"/>
  <c r="C377" i="5"/>
  <c r="M377" i="5" s="1"/>
  <c r="J378" i="5"/>
  <c r="H381" i="5"/>
  <c r="C384" i="5"/>
  <c r="H390" i="5"/>
  <c r="G402" i="5"/>
  <c r="H408" i="5"/>
  <c r="I414" i="5"/>
  <c r="C3" i="5"/>
  <c r="H5" i="5"/>
  <c r="N7" i="5"/>
  <c r="J12" i="5"/>
  <c r="J23" i="5"/>
  <c r="C30" i="5"/>
  <c r="H32" i="5"/>
  <c r="N34" i="5"/>
  <c r="C37" i="5"/>
  <c r="N37" i="5" s="1"/>
  <c r="L48" i="5"/>
  <c r="C58" i="5"/>
  <c r="G58" i="5" s="1"/>
  <c r="N73" i="5"/>
  <c r="I77" i="5"/>
  <c r="M96" i="5"/>
  <c r="L101" i="5"/>
  <c r="N105" i="5"/>
  <c r="K108" i="5"/>
  <c r="C113" i="5"/>
  <c r="I120" i="5"/>
  <c r="H124" i="5"/>
  <c r="L129" i="5"/>
  <c r="I132" i="5"/>
  <c r="H136" i="5"/>
  <c r="H138" i="5"/>
  <c r="J140" i="5"/>
  <c r="L147" i="5"/>
  <c r="H152" i="5"/>
  <c r="C158" i="5"/>
  <c r="N160" i="5"/>
  <c r="N163" i="5"/>
  <c r="I166" i="5"/>
  <c r="H172" i="5"/>
  <c r="H179" i="5"/>
  <c r="K188" i="5"/>
  <c r="J199" i="5"/>
  <c r="H216" i="5"/>
  <c r="C235" i="5"/>
  <c r="J256" i="5"/>
  <c r="J260" i="5"/>
  <c r="H268" i="5"/>
  <c r="I288" i="5"/>
  <c r="C300" i="5"/>
  <c r="H309" i="5"/>
  <c r="M326" i="5"/>
  <c r="H332" i="5"/>
  <c r="K334" i="5"/>
  <c r="H342" i="5"/>
  <c r="H345" i="5"/>
  <c r="I370" i="5"/>
  <c r="K378" i="5"/>
  <c r="I390" i="5"/>
  <c r="H402" i="5"/>
  <c r="C405" i="5"/>
  <c r="J408" i="5"/>
  <c r="J414" i="5"/>
  <c r="J429" i="5"/>
  <c r="H442" i="5"/>
  <c r="H445" i="5"/>
  <c r="J448" i="5"/>
  <c r="C6" i="5"/>
  <c r="K12" i="5"/>
  <c r="G15" i="5"/>
  <c r="C33" i="5"/>
  <c r="C35" i="5"/>
  <c r="N35" i="5" s="1"/>
  <c r="M48" i="5"/>
  <c r="N96" i="5"/>
  <c r="M101" i="5"/>
  <c r="L108" i="5"/>
  <c r="J120" i="5"/>
  <c r="J124" i="5"/>
  <c r="M129" i="5"/>
  <c r="J132" i="5"/>
  <c r="J136" i="5"/>
  <c r="I138" i="5"/>
  <c r="M147" i="5"/>
  <c r="J152" i="5"/>
  <c r="J169" i="5"/>
  <c r="I172" i="5"/>
  <c r="L188" i="5"/>
  <c r="H192" i="5"/>
  <c r="J216" i="5"/>
  <c r="J252" i="5"/>
  <c r="H264" i="5"/>
  <c r="J268" i="5"/>
  <c r="C297" i="5"/>
  <c r="I309" i="5"/>
  <c r="G325" i="5"/>
  <c r="N326" i="5"/>
  <c r="L334" i="5"/>
  <c r="H362" i="5"/>
  <c r="J370" i="5"/>
  <c r="H373" i="5"/>
  <c r="L378" i="5"/>
  <c r="J390" i="5"/>
  <c r="I402" i="5"/>
  <c r="L414" i="5"/>
  <c r="H422" i="5"/>
  <c r="I442" i="5"/>
  <c r="C49" i="5"/>
  <c r="G49" i="5" s="1"/>
  <c r="K77" i="5"/>
  <c r="I85" i="5"/>
  <c r="N101" i="5"/>
  <c r="M108" i="5"/>
  <c r="K120" i="5"/>
  <c r="C125" i="5"/>
  <c r="K125" i="5" s="1"/>
  <c r="N129" i="5"/>
  <c r="K132" i="5"/>
  <c r="K136" i="5"/>
  <c r="C146" i="5"/>
  <c r="G146" i="5" s="1"/>
  <c r="M166" i="5"/>
  <c r="J172" i="5"/>
  <c r="M188" i="5"/>
  <c r="J192" i="5"/>
  <c r="N216" i="5"/>
  <c r="J264" i="5"/>
  <c r="K288" i="5"/>
  <c r="M334" i="5"/>
  <c r="K342" i="5"/>
  <c r="K370" i="5"/>
  <c r="M378" i="5"/>
  <c r="K390" i="5"/>
  <c r="J402" i="5"/>
  <c r="M414" i="5"/>
  <c r="J422" i="5"/>
  <c r="J442" i="5"/>
  <c r="L77" i="5"/>
  <c r="L120" i="5"/>
  <c r="L132" i="5"/>
  <c r="L136" i="5"/>
  <c r="M138" i="5"/>
  <c r="K172" i="5"/>
  <c r="N188" i="5"/>
  <c r="L309" i="5"/>
  <c r="I325" i="5"/>
  <c r="N334" i="5"/>
  <c r="L342" i="5"/>
  <c r="L370" i="5"/>
  <c r="L390" i="5"/>
  <c r="K402" i="5"/>
  <c r="L442" i="5"/>
  <c r="J3" i="5"/>
  <c r="M10" i="5"/>
  <c r="N20" i="5"/>
  <c r="N24" i="5"/>
  <c r="J30" i="5"/>
  <c r="H44" i="5"/>
  <c r="M77" i="5"/>
  <c r="K85" i="5"/>
  <c r="M120" i="5"/>
  <c r="M132" i="5"/>
  <c r="M136" i="5"/>
  <c r="L172" i="5"/>
  <c r="M186" i="5"/>
  <c r="H228" i="5"/>
  <c r="M342" i="5"/>
  <c r="M368" i="5"/>
  <c r="M370" i="5"/>
  <c r="M390" i="5"/>
  <c r="H393" i="5"/>
  <c r="L402" i="5"/>
  <c r="H452" i="5"/>
  <c r="N10" i="5"/>
  <c r="H16" i="5"/>
  <c r="G52" i="5"/>
  <c r="K72" i="5"/>
  <c r="N77" i="5"/>
  <c r="L85" i="5"/>
  <c r="H92" i="5"/>
  <c r="K95" i="5"/>
  <c r="J104" i="5"/>
  <c r="N136" i="5"/>
  <c r="H156" i="5"/>
  <c r="J164" i="5"/>
  <c r="M172" i="5"/>
  <c r="J176" i="5"/>
  <c r="H200" i="5"/>
  <c r="J269" i="5"/>
  <c r="H316" i="5"/>
  <c r="K330" i="5"/>
  <c r="N342" i="5"/>
  <c r="K350" i="5"/>
  <c r="H374" i="5"/>
  <c r="G382" i="5"/>
  <c r="J388" i="5"/>
  <c r="J393" i="5"/>
  <c r="J409" i="5"/>
  <c r="H426" i="5"/>
  <c r="J430" i="5"/>
  <c r="L433" i="5"/>
  <c r="H437" i="5"/>
  <c r="J452" i="5"/>
  <c r="K127" i="5"/>
  <c r="I127" i="5"/>
  <c r="G127" i="5"/>
  <c r="M127" i="5"/>
  <c r="L127" i="5"/>
  <c r="N127" i="5"/>
  <c r="K74" i="5"/>
  <c r="I74" i="5"/>
  <c r="N74" i="5"/>
  <c r="M74" i="5"/>
  <c r="L74" i="5"/>
  <c r="G74" i="5"/>
  <c r="L118" i="5"/>
  <c r="K118" i="5"/>
  <c r="M118" i="5"/>
  <c r="I118" i="5"/>
  <c r="G118" i="5"/>
  <c r="N118" i="5"/>
  <c r="L162" i="5"/>
  <c r="K162" i="5"/>
  <c r="N162" i="5"/>
  <c r="I162" i="5"/>
  <c r="G162" i="5"/>
  <c r="M162" i="5"/>
  <c r="G53" i="5"/>
  <c r="L53" i="5"/>
  <c r="M53" i="5"/>
  <c r="N53" i="5"/>
  <c r="I53" i="5"/>
  <c r="K53" i="5"/>
  <c r="G121" i="5"/>
  <c r="L121" i="5"/>
  <c r="K121" i="5"/>
  <c r="I121" i="5"/>
  <c r="N121" i="5"/>
  <c r="M121" i="5"/>
  <c r="L190" i="5"/>
  <c r="K190" i="5"/>
  <c r="I190" i="5"/>
  <c r="G190" i="5"/>
  <c r="N190" i="5"/>
  <c r="M190" i="5"/>
  <c r="K86" i="5"/>
  <c r="I86" i="5"/>
  <c r="N86" i="5"/>
  <c r="M86" i="5"/>
  <c r="L86" i="5"/>
  <c r="G86" i="5"/>
  <c r="K22" i="5"/>
  <c r="N22" i="5"/>
  <c r="M22" i="5"/>
  <c r="I22" i="5"/>
  <c r="L22" i="5"/>
  <c r="G22" i="5"/>
  <c r="K90" i="5"/>
  <c r="L90" i="5"/>
  <c r="I90" i="5"/>
  <c r="N90" i="5"/>
  <c r="G90" i="5"/>
  <c r="M90" i="5"/>
  <c r="N171" i="5"/>
  <c r="M171" i="5"/>
  <c r="L171" i="5"/>
  <c r="K171" i="5"/>
  <c r="I171" i="5"/>
  <c r="G171" i="5"/>
  <c r="N87" i="5"/>
  <c r="M87" i="5"/>
  <c r="L87" i="5"/>
  <c r="K87" i="5"/>
  <c r="G87" i="5"/>
  <c r="I87" i="5"/>
  <c r="K26" i="5"/>
  <c r="M26" i="5"/>
  <c r="L26" i="5"/>
  <c r="N26" i="5"/>
  <c r="I26" i="5"/>
  <c r="G26" i="5"/>
  <c r="G93" i="5"/>
  <c r="I93" i="5"/>
  <c r="L93" i="5"/>
  <c r="K93" i="5"/>
  <c r="N93" i="5"/>
  <c r="M93" i="5"/>
  <c r="N39" i="5"/>
  <c r="M39" i="5"/>
  <c r="L39" i="5"/>
  <c r="K39" i="5"/>
  <c r="I39" i="5"/>
  <c r="G39" i="5"/>
  <c r="C183" i="5"/>
  <c r="J183" i="5"/>
  <c r="H183" i="5"/>
  <c r="K82" i="5"/>
  <c r="I82" i="5"/>
  <c r="M103" i="5"/>
  <c r="L103" i="5"/>
  <c r="K103" i="5"/>
  <c r="I103" i="5"/>
  <c r="N107" i="5"/>
  <c r="M107" i="5"/>
  <c r="L146" i="5"/>
  <c r="K146" i="5"/>
  <c r="N146" i="5"/>
  <c r="M146" i="5"/>
  <c r="I146" i="5"/>
  <c r="N340" i="5"/>
  <c r="L340" i="5"/>
  <c r="K340" i="5"/>
  <c r="G340" i="5"/>
  <c r="M340" i="5"/>
  <c r="I340" i="5"/>
  <c r="N55" i="5"/>
  <c r="M55" i="5"/>
  <c r="N79" i="5"/>
  <c r="M79" i="5"/>
  <c r="L79" i="5"/>
  <c r="J82" i="5"/>
  <c r="H82" i="5"/>
  <c r="K124" i="5"/>
  <c r="I124" i="5"/>
  <c r="G124" i="5"/>
  <c r="N128" i="5"/>
  <c r="M128" i="5"/>
  <c r="L128" i="5"/>
  <c r="K128" i="5"/>
  <c r="L134" i="5"/>
  <c r="K134" i="5"/>
  <c r="N134" i="5"/>
  <c r="M134" i="5"/>
  <c r="I134" i="5"/>
  <c r="N155" i="5"/>
  <c r="M155" i="5"/>
  <c r="L155" i="5"/>
  <c r="K155" i="5"/>
  <c r="I155" i="5"/>
  <c r="G165" i="5"/>
  <c r="N165" i="5"/>
  <c r="M165" i="5"/>
  <c r="K165" i="5"/>
  <c r="I165" i="5"/>
  <c r="N192" i="5"/>
  <c r="M192" i="5"/>
  <c r="L192" i="5"/>
  <c r="K192" i="5"/>
  <c r="I192" i="5"/>
  <c r="H213" i="5"/>
  <c r="C213" i="5"/>
  <c r="J213" i="5"/>
  <c r="N168" i="5"/>
  <c r="M168" i="5"/>
  <c r="L168" i="5"/>
  <c r="I168" i="5"/>
  <c r="G168" i="5"/>
  <c r="K58" i="5"/>
  <c r="I58" i="5"/>
  <c r="C18" i="5"/>
  <c r="N48" i="5"/>
  <c r="C63" i="5"/>
  <c r="C66" i="5"/>
  <c r="N88" i="5"/>
  <c r="C94" i="5"/>
  <c r="C98" i="5"/>
  <c r="L130" i="5"/>
  <c r="K130" i="5"/>
  <c r="I130" i="5"/>
  <c r="G130" i="5"/>
  <c r="H217" i="5"/>
  <c r="C217" i="5"/>
  <c r="J217" i="5"/>
  <c r="H221" i="5"/>
  <c r="C221" i="5"/>
  <c r="J221" i="5"/>
  <c r="H241" i="5"/>
  <c r="C241" i="5"/>
  <c r="J241" i="5"/>
  <c r="M248" i="5"/>
  <c r="L248" i="5"/>
  <c r="K248" i="5"/>
  <c r="N248" i="5"/>
  <c r="I248" i="5"/>
  <c r="G248" i="5"/>
  <c r="N255" i="5"/>
  <c r="M255" i="5"/>
  <c r="K255" i="5"/>
  <c r="I255" i="5"/>
  <c r="G255" i="5"/>
  <c r="L255" i="5"/>
  <c r="G35" i="5"/>
  <c r="H58" i="5"/>
  <c r="I69" i="5"/>
  <c r="G79" i="5"/>
  <c r="L82" i="5"/>
  <c r="H84" i="5"/>
  <c r="N91" i="5"/>
  <c r="M91" i="5"/>
  <c r="H103" i="5"/>
  <c r="H107" i="5"/>
  <c r="H109" i="5"/>
  <c r="J109" i="5"/>
  <c r="G134" i="5"/>
  <c r="L165" i="5"/>
  <c r="G153" i="5"/>
  <c r="N153" i="5"/>
  <c r="L153" i="5"/>
  <c r="K153" i="5"/>
  <c r="J22" i="5"/>
  <c r="I25" i="5"/>
  <c r="G28" i="5"/>
  <c r="J32" i="5"/>
  <c r="H35" i="5"/>
  <c r="I41" i="5"/>
  <c r="I52" i="5"/>
  <c r="I55" i="5"/>
  <c r="L58" i="5"/>
  <c r="G60" i="5"/>
  <c r="G76" i="5"/>
  <c r="M82" i="5"/>
  <c r="I84" i="5"/>
  <c r="J87" i="5"/>
  <c r="M100" i="5"/>
  <c r="L100" i="5"/>
  <c r="K100" i="5"/>
  <c r="I100" i="5"/>
  <c r="N103" i="5"/>
  <c r="I107" i="5"/>
  <c r="L115" i="5"/>
  <c r="K115" i="5"/>
  <c r="I115" i="5"/>
  <c r="G115" i="5"/>
  <c r="L124" i="5"/>
  <c r="I128" i="5"/>
  <c r="M130" i="5"/>
  <c r="H134" i="5"/>
  <c r="N156" i="5"/>
  <c r="M156" i="5"/>
  <c r="K156" i="5"/>
  <c r="I156" i="5"/>
  <c r="N287" i="5"/>
  <c r="M287" i="5"/>
  <c r="L287" i="5"/>
  <c r="K287" i="5"/>
  <c r="I287" i="5"/>
  <c r="G287" i="5"/>
  <c r="G109" i="5"/>
  <c r="M109" i="5"/>
  <c r="L109" i="5"/>
  <c r="K109" i="5"/>
  <c r="I109" i="5"/>
  <c r="K46" i="5"/>
  <c r="I46" i="5"/>
  <c r="H8" i="5"/>
  <c r="I15" i="5"/>
  <c r="I8" i="5"/>
  <c r="G11" i="5"/>
  <c r="J15" i="5"/>
  <c r="C17" i="5"/>
  <c r="H18" i="5"/>
  <c r="C27" i="5"/>
  <c r="H28" i="5"/>
  <c r="K32" i="5"/>
  <c r="I35" i="5"/>
  <c r="H49" i="5"/>
  <c r="C51" i="5"/>
  <c r="J52" i="5"/>
  <c r="C54" i="5"/>
  <c r="J55" i="5"/>
  <c r="M58" i="5"/>
  <c r="H60" i="5"/>
  <c r="H63" i="5"/>
  <c r="C65" i="5"/>
  <c r="H66" i="5"/>
  <c r="K69" i="5"/>
  <c r="G71" i="5"/>
  <c r="H76" i="5"/>
  <c r="I79" i="5"/>
  <c r="N82" i="5"/>
  <c r="J84" i="5"/>
  <c r="H94" i="5"/>
  <c r="H98" i="5"/>
  <c r="J115" i="5"/>
  <c r="H115" i="5"/>
  <c r="G119" i="5"/>
  <c r="M124" i="5"/>
  <c r="N130" i="5"/>
  <c r="C143" i="5"/>
  <c r="I153" i="5"/>
  <c r="G113" i="5"/>
  <c r="N113" i="5"/>
  <c r="M113" i="5"/>
  <c r="J323" i="5"/>
  <c r="H323" i="5"/>
  <c r="C323" i="5"/>
  <c r="I5" i="5"/>
  <c r="G8" i="5"/>
  <c r="I32" i="5"/>
  <c r="H11" i="5"/>
  <c r="K25" i="5"/>
  <c r="G31" i="5"/>
  <c r="H38" i="5"/>
  <c r="K41" i="5"/>
  <c r="K55" i="5"/>
  <c r="N58" i="5"/>
  <c r="G68" i="5"/>
  <c r="I76" i="5"/>
  <c r="N83" i="5"/>
  <c r="M83" i="5"/>
  <c r="L83" i="5"/>
  <c r="K84" i="5"/>
  <c r="J86" i="5"/>
  <c r="H86" i="5"/>
  <c r="I89" i="5"/>
  <c r="K107" i="5"/>
  <c r="N109" i="5"/>
  <c r="I113" i="5"/>
  <c r="H119" i="5"/>
  <c r="H121" i="5"/>
  <c r="J121" i="5"/>
  <c r="N124" i="5"/>
  <c r="N131" i="5"/>
  <c r="M131" i="5"/>
  <c r="L131" i="5"/>
  <c r="K131" i="5"/>
  <c r="M153" i="5"/>
  <c r="K168" i="5"/>
  <c r="J171" i="5"/>
  <c r="H171" i="5"/>
  <c r="J174" i="5"/>
  <c r="C174" i="5"/>
  <c r="C215" i="5"/>
  <c r="J215" i="5"/>
  <c r="N239" i="5"/>
  <c r="M239" i="5"/>
  <c r="K239" i="5"/>
  <c r="I239" i="5"/>
  <c r="G239" i="5"/>
  <c r="L239" i="5"/>
  <c r="N267" i="5"/>
  <c r="M267" i="5"/>
  <c r="K267" i="5"/>
  <c r="I267" i="5"/>
  <c r="G267" i="5"/>
  <c r="L267" i="5"/>
  <c r="N259" i="5"/>
  <c r="M259" i="5"/>
  <c r="K259" i="5"/>
  <c r="I259" i="5"/>
  <c r="G259" i="5"/>
  <c r="L259" i="5"/>
  <c r="H68" i="5"/>
  <c r="M69" i="5"/>
  <c r="I71" i="5"/>
  <c r="J76" i="5"/>
  <c r="K78" i="5"/>
  <c r="I78" i="5"/>
  <c r="K79" i="5"/>
  <c r="L84" i="5"/>
  <c r="G91" i="5"/>
  <c r="G100" i="5"/>
  <c r="L107" i="5"/>
  <c r="L110" i="5"/>
  <c r="K110" i="5"/>
  <c r="N110" i="5"/>
  <c r="J113" i="5"/>
  <c r="H141" i="5"/>
  <c r="C141" i="5"/>
  <c r="G156" i="5"/>
  <c r="N187" i="5"/>
  <c r="M187" i="5"/>
  <c r="K187" i="5"/>
  <c r="L187" i="5"/>
  <c r="I187" i="5"/>
  <c r="G187" i="5"/>
  <c r="N219" i="5"/>
  <c r="M219" i="5"/>
  <c r="K219" i="5"/>
  <c r="G219" i="5"/>
  <c r="L219" i="5"/>
  <c r="I219" i="5"/>
  <c r="N243" i="5"/>
  <c r="M243" i="5"/>
  <c r="K243" i="5"/>
  <c r="I243" i="5"/>
  <c r="G243" i="5"/>
  <c r="L243" i="5"/>
  <c r="I318" i="5"/>
  <c r="N318" i="5"/>
  <c r="M318" i="5"/>
  <c r="L318" i="5"/>
  <c r="K318" i="5"/>
  <c r="G318" i="5"/>
  <c r="K38" i="5"/>
  <c r="I38" i="5"/>
  <c r="J74" i="5"/>
  <c r="H74" i="5"/>
  <c r="N119" i="5"/>
  <c r="M119" i="5"/>
  <c r="L119" i="5"/>
  <c r="I60" i="5"/>
  <c r="H31" i="5"/>
  <c r="M32" i="5"/>
  <c r="K35" i="5"/>
  <c r="L38" i="5"/>
  <c r="G40" i="5"/>
  <c r="L41" i="5"/>
  <c r="G43" i="5"/>
  <c r="G46" i="5"/>
  <c r="L52" i="5"/>
  <c r="L55" i="5"/>
  <c r="H57" i="5"/>
  <c r="N59" i="5"/>
  <c r="M59" i="5"/>
  <c r="J60" i="5"/>
  <c r="K62" i="5"/>
  <c r="I62" i="5"/>
  <c r="I4" i="5"/>
  <c r="G7" i="5"/>
  <c r="L8" i="5"/>
  <c r="C13" i="5"/>
  <c r="H14" i="5"/>
  <c r="M15" i="5"/>
  <c r="J21" i="5"/>
  <c r="C23" i="5"/>
  <c r="H24" i="5"/>
  <c r="M25" i="5"/>
  <c r="K28" i="5"/>
  <c r="I31" i="5"/>
  <c r="N32" i="5"/>
  <c r="G34" i="5"/>
  <c r="L35" i="5"/>
  <c r="M38" i="5"/>
  <c r="H40" i="5"/>
  <c r="M41" i="5"/>
  <c r="H43" i="5"/>
  <c r="C45" i="5"/>
  <c r="H46" i="5"/>
  <c r="K49" i="5"/>
  <c r="M52" i="5"/>
  <c r="I57" i="5"/>
  <c r="K60" i="5"/>
  <c r="I68" i="5"/>
  <c r="N69" i="5"/>
  <c r="J71" i="5"/>
  <c r="C75" i="5"/>
  <c r="K76" i="5"/>
  <c r="J78" i="5"/>
  <c r="H78" i="5"/>
  <c r="I81" i="5"/>
  <c r="M84" i="5"/>
  <c r="K89" i="5"/>
  <c r="H91" i="5"/>
  <c r="G104" i="5"/>
  <c r="K113" i="5"/>
  <c r="M115" i="5"/>
  <c r="C159" i="5"/>
  <c r="J159" i="5"/>
  <c r="H159" i="5"/>
  <c r="H219" i="5"/>
  <c r="J219" i="5"/>
  <c r="H223" i="5"/>
  <c r="C223" i="5"/>
  <c r="H243" i="5"/>
  <c r="J243" i="5"/>
  <c r="N264" i="5"/>
  <c r="M264" i="5"/>
  <c r="L264" i="5"/>
  <c r="K264" i="5"/>
  <c r="I264" i="5"/>
  <c r="J8" i="5"/>
  <c r="K15" i="5"/>
  <c r="I28" i="5"/>
  <c r="K52" i="5"/>
  <c r="L69" i="5"/>
  <c r="K8" i="5"/>
  <c r="N25" i="5"/>
  <c r="L28" i="5"/>
  <c r="M35" i="5"/>
  <c r="N38" i="5"/>
  <c r="I40" i="5"/>
  <c r="N41" i="5"/>
  <c r="L46" i="5"/>
  <c r="G48" i="5"/>
  <c r="L49" i="5"/>
  <c r="L60" i="5"/>
  <c r="H65" i="5"/>
  <c r="N67" i="5"/>
  <c r="M67" i="5"/>
  <c r="J68" i="5"/>
  <c r="K70" i="5"/>
  <c r="I70" i="5"/>
  <c r="L76" i="5"/>
  <c r="G88" i="5"/>
  <c r="L89" i="5"/>
  <c r="I91" i="5"/>
  <c r="J93" i="5"/>
  <c r="H93" i="5"/>
  <c r="L106" i="5"/>
  <c r="K106" i="5"/>
  <c r="N106" i="5"/>
  <c r="M106" i="5"/>
  <c r="I106" i="5"/>
  <c r="L113" i="5"/>
  <c r="N115" i="5"/>
  <c r="K119" i="5"/>
  <c r="J127" i="5"/>
  <c r="H127" i="5"/>
  <c r="I139" i="5"/>
  <c r="G139" i="5"/>
  <c r="H174" i="5"/>
  <c r="J190" i="5"/>
  <c r="H190" i="5"/>
  <c r="K200" i="5"/>
  <c r="N200" i="5"/>
  <c r="M200" i="5"/>
  <c r="L200" i="5"/>
  <c r="I200" i="5"/>
  <c r="G200" i="5"/>
  <c r="H215" i="5"/>
  <c r="J259" i="5"/>
  <c r="H259" i="5"/>
  <c r="G4" i="5"/>
  <c r="I49" i="5"/>
  <c r="J28" i="5"/>
  <c r="J4" i="5"/>
  <c r="H7" i="5"/>
  <c r="K11" i="5"/>
  <c r="I14" i="5"/>
  <c r="N15" i="5"/>
  <c r="I24" i="5"/>
  <c r="I43" i="5"/>
  <c r="K4" i="5"/>
  <c r="I7" i="5"/>
  <c r="N8" i="5"/>
  <c r="G10" i="5"/>
  <c r="L11" i="5"/>
  <c r="G20" i="5"/>
  <c r="J24" i="5"/>
  <c r="H27" i="5"/>
  <c r="M28" i="5"/>
  <c r="K31" i="5"/>
  <c r="I34" i="5"/>
  <c r="H37" i="5"/>
  <c r="J40" i="5"/>
  <c r="C42" i="5"/>
  <c r="M46" i="5"/>
  <c r="H48" i="5"/>
  <c r="M49" i="5"/>
  <c r="H51" i="5"/>
  <c r="H54" i="5"/>
  <c r="K57" i="5"/>
  <c r="M60" i="5"/>
  <c r="K68" i="5"/>
  <c r="J70" i="5"/>
  <c r="H70" i="5"/>
  <c r="I73" i="5"/>
  <c r="M76" i="5"/>
  <c r="K81" i="5"/>
  <c r="G83" i="5"/>
  <c r="H88" i="5"/>
  <c r="M89" i="5"/>
  <c r="G95" i="5"/>
  <c r="N100" i="5"/>
  <c r="I104" i="5"/>
  <c r="J106" i="5"/>
  <c r="H106" i="5"/>
  <c r="N116" i="5"/>
  <c r="M116" i="5"/>
  <c r="L116" i="5"/>
  <c r="G131" i="5"/>
  <c r="G137" i="5"/>
  <c r="N137" i="5"/>
  <c r="M137" i="5"/>
  <c r="L137" i="5"/>
  <c r="K137" i="5"/>
  <c r="H143" i="5"/>
  <c r="L156" i="5"/>
  <c r="H257" i="5"/>
  <c r="C257" i="5"/>
  <c r="J257" i="5"/>
  <c r="N271" i="5"/>
  <c r="M271" i="5"/>
  <c r="L271" i="5"/>
  <c r="K271" i="5"/>
  <c r="I271" i="5"/>
  <c r="G271" i="5"/>
  <c r="N306" i="5"/>
  <c r="M306" i="5"/>
  <c r="L306" i="5"/>
  <c r="K306" i="5"/>
  <c r="I306" i="5"/>
  <c r="G306" i="5"/>
  <c r="H4" i="5"/>
  <c r="H17" i="5"/>
  <c r="G3" i="5"/>
  <c r="L4" i="5"/>
  <c r="H20" i="5"/>
  <c r="K24" i="5"/>
  <c r="L31" i="5"/>
  <c r="N46" i="5"/>
  <c r="I48" i="5"/>
  <c r="N49" i="5"/>
  <c r="L57" i="5"/>
  <c r="G59" i="5"/>
  <c r="G62" i="5"/>
  <c r="L68" i="5"/>
  <c r="G78" i="5"/>
  <c r="L81" i="5"/>
  <c r="H83" i="5"/>
  <c r="I88" i="5"/>
  <c r="N89" i="5"/>
  <c r="K91" i="5"/>
  <c r="H95" i="5"/>
  <c r="G97" i="5"/>
  <c r="N97" i="5"/>
  <c r="M97" i="5"/>
  <c r="L97" i="5"/>
  <c r="K97" i="5"/>
  <c r="G110" i="5"/>
  <c r="L112" i="5"/>
  <c r="K112" i="5"/>
  <c r="I112" i="5"/>
  <c r="G112" i="5"/>
  <c r="L122" i="5"/>
  <c r="K122" i="5"/>
  <c r="N122" i="5"/>
  <c r="M122" i="5"/>
  <c r="H131" i="5"/>
  <c r="C150" i="5"/>
  <c r="J150" i="5"/>
  <c r="J162" i="5"/>
  <c r="H162" i="5"/>
  <c r="N71" i="5"/>
  <c r="M71" i="5"/>
  <c r="L71" i="5"/>
  <c r="N140" i="5"/>
  <c r="M140" i="5"/>
  <c r="L140" i="5"/>
  <c r="K140" i="5"/>
  <c r="I140" i="5"/>
  <c r="N333" i="5"/>
  <c r="K333" i="5"/>
  <c r="M333" i="5"/>
  <c r="L333" i="5"/>
  <c r="I333" i="5"/>
  <c r="G333" i="5"/>
  <c r="H153" i="5"/>
  <c r="J153" i="5"/>
  <c r="N43" i="5"/>
  <c r="M43" i="5"/>
  <c r="I11" i="5"/>
  <c r="G24" i="5"/>
  <c r="G30" i="5"/>
  <c r="M4" i="5"/>
  <c r="K7" i="5"/>
  <c r="I10" i="5"/>
  <c r="N11" i="5"/>
  <c r="M14" i="5"/>
  <c r="L24" i="5"/>
  <c r="M31" i="5"/>
  <c r="L34" i="5"/>
  <c r="L40" i="5"/>
  <c r="L43" i="5"/>
  <c r="N47" i="5"/>
  <c r="M47" i="5"/>
  <c r="J48" i="5"/>
  <c r="K50" i="5"/>
  <c r="I50" i="5"/>
  <c r="H56" i="5"/>
  <c r="M57" i="5"/>
  <c r="H62" i="5"/>
  <c r="M68" i="5"/>
  <c r="K73" i="5"/>
  <c r="L78" i="5"/>
  <c r="H80" i="5"/>
  <c r="M81" i="5"/>
  <c r="I83" i="5"/>
  <c r="J88" i="5"/>
  <c r="L91" i="5"/>
  <c r="H97" i="5"/>
  <c r="J97" i="5"/>
  <c r="K104" i="5"/>
  <c r="J125" i="5"/>
  <c r="I131" i="5"/>
  <c r="H52" i="5"/>
  <c r="G14" i="5"/>
  <c r="L25" i="5"/>
  <c r="H10" i="5"/>
  <c r="L14" i="5"/>
  <c r="K40" i="5"/>
  <c r="G6" i="5"/>
  <c r="N14" i="5"/>
  <c r="J20" i="5"/>
  <c r="I30" i="5"/>
  <c r="M34" i="5"/>
  <c r="N57" i="5"/>
  <c r="I59" i="5"/>
  <c r="L62" i="5"/>
  <c r="G67" i="5"/>
  <c r="G70" i="5"/>
  <c r="L73" i="5"/>
  <c r="M78" i="5"/>
  <c r="N81" i="5"/>
  <c r="J90" i="5"/>
  <c r="H90" i="5"/>
  <c r="J95" i="5"/>
  <c r="L104" i="5"/>
  <c r="G106" i="5"/>
  <c r="I110" i="5"/>
  <c r="J118" i="5"/>
  <c r="H118" i="5"/>
  <c r="K139" i="5"/>
  <c r="N176" i="5"/>
  <c r="M176" i="5"/>
  <c r="L176" i="5"/>
  <c r="K176" i="5"/>
  <c r="I176" i="5"/>
  <c r="H185" i="5"/>
  <c r="C185" i="5"/>
  <c r="J185" i="5"/>
  <c r="M228" i="5"/>
  <c r="L228" i="5"/>
  <c r="K228" i="5"/>
  <c r="J271" i="5"/>
  <c r="H271" i="5"/>
  <c r="N280" i="5"/>
  <c r="L280" i="5"/>
  <c r="M280" i="5"/>
  <c r="I280" i="5"/>
  <c r="G280" i="5"/>
  <c r="C284" i="5"/>
  <c r="J284" i="5"/>
  <c r="H284" i="5"/>
  <c r="C178" i="5"/>
  <c r="J194" i="5"/>
  <c r="C194" i="5"/>
  <c r="H237" i="5"/>
  <c r="C237" i="5"/>
  <c r="N274" i="5"/>
  <c r="L274" i="5"/>
  <c r="K274" i="5"/>
  <c r="I274" i="5"/>
  <c r="G274" i="5"/>
  <c r="J311" i="5"/>
  <c r="H311" i="5"/>
  <c r="C311" i="5"/>
  <c r="C149" i="5"/>
  <c r="L158" i="5"/>
  <c r="K158" i="5"/>
  <c r="C167" i="5"/>
  <c r="G196" i="5"/>
  <c r="J198" i="5"/>
  <c r="C198" i="5"/>
  <c r="M224" i="5"/>
  <c r="L224" i="5"/>
  <c r="K224" i="5"/>
  <c r="G228" i="5"/>
  <c r="N260" i="5"/>
  <c r="M260" i="5"/>
  <c r="L260" i="5"/>
  <c r="K260" i="5"/>
  <c r="N272" i="5"/>
  <c r="L272" i="5"/>
  <c r="G272" i="5"/>
  <c r="N298" i="5"/>
  <c r="M298" i="5"/>
  <c r="L298" i="5"/>
  <c r="K298" i="5"/>
  <c r="I298" i="5"/>
  <c r="G298" i="5"/>
  <c r="N329" i="5"/>
  <c r="K329" i="5"/>
  <c r="M329" i="5"/>
  <c r="L329" i="5"/>
  <c r="I329" i="5"/>
  <c r="G329" i="5"/>
  <c r="C161" i="5"/>
  <c r="J165" i="5"/>
  <c r="L170" i="5"/>
  <c r="K170" i="5"/>
  <c r="H173" i="5"/>
  <c r="C173" i="5"/>
  <c r="J202" i="5"/>
  <c r="C202" i="5"/>
  <c r="N235" i="5"/>
  <c r="M235" i="5"/>
  <c r="K235" i="5"/>
  <c r="I235" i="5"/>
  <c r="G235" i="5"/>
  <c r="M244" i="5"/>
  <c r="L244" i="5"/>
  <c r="K244" i="5"/>
  <c r="H253" i="5"/>
  <c r="C253" i="5"/>
  <c r="J255" i="5"/>
  <c r="H255" i="5"/>
  <c r="J267" i="5"/>
  <c r="H267" i="5"/>
  <c r="J287" i="5"/>
  <c r="H287" i="5"/>
  <c r="C301" i="5"/>
  <c r="J301" i="5"/>
  <c r="H301" i="5"/>
  <c r="C416" i="5"/>
  <c r="J416" i="5"/>
  <c r="H416" i="5"/>
  <c r="C175" i="5"/>
  <c r="G180" i="5"/>
  <c r="H189" i="5"/>
  <c r="C189" i="5"/>
  <c r="C191" i="5"/>
  <c r="H194" i="5"/>
  <c r="I196" i="5"/>
  <c r="G204" i="5"/>
  <c r="J206" i="5"/>
  <c r="C206" i="5"/>
  <c r="L220" i="5"/>
  <c r="K220" i="5"/>
  <c r="I228" i="5"/>
  <c r="H233" i="5"/>
  <c r="C233" i="5"/>
  <c r="J239" i="5"/>
  <c r="H265" i="5"/>
  <c r="C265" i="5"/>
  <c r="N290" i="5"/>
  <c r="M290" i="5"/>
  <c r="L290" i="5"/>
  <c r="K290" i="5"/>
  <c r="I290" i="5"/>
  <c r="G290" i="5"/>
  <c r="H178" i="5"/>
  <c r="C182" i="5"/>
  <c r="H187" i="5"/>
  <c r="H198" i="5"/>
  <c r="G208" i="5"/>
  <c r="J210" i="5"/>
  <c r="C210" i="5"/>
  <c r="G224" i="5"/>
  <c r="J237" i="5"/>
  <c r="G260" i="5"/>
  <c r="H395" i="5"/>
  <c r="C395" i="5"/>
  <c r="J395" i="5"/>
  <c r="J137" i="5"/>
  <c r="L142" i="5"/>
  <c r="K142" i="5"/>
  <c r="H146" i="5"/>
  <c r="H155" i="5"/>
  <c r="G158" i="5"/>
  <c r="G164" i="5"/>
  <c r="L196" i="5"/>
  <c r="H202" i="5"/>
  <c r="G212" i="5"/>
  <c r="J214" i="5"/>
  <c r="C214" i="5"/>
  <c r="N228" i="5"/>
  <c r="N231" i="5"/>
  <c r="M231" i="5"/>
  <c r="K231" i="5"/>
  <c r="I231" i="5"/>
  <c r="G231" i="5"/>
  <c r="M240" i="5"/>
  <c r="L240" i="5"/>
  <c r="K240" i="5"/>
  <c r="G244" i="5"/>
  <c r="M453" i="5"/>
  <c r="K453" i="5"/>
  <c r="G453" i="5"/>
  <c r="N453" i="5"/>
  <c r="L453" i="5"/>
  <c r="I453" i="5"/>
  <c r="J149" i="5"/>
  <c r="I152" i="5"/>
  <c r="L154" i="5"/>
  <c r="K154" i="5"/>
  <c r="H158" i="5"/>
  <c r="H167" i="5"/>
  <c r="G170" i="5"/>
  <c r="J173" i="5"/>
  <c r="N195" i="5"/>
  <c r="M195" i="5"/>
  <c r="K195" i="5"/>
  <c r="G195" i="5"/>
  <c r="M196" i="5"/>
  <c r="H206" i="5"/>
  <c r="I208" i="5"/>
  <c r="G216" i="5"/>
  <c r="G220" i="5"/>
  <c r="I224" i="5"/>
  <c r="H229" i="5"/>
  <c r="C229" i="5"/>
  <c r="N251" i="5"/>
  <c r="M251" i="5"/>
  <c r="K251" i="5"/>
  <c r="I251" i="5"/>
  <c r="G251" i="5"/>
  <c r="J253" i="5"/>
  <c r="N256" i="5"/>
  <c r="M256" i="5"/>
  <c r="L256" i="5"/>
  <c r="K256" i="5"/>
  <c r="I260" i="5"/>
  <c r="N268" i="5"/>
  <c r="M268" i="5"/>
  <c r="L268" i="5"/>
  <c r="K268" i="5"/>
  <c r="I272" i="5"/>
  <c r="M274" i="5"/>
  <c r="J344" i="5"/>
  <c r="H344" i="5"/>
  <c r="C344" i="5"/>
  <c r="L384" i="5"/>
  <c r="K384" i="5"/>
  <c r="I384" i="5"/>
  <c r="G384" i="5"/>
  <c r="N384" i="5"/>
  <c r="M384" i="5"/>
  <c r="J453" i="5"/>
  <c r="H453" i="5"/>
  <c r="L102" i="5"/>
  <c r="K102" i="5"/>
  <c r="I158" i="5"/>
  <c r="J161" i="5"/>
  <c r="I164" i="5"/>
  <c r="L166" i="5"/>
  <c r="K166" i="5"/>
  <c r="H170" i="5"/>
  <c r="H177" i="5"/>
  <c r="C177" i="5"/>
  <c r="N179" i="5"/>
  <c r="M179" i="5"/>
  <c r="K179" i="5"/>
  <c r="K180" i="5"/>
  <c r="G184" i="5"/>
  <c r="J189" i="5"/>
  <c r="H193" i="5"/>
  <c r="C193" i="5"/>
  <c r="N196" i="5"/>
  <c r="N199" i="5"/>
  <c r="M199" i="5"/>
  <c r="K199" i="5"/>
  <c r="G199" i="5"/>
  <c r="L204" i="5"/>
  <c r="H210" i="5"/>
  <c r="I212" i="5"/>
  <c r="J233" i="5"/>
  <c r="L235" i="5"/>
  <c r="I244" i="5"/>
  <c r="H249" i="5"/>
  <c r="C249" i="5"/>
  <c r="J251" i="5"/>
  <c r="H251" i="5"/>
  <c r="N263" i="5"/>
  <c r="M263" i="5"/>
  <c r="K263" i="5"/>
  <c r="I263" i="5"/>
  <c r="G263" i="5"/>
  <c r="J265" i="5"/>
  <c r="N277" i="5"/>
  <c r="L277" i="5"/>
  <c r="K277" i="5"/>
  <c r="I277" i="5"/>
  <c r="G277" i="5"/>
  <c r="N296" i="5"/>
  <c r="L296" i="5"/>
  <c r="G296" i="5"/>
  <c r="M296" i="5"/>
  <c r="K296" i="5"/>
  <c r="I296" i="5"/>
  <c r="N313" i="5"/>
  <c r="K313" i="5"/>
  <c r="M313" i="5"/>
  <c r="L313" i="5"/>
  <c r="I313" i="5"/>
  <c r="G313" i="5"/>
  <c r="L114" i="5"/>
  <c r="K114" i="5"/>
  <c r="G136" i="5"/>
  <c r="K152" i="5"/>
  <c r="I170" i="5"/>
  <c r="H175" i="5"/>
  <c r="L180" i="5"/>
  <c r="H182" i="5"/>
  <c r="L186" i="5"/>
  <c r="K186" i="5"/>
  <c r="I186" i="5"/>
  <c r="G186" i="5"/>
  <c r="H191" i="5"/>
  <c r="H197" i="5"/>
  <c r="C197" i="5"/>
  <c r="N203" i="5"/>
  <c r="M203" i="5"/>
  <c r="K203" i="5"/>
  <c r="G203" i="5"/>
  <c r="M204" i="5"/>
  <c r="L208" i="5"/>
  <c r="H214" i="5"/>
  <c r="I216" i="5"/>
  <c r="I220" i="5"/>
  <c r="N224" i="5"/>
  <c r="N227" i="5"/>
  <c r="M227" i="5"/>
  <c r="K227" i="5"/>
  <c r="I227" i="5"/>
  <c r="G227" i="5"/>
  <c r="M236" i="5"/>
  <c r="L236" i="5"/>
  <c r="K236" i="5"/>
  <c r="G240" i="5"/>
  <c r="H261" i="5"/>
  <c r="C261" i="5"/>
  <c r="J263" i="5"/>
  <c r="H263" i="5"/>
  <c r="K272" i="5"/>
  <c r="J277" i="5"/>
  <c r="H277" i="5"/>
  <c r="K279" i="5"/>
  <c r="I279" i="5"/>
  <c r="G279" i="5"/>
  <c r="K293" i="5"/>
  <c r="N293" i="5"/>
  <c r="M293" i="5"/>
  <c r="L293" i="5"/>
  <c r="I293" i="5"/>
  <c r="G293" i="5"/>
  <c r="J296" i="5"/>
  <c r="H296" i="5"/>
  <c r="J313" i="5"/>
  <c r="H313" i="5"/>
  <c r="C428" i="5"/>
  <c r="J428" i="5"/>
  <c r="H428" i="5"/>
  <c r="H447" i="5"/>
  <c r="C447" i="5"/>
  <c r="J447" i="5"/>
  <c r="L126" i="5"/>
  <c r="K126" i="5"/>
  <c r="H130" i="5"/>
  <c r="I133" i="5"/>
  <c r="H139" i="5"/>
  <c r="G142" i="5"/>
  <c r="G148" i="5"/>
  <c r="G151" i="5"/>
  <c r="L152" i="5"/>
  <c r="M158" i="5"/>
  <c r="K164" i="5"/>
  <c r="M180" i="5"/>
  <c r="I184" i="5"/>
  <c r="H201" i="5"/>
  <c r="C201" i="5"/>
  <c r="N204" i="5"/>
  <c r="N207" i="5"/>
  <c r="M207" i="5"/>
  <c r="K207" i="5"/>
  <c r="G207" i="5"/>
  <c r="M208" i="5"/>
  <c r="L212" i="5"/>
  <c r="H225" i="5"/>
  <c r="C225" i="5"/>
  <c r="J231" i="5"/>
  <c r="N244" i="5"/>
  <c r="N247" i="5"/>
  <c r="M247" i="5"/>
  <c r="K247" i="5"/>
  <c r="I247" i="5"/>
  <c r="G247" i="5"/>
  <c r="G256" i="5"/>
  <c r="G268" i="5"/>
  <c r="M272" i="5"/>
  <c r="J293" i="5"/>
  <c r="H293" i="5"/>
  <c r="K422" i="5"/>
  <c r="N422" i="5"/>
  <c r="M422" i="5"/>
  <c r="L422" i="5"/>
  <c r="I422" i="5"/>
  <c r="J133" i="5"/>
  <c r="L138" i="5"/>
  <c r="K138" i="5"/>
  <c r="I145" i="5"/>
  <c r="M152" i="5"/>
  <c r="G154" i="5"/>
  <c r="N158" i="5"/>
  <c r="L164" i="5"/>
  <c r="M170" i="5"/>
  <c r="H205" i="5"/>
  <c r="C205" i="5"/>
  <c r="N208" i="5"/>
  <c r="N211" i="5"/>
  <c r="M211" i="5"/>
  <c r="K211" i="5"/>
  <c r="G211" i="5"/>
  <c r="M212" i="5"/>
  <c r="L216" i="5"/>
  <c r="M220" i="5"/>
  <c r="J229" i="5"/>
  <c r="L231" i="5"/>
  <c r="I240" i="5"/>
  <c r="H245" i="5"/>
  <c r="C245" i="5"/>
  <c r="L251" i="5"/>
  <c r="N320" i="5"/>
  <c r="L320" i="5"/>
  <c r="G320" i="5"/>
  <c r="M320" i="5"/>
  <c r="K320" i="5"/>
  <c r="I320" i="5"/>
  <c r="H96" i="5"/>
  <c r="G102" i="5"/>
  <c r="K133" i="5"/>
  <c r="I142" i="5"/>
  <c r="J145" i="5"/>
  <c r="I157" i="5"/>
  <c r="G166" i="5"/>
  <c r="N170" i="5"/>
  <c r="J177" i="5"/>
  <c r="G179" i="5"/>
  <c r="H181" i="5"/>
  <c r="C181" i="5"/>
  <c r="J193" i="5"/>
  <c r="I195" i="5"/>
  <c r="H209" i="5"/>
  <c r="C209" i="5"/>
  <c r="N212" i="5"/>
  <c r="M216" i="5"/>
  <c r="N220" i="5"/>
  <c r="M232" i="5"/>
  <c r="L232" i="5"/>
  <c r="K232" i="5"/>
  <c r="G236" i="5"/>
  <c r="J249" i="5"/>
  <c r="N252" i="5"/>
  <c r="M252" i="5"/>
  <c r="L252" i="5"/>
  <c r="K252" i="5"/>
  <c r="I256" i="5"/>
  <c r="L263" i="5"/>
  <c r="I268" i="5"/>
  <c r="M277" i="5"/>
  <c r="L279" i="5"/>
  <c r="J340" i="5"/>
  <c r="H340" i="5"/>
  <c r="M405" i="5"/>
  <c r="K405" i="5"/>
  <c r="G405" i="5"/>
  <c r="N405" i="5"/>
  <c r="I405" i="5"/>
  <c r="H431" i="5"/>
  <c r="C431" i="5"/>
  <c r="J431" i="5"/>
  <c r="L294" i="5"/>
  <c r="N308" i="5"/>
  <c r="L308" i="5"/>
  <c r="G308" i="5"/>
  <c r="M314" i="5"/>
  <c r="J327" i="5"/>
  <c r="H327" i="5"/>
  <c r="C327" i="5"/>
  <c r="N348" i="5"/>
  <c r="L348" i="5"/>
  <c r="K348" i="5"/>
  <c r="G348" i="5"/>
  <c r="L380" i="5"/>
  <c r="K380" i="5"/>
  <c r="I380" i="5"/>
  <c r="G380" i="5"/>
  <c r="N380" i="5"/>
  <c r="M437" i="5"/>
  <c r="K437" i="5"/>
  <c r="G437" i="5"/>
  <c r="L437" i="5"/>
  <c r="M294" i="5"/>
  <c r="J303" i="5"/>
  <c r="H303" i="5"/>
  <c r="C303" i="5"/>
  <c r="N314" i="5"/>
  <c r="N337" i="5"/>
  <c r="K337" i="5"/>
  <c r="N352" i="5"/>
  <c r="L352" i="5"/>
  <c r="K352" i="5"/>
  <c r="G352" i="5"/>
  <c r="N356" i="5"/>
  <c r="L356" i="5"/>
  <c r="K356" i="5"/>
  <c r="G356" i="5"/>
  <c r="N360" i="5"/>
  <c r="L360" i="5"/>
  <c r="K360" i="5"/>
  <c r="G360" i="5"/>
  <c r="K364" i="5"/>
  <c r="G364" i="5"/>
  <c r="N364" i="5"/>
  <c r="M364" i="5"/>
  <c r="I364" i="5"/>
  <c r="M369" i="5"/>
  <c r="K369" i="5"/>
  <c r="L369" i="5"/>
  <c r="I369" i="5"/>
  <c r="G369" i="5"/>
  <c r="H376" i="5"/>
  <c r="C376" i="5"/>
  <c r="H385" i="5"/>
  <c r="C385" i="5"/>
  <c r="K434" i="5"/>
  <c r="N434" i="5"/>
  <c r="M434" i="5"/>
  <c r="L434" i="5"/>
  <c r="I434" i="5"/>
  <c r="G434" i="5"/>
  <c r="C218" i="5"/>
  <c r="C222" i="5"/>
  <c r="C226" i="5"/>
  <c r="C230" i="5"/>
  <c r="C234" i="5"/>
  <c r="C238" i="5"/>
  <c r="C242" i="5"/>
  <c r="C246" i="5"/>
  <c r="C250" i="5"/>
  <c r="C254" i="5"/>
  <c r="C258" i="5"/>
  <c r="C262" i="5"/>
  <c r="C266" i="5"/>
  <c r="J283" i="5"/>
  <c r="H283" i="5"/>
  <c r="N294" i="5"/>
  <c r="C305" i="5"/>
  <c r="J315" i="5"/>
  <c r="H315" i="5"/>
  <c r="C315" i="5"/>
  <c r="C317" i="5"/>
  <c r="J331" i="5"/>
  <c r="H331" i="5"/>
  <c r="C331" i="5"/>
  <c r="J352" i="5"/>
  <c r="H352" i="5"/>
  <c r="J356" i="5"/>
  <c r="H356" i="5"/>
  <c r="J360" i="5"/>
  <c r="H360" i="5"/>
  <c r="H371" i="5"/>
  <c r="C371" i="5"/>
  <c r="L405" i="5"/>
  <c r="N276" i="5"/>
  <c r="L276" i="5"/>
  <c r="N292" i="5"/>
  <c r="L292" i="5"/>
  <c r="G292" i="5"/>
  <c r="J295" i="5"/>
  <c r="H295" i="5"/>
  <c r="C295" i="5"/>
  <c r="N300" i="5"/>
  <c r="L300" i="5"/>
  <c r="G300" i="5"/>
  <c r="H320" i="5"/>
  <c r="N324" i="5"/>
  <c r="L324" i="5"/>
  <c r="G324" i="5"/>
  <c r="N341" i="5"/>
  <c r="K341" i="5"/>
  <c r="N374" i="5"/>
  <c r="L374" i="5"/>
  <c r="K374" i="5"/>
  <c r="G374" i="5"/>
  <c r="H380" i="5"/>
  <c r="K406" i="5"/>
  <c r="N406" i="5"/>
  <c r="M406" i="5"/>
  <c r="H451" i="5"/>
  <c r="C451" i="5"/>
  <c r="J451" i="5"/>
  <c r="H280" i="5"/>
  <c r="N297" i="5"/>
  <c r="K297" i="5"/>
  <c r="H308" i="5"/>
  <c r="J335" i="5"/>
  <c r="H335" i="5"/>
  <c r="C335" i="5"/>
  <c r="H348" i="5"/>
  <c r="H367" i="5"/>
  <c r="C367" i="5"/>
  <c r="J376" i="5"/>
  <c r="J380" i="5"/>
  <c r="M401" i="5"/>
  <c r="K401" i="5"/>
  <c r="N401" i="5"/>
  <c r="L401" i="5"/>
  <c r="I401" i="5"/>
  <c r="C420" i="5"/>
  <c r="J420" i="5"/>
  <c r="H420" i="5"/>
  <c r="K426" i="5"/>
  <c r="N426" i="5"/>
  <c r="M426" i="5"/>
  <c r="L426" i="5"/>
  <c r="I426" i="5"/>
  <c r="G426" i="5"/>
  <c r="I437" i="5"/>
  <c r="C269" i="5"/>
  <c r="G270" i="5"/>
  <c r="G273" i="5"/>
  <c r="G283" i="5"/>
  <c r="C285" i="5"/>
  <c r="G286" i="5"/>
  <c r="G289" i="5"/>
  <c r="I308" i="5"/>
  <c r="C312" i="5"/>
  <c r="G322" i="5"/>
  <c r="G337" i="5"/>
  <c r="N345" i="5"/>
  <c r="K345" i="5"/>
  <c r="I348" i="5"/>
  <c r="I352" i="5"/>
  <c r="I356" i="5"/>
  <c r="I360" i="5"/>
  <c r="H364" i="5"/>
  <c r="J371" i="5"/>
  <c r="M380" i="5"/>
  <c r="J385" i="5"/>
  <c r="M393" i="5"/>
  <c r="K393" i="5"/>
  <c r="N393" i="5"/>
  <c r="L393" i="5"/>
  <c r="I393" i="5"/>
  <c r="G393" i="5"/>
  <c r="L396" i="5"/>
  <c r="K396" i="5"/>
  <c r="I396" i="5"/>
  <c r="G396" i="5"/>
  <c r="M396" i="5"/>
  <c r="J401" i="5"/>
  <c r="H401" i="5"/>
  <c r="C449" i="5"/>
  <c r="J449" i="5"/>
  <c r="H449" i="5"/>
  <c r="H273" i="5"/>
  <c r="J279" i="5"/>
  <c r="H279" i="5"/>
  <c r="I283" i="5"/>
  <c r="H289" i="5"/>
  <c r="K308" i="5"/>
  <c r="C328" i="5"/>
  <c r="J339" i="5"/>
  <c r="H339" i="5"/>
  <c r="C339" i="5"/>
  <c r="M348" i="5"/>
  <c r="M352" i="5"/>
  <c r="M356" i="5"/>
  <c r="M360" i="5"/>
  <c r="L364" i="5"/>
  <c r="N369" i="5"/>
  <c r="M381" i="5"/>
  <c r="K381" i="5"/>
  <c r="L381" i="5"/>
  <c r="I381" i="5"/>
  <c r="G381" i="5"/>
  <c r="G406" i="5"/>
  <c r="N437" i="5"/>
  <c r="H443" i="5"/>
  <c r="C443" i="5"/>
  <c r="J443" i="5"/>
  <c r="N288" i="5"/>
  <c r="L288" i="5"/>
  <c r="J319" i="5"/>
  <c r="H319" i="5"/>
  <c r="C319" i="5"/>
  <c r="N321" i="5"/>
  <c r="K321" i="5"/>
  <c r="N349" i="5"/>
  <c r="L349" i="5"/>
  <c r="K349" i="5"/>
  <c r="N353" i="5"/>
  <c r="L353" i="5"/>
  <c r="K353" i="5"/>
  <c r="N357" i="5"/>
  <c r="L357" i="5"/>
  <c r="K357" i="5"/>
  <c r="N361" i="5"/>
  <c r="L361" i="5"/>
  <c r="K361" i="5"/>
  <c r="H365" i="5"/>
  <c r="C365" i="5"/>
  <c r="L372" i="5"/>
  <c r="K372" i="5"/>
  <c r="I372" i="5"/>
  <c r="G372" i="5"/>
  <c r="M372" i="5"/>
  <c r="N386" i="5"/>
  <c r="L386" i="5"/>
  <c r="I386" i="5"/>
  <c r="G386" i="5"/>
  <c r="H276" i="5"/>
  <c r="L283" i="5"/>
  <c r="I292" i="5"/>
  <c r="G297" i="5"/>
  <c r="I300" i="5"/>
  <c r="J307" i="5"/>
  <c r="H307" i="5"/>
  <c r="C307" i="5"/>
  <c r="N309" i="5"/>
  <c r="K309" i="5"/>
  <c r="K322" i="5"/>
  <c r="I324" i="5"/>
  <c r="N332" i="5"/>
  <c r="L332" i="5"/>
  <c r="K332" i="5"/>
  <c r="G332" i="5"/>
  <c r="J343" i="5"/>
  <c r="H343" i="5"/>
  <c r="C343" i="5"/>
  <c r="M389" i="5"/>
  <c r="K389" i="5"/>
  <c r="N389" i="5"/>
  <c r="L389" i="5"/>
  <c r="I389" i="5"/>
  <c r="G401" i="5"/>
  <c r="L404" i="5"/>
  <c r="K404" i="5"/>
  <c r="I404" i="5"/>
  <c r="G404" i="5"/>
  <c r="N404" i="5"/>
  <c r="M404" i="5"/>
  <c r="I406" i="5"/>
  <c r="K270" i="5"/>
  <c r="K273" i="5"/>
  <c r="I276" i="5"/>
  <c r="G282" i="5"/>
  <c r="M283" i="5"/>
  <c r="K286" i="5"/>
  <c r="K289" i="5"/>
  <c r="H297" i="5"/>
  <c r="K300" i="5"/>
  <c r="G302" i="5"/>
  <c r="K310" i="5"/>
  <c r="H312" i="5"/>
  <c r="L322" i="5"/>
  <c r="K324" i="5"/>
  <c r="L337" i="5"/>
  <c r="I341" i="5"/>
  <c r="G345" i="5"/>
  <c r="M374" i="5"/>
  <c r="J389" i="5"/>
  <c r="H389" i="5"/>
  <c r="C412" i="5"/>
  <c r="H412" i="5"/>
  <c r="K418" i="5"/>
  <c r="N418" i="5"/>
  <c r="M418" i="5"/>
  <c r="L418" i="5"/>
  <c r="I418" i="5"/>
  <c r="G418" i="5"/>
  <c r="L270" i="5"/>
  <c r="L273" i="5"/>
  <c r="J275" i="5"/>
  <c r="H275" i="5"/>
  <c r="L286" i="5"/>
  <c r="L289" i="5"/>
  <c r="J291" i="5"/>
  <c r="H291" i="5"/>
  <c r="K292" i="5"/>
  <c r="I297" i="5"/>
  <c r="J299" i="5"/>
  <c r="H299" i="5"/>
  <c r="C299" i="5"/>
  <c r="M300" i="5"/>
  <c r="C304" i="5"/>
  <c r="L310" i="5"/>
  <c r="C316" i="5"/>
  <c r="M322" i="5"/>
  <c r="M324" i="5"/>
  <c r="H328" i="5"/>
  <c r="C336" i="5"/>
  <c r="M337" i="5"/>
  <c r="J347" i="5"/>
  <c r="H347" i="5"/>
  <c r="C347" i="5"/>
  <c r="H375" i="5"/>
  <c r="C375" i="5"/>
  <c r="N394" i="5"/>
  <c r="M394" i="5"/>
  <c r="L394" i="5"/>
  <c r="K394" i="5"/>
  <c r="I394" i="5"/>
  <c r="G394" i="5"/>
  <c r="N396" i="5"/>
  <c r="H399" i="5"/>
  <c r="C399" i="5"/>
  <c r="J399" i="5"/>
  <c r="L406" i="5"/>
  <c r="K276" i="5"/>
  <c r="G288" i="5"/>
  <c r="M292" i="5"/>
  <c r="M310" i="5"/>
  <c r="G314" i="5"/>
  <c r="G321" i="5"/>
  <c r="N322" i="5"/>
  <c r="N325" i="5"/>
  <c r="K325" i="5"/>
  <c r="L341" i="5"/>
  <c r="I345" i="5"/>
  <c r="G349" i="5"/>
  <c r="G353" i="5"/>
  <c r="G357" i="5"/>
  <c r="G361" i="5"/>
  <c r="J365" i="5"/>
  <c r="H372" i="5"/>
  <c r="C397" i="5"/>
  <c r="J397" i="5"/>
  <c r="H379" i="5"/>
  <c r="C379" i="5"/>
  <c r="L424" i="5"/>
  <c r="K424" i="5"/>
  <c r="I424" i="5"/>
  <c r="G424" i="5"/>
  <c r="N424" i="5"/>
  <c r="C351" i="5"/>
  <c r="C355" i="5"/>
  <c r="C359" i="5"/>
  <c r="K382" i="5"/>
  <c r="H391" i="5"/>
  <c r="C391" i="5"/>
  <c r="H403" i="5"/>
  <c r="C403" i="5"/>
  <c r="J403" i="5"/>
  <c r="C409" i="5"/>
  <c r="L432" i="5"/>
  <c r="K432" i="5"/>
  <c r="I432" i="5"/>
  <c r="G432" i="5"/>
  <c r="N432" i="5"/>
  <c r="C413" i="5"/>
  <c r="H424" i="5"/>
  <c r="G430" i="5"/>
  <c r="L436" i="5"/>
  <c r="K436" i="5"/>
  <c r="I436" i="5"/>
  <c r="G436" i="5"/>
  <c r="N436" i="5"/>
  <c r="H407" i="5"/>
  <c r="C407" i="5"/>
  <c r="J407" i="5"/>
  <c r="M417" i="5"/>
  <c r="K417" i="5"/>
  <c r="G417" i="5"/>
  <c r="L440" i="5"/>
  <c r="K440" i="5"/>
  <c r="I440" i="5"/>
  <c r="G440" i="5"/>
  <c r="N440" i="5"/>
  <c r="G363" i="5"/>
  <c r="G366" i="5"/>
  <c r="C373" i="5"/>
  <c r="C388" i="5"/>
  <c r="H405" i="5"/>
  <c r="H411" i="5"/>
  <c r="C411" i="5"/>
  <c r="J411" i="5"/>
  <c r="N414" i="5"/>
  <c r="C421" i="5"/>
  <c r="M424" i="5"/>
  <c r="I430" i="5"/>
  <c r="H432" i="5"/>
  <c r="G438" i="5"/>
  <c r="L444" i="5"/>
  <c r="K444" i="5"/>
  <c r="I444" i="5"/>
  <c r="G444" i="5"/>
  <c r="N444" i="5"/>
  <c r="L368" i="5"/>
  <c r="K368" i="5"/>
  <c r="G368" i="5"/>
  <c r="H383" i="5"/>
  <c r="C383" i="5"/>
  <c r="G398" i="5"/>
  <c r="L400" i="5"/>
  <c r="K400" i="5"/>
  <c r="I400" i="5"/>
  <c r="G400" i="5"/>
  <c r="N400" i="5"/>
  <c r="H415" i="5"/>
  <c r="C415" i="5"/>
  <c r="J415" i="5"/>
  <c r="M425" i="5"/>
  <c r="K425" i="5"/>
  <c r="G425" i="5"/>
  <c r="H436" i="5"/>
  <c r="G442" i="5"/>
  <c r="L448" i="5"/>
  <c r="K448" i="5"/>
  <c r="I448" i="5"/>
  <c r="G448" i="5"/>
  <c r="N448" i="5"/>
  <c r="H351" i="5"/>
  <c r="H355" i="5"/>
  <c r="H359" i="5"/>
  <c r="I363" i="5"/>
  <c r="I366" i="5"/>
  <c r="H413" i="5"/>
  <c r="H419" i="5"/>
  <c r="C419" i="5"/>
  <c r="J419" i="5"/>
  <c r="C429" i="5"/>
  <c r="L430" i="5"/>
  <c r="M432" i="5"/>
  <c r="J436" i="5"/>
  <c r="I438" i="5"/>
  <c r="H440" i="5"/>
  <c r="G446" i="5"/>
  <c r="L452" i="5"/>
  <c r="K452" i="5"/>
  <c r="I452" i="5"/>
  <c r="G452" i="5"/>
  <c r="N452" i="5"/>
  <c r="H423" i="5"/>
  <c r="C423" i="5"/>
  <c r="J423" i="5"/>
  <c r="M433" i="5"/>
  <c r="K433" i="5"/>
  <c r="G433" i="5"/>
  <c r="K363" i="5"/>
  <c r="K366" i="5"/>
  <c r="I417" i="5"/>
  <c r="H421" i="5"/>
  <c r="H427" i="5"/>
  <c r="C427" i="5"/>
  <c r="J427" i="5"/>
  <c r="N430" i="5"/>
  <c r="L438" i="5"/>
  <c r="M440" i="5"/>
  <c r="J444" i="5"/>
  <c r="I446" i="5"/>
  <c r="H448" i="5"/>
  <c r="M363" i="5"/>
  <c r="M366" i="5"/>
  <c r="I368" i="5"/>
  <c r="K377" i="5"/>
  <c r="L392" i="5"/>
  <c r="K392" i="5"/>
  <c r="I392" i="5"/>
  <c r="G392" i="5"/>
  <c r="L398" i="5"/>
  <c r="L417" i="5"/>
  <c r="I425" i="5"/>
  <c r="H435" i="5"/>
  <c r="C435" i="5"/>
  <c r="J435" i="5"/>
  <c r="M442" i="5"/>
  <c r="M445" i="5"/>
  <c r="K445" i="5"/>
  <c r="G445" i="5"/>
  <c r="L446" i="5"/>
  <c r="M448" i="5"/>
  <c r="H387" i="5"/>
  <c r="C387" i="5"/>
  <c r="M400" i="5"/>
  <c r="L408" i="5"/>
  <c r="K408" i="5"/>
  <c r="I408" i="5"/>
  <c r="G408" i="5"/>
  <c r="N408" i="5"/>
  <c r="N417" i="5"/>
  <c r="H439" i="5"/>
  <c r="C439" i="5"/>
  <c r="J439" i="5"/>
  <c r="N442" i="5"/>
  <c r="M446" i="5"/>
  <c r="K37" i="5" l="1"/>
  <c r="N5" i="5"/>
  <c r="L445" i="5"/>
  <c r="N445" i="5"/>
  <c r="I445" i="5"/>
  <c r="N425" i="5"/>
  <c r="L425" i="5"/>
  <c r="N139" i="5"/>
  <c r="M139" i="5"/>
  <c r="L139" i="5"/>
  <c r="K30" i="5"/>
  <c r="L30" i="5"/>
  <c r="N30" i="5"/>
  <c r="M30" i="5"/>
  <c r="L179" i="5"/>
  <c r="I179" i="5"/>
  <c r="G145" i="5"/>
  <c r="N145" i="5"/>
  <c r="M145" i="5"/>
  <c r="L145" i="5"/>
  <c r="K145" i="5"/>
  <c r="L297" i="5"/>
  <c r="M297" i="5"/>
  <c r="G169" i="5"/>
  <c r="N169" i="5"/>
  <c r="M169" i="5"/>
  <c r="L169" i="5"/>
  <c r="K169" i="5"/>
  <c r="I169" i="5"/>
  <c r="G117" i="5"/>
  <c r="N117" i="5"/>
  <c r="M117" i="5"/>
  <c r="L117" i="5"/>
  <c r="K117" i="5"/>
  <c r="I117" i="5"/>
  <c r="G441" i="5"/>
  <c r="I37" i="5"/>
  <c r="L21" i="5"/>
  <c r="M5" i="5"/>
  <c r="G61" i="5"/>
  <c r="N61" i="5"/>
  <c r="I61" i="5"/>
  <c r="L61" i="5"/>
  <c r="M61" i="5"/>
  <c r="K61" i="5"/>
  <c r="N392" i="5"/>
  <c r="M392" i="5"/>
  <c r="G99" i="5"/>
  <c r="N99" i="5"/>
  <c r="M99" i="5"/>
  <c r="L99" i="5"/>
  <c r="K99" i="5"/>
  <c r="I99" i="5"/>
  <c r="K441" i="5"/>
  <c r="I21" i="5"/>
  <c r="L125" i="5"/>
  <c r="N62" i="5"/>
  <c r="M62" i="5"/>
  <c r="N21" i="5"/>
  <c r="I125" i="5"/>
  <c r="M21" i="5"/>
  <c r="M125" i="5"/>
  <c r="I3" i="5"/>
  <c r="K3" i="5"/>
  <c r="N3" i="5"/>
  <c r="M3" i="5"/>
  <c r="L3" i="5"/>
  <c r="I362" i="5"/>
  <c r="M362" i="5"/>
  <c r="L362" i="5"/>
  <c r="K362" i="5"/>
  <c r="G362" i="5"/>
  <c r="N362" i="5"/>
  <c r="K410" i="5"/>
  <c r="N410" i="5"/>
  <c r="M410" i="5"/>
  <c r="L410" i="5"/>
  <c r="I410" i="5"/>
  <c r="G410" i="5"/>
  <c r="N125" i="5"/>
  <c r="M345" i="5"/>
  <c r="L345" i="5"/>
  <c r="M357" i="5"/>
  <c r="I357" i="5"/>
  <c r="I310" i="5"/>
  <c r="N310" i="5"/>
  <c r="G310" i="5"/>
  <c r="I377" i="5"/>
  <c r="G377" i="5"/>
  <c r="N377" i="5"/>
  <c r="L377" i="5"/>
  <c r="G125" i="5"/>
  <c r="K5" i="5"/>
  <c r="G33" i="5"/>
  <c r="I33" i="5"/>
  <c r="M33" i="5"/>
  <c r="K33" i="5"/>
  <c r="N33" i="5"/>
  <c r="L33" i="5"/>
  <c r="M332" i="5"/>
  <c r="I332" i="5"/>
  <c r="I354" i="5"/>
  <c r="N354" i="5"/>
  <c r="M354" i="5"/>
  <c r="L354" i="5"/>
  <c r="K354" i="5"/>
  <c r="G354" i="5"/>
  <c r="K204" i="5"/>
  <c r="I204" i="5"/>
  <c r="G37" i="5"/>
  <c r="M37" i="5"/>
  <c r="L37" i="5"/>
  <c r="L5" i="5"/>
  <c r="K6" i="5"/>
  <c r="M6" i="5"/>
  <c r="N6" i="5"/>
  <c r="L6" i="5"/>
  <c r="I6" i="5"/>
  <c r="L203" i="5"/>
  <c r="I203" i="5"/>
  <c r="I282" i="5"/>
  <c r="N282" i="5"/>
  <c r="M282" i="5"/>
  <c r="L282" i="5"/>
  <c r="K282" i="5"/>
  <c r="I302" i="5"/>
  <c r="N302" i="5"/>
  <c r="M302" i="5"/>
  <c r="L302" i="5"/>
  <c r="K302" i="5"/>
  <c r="N142" i="5"/>
  <c r="M142" i="5"/>
  <c r="K2" i="5"/>
  <c r="N2" i="5"/>
  <c r="M2" i="5"/>
  <c r="L2" i="5"/>
  <c r="I2" i="5"/>
  <c r="G2" i="5"/>
  <c r="K21" i="5"/>
  <c r="N278" i="5"/>
  <c r="M278" i="5"/>
  <c r="L278" i="5"/>
  <c r="K278" i="5"/>
  <c r="I278" i="5"/>
  <c r="G278" i="5"/>
  <c r="L59" i="5"/>
  <c r="K59" i="5"/>
  <c r="N441" i="5"/>
  <c r="L441" i="5"/>
  <c r="I441" i="5"/>
  <c r="M273" i="5"/>
  <c r="N273" i="5"/>
  <c r="I273" i="5"/>
  <c r="G29" i="5"/>
  <c r="N29" i="5"/>
  <c r="L29" i="5"/>
  <c r="M29" i="5"/>
  <c r="K29" i="5"/>
  <c r="I29" i="5"/>
  <c r="G387" i="5"/>
  <c r="N387" i="5"/>
  <c r="M387" i="5"/>
  <c r="L387" i="5"/>
  <c r="K387" i="5"/>
  <c r="I387" i="5"/>
  <c r="M359" i="5"/>
  <c r="L359" i="5"/>
  <c r="G359" i="5"/>
  <c r="N359" i="5"/>
  <c r="I359" i="5"/>
  <c r="K359" i="5"/>
  <c r="N328" i="5"/>
  <c r="L328" i="5"/>
  <c r="K328" i="5"/>
  <c r="G328" i="5"/>
  <c r="I328" i="5"/>
  <c r="M328" i="5"/>
  <c r="M335" i="5"/>
  <c r="L335" i="5"/>
  <c r="G335" i="5"/>
  <c r="N335" i="5"/>
  <c r="K335" i="5"/>
  <c r="I335" i="5"/>
  <c r="M315" i="5"/>
  <c r="N315" i="5"/>
  <c r="L315" i="5"/>
  <c r="K315" i="5"/>
  <c r="I315" i="5"/>
  <c r="G315" i="5"/>
  <c r="L230" i="5"/>
  <c r="K230" i="5"/>
  <c r="I230" i="5"/>
  <c r="G230" i="5"/>
  <c r="N230" i="5"/>
  <c r="M230" i="5"/>
  <c r="G197" i="5"/>
  <c r="I197" i="5"/>
  <c r="N197" i="5"/>
  <c r="L197" i="5"/>
  <c r="K197" i="5"/>
  <c r="M197" i="5"/>
  <c r="G173" i="5"/>
  <c r="N173" i="5"/>
  <c r="M173" i="5"/>
  <c r="L173" i="5"/>
  <c r="K173" i="5"/>
  <c r="I173" i="5"/>
  <c r="M167" i="5"/>
  <c r="L167" i="5"/>
  <c r="K167" i="5"/>
  <c r="I167" i="5"/>
  <c r="G167" i="5"/>
  <c r="N167" i="5"/>
  <c r="L178" i="5"/>
  <c r="K178" i="5"/>
  <c r="I178" i="5"/>
  <c r="G178" i="5"/>
  <c r="N178" i="5"/>
  <c r="M178" i="5"/>
  <c r="G241" i="5"/>
  <c r="N241" i="5"/>
  <c r="M241" i="5"/>
  <c r="L241" i="5"/>
  <c r="K241" i="5"/>
  <c r="I241" i="5"/>
  <c r="N63" i="5"/>
  <c r="M63" i="5"/>
  <c r="I63" i="5"/>
  <c r="L63" i="5"/>
  <c r="K63" i="5"/>
  <c r="G63" i="5"/>
  <c r="N305" i="5"/>
  <c r="K305" i="5"/>
  <c r="M305" i="5"/>
  <c r="L305" i="5"/>
  <c r="I305" i="5"/>
  <c r="G305" i="5"/>
  <c r="K42" i="5"/>
  <c r="I42" i="5"/>
  <c r="N42" i="5"/>
  <c r="L42" i="5"/>
  <c r="M42" i="5"/>
  <c r="G42" i="5"/>
  <c r="M311" i="5"/>
  <c r="N311" i="5"/>
  <c r="L311" i="5"/>
  <c r="K311" i="5"/>
  <c r="I311" i="5"/>
  <c r="G311" i="5"/>
  <c r="G415" i="5"/>
  <c r="M415" i="5"/>
  <c r="L415" i="5"/>
  <c r="I415" i="5"/>
  <c r="N415" i="5"/>
  <c r="K415" i="5"/>
  <c r="M355" i="5"/>
  <c r="L355" i="5"/>
  <c r="G355" i="5"/>
  <c r="N355" i="5"/>
  <c r="I355" i="5"/>
  <c r="K355" i="5"/>
  <c r="L226" i="5"/>
  <c r="K226" i="5"/>
  <c r="I226" i="5"/>
  <c r="G226" i="5"/>
  <c r="N226" i="5"/>
  <c r="M226" i="5"/>
  <c r="G431" i="5"/>
  <c r="M431" i="5"/>
  <c r="N431" i="5"/>
  <c r="L431" i="5"/>
  <c r="K431" i="5"/>
  <c r="I431" i="5"/>
  <c r="G257" i="5"/>
  <c r="N257" i="5"/>
  <c r="M257" i="5"/>
  <c r="L257" i="5"/>
  <c r="K257" i="5"/>
  <c r="I257" i="5"/>
  <c r="N159" i="5"/>
  <c r="M159" i="5"/>
  <c r="K159" i="5"/>
  <c r="I159" i="5"/>
  <c r="L159" i="5"/>
  <c r="G159" i="5"/>
  <c r="L23" i="5"/>
  <c r="G23" i="5"/>
  <c r="M23" i="5"/>
  <c r="N23" i="5"/>
  <c r="K23" i="5"/>
  <c r="I23" i="5"/>
  <c r="G189" i="5"/>
  <c r="N189" i="5"/>
  <c r="M189" i="5"/>
  <c r="L189" i="5"/>
  <c r="K189" i="5"/>
  <c r="I189" i="5"/>
  <c r="M351" i="5"/>
  <c r="L351" i="5"/>
  <c r="G351" i="5"/>
  <c r="N351" i="5"/>
  <c r="I351" i="5"/>
  <c r="K351" i="5"/>
  <c r="N316" i="5"/>
  <c r="L316" i="5"/>
  <c r="G316" i="5"/>
  <c r="M316" i="5"/>
  <c r="K316" i="5"/>
  <c r="I316" i="5"/>
  <c r="L222" i="5"/>
  <c r="K222" i="5"/>
  <c r="I222" i="5"/>
  <c r="G222" i="5"/>
  <c r="N222" i="5"/>
  <c r="M222" i="5"/>
  <c r="G245" i="5"/>
  <c r="N245" i="5"/>
  <c r="M245" i="5"/>
  <c r="L245" i="5"/>
  <c r="K245" i="5"/>
  <c r="I245" i="5"/>
  <c r="N191" i="5"/>
  <c r="M191" i="5"/>
  <c r="K191" i="5"/>
  <c r="L191" i="5"/>
  <c r="I191" i="5"/>
  <c r="G191" i="5"/>
  <c r="K54" i="5"/>
  <c r="I54" i="5"/>
  <c r="N54" i="5"/>
  <c r="M54" i="5"/>
  <c r="L54" i="5"/>
  <c r="G54" i="5"/>
  <c r="G221" i="5"/>
  <c r="N221" i="5"/>
  <c r="M221" i="5"/>
  <c r="L221" i="5"/>
  <c r="K221" i="5"/>
  <c r="I221" i="5"/>
  <c r="L420" i="5"/>
  <c r="K420" i="5"/>
  <c r="I420" i="5"/>
  <c r="G420" i="5"/>
  <c r="N420" i="5"/>
  <c r="M420" i="5"/>
  <c r="G193" i="5"/>
  <c r="I193" i="5"/>
  <c r="M193" i="5"/>
  <c r="N193" i="5"/>
  <c r="L193" i="5"/>
  <c r="K193" i="5"/>
  <c r="G161" i="5"/>
  <c r="N161" i="5"/>
  <c r="M161" i="5"/>
  <c r="L161" i="5"/>
  <c r="K161" i="5"/>
  <c r="I161" i="5"/>
  <c r="G45" i="5"/>
  <c r="I45" i="5"/>
  <c r="M45" i="5"/>
  <c r="N45" i="5"/>
  <c r="L45" i="5"/>
  <c r="K45" i="5"/>
  <c r="G13" i="5"/>
  <c r="I13" i="5"/>
  <c r="N13" i="5"/>
  <c r="L13" i="5"/>
  <c r="K13" i="5"/>
  <c r="M13" i="5"/>
  <c r="N51" i="5"/>
  <c r="M51" i="5"/>
  <c r="K51" i="5"/>
  <c r="I51" i="5"/>
  <c r="G51" i="5"/>
  <c r="L51" i="5"/>
  <c r="N183" i="5"/>
  <c r="M183" i="5"/>
  <c r="K183" i="5"/>
  <c r="L183" i="5"/>
  <c r="I183" i="5"/>
  <c r="G183" i="5"/>
  <c r="M413" i="5"/>
  <c r="K413" i="5"/>
  <c r="G413" i="5"/>
  <c r="N413" i="5"/>
  <c r="I413" i="5"/>
  <c r="L413" i="5"/>
  <c r="N299" i="5"/>
  <c r="M299" i="5"/>
  <c r="L299" i="5"/>
  <c r="I299" i="5"/>
  <c r="G299" i="5"/>
  <c r="K299" i="5"/>
  <c r="G265" i="5"/>
  <c r="N265" i="5"/>
  <c r="M265" i="5"/>
  <c r="L265" i="5"/>
  <c r="K265" i="5"/>
  <c r="I265" i="5"/>
  <c r="G217" i="5"/>
  <c r="N217" i="5"/>
  <c r="M217" i="5"/>
  <c r="L217" i="5"/>
  <c r="K217" i="5"/>
  <c r="I217" i="5"/>
  <c r="N284" i="5"/>
  <c r="L284" i="5"/>
  <c r="M284" i="5"/>
  <c r="K284" i="5"/>
  <c r="I284" i="5"/>
  <c r="G284" i="5"/>
  <c r="K18" i="5"/>
  <c r="N18" i="5"/>
  <c r="M18" i="5"/>
  <c r="L18" i="5"/>
  <c r="I18" i="5"/>
  <c r="G18" i="5"/>
  <c r="M421" i="5"/>
  <c r="K421" i="5"/>
  <c r="G421" i="5"/>
  <c r="L421" i="5"/>
  <c r="N421" i="5"/>
  <c r="I421" i="5"/>
  <c r="M307" i="5"/>
  <c r="G307" i="5"/>
  <c r="N307" i="5"/>
  <c r="L307" i="5"/>
  <c r="K307" i="5"/>
  <c r="I307" i="5"/>
  <c r="I285" i="5"/>
  <c r="G285" i="5"/>
  <c r="N285" i="5"/>
  <c r="M285" i="5"/>
  <c r="L285" i="5"/>
  <c r="K285" i="5"/>
  <c r="L266" i="5"/>
  <c r="K266" i="5"/>
  <c r="I266" i="5"/>
  <c r="G266" i="5"/>
  <c r="N266" i="5"/>
  <c r="M266" i="5"/>
  <c r="N303" i="5"/>
  <c r="M303" i="5"/>
  <c r="L303" i="5"/>
  <c r="K303" i="5"/>
  <c r="I303" i="5"/>
  <c r="G303" i="5"/>
  <c r="L214" i="5"/>
  <c r="K214" i="5"/>
  <c r="I214" i="5"/>
  <c r="G214" i="5"/>
  <c r="N214" i="5"/>
  <c r="M214" i="5"/>
  <c r="N175" i="5"/>
  <c r="M175" i="5"/>
  <c r="K175" i="5"/>
  <c r="L175" i="5"/>
  <c r="I175" i="5"/>
  <c r="G175" i="5"/>
  <c r="L174" i="5"/>
  <c r="K174" i="5"/>
  <c r="G174" i="5"/>
  <c r="N174" i="5"/>
  <c r="M174" i="5"/>
  <c r="I174" i="5"/>
  <c r="G427" i="5"/>
  <c r="I427" i="5"/>
  <c r="N427" i="5"/>
  <c r="M427" i="5"/>
  <c r="L427" i="5"/>
  <c r="K427" i="5"/>
  <c r="L428" i="5"/>
  <c r="K428" i="5"/>
  <c r="I428" i="5"/>
  <c r="G428" i="5"/>
  <c r="N428" i="5"/>
  <c r="M428" i="5"/>
  <c r="M323" i="5"/>
  <c r="L323" i="5"/>
  <c r="N323" i="5"/>
  <c r="K323" i="5"/>
  <c r="I323" i="5"/>
  <c r="G323" i="5"/>
  <c r="G201" i="5"/>
  <c r="N201" i="5"/>
  <c r="M201" i="5"/>
  <c r="K201" i="5"/>
  <c r="I201" i="5"/>
  <c r="L201" i="5"/>
  <c r="K365" i="5"/>
  <c r="G365" i="5"/>
  <c r="M365" i="5"/>
  <c r="I365" i="5"/>
  <c r="N365" i="5"/>
  <c r="L365" i="5"/>
  <c r="G451" i="5"/>
  <c r="N451" i="5"/>
  <c r="M451" i="5"/>
  <c r="L451" i="5"/>
  <c r="K451" i="5"/>
  <c r="I451" i="5"/>
  <c r="G249" i="5"/>
  <c r="I249" i="5"/>
  <c r="M249" i="5"/>
  <c r="N249" i="5"/>
  <c r="L249" i="5"/>
  <c r="K249" i="5"/>
  <c r="G383" i="5"/>
  <c r="L383" i="5"/>
  <c r="K383" i="5"/>
  <c r="I383" i="5"/>
  <c r="N383" i="5"/>
  <c r="M383" i="5"/>
  <c r="M409" i="5"/>
  <c r="K409" i="5"/>
  <c r="G409" i="5"/>
  <c r="L409" i="5"/>
  <c r="I409" i="5"/>
  <c r="N409" i="5"/>
  <c r="M449" i="5"/>
  <c r="K449" i="5"/>
  <c r="G449" i="5"/>
  <c r="N449" i="5"/>
  <c r="L449" i="5"/>
  <c r="I449" i="5"/>
  <c r="L258" i="5"/>
  <c r="K258" i="5"/>
  <c r="I258" i="5"/>
  <c r="G258" i="5"/>
  <c r="N258" i="5"/>
  <c r="M258" i="5"/>
  <c r="L210" i="5"/>
  <c r="K210" i="5"/>
  <c r="I210" i="5"/>
  <c r="G210" i="5"/>
  <c r="N210" i="5"/>
  <c r="M210" i="5"/>
  <c r="G233" i="5"/>
  <c r="N233" i="5"/>
  <c r="M233" i="5"/>
  <c r="L233" i="5"/>
  <c r="K233" i="5"/>
  <c r="I233" i="5"/>
  <c r="L254" i="5"/>
  <c r="K254" i="5"/>
  <c r="I254" i="5"/>
  <c r="G254" i="5"/>
  <c r="N254" i="5"/>
  <c r="M254" i="5"/>
  <c r="M385" i="5"/>
  <c r="K385" i="5"/>
  <c r="G385" i="5"/>
  <c r="N385" i="5"/>
  <c r="L385" i="5"/>
  <c r="I385" i="5"/>
  <c r="L416" i="5"/>
  <c r="K416" i="5"/>
  <c r="I416" i="5"/>
  <c r="G416" i="5"/>
  <c r="N416" i="5"/>
  <c r="M416" i="5"/>
  <c r="K27" i="5"/>
  <c r="I27" i="5"/>
  <c r="G27" i="5"/>
  <c r="N27" i="5"/>
  <c r="M27" i="5"/>
  <c r="L27" i="5"/>
  <c r="N312" i="5"/>
  <c r="L312" i="5"/>
  <c r="G312" i="5"/>
  <c r="K312" i="5"/>
  <c r="I312" i="5"/>
  <c r="M312" i="5"/>
  <c r="G149" i="5"/>
  <c r="N149" i="5"/>
  <c r="M149" i="5"/>
  <c r="L149" i="5"/>
  <c r="K149" i="5"/>
  <c r="I149" i="5"/>
  <c r="G447" i="5"/>
  <c r="N447" i="5"/>
  <c r="M447" i="5"/>
  <c r="L447" i="5"/>
  <c r="K447" i="5"/>
  <c r="I447" i="5"/>
  <c r="M319" i="5"/>
  <c r="I319" i="5"/>
  <c r="G319" i="5"/>
  <c r="N319" i="5"/>
  <c r="L319" i="5"/>
  <c r="K319" i="5"/>
  <c r="L412" i="5"/>
  <c r="K412" i="5"/>
  <c r="I412" i="5"/>
  <c r="G412" i="5"/>
  <c r="N412" i="5"/>
  <c r="M412" i="5"/>
  <c r="G439" i="5"/>
  <c r="N439" i="5"/>
  <c r="M439" i="5"/>
  <c r="K439" i="5"/>
  <c r="L439" i="5"/>
  <c r="I439" i="5"/>
  <c r="G403" i="5"/>
  <c r="N403" i="5"/>
  <c r="L403" i="5"/>
  <c r="K403" i="5"/>
  <c r="I403" i="5"/>
  <c r="M403" i="5"/>
  <c r="M397" i="5"/>
  <c r="K397" i="5"/>
  <c r="N397" i="5"/>
  <c r="L397" i="5"/>
  <c r="I397" i="5"/>
  <c r="G397" i="5"/>
  <c r="I269" i="5"/>
  <c r="G269" i="5"/>
  <c r="N269" i="5"/>
  <c r="M269" i="5"/>
  <c r="L269" i="5"/>
  <c r="K269" i="5"/>
  <c r="N295" i="5"/>
  <c r="M295" i="5"/>
  <c r="L295" i="5"/>
  <c r="K295" i="5"/>
  <c r="I295" i="5"/>
  <c r="G295" i="5"/>
  <c r="L250" i="5"/>
  <c r="K250" i="5"/>
  <c r="I250" i="5"/>
  <c r="G250" i="5"/>
  <c r="N250" i="5"/>
  <c r="M250" i="5"/>
  <c r="G209" i="5"/>
  <c r="N209" i="5"/>
  <c r="M209" i="5"/>
  <c r="L209" i="5"/>
  <c r="K209" i="5"/>
  <c r="I209" i="5"/>
  <c r="G225" i="5"/>
  <c r="N225" i="5"/>
  <c r="M225" i="5"/>
  <c r="K225" i="5"/>
  <c r="L225" i="5"/>
  <c r="I225" i="5"/>
  <c r="G261" i="5"/>
  <c r="I261" i="5"/>
  <c r="N261" i="5"/>
  <c r="L261" i="5"/>
  <c r="M261" i="5"/>
  <c r="K261" i="5"/>
  <c r="N223" i="5"/>
  <c r="M223" i="5"/>
  <c r="K223" i="5"/>
  <c r="I223" i="5"/>
  <c r="G223" i="5"/>
  <c r="L223" i="5"/>
  <c r="G141" i="5"/>
  <c r="L141" i="5"/>
  <c r="K141" i="5"/>
  <c r="N141" i="5"/>
  <c r="M141" i="5"/>
  <c r="I141" i="5"/>
  <c r="G229" i="5"/>
  <c r="K229" i="5"/>
  <c r="I229" i="5"/>
  <c r="N229" i="5"/>
  <c r="M229" i="5"/>
  <c r="L229" i="5"/>
  <c r="G375" i="5"/>
  <c r="N375" i="5"/>
  <c r="L375" i="5"/>
  <c r="M375" i="5"/>
  <c r="K375" i="5"/>
  <c r="I375" i="5"/>
  <c r="G407" i="5"/>
  <c r="N407" i="5"/>
  <c r="L407" i="5"/>
  <c r="I407" i="5"/>
  <c r="K407" i="5"/>
  <c r="M407" i="5"/>
  <c r="M343" i="5"/>
  <c r="L343" i="5"/>
  <c r="G343" i="5"/>
  <c r="I343" i="5"/>
  <c r="N343" i="5"/>
  <c r="K343" i="5"/>
  <c r="M331" i="5"/>
  <c r="L331" i="5"/>
  <c r="G331" i="5"/>
  <c r="N331" i="5"/>
  <c r="K331" i="5"/>
  <c r="I331" i="5"/>
  <c r="L246" i="5"/>
  <c r="K246" i="5"/>
  <c r="I246" i="5"/>
  <c r="G246" i="5"/>
  <c r="N246" i="5"/>
  <c r="M246" i="5"/>
  <c r="L376" i="5"/>
  <c r="K376" i="5"/>
  <c r="I376" i="5"/>
  <c r="G376" i="5"/>
  <c r="M376" i="5"/>
  <c r="N376" i="5"/>
  <c r="G237" i="5"/>
  <c r="N237" i="5"/>
  <c r="M237" i="5"/>
  <c r="L237" i="5"/>
  <c r="K237" i="5"/>
  <c r="I237" i="5"/>
  <c r="L150" i="5"/>
  <c r="K150" i="5"/>
  <c r="I150" i="5"/>
  <c r="M150" i="5"/>
  <c r="N150" i="5"/>
  <c r="G150" i="5"/>
  <c r="N75" i="5"/>
  <c r="M75" i="5"/>
  <c r="L75" i="5"/>
  <c r="G75" i="5"/>
  <c r="K75" i="5"/>
  <c r="I75" i="5"/>
  <c r="G17" i="5"/>
  <c r="L17" i="5"/>
  <c r="K17" i="5"/>
  <c r="I17" i="5"/>
  <c r="M17" i="5"/>
  <c r="N17" i="5"/>
  <c r="L98" i="5"/>
  <c r="K98" i="5"/>
  <c r="N98" i="5"/>
  <c r="M98" i="5"/>
  <c r="I98" i="5"/>
  <c r="G98" i="5"/>
  <c r="G213" i="5"/>
  <c r="N213" i="5"/>
  <c r="M213" i="5"/>
  <c r="L213" i="5"/>
  <c r="K213" i="5"/>
  <c r="I213" i="5"/>
  <c r="M327" i="5"/>
  <c r="L327" i="5"/>
  <c r="G327" i="5"/>
  <c r="N327" i="5"/>
  <c r="K327" i="5"/>
  <c r="I327" i="5"/>
  <c r="M429" i="5"/>
  <c r="K429" i="5"/>
  <c r="G429" i="5"/>
  <c r="I429" i="5"/>
  <c r="N429" i="5"/>
  <c r="L429" i="5"/>
  <c r="G367" i="5"/>
  <c r="N367" i="5"/>
  <c r="L367" i="5"/>
  <c r="K367" i="5"/>
  <c r="I367" i="5"/>
  <c r="M367" i="5"/>
  <c r="L242" i="5"/>
  <c r="K242" i="5"/>
  <c r="I242" i="5"/>
  <c r="G242" i="5"/>
  <c r="N242" i="5"/>
  <c r="M242" i="5"/>
  <c r="G177" i="5"/>
  <c r="I177" i="5"/>
  <c r="M177" i="5"/>
  <c r="N177" i="5"/>
  <c r="L177" i="5"/>
  <c r="K177" i="5"/>
  <c r="N301" i="5"/>
  <c r="K301" i="5"/>
  <c r="M301" i="5"/>
  <c r="L301" i="5"/>
  <c r="I301" i="5"/>
  <c r="G301" i="5"/>
  <c r="L198" i="5"/>
  <c r="K198" i="5"/>
  <c r="I198" i="5"/>
  <c r="G198" i="5"/>
  <c r="N198" i="5"/>
  <c r="M198" i="5"/>
  <c r="K94" i="5"/>
  <c r="N94" i="5"/>
  <c r="M94" i="5"/>
  <c r="L94" i="5"/>
  <c r="I94" i="5"/>
  <c r="G94" i="5"/>
  <c r="L218" i="5"/>
  <c r="K218" i="5"/>
  <c r="I218" i="5"/>
  <c r="G218" i="5"/>
  <c r="N218" i="5"/>
  <c r="M218" i="5"/>
  <c r="G395" i="5"/>
  <c r="I395" i="5"/>
  <c r="N395" i="5"/>
  <c r="M395" i="5"/>
  <c r="L395" i="5"/>
  <c r="K395" i="5"/>
  <c r="L262" i="5"/>
  <c r="K262" i="5"/>
  <c r="I262" i="5"/>
  <c r="G262" i="5"/>
  <c r="N262" i="5"/>
  <c r="M262" i="5"/>
  <c r="M347" i="5"/>
  <c r="L347" i="5"/>
  <c r="G347" i="5"/>
  <c r="K347" i="5"/>
  <c r="N347" i="5"/>
  <c r="I347" i="5"/>
  <c r="G435" i="5"/>
  <c r="N435" i="5"/>
  <c r="L435" i="5"/>
  <c r="M435" i="5"/>
  <c r="K435" i="5"/>
  <c r="I435" i="5"/>
  <c r="L388" i="5"/>
  <c r="K388" i="5"/>
  <c r="I388" i="5"/>
  <c r="G388" i="5"/>
  <c r="N388" i="5"/>
  <c r="M388" i="5"/>
  <c r="M339" i="5"/>
  <c r="L339" i="5"/>
  <c r="G339" i="5"/>
  <c r="N339" i="5"/>
  <c r="K339" i="5"/>
  <c r="I339" i="5"/>
  <c r="G419" i="5"/>
  <c r="L419" i="5"/>
  <c r="K419" i="5"/>
  <c r="N419" i="5"/>
  <c r="M419" i="5"/>
  <c r="I419" i="5"/>
  <c r="M373" i="5"/>
  <c r="K373" i="5"/>
  <c r="I373" i="5"/>
  <c r="G373" i="5"/>
  <c r="N373" i="5"/>
  <c r="L373" i="5"/>
  <c r="N336" i="5"/>
  <c r="L336" i="5"/>
  <c r="K336" i="5"/>
  <c r="G336" i="5"/>
  <c r="M336" i="5"/>
  <c r="I336" i="5"/>
  <c r="G443" i="5"/>
  <c r="N443" i="5"/>
  <c r="M443" i="5"/>
  <c r="L443" i="5"/>
  <c r="I443" i="5"/>
  <c r="K443" i="5"/>
  <c r="L238" i="5"/>
  <c r="K238" i="5"/>
  <c r="I238" i="5"/>
  <c r="G238" i="5"/>
  <c r="N238" i="5"/>
  <c r="M238" i="5"/>
  <c r="L182" i="5"/>
  <c r="K182" i="5"/>
  <c r="I182" i="5"/>
  <c r="G182" i="5"/>
  <c r="N182" i="5"/>
  <c r="M182" i="5"/>
  <c r="L206" i="5"/>
  <c r="K206" i="5"/>
  <c r="I206" i="5"/>
  <c r="G206" i="5"/>
  <c r="N206" i="5"/>
  <c r="M206" i="5"/>
  <c r="L202" i="5"/>
  <c r="K202" i="5"/>
  <c r="I202" i="5"/>
  <c r="G202" i="5"/>
  <c r="N202" i="5"/>
  <c r="M202" i="5"/>
  <c r="L194" i="5"/>
  <c r="K194" i="5"/>
  <c r="I194" i="5"/>
  <c r="G194" i="5"/>
  <c r="N194" i="5"/>
  <c r="M194" i="5"/>
  <c r="G65" i="5"/>
  <c r="L65" i="5"/>
  <c r="K65" i="5"/>
  <c r="I65" i="5"/>
  <c r="N65" i="5"/>
  <c r="M65" i="5"/>
  <c r="N215" i="5"/>
  <c r="M215" i="5"/>
  <c r="K215" i="5"/>
  <c r="G215" i="5"/>
  <c r="L215" i="5"/>
  <c r="I215" i="5"/>
  <c r="N304" i="5"/>
  <c r="L304" i="5"/>
  <c r="G304" i="5"/>
  <c r="M304" i="5"/>
  <c r="K304" i="5"/>
  <c r="I304" i="5"/>
  <c r="G371" i="5"/>
  <c r="N371" i="5"/>
  <c r="M371" i="5"/>
  <c r="K371" i="5"/>
  <c r="I371" i="5"/>
  <c r="L371" i="5"/>
  <c r="G253" i="5"/>
  <c r="N253" i="5"/>
  <c r="M253" i="5"/>
  <c r="L253" i="5"/>
  <c r="K253" i="5"/>
  <c r="I253" i="5"/>
  <c r="G379" i="5"/>
  <c r="M379" i="5"/>
  <c r="L379" i="5"/>
  <c r="K379" i="5"/>
  <c r="I379" i="5"/>
  <c r="N379" i="5"/>
  <c r="G411" i="5"/>
  <c r="N411" i="5"/>
  <c r="M411" i="5"/>
  <c r="K411" i="5"/>
  <c r="I411" i="5"/>
  <c r="L411" i="5"/>
  <c r="G391" i="5"/>
  <c r="M391" i="5"/>
  <c r="K391" i="5"/>
  <c r="I391" i="5"/>
  <c r="N391" i="5"/>
  <c r="L391" i="5"/>
  <c r="G423" i="5"/>
  <c r="K423" i="5"/>
  <c r="I423" i="5"/>
  <c r="N423" i="5"/>
  <c r="M423" i="5"/>
  <c r="L423" i="5"/>
  <c r="G399" i="5"/>
  <c r="N399" i="5"/>
  <c r="M399" i="5"/>
  <c r="L399" i="5"/>
  <c r="K399" i="5"/>
  <c r="I399" i="5"/>
  <c r="N317" i="5"/>
  <c r="K317" i="5"/>
  <c r="M317" i="5"/>
  <c r="L317" i="5"/>
  <c r="I317" i="5"/>
  <c r="G317" i="5"/>
  <c r="L234" i="5"/>
  <c r="K234" i="5"/>
  <c r="I234" i="5"/>
  <c r="G234" i="5"/>
  <c r="N234" i="5"/>
  <c r="M234" i="5"/>
  <c r="G181" i="5"/>
  <c r="N181" i="5"/>
  <c r="M181" i="5"/>
  <c r="L181" i="5"/>
  <c r="K181" i="5"/>
  <c r="I181" i="5"/>
  <c r="G205" i="5"/>
  <c r="N205" i="5"/>
  <c r="M205" i="5"/>
  <c r="L205" i="5"/>
  <c r="K205" i="5"/>
  <c r="I205" i="5"/>
  <c r="N344" i="5"/>
  <c r="L344" i="5"/>
  <c r="K344" i="5"/>
  <c r="G344" i="5"/>
  <c r="M344" i="5"/>
  <c r="I344" i="5"/>
  <c r="G185" i="5"/>
  <c r="N185" i="5"/>
  <c r="M185" i="5"/>
  <c r="L185" i="5"/>
  <c r="K185" i="5"/>
  <c r="I185" i="5"/>
  <c r="N143" i="5"/>
  <c r="M143" i="5"/>
  <c r="L143" i="5"/>
  <c r="K143" i="5"/>
  <c r="I143" i="5"/>
  <c r="G143" i="5"/>
  <c r="K66" i="5"/>
  <c r="I66" i="5"/>
  <c r="L66" i="5"/>
  <c r="N66" i="5"/>
  <c r="M66" i="5"/>
  <c r="G66" i="5"/>
</calcChain>
</file>

<file path=xl/sharedStrings.xml><?xml version="1.0" encoding="utf-8"?>
<sst xmlns="http://schemas.openxmlformats.org/spreadsheetml/2006/main" count="31841" uniqueCount="15022">
  <si>
    <t>URL</t>
  </si>
  <si>
    <t>https://www.ncbi.nlm.nih.gov/datasets/genome/GCF_020736045.1/</t>
  </si>
  <si>
    <t>NCBI RefSeq assembly</t>
  </si>
  <si>
    <t>GCF_020736045.1</t>
  </si>
  <si>
    <t>BioSample ID</t>
  </si>
  <si>
    <t>SAMN22091657</t>
  </si>
  <si>
    <t>Sample name</t>
  </si>
  <si>
    <t>Assembly number</t>
  </si>
  <si>
    <t>ASM2073604v1</t>
  </si>
  <si>
    <t>Chromosome ref seq</t>
  </si>
  <si>
    <t>NZ_CP085952.1</t>
  </si>
  <si>
    <t>Ref Seq</t>
  </si>
  <si>
    <t>GenBank</t>
  </si>
  <si>
    <t>Genome size</t>
  </si>
  <si>
    <t>1.9 Mb</t>
  </si>
  <si>
    <t>1.9Mb</t>
  </si>
  <si>
    <t>Total ungapped length</t>
  </si>
  <si>
    <t>Number of chromosomes</t>
  </si>
  <si>
    <t>Number of scaffolds</t>
  </si>
  <si>
    <t>Scaffold N50</t>
  </si>
  <si>
    <t>Scaffold L50</t>
  </si>
  <si>
    <t>Number of contigs</t>
  </si>
  <si>
    <t>Contig N50</t>
  </si>
  <si>
    <t>Contig L50</t>
  </si>
  <si>
    <t>GC percent</t>
  </si>
  <si>
    <t>Assembly level</t>
  </si>
  <si>
    <t>Complete Genome</t>
  </si>
  <si>
    <t>Genes</t>
  </si>
  <si>
    <t>Protein-coding</t>
  </si>
  <si>
    <t>Chromosome</t>
  </si>
  <si>
    <t>CP085952.1</t>
  </si>
  <si>
    <t>CheckM analysis</t>
  </si>
  <si>
    <t>Completeness</t>
  </si>
  <si>
    <t>Contamination</t>
  </si>
  <si>
    <t>Accession</t>
  </si>
  <si>
    <t>Begin</t>
  </si>
  <si>
    <t>End</t>
  </si>
  <si>
    <t>Orientation</t>
  </si>
  <si>
    <t>Name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</si>
  <si>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</si>
  <si>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</si>
  <si>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</si>
  <si>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</si>
  <si>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</si>
  <si>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</si>
  <si>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</si>
  <si>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</si>
  <si>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</si>
  <si>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plus</t>
  </si>
  <si>
    <t>GntR family transcriptional regulator</t>
  </si>
  <si>
    <t>protein-coding</t>
  </si>
  <si>
    <t>UEB31647.1</t>
  </si>
  <si>
    <t>LK401_00010</t>
  </si>
  <si>
    <t>mannonate dehydratase</t>
  </si>
  <si>
    <t>uxuA</t>
  </si>
  <si>
    <t>UEB31648.1</t>
  </si>
  <si>
    <t>LK401_00015</t>
  </si>
  <si>
    <t>minus</t>
  </si>
  <si>
    <t>TerC family protein</t>
  </si>
  <si>
    <t>UEB31649.1</t>
  </si>
  <si>
    <t>LK401_00020</t>
  </si>
  <si>
    <t>excinuclease ABC subunit UvrC</t>
  </si>
  <si>
    <t>uvrC</t>
  </si>
  <si>
    <t>UEB31650.1</t>
  </si>
  <si>
    <t>LK401_00025</t>
  </si>
  <si>
    <t>3-deoxy-manno-octulosonate cytidylyltransferase</t>
  </si>
  <si>
    <t>kdsB</t>
  </si>
  <si>
    <t>UEB31651.1</t>
  </si>
  <si>
    <t>LK401_00030</t>
  </si>
  <si>
    <t>tetraacyldisaccharide 4'-kinase</t>
  </si>
  <si>
    <t>lpxK</t>
  </si>
  <si>
    <t>UEB31652.1</t>
  </si>
  <si>
    <t>LK401_00035</t>
  </si>
  <si>
    <t>lipid A ABC transporter ATP-binding protein/permease MsbA</t>
  </si>
  <si>
    <t>msbA</t>
  </si>
  <si>
    <t>UEB31653.1</t>
  </si>
  <si>
    <t>LK401_00040</t>
  </si>
  <si>
    <t>DNA internalization-related competence protein ComEC/Rec2</t>
  </si>
  <si>
    <t>UEB31654.1</t>
  </si>
  <si>
    <t>LK401_00045</t>
  </si>
  <si>
    <t>RNA polymerase-binding protein DksA</t>
  </si>
  <si>
    <t>dksA</t>
  </si>
  <si>
    <t>UEB31655.1</t>
  </si>
  <si>
    <t>LK401_00050</t>
  </si>
  <si>
    <t>polynucleotide adenylyltransferase PcnB</t>
  </si>
  <si>
    <t>pcnB</t>
  </si>
  <si>
    <t>UEB31656.1</t>
  </si>
  <si>
    <t>LK401_00055</t>
  </si>
  <si>
    <t>2-amino-4-hydroxy-6-hydroxymethyldihydropteridine diphosphokinase</t>
  </si>
  <si>
    <t>folK</t>
  </si>
  <si>
    <t>UEB31657.1</t>
  </si>
  <si>
    <t>LK401_00060</t>
  </si>
  <si>
    <t>tRNA (adenosine(37)-N6)-threonylcarbamoyltransferase complex ATPase subunit type 1 TsaE</t>
  </si>
  <si>
    <t>tsaE</t>
  </si>
  <si>
    <t>UEB31658.1</t>
  </si>
  <si>
    <t>LK401_00065</t>
  </si>
  <si>
    <t>N-acetylmuramoyl-L-alanine amidase</t>
  </si>
  <si>
    <t>UEB31659.1</t>
  </si>
  <si>
    <t>LK401_00070</t>
  </si>
  <si>
    <t>DNA mismatch repair endonuclease MutL</t>
  </si>
  <si>
    <t>mutL</t>
  </si>
  <si>
    <t>UEB31660.1</t>
  </si>
  <si>
    <t>LK401_00075</t>
  </si>
  <si>
    <t>tRNA (adenosine(37)-N6)-dimethylallyltransferase MiaA</t>
  </si>
  <si>
    <t>miaA</t>
  </si>
  <si>
    <t>UEB31661.1</t>
  </si>
  <si>
    <t>LK401_00080</t>
  </si>
  <si>
    <t>bifunctional [glutamate--ammonia ligase]-adenylyl-L-tyrosine phosphorylase/[glutamate--ammonia-ligase] adenylyltransferase</t>
  </si>
  <si>
    <t>glnE</t>
  </si>
  <si>
    <t>UEB31662.1</t>
  </si>
  <si>
    <t>LK401_00085</t>
  </si>
  <si>
    <t>DNA repair protein RecN</t>
  </si>
  <si>
    <t>recN</t>
  </si>
  <si>
    <t>UEB31663.1</t>
  </si>
  <si>
    <t>LK401_00090</t>
  </si>
  <si>
    <t>NAD(|) kinase</t>
  </si>
  <si>
    <t>UEB31664.1</t>
  </si>
  <si>
    <t>LK401_00095</t>
  </si>
  <si>
    <t>nucleotide exchange factor GrpE</t>
  </si>
  <si>
    <t>grpE</t>
  </si>
  <si>
    <t>UEB32577.1</t>
  </si>
  <si>
    <t>LK401_00100</t>
  </si>
  <si>
    <t>nucleotidyltransferase domain-containing protein</t>
  </si>
  <si>
    <t>UEB31665.1</t>
  </si>
  <si>
    <t>LK401_00105</t>
  </si>
  <si>
    <t>HI0074 family nucleotidyltransferase substrate-binding subunit</t>
  </si>
  <si>
    <t>UEB31666.1</t>
  </si>
  <si>
    <t>LK401_00110</t>
  </si>
  <si>
    <t>anaerobic ribonucleoside-triphosphate reductase</t>
  </si>
  <si>
    <t>nrdD</t>
  </si>
  <si>
    <t>UEB31667.1</t>
  </si>
  <si>
    <t>LK401_00115</t>
  </si>
  <si>
    <t>uncharacterized gene</t>
  </si>
  <si>
    <t>pseudogene</t>
  </si>
  <si>
    <t>LK401_00120</t>
  </si>
  <si>
    <t>hypothetical protein</t>
  </si>
  <si>
    <t>UEB31668.1</t>
  </si>
  <si>
    <t>LK401_00125</t>
  </si>
  <si>
    <t>UEB31669.1</t>
  </si>
  <si>
    <t>LK401_00130</t>
  </si>
  <si>
    <t>Com family DNA-binding transcriptional regulator</t>
  </si>
  <si>
    <t>UEB31670.1</t>
  </si>
  <si>
    <t>LK401_00135</t>
  </si>
  <si>
    <t>enoyl-CoA hydratase</t>
  </si>
  <si>
    <t>UEB31671.1</t>
  </si>
  <si>
    <t>LK401_00140</t>
  </si>
  <si>
    <t>UEB31672.1</t>
  </si>
  <si>
    <t>LK401_00145</t>
  </si>
  <si>
    <t>pyocin knob domain-containing protein</t>
  </si>
  <si>
    <t>UEB31673.1</t>
  </si>
  <si>
    <t>LK401_00150</t>
  </si>
  <si>
    <t>DUF2313 domain-containing protein</t>
  </si>
  <si>
    <t>UEB31674.1</t>
  </si>
  <si>
    <t>LK401_00155</t>
  </si>
  <si>
    <t>baseplate J/gp47 family protein</t>
  </si>
  <si>
    <t>UEB31675.1</t>
  </si>
  <si>
    <t>LK401_00160</t>
  </si>
  <si>
    <t>phage GP46 family protein</t>
  </si>
  <si>
    <t>UEB31676.1</t>
  </si>
  <si>
    <t>LK401_00165</t>
  </si>
  <si>
    <t>phage baseplate assembly protein V</t>
  </si>
  <si>
    <t>UEB31677.1</t>
  </si>
  <si>
    <t>LK401_00170</t>
  </si>
  <si>
    <t>phage tail protein</t>
  </si>
  <si>
    <t>UEB31678.1</t>
  </si>
  <si>
    <t>LK401_00175</t>
  </si>
  <si>
    <t>DNA circularization N-terminal domain-containing protein</t>
  </si>
  <si>
    <t>UEB31679.1</t>
  </si>
  <si>
    <t>LK401_00180</t>
  </si>
  <si>
    <t>phage tail tape measure protein</t>
  </si>
  <si>
    <t>UEB31680.1</t>
  </si>
  <si>
    <t>LK401_00185</t>
  </si>
  <si>
    <t>UEB31681.1</t>
  </si>
  <si>
    <t>LK401_00190</t>
  </si>
  <si>
    <t>UEB31682.1</t>
  </si>
  <si>
    <t>LK401_00195</t>
  </si>
  <si>
    <t>UEB31683.1</t>
  </si>
  <si>
    <t>LK401_00200</t>
  </si>
  <si>
    <t>phage tail sheath subtilisin-like domain-containing protein</t>
  </si>
  <si>
    <t>UEB31684.1</t>
  </si>
  <si>
    <t>LK401_00205</t>
  </si>
  <si>
    <t>DUF2635 domain-containing protein</t>
  </si>
  <si>
    <t>UEB31685.1</t>
  </si>
  <si>
    <t>LK401_00210</t>
  </si>
  <si>
    <t>DUF1834 family protein</t>
  </si>
  <si>
    <t>UEB31686.1</t>
  </si>
  <si>
    <t>LK401_00215</t>
  </si>
  <si>
    <t>DUF1320 domain-containing protein</t>
  </si>
  <si>
    <t>UEB31687.1</t>
  </si>
  <si>
    <t>LK401_00220</t>
  </si>
  <si>
    <t>UEB31688.1</t>
  </si>
  <si>
    <t>LK401_00225</t>
  </si>
  <si>
    <t>Mu-like prophage major head subunit gpT family protein</t>
  </si>
  <si>
    <t>UEB31689.1</t>
  </si>
  <si>
    <t>LK401_00230</t>
  </si>
  <si>
    <t>phage protease</t>
  </si>
  <si>
    <t>UEB31690.1</t>
  </si>
  <si>
    <t>LK401_00235</t>
  </si>
  <si>
    <t>phage virion morphogenesis protein</t>
  </si>
  <si>
    <t>UEB31691.1</t>
  </si>
  <si>
    <t>LK401_00240</t>
  </si>
  <si>
    <t>minor capsid protein</t>
  </si>
  <si>
    <t>UEB31692.1</t>
  </si>
  <si>
    <t>LK401_00245</t>
  </si>
  <si>
    <t>DUF935 family protein</t>
  </si>
  <si>
    <t>UEB31693.1</t>
  </si>
  <si>
    <t>LK401_00250</t>
  </si>
  <si>
    <t>phage terminase large subunit</t>
  </si>
  <si>
    <t>terL</t>
  </si>
  <si>
    <t>UEB31694.1</t>
  </si>
  <si>
    <t>LK401_00255</t>
  </si>
  <si>
    <t>DUF1804 family protein</t>
  </si>
  <si>
    <t>UEB31695.1</t>
  </si>
  <si>
    <t>LK401_00260</t>
  </si>
  <si>
    <t>UEB31696.1</t>
  </si>
  <si>
    <t>LK401_00265</t>
  </si>
  <si>
    <t>UEB31697.1</t>
  </si>
  <si>
    <t>LK401_00270</t>
  </si>
  <si>
    <t>DUF2681 domain-containing protein</t>
  </si>
  <si>
    <t>UEB31698.1</t>
  </si>
  <si>
    <t>LK401_00275</t>
  </si>
  <si>
    <t>DUF2644 domain-containing protein</t>
  </si>
  <si>
    <t>UEB31699.1</t>
  </si>
  <si>
    <t>LK401_00280</t>
  </si>
  <si>
    <t>glycoside hydrolase family 108 protein</t>
  </si>
  <si>
    <t>UEB31700.1</t>
  </si>
  <si>
    <t>LK401_00285</t>
  </si>
  <si>
    <t>mor transcription activator family protein</t>
  </si>
  <si>
    <t>UEB31701.1</t>
  </si>
  <si>
    <t>LK401_00290</t>
  </si>
  <si>
    <t>UEB31702.1</t>
  </si>
  <si>
    <t>LK401_00295</t>
  </si>
  <si>
    <t>regulatory protein GemA</t>
  </si>
  <si>
    <t>UEB31703.1</t>
  </si>
  <si>
    <t>LK401_00300</t>
  </si>
  <si>
    <t>UEB31704.1</t>
  </si>
  <si>
    <t>LK401_00305</t>
  </si>
  <si>
    <t>UEB31705.1</t>
  </si>
  <si>
    <t>LK401_00310</t>
  </si>
  <si>
    <t>UEB31706.1</t>
  </si>
  <si>
    <t>LK401_00315</t>
  </si>
  <si>
    <t>DUF5420 family protein</t>
  </si>
  <si>
    <t>UEB31707.1</t>
  </si>
  <si>
    <t>LK401_00320</t>
  </si>
  <si>
    <t>DUF3164 family protein</t>
  </si>
  <si>
    <t>UEB31708.1</t>
  </si>
  <si>
    <t>LK401_00325</t>
  </si>
  <si>
    <t>HTH domain-containing protein</t>
  </si>
  <si>
    <t>UEB31709.1</t>
  </si>
  <si>
    <t>LK401_00330</t>
  </si>
  <si>
    <t>UEB31710.1</t>
  </si>
  <si>
    <t>LK401_00335</t>
  </si>
  <si>
    <t>AAA family ATPase</t>
  </si>
  <si>
    <t>UEB31711.1</t>
  </si>
  <si>
    <t>LK401_00340</t>
  </si>
  <si>
    <t>UEB31712.1</t>
  </si>
  <si>
    <t>LK401_00345</t>
  </si>
  <si>
    <t>Mu transposase C-terminal domain-containing protein</t>
  </si>
  <si>
    <t>UEB31713.1</t>
  </si>
  <si>
    <t>LK401_00350</t>
  </si>
  <si>
    <t>helix-turn-helix domain-containing protein</t>
  </si>
  <si>
    <t>UEB31714.1</t>
  </si>
  <si>
    <t>LK401_00355</t>
  </si>
  <si>
    <t>UEB31715.1</t>
  </si>
  <si>
    <t>LK401_00360</t>
  </si>
  <si>
    <t>LK401_00365</t>
  </si>
  <si>
    <t>cysteine--tRNA ligase</t>
  </si>
  <si>
    <t>cysS</t>
  </si>
  <si>
    <t>UEB31716.1</t>
  </si>
  <si>
    <t>LK401_00370</t>
  </si>
  <si>
    <t>peptidylprolyl isomerase</t>
  </si>
  <si>
    <t>UEB31717.1</t>
  </si>
  <si>
    <t>LK401_00375</t>
  </si>
  <si>
    <t>type II toxin-antitoxin system PemK/MazF family toxin</t>
  </si>
  <si>
    <t>UEB31718.1</t>
  </si>
  <si>
    <t>LK401_00380</t>
  </si>
  <si>
    <t>TatD family hydrolase</t>
  </si>
  <si>
    <t>UEB31719.1</t>
  </si>
  <si>
    <t>LK401_00385</t>
  </si>
  <si>
    <t>thioredoxin</t>
  </si>
  <si>
    <t>trxA</t>
  </si>
  <si>
    <t>UEB31720.1</t>
  </si>
  <si>
    <t>LK401_00390</t>
  </si>
  <si>
    <t>2-hydroxyacid dehydrogenase</t>
  </si>
  <si>
    <t>UEB31721.1</t>
  </si>
  <si>
    <t>LK401_00395</t>
  </si>
  <si>
    <t>methionine biosynthesis PLP-dependent protein</t>
  </si>
  <si>
    <t>UEB31722.1</t>
  </si>
  <si>
    <t>LK401_00400</t>
  </si>
  <si>
    <t>tRNA-Gly</t>
  </si>
  <si>
    <t>tRNA</t>
  </si>
  <si>
    <t>LK401_00405</t>
  </si>
  <si>
    <t>tRNA-Cys</t>
  </si>
  <si>
    <t>LK401_00410</t>
  </si>
  <si>
    <t>tRNA-Leu</t>
  </si>
  <si>
    <t>LK401_00415</t>
  </si>
  <si>
    <t>tRNA-Lys</t>
  </si>
  <si>
    <t>LK401_00420</t>
  </si>
  <si>
    <t>threonine synthase</t>
  </si>
  <si>
    <t>thrC</t>
  </si>
  <si>
    <t>UEB31723.1</t>
  </si>
  <si>
    <t>LK401_00425</t>
  </si>
  <si>
    <t>homoserine kinase</t>
  </si>
  <si>
    <t>thrB</t>
  </si>
  <si>
    <t>UEB31724.1</t>
  </si>
  <si>
    <t>LK401_00430</t>
  </si>
  <si>
    <t>bifunctional aspartate kinase/homoserine dehydrogenase I</t>
  </si>
  <si>
    <t>thrA</t>
  </si>
  <si>
    <t>UEB31725.1</t>
  </si>
  <si>
    <t>LK401_00435</t>
  </si>
  <si>
    <t>YggS family pyridoxal phosphate-dependent enzyme</t>
  </si>
  <si>
    <t>UEB31726.1</t>
  </si>
  <si>
    <t>LK401_00440</t>
  </si>
  <si>
    <t>glycerate kinase</t>
  </si>
  <si>
    <t>UEB31727.1</t>
  </si>
  <si>
    <t>LK401_00445</t>
  </si>
  <si>
    <t>GntP family permease</t>
  </si>
  <si>
    <t>UEB31728.1</t>
  </si>
  <si>
    <t>LK401_00450</t>
  </si>
  <si>
    <t>UEB31729.1</t>
  </si>
  <si>
    <t>LK401_00455</t>
  </si>
  <si>
    <t>LK401_00460</t>
  </si>
  <si>
    <t>LK401_00465</t>
  </si>
  <si>
    <t>class I SAM-dependent methyltransferase</t>
  </si>
  <si>
    <t>UEB31730.1</t>
  </si>
  <si>
    <t>LK401_00470</t>
  </si>
  <si>
    <t>UEB31731.1</t>
  </si>
  <si>
    <t>LK401_00475</t>
  </si>
  <si>
    <t>iron ABC transporter substrate-binding protein</t>
  </si>
  <si>
    <t>UEB31732.1</t>
  </si>
  <si>
    <t>LK401_00480</t>
  </si>
  <si>
    <t>iron ABC transporter permease</t>
  </si>
  <si>
    <t>UEB31733.1</t>
  </si>
  <si>
    <t>LK401_00485</t>
  </si>
  <si>
    <t>heme ABC transporter ATP-binding protein FbpC</t>
  </si>
  <si>
    <t>fbpC</t>
  </si>
  <si>
    <t>UEB31734.1</t>
  </si>
  <si>
    <t>LK401_00490</t>
  </si>
  <si>
    <t>D-alanyl-D-alanine carboxypeptidase family protein</t>
  </si>
  <si>
    <t>UEB31735.1</t>
  </si>
  <si>
    <t>LK401_00495</t>
  </si>
  <si>
    <t>succinyl-diaminopimelate desuccinylase</t>
  </si>
  <si>
    <t>dapE</t>
  </si>
  <si>
    <t>UEB31736.1</t>
  </si>
  <si>
    <t>LK401_00500</t>
  </si>
  <si>
    <t>ArsC family reductase</t>
  </si>
  <si>
    <t>UEB31737.1</t>
  </si>
  <si>
    <t>LK401_00505</t>
  </si>
  <si>
    <t>molecular chaperone HtpG</t>
  </si>
  <si>
    <t>htpG</t>
  </si>
  <si>
    <t>UEB31738.1</t>
  </si>
  <si>
    <t>LK401_00510</t>
  </si>
  <si>
    <t>Nif3-like dinuclear metal center hexameric protein</t>
  </si>
  <si>
    <t>UEB31739.1</t>
  </si>
  <si>
    <t>LK401_00515</t>
  </si>
  <si>
    <t>type I restriction-modification system subunit M</t>
  </si>
  <si>
    <t>UEB31740.1</t>
  </si>
  <si>
    <t>LK401_00520</t>
  </si>
  <si>
    <t>putative DNA binding domain-containing protein</t>
  </si>
  <si>
    <t>UEB31741.1</t>
  </si>
  <si>
    <t>LK401_00525</t>
  </si>
  <si>
    <t>restriction endonuclease subunit S</t>
  </si>
  <si>
    <t>UEB31742.1</t>
  </si>
  <si>
    <t>LK401_00530</t>
  </si>
  <si>
    <t>DEAD/DEAH box helicase family protein</t>
  </si>
  <si>
    <t>UEB31743.1</t>
  </si>
  <si>
    <t>LK401_00535</t>
  </si>
  <si>
    <t>signal recognition particle protein</t>
  </si>
  <si>
    <t>ffh</t>
  </si>
  <si>
    <t>UEB31744.1</t>
  </si>
  <si>
    <t>LK401_00540</t>
  </si>
  <si>
    <t>HlyC/CorC family transporter</t>
  </si>
  <si>
    <t>UEB31745.1</t>
  </si>
  <si>
    <t>LK401_00545</t>
  </si>
  <si>
    <t>threonine/serine exporter ThrE family protein</t>
  </si>
  <si>
    <t>UEB31746.1</t>
  </si>
  <si>
    <t>LK401_00550</t>
  </si>
  <si>
    <t>threonine/serine exporter family protein</t>
  </si>
  <si>
    <t>UEB31747.1</t>
  </si>
  <si>
    <t>LK401_00555</t>
  </si>
  <si>
    <t>UEB31748.1</t>
  </si>
  <si>
    <t>LK401_00560</t>
  </si>
  <si>
    <t>serine--tRNA ligase</t>
  </si>
  <si>
    <t>serS</t>
  </si>
  <si>
    <t>UEB31749.1</t>
  </si>
  <si>
    <t>LK401_00565</t>
  </si>
  <si>
    <t>glutathione S-transferase family protein</t>
  </si>
  <si>
    <t>UEB31750.1</t>
  </si>
  <si>
    <t>LK401_00570</t>
  </si>
  <si>
    <t>LK401_00575</t>
  </si>
  <si>
    <t>TonB-dependent hemoglobin/transferrin/lactoferrin family receptor</t>
  </si>
  <si>
    <t>UEB31751.1</t>
  </si>
  <si>
    <t>LK401_00580</t>
  </si>
  <si>
    <t>5S ribosomal RNA</t>
  </si>
  <si>
    <t>rrf</t>
  </si>
  <si>
    <t>rRNA</t>
  </si>
  <si>
    <t>LK401_00585</t>
  </si>
  <si>
    <t>23S ribosomal RNA</t>
  </si>
  <si>
    <t>LK401_00590</t>
  </si>
  <si>
    <t>tRNA-Glu</t>
  </si>
  <si>
    <t>LK401_00595</t>
  </si>
  <si>
    <t>16S ribosomal RNA</t>
  </si>
  <si>
    <t>LK401_00600</t>
  </si>
  <si>
    <t>tRNA-Pro</t>
  </si>
  <si>
    <t>LK401_00605</t>
  </si>
  <si>
    <t>tRNA-His</t>
  </si>
  <si>
    <t>LK401_00610</t>
  </si>
  <si>
    <t>tRNA-Arg</t>
  </si>
  <si>
    <t>LK401_00615</t>
  </si>
  <si>
    <t>bifunctional 23S rRNA (guanine(2069)-N(7))-methyltransferase RlmK/23S rRNA (guanine(2445)-N(2))-methyltransferase RlmL</t>
  </si>
  <si>
    <t>rlmKL</t>
  </si>
  <si>
    <t>UEB31752.1</t>
  </si>
  <si>
    <t>LK401_00620</t>
  </si>
  <si>
    <t>tRNA-Met</t>
  </si>
  <si>
    <t>LK401_00625</t>
  </si>
  <si>
    <t>murein transglycosylase A</t>
  </si>
  <si>
    <t>mltA</t>
  </si>
  <si>
    <t>UEB31753.1</t>
  </si>
  <si>
    <t>LK401_00630</t>
  </si>
  <si>
    <t>tRNA cyclic N6-threonylcarbamoyladenosine(37) synthase TcdA</t>
  </si>
  <si>
    <t>tcdA</t>
  </si>
  <si>
    <t>UEB31754.1</t>
  </si>
  <si>
    <t>LK401_00635</t>
  </si>
  <si>
    <t>zinc ABC transporter substrate-binding protein ZnuA</t>
  </si>
  <si>
    <t>znuA</t>
  </si>
  <si>
    <t>UEB31755.1</t>
  </si>
  <si>
    <t>LK401_00640</t>
  </si>
  <si>
    <t>DUF2301 domain-containing membrane protein</t>
  </si>
  <si>
    <t>UEB31756.1</t>
  </si>
  <si>
    <t>LK401_00645</t>
  </si>
  <si>
    <t>UDP-N-acetylmuramate:L-alanyl-gamma-D-glutamyl-meso-diaminopimelate ligase</t>
  </si>
  <si>
    <t>mpl</t>
  </si>
  <si>
    <t>UEB31757.1</t>
  </si>
  <si>
    <t>LK401_00650</t>
  </si>
  <si>
    <t>cystathionine beta-lyase</t>
  </si>
  <si>
    <t>metC</t>
  </si>
  <si>
    <t>UEB31758.1</t>
  </si>
  <si>
    <t>LK401_00655</t>
  </si>
  <si>
    <t>peroxiredoxin C</t>
  </si>
  <si>
    <t>UEB31759.1</t>
  </si>
  <si>
    <t>LK401_00660</t>
  </si>
  <si>
    <t>CDP-diacylglycerol--glycerol-3-phosphate 3-phosphatidyltransferase</t>
  </si>
  <si>
    <t>pgsA</t>
  </si>
  <si>
    <t>UEB31760.1</t>
  </si>
  <si>
    <t>LK401_00665</t>
  </si>
  <si>
    <t>LK401_00670</t>
  </si>
  <si>
    <t>LK401_00675</t>
  </si>
  <si>
    <t>LK401_00680</t>
  </si>
  <si>
    <t>inorganic diphosphatase</t>
  </si>
  <si>
    <t>UEB31761.1</t>
  </si>
  <si>
    <t>LK401_00685</t>
  </si>
  <si>
    <t>NCS2 family permease</t>
  </si>
  <si>
    <t>UEB31762.1</t>
  </si>
  <si>
    <t>LK401_00690</t>
  </si>
  <si>
    <t>uridine kinase</t>
  </si>
  <si>
    <t>udk</t>
  </si>
  <si>
    <t>UEB31763.1</t>
  </si>
  <si>
    <t>LK401_00695</t>
  </si>
  <si>
    <t>dCTP deaminase</t>
  </si>
  <si>
    <t>dcd</t>
  </si>
  <si>
    <t>UEB31764.1</t>
  </si>
  <si>
    <t>LK401_00700</t>
  </si>
  <si>
    <t>UEB31765.1</t>
  </si>
  <si>
    <t>LK401_00705</t>
  </si>
  <si>
    <t>sugar transporter</t>
  </si>
  <si>
    <t>UEB31766.1</t>
  </si>
  <si>
    <t>LK401_00710</t>
  </si>
  <si>
    <t>ribosome biogenesis GTPase Der</t>
  </si>
  <si>
    <t>der</t>
  </si>
  <si>
    <t>UEB31767.1</t>
  </si>
  <si>
    <t>LK401_00715</t>
  </si>
  <si>
    <t>tRNA-Asp</t>
  </si>
  <si>
    <t>LK401_00720</t>
  </si>
  <si>
    <t>LK401_00725</t>
  </si>
  <si>
    <t>DNA polymerase III subunit epsilon</t>
  </si>
  <si>
    <t>dnaQ</t>
  </si>
  <si>
    <t>UEB31768.1</t>
  </si>
  <si>
    <t>LK401_00730</t>
  </si>
  <si>
    <t>ribonuclease HI</t>
  </si>
  <si>
    <t>rnhA</t>
  </si>
  <si>
    <t>UEB31769.1</t>
  </si>
  <si>
    <t>LK401_00735</t>
  </si>
  <si>
    <t>porin</t>
  </si>
  <si>
    <t>UEB31770.1</t>
  </si>
  <si>
    <t>LK401_00740</t>
  </si>
  <si>
    <t>N-acetylglucosamine-6-phosphate deacetylase</t>
  </si>
  <si>
    <t>nagA</t>
  </si>
  <si>
    <t>UEB31771.1</t>
  </si>
  <si>
    <t>LK401_00745</t>
  </si>
  <si>
    <t>glucosamine-6-phosphate deaminase</t>
  </si>
  <si>
    <t>UEB31772.1</t>
  </si>
  <si>
    <t>LK401_00750</t>
  </si>
  <si>
    <t>N-acetylneuraminate lyase</t>
  </si>
  <si>
    <t>nanA</t>
  </si>
  <si>
    <t>UEB31773.1</t>
  </si>
  <si>
    <t>LK401_00755</t>
  </si>
  <si>
    <t>MurR/RpiR family transcriptional regulator</t>
  </si>
  <si>
    <t>UEB31774.1</t>
  </si>
  <si>
    <t>LK401_00760</t>
  </si>
  <si>
    <t>N-acetylmannosamine kinase</t>
  </si>
  <si>
    <t>UEB31775.1</t>
  </si>
  <si>
    <t>LK401_00765</t>
  </si>
  <si>
    <t>N-acetylmannosamine-6-phosphate 2-epimerase</t>
  </si>
  <si>
    <t>UEB31776.1</t>
  </si>
  <si>
    <t>LK401_00770</t>
  </si>
  <si>
    <t>sialic acid TRAP transporter substrate-binding protein SiaP</t>
  </si>
  <si>
    <t>siaP</t>
  </si>
  <si>
    <t>UEB31777.1</t>
  </si>
  <si>
    <t>LK401_00775</t>
  </si>
  <si>
    <t>sialic acid TRAP transporter substrate-binding protein SiaT</t>
  </si>
  <si>
    <t>siaT</t>
  </si>
  <si>
    <t>UEB31778.1</t>
  </si>
  <si>
    <t>LK401_00780</t>
  </si>
  <si>
    <t>N-acetylneuraminate epimerase</t>
  </si>
  <si>
    <t>UEB31779.1</t>
  </si>
  <si>
    <t>LK401_00785</t>
  </si>
  <si>
    <t>isoprenylcysteine carboxylmethyltransferase family protein</t>
  </si>
  <si>
    <t>UEB31780.1</t>
  </si>
  <si>
    <t>LK401_00790</t>
  </si>
  <si>
    <t>protease modulator HflC</t>
  </si>
  <si>
    <t>hflC</t>
  </si>
  <si>
    <t>UEB31781.1</t>
  </si>
  <si>
    <t>LK401_00795</t>
  </si>
  <si>
    <t>FtsH protease activity modulator HflK</t>
  </si>
  <si>
    <t>hflK</t>
  </si>
  <si>
    <t>UEB31782.1</t>
  </si>
  <si>
    <t>LK401_00800</t>
  </si>
  <si>
    <t>4'-phosphopantetheinyl transferase superfamily protein</t>
  </si>
  <si>
    <t>UEB31783.1</t>
  </si>
  <si>
    <t>LK401_00805</t>
  </si>
  <si>
    <t>anaerobic C4-dicarboxylate transporter</t>
  </si>
  <si>
    <t>UEB31784.1</t>
  </si>
  <si>
    <t>LK401_00810</t>
  </si>
  <si>
    <t>acyl carrier protein</t>
  </si>
  <si>
    <t>acpP</t>
  </si>
  <si>
    <t>UEB31785.1</t>
  </si>
  <si>
    <t>LK401_00815</t>
  </si>
  <si>
    <t>3-oxoacyl-ACP reductase FabG</t>
  </si>
  <si>
    <t>fabG</t>
  </si>
  <si>
    <t>UEB31786.1</t>
  </si>
  <si>
    <t>LK401_00820</t>
  </si>
  <si>
    <t>ACP S-malonyltransferase</t>
  </si>
  <si>
    <t>fabD</t>
  </si>
  <si>
    <t>UEB31787.1</t>
  </si>
  <si>
    <t>LK401_00825</t>
  </si>
  <si>
    <t>ketoacyl-ACP synthase III</t>
  </si>
  <si>
    <t>UEB31788.1</t>
  </si>
  <si>
    <t>LK401_00830</t>
  </si>
  <si>
    <t>LK401_00835</t>
  </si>
  <si>
    <t>50S ribosomal protein L32</t>
  </si>
  <si>
    <t>rpmF</t>
  </si>
  <si>
    <t>UEB31789.1</t>
  </si>
  <si>
    <t>LK401_00840</t>
  </si>
  <si>
    <t>23S rRNA accumulation protein YceD</t>
  </si>
  <si>
    <t>yceD</t>
  </si>
  <si>
    <t>UEB31790.1</t>
  </si>
  <si>
    <t>LK401_00845</t>
  </si>
  <si>
    <t>archaetidylserine decarboxylase</t>
  </si>
  <si>
    <t>asd</t>
  </si>
  <si>
    <t>UEB32519.1</t>
  </si>
  <si>
    <t>LK401_00850</t>
  </si>
  <si>
    <t>glutathione-disulfide reductase</t>
  </si>
  <si>
    <t>gorA</t>
  </si>
  <si>
    <t>UEB31791.1</t>
  </si>
  <si>
    <t>LK401_00855</t>
  </si>
  <si>
    <t>YajG family lipoprotein</t>
  </si>
  <si>
    <t>UEB31792.1</t>
  </si>
  <si>
    <t>LK401_00860</t>
  </si>
  <si>
    <t>LK401_00865</t>
  </si>
  <si>
    <t>Na(|)-translocating NADH-quinone reductase subunit A</t>
  </si>
  <si>
    <t>UEB31793.1</t>
  </si>
  <si>
    <t>LK401_00870</t>
  </si>
  <si>
    <t>NADH:ubiquinone reductase (Na(|)-transporting) subunit B</t>
  </si>
  <si>
    <t>UEB31794.1</t>
  </si>
  <si>
    <t>LK401_00875</t>
  </si>
  <si>
    <t>Na(|)-translocating NADH-quinone reductase subunit C</t>
  </si>
  <si>
    <t>UEB31795.1</t>
  </si>
  <si>
    <t>LK401_00880</t>
  </si>
  <si>
    <t>NADH:ubiquinone reductase (Na(|)-transporting) subunit D</t>
  </si>
  <si>
    <t>nqrD</t>
  </si>
  <si>
    <t>UEB31796.1</t>
  </si>
  <si>
    <t>LK401_00885</t>
  </si>
  <si>
    <t>NADH:ubiquinone reductase (Na(|)-transporting) subunit E</t>
  </si>
  <si>
    <t>nqrE</t>
  </si>
  <si>
    <t>UEB31797.1</t>
  </si>
  <si>
    <t>LK401_00890</t>
  </si>
  <si>
    <t>NADH:ubiquinone reductase (Na(|)-transporting) subunit F</t>
  </si>
  <si>
    <t>nqrF</t>
  </si>
  <si>
    <t>UEB31798.1</t>
  </si>
  <si>
    <t>LK401_00895</t>
  </si>
  <si>
    <t>FAD:protein FMN transferase</t>
  </si>
  <si>
    <t>UEB31799.1</t>
  </si>
  <si>
    <t>LK401_00900</t>
  </si>
  <si>
    <t>(Na|)-NQR maturation NqrM</t>
  </si>
  <si>
    <t>nqrM</t>
  </si>
  <si>
    <t>UEB31800.1</t>
  </si>
  <si>
    <t>LK401_00905</t>
  </si>
  <si>
    <t>tRNA 2-thiouridine(34) synthase MnmA</t>
  </si>
  <si>
    <t>mnmA</t>
  </si>
  <si>
    <t>UEB31801.1</t>
  </si>
  <si>
    <t>LK401_00910</t>
  </si>
  <si>
    <t>peptidoglycan editing factor PgeF</t>
  </si>
  <si>
    <t>pgeF</t>
  </si>
  <si>
    <t>UEB31802.1</t>
  </si>
  <si>
    <t>LK401_00915</t>
  </si>
  <si>
    <t>23S rRNA pseudouridine(1911/1915/1917) synthase RluD</t>
  </si>
  <si>
    <t>rluD</t>
  </si>
  <si>
    <t>UEB31803.1</t>
  </si>
  <si>
    <t>LK401_00920</t>
  </si>
  <si>
    <t>outer membrane protein assembly factor BamD</t>
  </si>
  <si>
    <t>UEB31804.1</t>
  </si>
  <si>
    <t>LK401_00925</t>
  </si>
  <si>
    <t>surface-adhesin protein E</t>
  </si>
  <si>
    <t>UEB31805.1</t>
  </si>
  <si>
    <t>LK401_00930</t>
  </si>
  <si>
    <t>pyruvate formate lyase 1-activating protein</t>
  </si>
  <si>
    <t>pflA</t>
  </si>
  <si>
    <t>UEB31806.1</t>
  </si>
  <si>
    <t>LK401_00935</t>
  </si>
  <si>
    <t>formate C-acetyltransferase</t>
  </si>
  <si>
    <t>pflB</t>
  </si>
  <si>
    <t>UEB31807.1</t>
  </si>
  <si>
    <t>LK401_00940</t>
  </si>
  <si>
    <t>formate transporter FocA</t>
  </si>
  <si>
    <t>focA</t>
  </si>
  <si>
    <t>UEB31808.1</t>
  </si>
  <si>
    <t>LK401_00945</t>
  </si>
  <si>
    <t>N-acetylglucosamine kinase</t>
  </si>
  <si>
    <t>nagK</t>
  </si>
  <si>
    <t>UEB31809.1</t>
  </si>
  <si>
    <t>LK401_00950</t>
  </si>
  <si>
    <t>sodium:alanine symporter family protein</t>
  </si>
  <si>
    <t>UEB31810.1</t>
  </si>
  <si>
    <t>LK401_00955</t>
  </si>
  <si>
    <t>S-formylglutathione hydrolase</t>
  </si>
  <si>
    <t>fghA</t>
  </si>
  <si>
    <t>UEB31811.1</t>
  </si>
  <si>
    <t>LK401_00960</t>
  </si>
  <si>
    <t>S-(hydroxymethyl)glutathione dehydrogenase/class III alcohol dehydrogenase</t>
  </si>
  <si>
    <t>UEB32520.1</t>
  </si>
  <si>
    <t>LK401_00965</t>
  </si>
  <si>
    <t>MerR family transcriptional regulator</t>
  </si>
  <si>
    <t>UEB31812.1</t>
  </si>
  <si>
    <t>LK401_00970</t>
  </si>
  <si>
    <t>twin-arginine translocase TatA/TatE family subunit</t>
  </si>
  <si>
    <t>tatA</t>
  </si>
  <si>
    <t>UEB31813.1</t>
  </si>
  <si>
    <t>LK401_00975</t>
  </si>
  <si>
    <t>Sec-independent protein translocase protein TatB</t>
  </si>
  <si>
    <t>tatB</t>
  </si>
  <si>
    <t>UEB31814.1</t>
  </si>
  <si>
    <t>LK401_00980</t>
  </si>
  <si>
    <t>twin-arginine translocase subunit TatC</t>
  </si>
  <si>
    <t>tatC</t>
  </si>
  <si>
    <t>UEB31815.1</t>
  </si>
  <si>
    <t>LK401_00985</t>
  </si>
  <si>
    <t>NADP-specific glutamate dehydrogenase</t>
  </si>
  <si>
    <t>gdhA</t>
  </si>
  <si>
    <t>UEB31816.1</t>
  </si>
  <si>
    <t>LK401_00990</t>
  </si>
  <si>
    <t>ferric iron uptake transcriptional regulator</t>
  </si>
  <si>
    <t>fur</t>
  </si>
  <si>
    <t>UEB31817.1</t>
  </si>
  <si>
    <t>LK401_00995</t>
  </si>
  <si>
    <t>flavodoxin FldA</t>
  </si>
  <si>
    <t>fldA</t>
  </si>
  <si>
    <t>UEB31818.1</t>
  </si>
  <si>
    <t>LK401_01000</t>
  </si>
  <si>
    <t>alpha/beta fold hydrolase</t>
  </si>
  <si>
    <t>UEB31819.1</t>
  </si>
  <si>
    <t>LK401_01005</t>
  </si>
  <si>
    <t>replication initiation negative regulator SeqA</t>
  </si>
  <si>
    <t>seqA</t>
  </si>
  <si>
    <t>UEB31820.1</t>
  </si>
  <si>
    <t>LK401_01010</t>
  </si>
  <si>
    <t>o-succinylbenzoate--CoA ligase</t>
  </si>
  <si>
    <t>menE</t>
  </si>
  <si>
    <t>UEB31821.1</t>
  </si>
  <si>
    <t>LK401_01015</t>
  </si>
  <si>
    <t>mechanosensitive channel MscK</t>
  </si>
  <si>
    <t>mscK</t>
  </si>
  <si>
    <t>UEB31822.1</t>
  </si>
  <si>
    <t>LK401_01020</t>
  </si>
  <si>
    <t>chorismate synthase</t>
  </si>
  <si>
    <t>aroC</t>
  </si>
  <si>
    <t>UEB31823.1</t>
  </si>
  <si>
    <t>LK401_01025</t>
  </si>
  <si>
    <t>penicillin-insensitive murein endopeptidase</t>
  </si>
  <si>
    <t>mepA</t>
  </si>
  <si>
    <t>UEB31824.1</t>
  </si>
  <si>
    <t>LK401_01030</t>
  </si>
  <si>
    <t>TSUP family transporter</t>
  </si>
  <si>
    <t>UEB31825.1</t>
  </si>
  <si>
    <t>LK401_01035</t>
  </si>
  <si>
    <t>lauroyl-Kdo(2)-lipid IV(A) myristoyltransferase</t>
  </si>
  <si>
    <t>lpxM</t>
  </si>
  <si>
    <t>UEB31826.1</t>
  </si>
  <si>
    <t>LK401_01040</t>
  </si>
  <si>
    <t>selenide, water dikinase SelD</t>
  </si>
  <si>
    <t>selD</t>
  </si>
  <si>
    <t>UEB31827.1</t>
  </si>
  <si>
    <t>LK401_01045</t>
  </si>
  <si>
    <t>50S ribosomal protein L19</t>
  </si>
  <si>
    <t>rplS</t>
  </si>
  <si>
    <t>UEB31828.1</t>
  </si>
  <si>
    <t>LK401_01050</t>
  </si>
  <si>
    <t>tRNA (guanosine(37)-N1)-methyltransferase TrmD</t>
  </si>
  <si>
    <t>trmD</t>
  </si>
  <si>
    <t>UEB31829.1</t>
  </si>
  <si>
    <t>LK401_01055</t>
  </si>
  <si>
    <t>ribosome maturation factor RimM</t>
  </si>
  <si>
    <t>rimM</t>
  </si>
  <si>
    <t>UEB31830.1</t>
  </si>
  <si>
    <t>LK401_01060</t>
  </si>
  <si>
    <t>30S ribosomal protein S16</t>
  </si>
  <si>
    <t>rpsP</t>
  </si>
  <si>
    <t>UEB31831.1</t>
  </si>
  <si>
    <t>LK401_01065</t>
  </si>
  <si>
    <t>UEB31832.1</t>
  </si>
  <si>
    <t>LK401_01070</t>
  </si>
  <si>
    <t>NAD nucleotidase</t>
  </si>
  <si>
    <t>nadN</t>
  </si>
  <si>
    <t>UEB31833.1</t>
  </si>
  <si>
    <t>LK401_01075</t>
  </si>
  <si>
    <t>shikimate kinase AroK</t>
  </si>
  <si>
    <t>aroK</t>
  </si>
  <si>
    <t>UEB31834.1</t>
  </si>
  <si>
    <t>LK401_01080</t>
  </si>
  <si>
    <t>3-dehydroquinate synthase</t>
  </si>
  <si>
    <t>aroB</t>
  </si>
  <si>
    <t>UEB31835.1</t>
  </si>
  <si>
    <t>LK401_01085</t>
  </si>
  <si>
    <t>Dam family site-specific DNA-(adenine-N6)-methyltransferase</t>
  </si>
  <si>
    <t>UEB31836.1</t>
  </si>
  <si>
    <t>LK401_01090</t>
  </si>
  <si>
    <t>phosphatase PAP2 family protein</t>
  </si>
  <si>
    <t>UEB31837.1</t>
  </si>
  <si>
    <t>LK401_01095</t>
  </si>
  <si>
    <t>GTP cyclohydrolase II</t>
  </si>
  <si>
    <t>ribA</t>
  </si>
  <si>
    <t>UEB31838.1</t>
  </si>
  <si>
    <t>LK401_01100</t>
  </si>
  <si>
    <t>peptide ABC transporter substrate-binding protein</t>
  </si>
  <si>
    <t>UEB31839.1</t>
  </si>
  <si>
    <t>LK401_01105</t>
  </si>
  <si>
    <t>DUF454 family protein</t>
  </si>
  <si>
    <t>UEB31840.1</t>
  </si>
  <si>
    <t>LK401_01110</t>
  </si>
  <si>
    <t>oligopeptidase A</t>
  </si>
  <si>
    <t>prlC</t>
  </si>
  <si>
    <t>UEB32521.1</t>
  </si>
  <si>
    <t>LK401_01115</t>
  </si>
  <si>
    <t>UEB31841.1</t>
  </si>
  <si>
    <t>LK401_01120</t>
  </si>
  <si>
    <t>UEB31842.1</t>
  </si>
  <si>
    <t>LK401_01125</t>
  </si>
  <si>
    <t>UEB31843.1</t>
  </si>
  <si>
    <t>LK401_01130</t>
  </si>
  <si>
    <t>virulence RhuM family protein</t>
  </si>
  <si>
    <t>UEB31844.1</t>
  </si>
  <si>
    <t>LK401_01135</t>
  </si>
  <si>
    <t>type I restriction endonuclease subunit R</t>
  </si>
  <si>
    <t>UEB31845.1</t>
  </si>
  <si>
    <t>LK401_01140</t>
  </si>
  <si>
    <t>YkgB family protein</t>
  </si>
  <si>
    <t>UEB31846.1</t>
  </si>
  <si>
    <t>LK401_01145</t>
  </si>
  <si>
    <t>response regulator</t>
  </si>
  <si>
    <t>UEB31847.1</t>
  </si>
  <si>
    <t>LK401_01150</t>
  </si>
  <si>
    <t>uracil-DNA glycosylase family protein</t>
  </si>
  <si>
    <t>UEB31848.1</t>
  </si>
  <si>
    <t>LK401_01155</t>
  </si>
  <si>
    <t>LK401_01160</t>
  </si>
  <si>
    <t>LK401_01165</t>
  </si>
  <si>
    <t>LK401_01170</t>
  </si>
  <si>
    <t>LK401_01175</t>
  </si>
  <si>
    <t>bifunctional biotin--[acetyl-CoA-carboxylase] ligase/biotin operon repressor BirA</t>
  </si>
  <si>
    <t>birA</t>
  </si>
  <si>
    <t>UEB32522.1</t>
  </si>
  <si>
    <t>LK401_01180</t>
  </si>
  <si>
    <t>IMP dehydrogenase</t>
  </si>
  <si>
    <t>guaB</t>
  </si>
  <si>
    <t>UEB31849.1</t>
  </si>
  <si>
    <t>LK401_01185</t>
  </si>
  <si>
    <t>glutamine-hydrolyzing GMP synthase</t>
  </si>
  <si>
    <t>guaA</t>
  </si>
  <si>
    <t>UEB31850.1</t>
  </si>
  <si>
    <t>LK401_01190</t>
  </si>
  <si>
    <t>EamA family transporter RarD</t>
  </si>
  <si>
    <t>rarD</t>
  </si>
  <si>
    <t>UEB31851.1</t>
  </si>
  <si>
    <t>LK401_01195</t>
  </si>
  <si>
    <t>Lrp/AsnC family transcriptional regulator</t>
  </si>
  <si>
    <t>UEB31852.1</t>
  </si>
  <si>
    <t>LK401_01200</t>
  </si>
  <si>
    <t>Na|/H| antiporter NhaA</t>
  </si>
  <si>
    <t>nhaA</t>
  </si>
  <si>
    <t>UEB31853.1</t>
  </si>
  <si>
    <t>LK401_01205</t>
  </si>
  <si>
    <t>branched-chain amino acid transport system II carrier protein</t>
  </si>
  <si>
    <t>brnQ</t>
  </si>
  <si>
    <t>UEB31854.1</t>
  </si>
  <si>
    <t>LK401_01210</t>
  </si>
  <si>
    <t>YhcH/YjgK/YiaL family protein</t>
  </si>
  <si>
    <t>UEB31855.1</t>
  </si>
  <si>
    <t>LK401_01215</t>
  </si>
  <si>
    <t>UEB31856.1</t>
  </si>
  <si>
    <t>LK401_01220</t>
  </si>
  <si>
    <t>polyribonucleotide nucleotidyltransferase</t>
  </si>
  <si>
    <t>pnp</t>
  </si>
  <si>
    <t>UEB31857.1</t>
  </si>
  <si>
    <t>LK401_01225</t>
  </si>
  <si>
    <t>lipoprotein NlpI</t>
  </si>
  <si>
    <t>nlpI</t>
  </si>
  <si>
    <t>UEB31858.1</t>
  </si>
  <si>
    <t>LK401_01230</t>
  </si>
  <si>
    <t>DEAD/DEAH box helicase</t>
  </si>
  <si>
    <t>UEB31859.1</t>
  </si>
  <si>
    <t>LK401_01235</t>
  </si>
  <si>
    <t>membrane-bound lytic murein transglycosylase MltF</t>
  </si>
  <si>
    <t>mltF</t>
  </si>
  <si>
    <t>UEB31860.1</t>
  </si>
  <si>
    <t>LK401_01240</t>
  </si>
  <si>
    <t>UEB31861.1</t>
  </si>
  <si>
    <t>LK401_01245</t>
  </si>
  <si>
    <t>DUF5377 domain-containing protein</t>
  </si>
  <si>
    <t>UEB31862.1</t>
  </si>
  <si>
    <t>LK401_01250</t>
  </si>
  <si>
    <t>alternative ribosome-rescue factor A</t>
  </si>
  <si>
    <t>UEB31863.1</t>
  </si>
  <si>
    <t>LK401_01255</t>
  </si>
  <si>
    <t>arsenate reductase (glutaredoxin)</t>
  </si>
  <si>
    <t>arsC</t>
  </si>
  <si>
    <t>UEB31864.1</t>
  </si>
  <si>
    <t>LK401_01260</t>
  </si>
  <si>
    <t>AI-2E family transporter</t>
  </si>
  <si>
    <t>UEB31865.1</t>
  </si>
  <si>
    <t>LK401_01265</t>
  </si>
  <si>
    <t>protein translocase subunit SecF</t>
  </si>
  <si>
    <t>secF</t>
  </si>
  <si>
    <t>UEB32523.1</t>
  </si>
  <si>
    <t>LK401_01270</t>
  </si>
  <si>
    <t>protein translocase subunit SecD</t>
  </si>
  <si>
    <t>secD</t>
  </si>
  <si>
    <t>UEB31866.1</t>
  </si>
  <si>
    <t>LK401_01275</t>
  </si>
  <si>
    <t>preprotein translocase subunit YajC</t>
  </si>
  <si>
    <t>yajC</t>
  </si>
  <si>
    <t>UEB31867.1</t>
  </si>
  <si>
    <t>LK401_01280</t>
  </si>
  <si>
    <t>sulfurtransferase TusA family protein</t>
  </si>
  <si>
    <t>UEB31868.1</t>
  </si>
  <si>
    <t>LK401_01285</t>
  </si>
  <si>
    <t>hemerythrin domain-containing protein</t>
  </si>
  <si>
    <t>UEB31869.1</t>
  </si>
  <si>
    <t>LK401_01290</t>
  </si>
  <si>
    <t>tRNA guanosine(34) transglycosylase Tgt</t>
  </si>
  <si>
    <t>tgt</t>
  </si>
  <si>
    <t>UEB31870.1</t>
  </si>
  <si>
    <t>LK401_01295</t>
  </si>
  <si>
    <t>tRNA preQ1(34) S-adenosylmethionine ribosyltransferase-isomerase QueA</t>
  </si>
  <si>
    <t>queA</t>
  </si>
  <si>
    <t>UEB31871.1</t>
  </si>
  <si>
    <t>LK401_01300</t>
  </si>
  <si>
    <t>UEB31872.1</t>
  </si>
  <si>
    <t>LK401_01305</t>
  </si>
  <si>
    <t>adhesion and penetration autotransporter Hap</t>
  </si>
  <si>
    <t>hap</t>
  </si>
  <si>
    <t>UEB31873.1</t>
  </si>
  <si>
    <t>LK401_01310</t>
  </si>
  <si>
    <t>excinuclease ABC subunit UvrA</t>
  </si>
  <si>
    <t>uvrA</t>
  </si>
  <si>
    <t>UEB31874.1</t>
  </si>
  <si>
    <t>LK401_01315</t>
  </si>
  <si>
    <t>single-stranded DNA-binding protein</t>
  </si>
  <si>
    <t>UEB31875.1</t>
  </si>
  <si>
    <t>LK401_01320</t>
  </si>
  <si>
    <t>energy transducer TonB</t>
  </si>
  <si>
    <t>UEB31876.1</t>
  </si>
  <si>
    <t>LK401_01325</t>
  </si>
  <si>
    <t>TonB system transport protein ExbD</t>
  </si>
  <si>
    <t>exbD</t>
  </si>
  <si>
    <t>UEB31877.1</t>
  </si>
  <si>
    <t>LK401_01330</t>
  </si>
  <si>
    <t>TonB-system energizer ExbB</t>
  </si>
  <si>
    <t>exbB</t>
  </si>
  <si>
    <t>UEB31878.1</t>
  </si>
  <si>
    <t>LK401_01335</t>
  </si>
  <si>
    <t>thioredoxin-dependent thiol peroxidase</t>
  </si>
  <si>
    <t>bcp</t>
  </si>
  <si>
    <t>UEB31879.1</t>
  </si>
  <si>
    <t>LK401_01340</t>
  </si>
  <si>
    <t>4-hydroxy-tetrahydrodipicolinate synthase</t>
  </si>
  <si>
    <t>dapA</t>
  </si>
  <si>
    <t>UEB31880.1</t>
  </si>
  <si>
    <t>LK401_01345</t>
  </si>
  <si>
    <t>outer membrane protein assembly factor BamC</t>
  </si>
  <si>
    <t>bamC</t>
  </si>
  <si>
    <t>UEB31881.1</t>
  </si>
  <si>
    <t>LK401_01350</t>
  </si>
  <si>
    <t>ribosome-associated translation inhibitor RaiA</t>
  </si>
  <si>
    <t>raiA</t>
  </si>
  <si>
    <t>UEB31882.1</t>
  </si>
  <si>
    <t>LK401_01355</t>
  </si>
  <si>
    <t>tRNA-Ser</t>
  </si>
  <si>
    <t>LK401_01360</t>
  </si>
  <si>
    <t>glycosyltransferase family 8 protein</t>
  </si>
  <si>
    <t>UEB31883.1</t>
  </si>
  <si>
    <t>LK401_01365</t>
  </si>
  <si>
    <t>RdgB/HAM1 family non-canonical purine NTP pyrophosphatase</t>
  </si>
  <si>
    <t>rdgB</t>
  </si>
  <si>
    <t>UEB31884.1</t>
  </si>
  <si>
    <t>LK401_01370</t>
  </si>
  <si>
    <t>3-deoxy-D-manno-octulosonic acid kinase</t>
  </si>
  <si>
    <t>UEB31885.1</t>
  </si>
  <si>
    <t>LK401_01375</t>
  </si>
  <si>
    <t>glycosyltransferase family 9 protein</t>
  </si>
  <si>
    <t>UEB31886.1</t>
  </si>
  <si>
    <t>LK401_01380</t>
  </si>
  <si>
    <t>UEB31887.1</t>
  </si>
  <si>
    <t>LK401_01385</t>
  </si>
  <si>
    <t>heme/hemopexin-binding protein HxuB</t>
  </si>
  <si>
    <t>hxuB</t>
  </si>
  <si>
    <t>UEB31888.1</t>
  </si>
  <si>
    <t>LK401_01390</t>
  </si>
  <si>
    <t>filamentous hemagglutinin N-terminal domain-containing protein</t>
  </si>
  <si>
    <t>UEB31889.1</t>
  </si>
  <si>
    <t>LK401_01395</t>
  </si>
  <si>
    <t>dihydroneopterin aldolase</t>
  </si>
  <si>
    <t>folB</t>
  </si>
  <si>
    <t>UEB31890.1</t>
  </si>
  <si>
    <t>LK401_01400</t>
  </si>
  <si>
    <t>glycerol-3-phosphate 1-O-acyltransferase PlsY</t>
  </si>
  <si>
    <t>plsY</t>
  </si>
  <si>
    <t>UEB31891.1</t>
  </si>
  <si>
    <t>LK401_01405</t>
  </si>
  <si>
    <t>nitrate/nitrite two-component system sensor histidine kinase NarQ</t>
  </si>
  <si>
    <t>narQ</t>
  </si>
  <si>
    <t>UEB31892.1</t>
  </si>
  <si>
    <t>LK401_01410</t>
  </si>
  <si>
    <t>UDP-N-acetylmuramate dehydrogenase</t>
  </si>
  <si>
    <t>murB</t>
  </si>
  <si>
    <t>UEB31893.1</t>
  </si>
  <si>
    <t>LK401_01415</t>
  </si>
  <si>
    <t>RNA polymerase sigma factor RpoH</t>
  </si>
  <si>
    <t>rpoH</t>
  </si>
  <si>
    <t>UEB31894.1</t>
  </si>
  <si>
    <t>LK401_01420</t>
  </si>
  <si>
    <t>LK401_01425</t>
  </si>
  <si>
    <t>co-chaperone DjlA</t>
  </si>
  <si>
    <t>djlA</t>
  </si>
  <si>
    <t>UEB31895.1</t>
  </si>
  <si>
    <t>LK401_01430</t>
  </si>
  <si>
    <t>orotate phosphoribosyltransferase</t>
  </si>
  <si>
    <t>pyrE</t>
  </si>
  <si>
    <t>UEB31896.1</t>
  </si>
  <si>
    <t>LK401_01435</t>
  </si>
  <si>
    <t>ribonuclease PH</t>
  </si>
  <si>
    <t>rph</t>
  </si>
  <si>
    <t>UEB31897.1</t>
  </si>
  <si>
    <t>LK401_01440</t>
  </si>
  <si>
    <t>tRNA-Ala</t>
  </si>
  <si>
    <t>LK401_01445</t>
  </si>
  <si>
    <t>glutamate--tRNA ligase</t>
  </si>
  <si>
    <t>gltX</t>
  </si>
  <si>
    <t>UEB31898.1</t>
  </si>
  <si>
    <t>LK401_01450</t>
  </si>
  <si>
    <t>tRNA-Val</t>
  </si>
  <si>
    <t>LK401_01455</t>
  </si>
  <si>
    <t>LK401_01460</t>
  </si>
  <si>
    <t>LK401_01465</t>
  </si>
  <si>
    <t>LK401_01470</t>
  </si>
  <si>
    <t>phosphoethanolamine transferase Lpt6</t>
  </si>
  <si>
    <t>lpt6</t>
  </si>
  <si>
    <t>UEB31899.1</t>
  </si>
  <si>
    <t>LK401_01475</t>
  </si>
  <si>
    <t>virulence factor BrkB family protein</t>
  </si>
  <si>
    <t>UEB31900.1</t>
  </si>
  <si>
    <t>LK401_01480</t>
  </si>
  <si>
    <t>YchJ family protein</t>
  </si>
  <si>
    <t>UEB31901.1</t>
  </si>
  <si>
    <t>LK401_01485</t>
  </si>
  <si>
    <t>MOSC domain-containing protein</t>
  </si>
  <si>
    <t>UEB31902.1</t>
  </si>
  <si>
    <t>LK401_01490</t>
  </si>
  <si>
    <t>uridine phosphorylase</t>
  </si>
  <si>
    <t>udp</t>
  </si>
  <si>
    <t>UEB31903.1</t>
  </si>
  <si>
    <t>LK401_01495</t>
  </si>
  <si>
    <t>MHS family MFS transporter</t>
  </si>
  <si>
    <t>UEB31904.1</t>
  </si>
  <si>
    <t>LK401_01500</t>
  </si>
  <si>
    <t>2-succinyl-6-hydroxy-2,4-cyclohexadiene-1-carboxylate synthase</t>
  </si>
  <si>
    <t>menH</t>
  </si>
  <si>
    <t>UEB31905.1</t>
  </si>
  <si>
    <t>LK401_01505</t>
  </si>
  <si>
    <t>2-succinyl-5-enolpyruvyl-6-hydroxy-3-cyclohexene-1-carboxylic-acid synthase</t>
  </si>
  <si>
    <t>menD</t>
  </si>
  <si>
    <t>UEB31906.1</t>
  </si>
  <si>
    <t>LK401_01510</t>
  </si>
  <si>
    <t>isochorismate synthase MenF</t>
  </si>
  <si>
    <t>UEB31907.1</t>
  </si>
  <si>
    <t>LK401_01515</t>
  </si>
  <si>
    <t>pyridoxal phosphate-dependent aminotransferase</t>
  </si>
  <si>
    <t>UEB31908.1</t>
  </si>
  <si>
    <t>LK401_01520</t>
  </si>
  <si>
    <t>tryptophan permease</t>
  </si>
  <si>
    <t>mtr</t>
  </si>
  <si>
    <t>UEB31909.1</t>
  </si>
  <si>
    <t>LK401_01525</t>
  </si>
  <si>
    <t>L-serine ammonia-lyase</t>
  </si>
  <si>
    <t>UEB31910.1</t>
  </si>
  <si>
    <t>LK401_01530</t>
  </si>
  <si>
    <t>HAAAP family serine/threonine permease</t>
  </si>
  <si>
    <t>UEB31911.1</t>
  </si>
  <si>
    <t>LK401_01535</t>
  </si>
  <si>
    <t>heavy metal translocating P-type ATPase</t>
  </si>
  <si>
    <t>UEB31912.1</t>
  </si>
  <si>
    <t>LK401_01540</t>
  </si>
  <si>
    <t>heavy-metal-associated domain-containing protein</t>
  </si>
  <si>
    <t>UEB31913.1</t>
  </si>
  <si>
    <t>LK401_01545</t>
  </si>
  <si>
    <t>UEB31914.1</t>
  </si>
  <si>
    <t>LK401_01550</t>
  </si>
  <si>
    <t>UEB31915.1</t>
  </si>
  <si>
    <t>LK401_01555</t>
  </si>
  <si>
    <t>UEB31916.1</t>
  </si>
  <si>
    <t>LK401_01560</t>
  </si>
  <si>
    <t>UEB31917.1</t>
  </si>
  <si>
    <t>LK401_01565</t>
  </si>
  <si>
    <t>UEB31918.1</t>
  </si>
  <si>
    <t>LK401_01570</t>
  </si>
  <si>
    <t>UEB31919.1</t>
  </si>
  <si>
    <t>LK401_01575</t>
  </si>
  <si>
    <t>UEB31920.1</t>
  </si>
  <si>
    <t>LK401_01580</t>
  </si>
  <si>
    <t>Cu(I)-responsive transcriptional regulator</t>
  </si>
  <si>
    <t>cueR</t>
  </si>
  <si>
    <t>UEB31921.1</t>
  </si>
  <si>
    <t>LK401_01585</t>
  </si>
  <si>
    <t>met regulon transcriptional regulator MetJ</t>
  </si>
  <si>
    <t>metJ</t>
  </si>
  <si>
    <t>UEB31922.1</t>
  </si>
  <si>
    <t>LK401_01590</t>
  </si>
  <si>
    <t>transcription termination factor Rho</t>
  </si>
  <si>
    <t>rho</t>
  </si>
  <si>
    <t>UEB31923.1</t>
  </si>
  <si>
    <t>LK401_01595</t>
  </si>
  <si>
    <t>A24 family peptidase</t>
  </si>
  <si>
    <t>UEB31924.1</t>
  </si>
  <si>
    <t>LK401_01600</t>
  </si>
  <si>
    <t>type II secretion system F family protein</t>
  </si>
  <si>
    <t>UEB31925.1</t>
  </si>
  <si>
    <t>LK401_01605</t>
  </si>
  <si>
    <t>GspE/PulE family protein</t>
  </si>
  <si>
    <t>UEB31926.1</t>
  </si>
  <si>
    <t>LK401_01610</t>
  </si>
  <si>
    <t>prepilin-type N-terminal cleavage/methylation domain-containing protein</t>
  </si>
  <si>
    <t>UEB31927.1</t>
  </si>
  <si>
    <t>LK401_01615</t>
  </si>
  <si>
    <t>1,6-anhydro-N-acetylmuramyl-L-alanine amidase AmpD</t>
  </si>
  <si>
    <t>ampD</t>
  </si>
  <si>
    <t>UEB31928.1</t>
  </si>
  <si>
    <t>LK401_01620</t>
  </si>
  <si>
    <t>CNNM family magnesium/cobalt transport protein CorC</t>
  </si>
  <si>
    <t>corC</t>
  </si>
  <si>
    <t>UEB31929.1</t>
  </si>
  <si>
    <t>LK401_01625</t>
  </si>
  <si>
    <t>apolipoprotein N-acyltransferase</t>
  </si>
  <si>
    <t>lnt</t>
  </si>
  <si>
    <t>UEB31930.1</t>
  </si>
  <si>
    <t>LK401_01630</t>
  </si>
  <si>
    <t>16S rRNA (uracil(1498)-N(3))-methyltransferase</t>
  </si>
  <si>
    <t>rsmE</t>
  </si>
  <si>
    <t>UEB31931.1</t>
  </si>
  <si>
    <t>LK401_01635</t>
  </si>
  <si>
    <t>YqgE/AlgH family protein</t>
  </si>
  <si>
    <t>UEB31932.1</t>
  </si>
  <si>
    <t>LK401_01640</t>
  </si>
  <si>
    <t>Holliday junction resolvase RuvX</t>
  </si>
  <si>
    <t>ruvX</t>
  </si>
  <si>
    <t>UEB31933.1</t>
  </si>
  <si>
    <t>LK401_01645</t>
  </si>
  <si>
    <t>recombination-associated protein RdgC</t>
  </si>
  <si>
    <t>rdgC</t>
  </si>
  <si>
    <t>UEB31934.1</t>
  </si>
  <si>
    <t>LK401_01650</t>
  </si>
  <si>
    <t>pyrroline-5-carboxylate reductase</t>
  </si>
  <si>
    <t>proC</t>
  </si>
  <si>
    <t>UEB31935.1</t>
  </si>
  <si>
    <t>LK401_01655</t>
  </si>
  <si>
    <t>3-phenylpropionate MFS transporter</t>
  </si>
  <si>
    <t>UEB31936.1</t>
  </si>
  <si>
    <t>LK401_01660</t>
  </si>
  <si>
    <t>site-specific tyrosine recombinase XerD</t>
  </si>
  <si>
    <t>xerD</t>
  </si>
  <si>
    <t>UEB31937.1</t>
  </si>
  <si>
    <t>LK401_01665</t>
  </si>
  <si>
    <t>DUF5339 domain-containing protein</t>
  </si>
  <si>
    <t>UEB31938.1</t>
  </si>
  <si>
    <t>LK401_01670</t>
  </si>
  <si>
    <t>Holliday junction branch migration DNA helicase RuvB</t>
  </si>
  <si>
    <t>ruvB</t>
  </si>
  <si>
    <t>UEB31939.1</t>
  </si>
  <si>
    <t>LK401_01675</t>
  </si>
  <si>
    <t>Holliday junction branch migration protein RuvA</t>
  </si>
  <si>
    <t>ruvA</t>
  </si>
  <si>
    <t>UEB31940.1</t>
  </si>
  <si>
    <t>LK401_01680</t>
  </si>
  <si>
    <t>crossover junction endodeoxyribonuclease RuvC</t>
  </si>
  <si>
    <t>ruvC</t>
  </si>
  <si>
    <t>UEB31941.1</t>
  </si>
  <si>
    <t>LK401_01685</t>
  </si>
  <si>
    <t>YebC/PmpR family DNA-binding transcriptional regulator</t>
  </si>
  <si>
    <t>UEB31942.1</t>
  </si>
  <si>
    <t>LK401_01690</t>
  </si>
  <si>
    <t>dihydroneopterin triphosphate diphosphatase</t>
  </si>
  <si>
    <t>nudB</t>
  </si>
  <si>
    <t>UEB31943.1</t>
  </si>
  <si>
    <t>LK401_01695</t>
  </si>
  <si>
    <t>aspartate--tRNA ligase</t>
  </si>
  <si>
    <t>aspS</t>
  </si>
  <si>
    <t>UEB31944.1</t>
  </si>
  <si>
    <t>LK401_01700</t>
  </si>
  <si>
    <t>isoprenylcysteine carboxyl methyltransferase family protein</t>
  </si>
  <si>
    <t>UEB31945.1</t>
  </si>
  <si>
    <t>LK401_01705</t>
  </si>
  <si>
    <t>carboxy-S-adenosyl-L-methionine synthase CmoA</t>
  </si>
  <si>
    <t>cmoA</t>
  </si>
  <si>
    <t>UEB31946.1</t>
  </si>
  <si>
    <t>LK401_01710</t>
  </si>
  <si>
    <t>antitoxin</t>
  </si>
  <si>
    <t>UEB31947.1</t>
  </si>
  <si>
    <t>LK401_01715</t>
  </si>
  <si>
    <t>type II toxin-antitoxin system VapC family toxin</t>
  </si>
  <si>
    <t>UEB31948.1</t>
  </si>
  <si>
    <t>LK401_01720</t>
  </si>
  <si>
    <t>lactoylglutathione lyase</t>
  </si>
  <si>
    <t>gloA</t>
  </si>
  <si>
    <t>UEB31949.1</t>
  </si>
  <si>
    <t>LK401_01725</t>
  </si>
  <si>
    <t>ribonuclease T</t>
  </si>
  <si>
    <t>rnt</t>
  </si>
  <si>
    <t>UEB31950.1</t>
  </si>
  <si>
    <t>LK401_01730</t>
  </si>
  <si>
    <t>Na|/H| antiporter family protein</t>
  </si>
  <si>
    <t>UEB31951.1</t>
  </si>
  <si>
    <t>LK401_01735</t>
  </si>
  <si>
    <t>primosomal replication protein</t>
  </si>
  <si>
    <t>UEB31952.1</t>
  </si>
  <si>
    <t>LK401_01740</t>
  </si>
  <si>
    <t>LK401_01745</t>
  </si>
  <si>
    <t>elongation factor P</t>
  </si>
  <si>
    <t>efp</t>
  </si>
  <si>
    <t>UEB31953.1</t>
  </si>
  <si>
    <t>LK401_01750</t>
  </si>
  <si>
    <t>EF-P beta-lysylation protein EpmB</t>
  </si>
  <si>
    <t>epmB</t>
  </si>
  <si>
    <t>UEB31954.1</t>
  </si>
  <si>
    <t>LK401_01755</t>
  </si>
  <si>
    <t>opacity-associated protein OapA</t>
  </si>
  <si>
    <t>oapA</t>
  </si>
  <si>
    <t>UEB31955.1</t>
  </si>
  <si>
    <t>LK401_01760</t>
  </si>
  <si>
    <t>MliC family protein</t>
  </si>
  <si>
    <t>UEB31956.1</t>
  </si>
  <si>
    <t>LK401_01765</t>
  </si>
  <si>
    <t>DNA repair protein RecO</t>
  </si>
  <si>
    <t>recO</t>
  </si>
  <si>
    <t>UEB31957.1</t>
  </si>
  <si>
    <t>LK401_01770</t>
  </si>
  <si>
    <t>23S rRNA (uracil(1939)-C(5))-methyltransferase RlmD</t>
  </si>
  <si>
    <t>rlmD</t>
  </si>
  <si>
    <t>UEB31958.1</t>
  </si>
  <si>
    <t>LK401_01775</t>
  </si>
  <si>
    <t>GTP diphosphokinase</t>
  </si>
  <si>
    <t>relA</t>
  </si>
  <si>
    <t>UEB31959.1</t>
  </si>
  <si>
    <t>LK401_01780</t>
  </si>
  <si>
    <t>diacylglycerol kinase</t>
  </si>
  <si>
    <t>UEB31960.1</t>
  </si>
  <si>
    <t>LK401_01785</t>
  </si>
  <si>
    <t>molybdopterin adenylyltransferase</t>
  </si>
  <si>
    <t>mog</t>
  </si>
  <si>
    <t>UEB31961.1</t>
  </si>
  <si>
    <t>LK401_01790</t>
  </si>
  <si>
    <t>nitrogen regulatory protein P-II</t>
  </si>
  <si>
    <t>glnB</t>
  </si>
  <si>
    <t>UEB31962.1</t>
  </si>
  <si>
    <t>LK401_01795</t>
  </si>
  <si>
    <t>UEB31963.1</t>
  </si>
  <si>
    <t>LK401_01800</t>
  </si>
  <si>
    <t>primosomal protein N'</t>
  </si>
  <si>
    <t>priA</t>
  </si>
  <si>
    <t>UEB31964.1</t>
  </si>
  <si>
    <t>LK401_01805</t>
  </si>
  <si>
    <t>tRNA (guanosine(46)-N7)-methyltransferase TrmB</t>
  </si>
  <si>
    <t>trmB</t>
  </si>
  <si>
    <t>UEB31965.1</t>
  </si>
  <si>
    <t>LK401_01810</t>
  </si>
  <si>
    <t>YggL family protein</t>
  </si>
  <si>
    <t>UEB31966.1</t>
  </si>
  <si>
    <t>LK401_01815</t>
  </si>
  <si>
    <t>ferredoxin-type protein NapF</t>
  </si>
  <si>
    <t>napF</t>
  </si>
  <si>
    <t>UEB31967.1</t>
  </si>
  <si>
    <t>LK401_01820</t>
  </si>
  <si>
    <t>chaperone NapD</t>
  </si>
  <si>
    <t>UEB31968.1</t>
  </si>
  <si>
    <t>LK401_01825</t>
  </si>
  <si>
    <t>nitrate reductase catalytic subunit NapA</t>
  </si>
  <si>
    <t>napA</t>
  </si>
  <si>
    <t>UEB31969.1</t>
  </si>
  <si>
    <t>LK401_01830</t>
  </si>
  <si>
    <t>ferredoxin-type protein NapG</t>
  </si>
  <si>
    <t>napG</t>
  </si>
  <si>
    <t>UEB31970.1</t>
  </si>
  <si>
    <t>LK401_01835</t>
  </si>
  <si>
    <t>quinol dehydrogenase ferredoxin subunit NapH</t>
  </si>
  <si>
    <t>napH</t>
  </si>
  <si>
    <t>UEB31971.1</t>
  </si>
  <si>
    <t>LK401_01840</t>
  </si>
  <si>
    <t>nitrate reductase cytochrome c-type subunit</t>
  </si>
  <si>
    <t>UEB31972.1</t>
  </si>
  <si>
    <t>LK401_01845</t>
  </si>
  <si>
    <t>cytochrome c3 family protein</t>
  </si>
  <si>
    <t>UEB31973.1</t>
  </si>
  <si>
    <t>LK401_01850</t>
  </si>
  <si>
    <t>adenylate kinase</t>
  </si>
  <si>
    <t>adk</t>
  </si>
  <si>
    <t>UEB31974.1</t>
  </si>
  <si>
    <t>LK401_01855</t>
  </si>
  <si>
    <t>MFS transporter</t>
  </si>
  <si>
    <t>UEB31975.1</t>
  </si>
  <si>
    <t>LK401_01860</t>
  </si>
  <si>
    <t>UDP-glucose 4-epimerase GalE</t>
  </si>
  <si>
    <t>galE</t>
  </si>
  <si>
    <t>UEB31976.1</t>
  </si>
  <si>
    <t>LK401_01865</t>
  </si>
  <si>
    <t>CMP-Neu5Ac--lipooligosaccharide alpha 2-3 sialyltransferase</t>
  </si>
  <si>
    <t>UEB31977.1</t>
  </si>
  <si>
    <t>LK401_01870</t>
  </si>
  <si>
    <t>ABC transporter ATP-binding protein</t>
  </si>
  <si>
    <t>UEB31978.1</t>
  </si>
  <si>
    <t>LK401_01875</t>
  </si>
  <si>
    <t>ABC transporter permease</t>
  </si>
  <si>
    <t>UEB31979.1</t>
  </si>
  <si>
    <t>LK401_01880</t>
  </si>
  <si>
    <t>ABC transporter substrate-binding protein</t>
  </si>
  <si>
    <t>UEB31980.1</t>
  </si>
  <si>
    <t>LK401_01885</t>
  </si>
  <si>
    <t>thiaminase II</t>
  </si>
  <si>
    <t>tenA</t>
  </si>
  <si>
    <t>UEB31981.1</t>
  </si>
  <si>
    <t>LK401_01890</t>
  </si>
  <si>
    <t>metal ABC transporter permease</t>
  </si>
  <si>
    <t>UEB31982.1</t>
  </si>
  <si>
    <t>LK401_01895</t>
  </si>
  <si>
    <t>UEB31983.1</t>
  </si>
  <si>
    <t>LK401_01900</t>
  </si>
  <si>
    <t>ATP-binding cassette domain-containing protein</t>
  </si>
  <si>
    <t>UEB31984.1</t>
  </si>
  <si>
    <t>LK401_01905</t>
  </si>
  <si>
    <t>metal ABC transporter substrate-binding protein</t>
  </si>
  <si>
    <t>UEB32524.1</t>
  </si>
  <si>
    <t>LK401_01910</t>
  </si>
  <si>
    <t>D-alanyl-D-alanine carboxypeptidase</t>
  </si>
  <si>
    <t>UEB31985.1</t>
  </si>
  <si>
    <t>LK401_01915</t>
  </si>
  <si>
    <t>bifunctional tRNA (adenosine(37)-C2)-methyltransferase TrmG/ribosomal RNA large subunit methyltransferase RlmN</t>
  </si>
  <si>
    <t>UEB31986.1</t>
  </si>
  <si>
    <t>LK401_01920</t>
  </si>
  <si>
    <t>pilW</t>
  </si>
  <si>
    <t>LK401_01925</t>
  </si>
  <si>
    <t>UEB31987.1</t>
  </si>
  <si>
    <t>LK401_01930</t>
  </si>
  <si>
    <t>flavodoxin-dependent (E)-4-hydroxy-3-methylbut-2-enyl-diphosphate synthase</t>
  </si>
  <si>
    <t>ispG</t>
  </si>
  <si>
    <t>UEB31988.1</t>
  </si>
  <si>
    <t>LK401_01935</t>
  </si>
  <si>
    <t>histidine--tRNA ligase</t>
  </si>
  <si>
    <t>hisS</t>
  </si>
  <si>
    <t>UEB31989.1</t>
  </si>
  <si>
    <t>LK401_01940</t>
  </si>
  <si>
    <t>YfgM family protein</t>
  </si>
  <si>
    <t>UEB31990.1</t>
  </si>
  <si>
    <t>LK401_01945</t>
  </si>
  <si>
    <t>Fe-S cluster assembly protein IscX</t>
  </si>
  <si>
    <t>iscX</t>
  </si>
  <si>
    <t>UEB31991.1</t>
  </si>
  <si>
    <t>LK401_01950</t>
  </si>
  <si>
    <t>ISC system 2Fe-2S type ferredoxin</t>
  </si>
  <si>
    <t>fdx</t>
  </si>
  <si>
    <t>UEB31992.1</t>
  </si>
  <si>
    <t>LK401_01955</t>
  </si>
  <si>
    <t>Fe-S protein assembly chaperone HscA</t>
  </si>
  <si>
    <t>hscA</t>
  </si>
  <si>
    <t>UEB31993.1</t>
  </si>
  <si>
    <t>LK401_01960</t>
  </si>
  <si>
    <t>DUF2625 domain-containing protein</t>
  </si>
  <si>
    <t>UEB31994.1</t>
  </si>
  <si>
    <t>LK401_01965</t>
  </si>
  <si>
    <t>Fe-S protein assembly co-chaperone HscB</t>
  </si>
  <si>
    <t>hscB</t>
  </si>
  <si>
    <t>UEB31995.1</t>
  </si>
  <si>
    <t>LK401_01970</t>
  </si>
  <si>
    <t>iron-sulfur cluster assembly protein IscA</t>
  </si>
  <si>
    <t>iscA</t>
  </si>
  <si>
    <t>UEB31996.1</t>
  </si>
  <si>
    <t>LK401_01975</t>
  </si>
  <si>
    <t>Fe-S cluster assembly scaffold IscU</t>
  </si>
  <si>
    <t>iscU</t>
  </si>
  <si>
    <t>UEB31997.1</t>
  </si>
  <si>
    <t>LK401_01980</t>
  </si>
  <si>
    <t>IscS subfamily cysteine desulfurase</t>
  </si>
  <si>
    <t>UEB31998.1</t>
  </si>
  <si>
    <t>LK401_01985</t>
  </si>
  <si>
    <t>Fe-S cluster assembly transcriptional regulator IscR</t>
  </si>
  <si>
    <t>iscR</t>
  </si>
  <si>
    <t>UEB31999.1</t>
  </si>
  <si>
    <t>LK401_01990</t>
  </si>
  <si>
    <t>tRNA (cytosine(32)/uridine(32)-2'-O)-methyltransferase TrmJ</t>
  </si>
  <si>
    <t>trmJ</t>
  </si>
  <si>
    <t>UEB32000.1</t>
  </si>
  <si>
    <t>LK401_01995</t>
  </si>
  <si>
    <t>UEB32001.1</t>
  </si>
  <si>
    <t>LK401_02000</t>
  </si>
  <si>
    <t>UEB32002.1</t>
  </si>
  <si>
    <t>LK401_02005</t>
  </si>
  <si>
    <t>UEB32003.1</t>
  </si>
  <si>
    <t>LK401_02010</t>
  </si>
  <si>
    <t>UEB32004.1</t>
  </si>
  <si>
    <t>LK401_02015</t>
  </si>
  <si>
    <t>tail assembly protein</t>
  </si>
  <si>
    <t>UEB32005.1</t>
  </si>
  <si>
    <t>LK401_02020</t>
  </si>
  <si>
    <t>UEB32006.1</t>
  </si>
  <si>
    <t>LK401_02025</t>
  </si>
  <si>
    <t>C40 family peptidase</t>
  </si>
  <si>
    <t>UEB32007.1</t>
  </si>
  <si>
    <t>LK401_02030</t>
  </si>
  <si>
    <t>phage minor tail protein L</t>
  </si>
  <si>
    <t>UEB32008.1</t>
  </si>
  <si>
    <t>LK401_02035</t>
  </si>
  <si>
    <t>UEB32009.1</t>
  </si>
  <si>
    <t>LK401_02040</t>
  </si>
  <si>
    <t>UEB32010.1</t>
  </si>
  <si>
    <t>LK401_02045</t>
  </si>
  <si>
    <t>type I restriction enzyme HsdR N-terminal domain-containing protein</t>
  </si>
  <si>
    <t>UEB32011.1</t>
  </si>
  <si>
    <t>LK401_02050</t>
  </si>
  <si>
    <t>UEB32012.1</t>
  </si>
  <si>
    <t>LK401_02055</t>
  </si>
  <si>
    <t>UEB32013.1</t>
  </si>
  <si>
    <t>LK401_02060</t>
  </si>
  <si>
    <t>tape measure protein</t>
  </si>
  <si>
    <t>UEB32014.1</t>
  </si>
  <si>
    <t>LK401_02065</t>
  </si>
  <si>
    <t>UEB32525.1</t>
  </si>
  <si>
    <t>LK401_02070</t>
  </si>
  <si>
    <t>UEB32015.1</t>
  </si>
  <si>
    <t>LK401_02075</t>
  </si>
  <si>
    <t>type II toxin-antitoxin system RelE/ParE family toxin</t>
  </si>
  <si>
    <t>UEB32016.1</t>
  </si>
  <si>
    <t>LK401_02080</t>
  </si>
  <si>
    <t>DUF4035 domain-containing protein</t>
  </si>
  <si>
    <t>UEB32017.1</t>
  </si>
  <si>
    <t>LK401_02085</t>
  </si>
  <si>
    <t>UEB32018.1</t>
  </si>
  <si>
    <t>LK401_02090</t>
  </si>
  <si>
    <t>UEB32019.1</t>
  </si>
  <si>
    <t>LK401_02095</t>
  </si>
  <si>
    <t>phage minor tail U family protein</t>
  </si>
  <si>
    <t>UEB32020.1</t>
  </si>
  <si>
    <t>LK401_02100</t>
  </si>
  <si>
    <t>UEB32021.1</t>
  </si>
  <si>
    <t>LK401_02105</t>
  </si>
  <si>
    <t>UEB32022.1</t>
  </si>
  <si>
    <t>LK401_02110</t>
  </si>
  <si>
    <t>DUF2190 family protein</t>
  </si>
  <si>
    <t>UEB32023.1</t>
  </si>
  <si>
    <t>LK401_02115</t>
  </si>
  <si>
    <t>ATP-dependent Clp protease proteolytic subunit</t>
  </si>
  <si>
    <t>UEB32024.1</t>
  </si>
  <si>
    <t>LK401_02120</t>
  </si>
  <si>
    <t>phage portal protein</t>
  </si>
  <si>
    <t>UEB32025.1</t>
  </si>
  <si>
    <t>LK401_02125</t>
  </si>
  <si>
    <t>phage terminase large subunit family protein</t>
  </si>
  <si>
    <t>UEB32026.1</t>
  </si>
  <si>
    <t>LK401_02130</t>
  </si>
  <si>
    <t>DUF1441 family protein</t>
  </si>
  <si>
    <t>UEB32027.1</t>
  </si>
  <si>
    <t>LK401_02135</t>
  </si>
  <si>
    <t>UEB32028.1</t>
  </si>
  <si>
    <t>LK401_02140</t>
  </si>
  <si>
    <t>DUF2570 domain-containing protein</t>
  </si>
  <si>
    <t>UEB32029.1</t>
  </si>
  <si>
    <t>LK401_02145</t>
  </si>
  <si>
    <t>lysozyme</t>
  </si>
  <si>
    <t>UEB32526.1</t>
  </si>
  <si>
    <t>LK401_02150</t>
  </si>
  <si>
    <t>UEB32030.1</t>
  </si>
  <si>
    <t>LK401_02155</t>
  </si>
  <si>
    <t>tRNA-Trp</t>
  </si>
  <si>
    <t>LK401_02160</t>
  </si>
  <si>
    <t>antitermination protein</t>
  </si>
  <si>
    <t>UEB32031.1</t>
  </si>
  <si>
    <t>LK401_02165</t>
  </si>
  <si>
    <t>recombination protein NinG</t>
  </si>
  <si>
    <t>UEB32032.1</t>
  </si>
  <si>
    <t>LK401_02170</t>
  </si>
  <si>
    <t>recombination protein NinB</t>
  </si>
  <si>
    <t>UEB32033.1</t>
  </si>
  <si>
    <t>LK401_02175</t>
  </si>
  <si>
    <t>UEB32034.1</t>
  </si>
  <si>
    <t>LK401_02180</t>
  </si>
  <si>
    <t>replication P</t>
  </si>
  <si>
    <t>UEB32035.1</t>
  </si>
  <si>
    <t>LK401_02185</t>
  </si>
  <si>
    <t>UEB32036.1</t>
  </si>
  <si>
    <t>LK401_02190</t>
  </si>
  <si>
    <t>antA/AntB antirepressor family protein</t>
  </si>
  <si>
    <t>UEB32037.1</t>
  </si>
  <si>
    <t>LK401_02195</t>
  </si>
  <si>
    <t>UEB32038.1</t>
  </si>
  <si>
    <t>LK401_02200</t>
  </si>
  <si>
    <t>UEB32039.1</t>
  </si>
  <si>
    <t>LK401_02205</t>
  </si>
  <si>
    <t>DUF3800 domain-containing protein</t>
  </si>
  <si>
    <t>UEB32040.1</t>
  </si>
  <si>
    <t>LK401_02210</t>
  </si>
  <si>
    <t>UEB32041.1</t>
  </si>
  <si>
    <t>LK401_02215</t>
  </si>
  <si>
    <t>DUF1508 domain-containing protein</t>
  </si>
  <si>
    <t>UEB32042.1</t>
  </si>
  <si>
    <t>LK401_02220</t>
  </si>
  <si>
    <t>UEB32043.1</t>
  </si>
  <si>
    <t>LK401_02225</t>
  </si>
  <si>
    <t>UEB32044.1</t>
  </si>
  <si>
    <t>LK401_02230</t>
  </si>
  <si>
    <t>UEB32045.1</t>
  </si>
  <si>
    <t>LK401_02235</t>
  </si>
  <si>
    <t>HNH endonuclease</t>
  </si>
  <si>
    <t>UEB32046.1</t>
  </si>
  <si>
    <t>LK401_02240</t>
  </si>
  <si>
    <t>site-specific DNA-methyltransferase</t>
  </si>
  <si>
    <t>UEB32047.1</t>
  </si>
  <si>
    <t>LK401_02245</t>
  </si>
  <si>
    <t>UEB32048.1</t>
  </si>
  <si>
    <t>LK401_02250</t>
  </si>
  <si>
    <t>UEB32049.1</t>
  </si>
  <si>
    <t>LK401_02255</t>
  </si>
  <si>
    <t>UEB32050.1</t>
  </si>
  <si>
    <t>LK401_02260</t>
  </si>
  <si>
    <t>translocation protein TolB precursor</t>
  </si>
  <si>
    <t>UEB32051.1</t>
  </si>
  <si>
    <t>LK401_02265</t>
  </si>
  <si>
    <t>ssb</t>
  </si>
  <si>
    <t>LK401_02270</t>
  </si>
  <si>
    <t>UEB32052.1</t>
  </si>
  <si>
    <t>LK401_02275</t>
  </si>
  <si>
    <t>UEB32053.1</t>
  </si>
  <si>
    <t>LK401_02280</t>
  </si>
  <si>
    <t>UEB32054.1</t>
  </si>
  <si>
    <t>LK401_02285</t>
  </si>
  <si>
    <t>UEB32055.1</t>
  </si>
  <si>
    <t>LK401_02290</t>
  </si>
  <si>
    <t>DNA cytosine methyltransferase</t>
  </si>
  <si>
    <t>UEB32056.1</t>
  </si>
  <si>
    <t>LK401_02295</t>
  </si>
  <si>
    <t>UEB32057.1</t>
  </si>
  <si>
    <t>LK401_02300</t>
  </si>
  <si>
    <t>UEB32058.1</t>
  </si>
  <si>
    <t>LK401_02305</t>
  </si>
  <si>
    <t>UEB32059.1</t>
  </si>
  <si>
    <t>LK401_02310</t>
  </si>
  <si>
    <t>UEB32060.1</t>
  </si>
  <si>
    <t>LK401_02315</t>
  </si>
  <si>
    <t>DUF551 domain-containing protein</t>
  </si>
  <si>
    <t>UEB32061.1</t>
  </si>
  <si>
    <t>LK401_02320</t>
  </si>
  <si>
    <t>UEB32062.1</t>
  </si>
  <si>
    <t>LK401_02325</t>
  </si>
  <si>
    <t>site-specific integrase</t>
  </si>
  <si>
    <t>UEB32063.1</t>
  </si>
  <si>
    <t>LK401_02330</t>
  </si>
  <si>
    <t>LK401_02335</t>
  </si>
  <si>
    <t>LK401_02340</t>
  </si>
  <si>
    <t>peptidoglycan-associated lipoprotein Pal</t>
  </si>
  <si>
    <t>pal</t>
  </si>
  <si>
    <t>UEB32064.1</t>
  </si>
  <si>
    <t>LK401_02345</t>
  </si>
  <si>
    <t>Tol-Pal system beta propeller repeat protein TolB</t>
  </si>
  <si>
    <t>tolB</t>
  </si>
  <si>
    <t>UEB32065.1</t>
  </si>
  <si>
    <t>LK401_02350</t>
  </si>
  <si>
    <t>cell envelope integrity protein TolA</t>
  </si>
  <si>
    <t>tolA</t>
  </si>
  <si>
    <t>UEB32066.1</t>
  </si>
  <si>
    <t>LK401_02355</t>
  </si>
  <si>
    <t>colicin uptake protein TolR</t>
  </si>
  <si>
    <t>tolR</t>
  </si>
  <si>
    <t>UEB32067.1</t>
  </si>
  <si>
    <t>LK401_02360</t>
  </si>
  <si>
    <t>protein TolQ</t>
  </si>
  <si>
    <t>tolQ</t>
  </si>
  <si>
    <t>UEB32068.1</t>
  </si>
  <si>
    <t>LK401_02365</t>
  </si>
  <si>
    <t>tol-pal system-associated acyl-CoA thioesterase</t>
  </si>
  <si>
    <t>ybgC</t>
  </si>
  <si>
    <t>UEB32069.1</t>
  </si>
  <si>
    <t>LK401_02370</t>
  </si>
  <si>
    <t>ATP-dependent DNA helicase</t>
  </si>
  <si>
    <t>UEB32070.1</t>
  </si>
  <si>
    <t>LK401_02375</t>
  </si>
  <si>
    <t>tRNA (adenosine(37)-N6)-threonylcarbamoyltransferase complex dimerization subunit type 1 TsaB</t>
  </si>
  <si>
    <t>tsaB</t>
  </si>
  <si>
    <t>UEB32071.1</t>
  </si>
  <si>
    <t>LK401_02380</t>
  </si>
  <si>
    <t>Slp family lipoprotein</t>
  </si>
  <si>
    <t>UEB32072.1</t>
  </si>
  <si>
    <t>LK401_02385</t>
  </si>
  <si>
    <t>long-chain-fatty-acid--CoA ligase FadD</t>
  </si>
  <si>
    <t>fadD</t>
  </si>
  <si>
    <t>UEB32073.1</t>
  </si>
  <si>
    <t>LK401_02390</t>
  </si>
  <si>
    <t>ribonuclease D</t>
  </si>
  <si>
    <t>rnd</t>
  </si>
  <si>
    <t>UEB32074.1</t>
  </si>
  <si>
    <t>LK401_02395</t>
  </si>
  <si>
    <t>LK401_02400</t>
  </si>
  <si>
    <t>redox-regulated ATPase YchF</t>
  </si>
  <si>
    <t>ychF</t>
  </si>
  <si>
    <t>UEB32075.1</t>
  </si>
  <si>
    <t>LK401_02405</t>
  </si>
  <si>
    <t>aminoacyl-tRNA hydrolase</t>
  </si>
  <si>
    <t>pth</t>
  </si>
  <si>
    <t>UEB32076.1</t>
  </si>
  <si>
    <t>LK401_02410</t>
  </si>
  <si>
    <t>RnfH family protein</t>
  </si>
  <si>
    <t>UEB32077.1</t>
  </si>
  <si>
    <t>LK401_02415</t>
  </si>
  <si>
    <t>cupin domain-containing protein</t>
  </si>
  <si>
    <t>UEB32078.1</t>
  </si>
  <si>
    <t>LK401_02420</t>
  </si>
  <si>
    <t>exodeoxyribonuclease VII large subunit</t>
  </si>
  <si>
    <t>xseA</t>
  </si>
  <si>
    <t>UEB32079.1</t>
  </si>
  <si>
    <t>LK401_02425</t>
  </si>
  <si>
    <t>ADP-ribose diphosphatase</t>
  </si>
  <si>
    <t>nudF</t>
  </si>
  <si>
    <t>UEB32080.1</t>
  </si>
  <si>
    <t>LK401_02430</t>
  </si>
  <si>
    <t>3',5'-cyclic-AMP phosphodiesterase</t>
  </si>
  <si>
    <t>cpdA</t>
  </si>
  <si>
    <t>UEB32081.1</t>
  </si>
  <si>
    <t>LK401_02435</t>
  </si>
  <si>
    <t>YfcZ/YiiS family protein</t>
  </si>
  <si>
    <t>UEB32082.1</t>
  </si>
  <si>
    <t>LK401_02440</t>
  </si>
  <si>
    <t>OmpP1/FadL family transporter</t>
  </si>
  <si>
    <t>UEB32083.1</t>
  </si>
  <si>
    <t>LK401_02445</t>
  </si>
  <si>
    <t>methylated-DNA--[protein]-cysteine S-methyltransferase</t>
  </si>
  <si>
    <t>UEB32084.1</t>
  </si>
  <si>
    <t>LK401_02450</t>
  </si>
  <si>
    <t>DNA mismatch repair endonuclease MutH</t>
  </si>
  <si>
    <t>mutH</t>
  </si>
  <si>
    <t>UEB32085.1</t>
  </si>
  <si>
    <t>LK401_02455</t>
  </si>
  <si>
    <t>tRNA lysidine(34) synthetase TilS</t>
  </si>
  <si>
    <t>tilS</t>
  </si>
  <si>
    <t>UEB32086.1</t>
  </si>
  <si>
    <t>LK401_02460</t>
  </si>
  <si>
    <t>LK401_02465</t>
  </si>
  <si>
    <t>acetyl-CoA carboxylase carboxyl transferase subunit alpha</t>
  </si>
  <si>
    <t>accA</t>
  </si>
  <si>
    <t>UEB32087.1</t>
  </si>
  <si>
    <t>LK401_02470</t>
  </si>
  <si>
    <t>zinc ABC transporter permease subunit ZnuB</t>
  </si>
  <si>
    <t>znuB</t>
  </si>
  <si>
    <t>UEB32088.1</t>
  </si>
  <si>
    <t>LK401_02475</t>
  </si>
  <si>
    <t>zinc ABC transporter ATP-binding protein ZnuC</t>
  </si>
  <si>
    <t>znuC</t>
  </si>
  <si>
    <t>UEB32089.1</t>
  </si>
  <si>
    <t>LK401_02480</t>
  </si>
  <si>
    <t>murein DD-endopeptidase MepM</t>
  </si>
  <si>
    <t>mepM</t>
  </si>
  <si>
    <t>UEB32090.1</t>
  </si>
  <si>
    <t>LK401_02485</t>
  </si>
  <si>
    <t>sigma 54-interacting transcriptional regulator</t>
  </si>
  <si>
    <t>UEB32091.1</t>
  </si>
  <si>
    <t>LK401_02490</t>
  </si>
  <si>
    <t>RNA chaperone Hfq</t>
  </si>
  <si>
    <t>hfq</t>
  </si>
  <si>
    <t>UEB32092.1</t>
  </si>
  <si>
    <t>LK401_02495</t>
  </si>
  <si>
    <t>23S rRNA pseudouridine(955/2504/2580) synthase RluC</t>
  </si>
  <si>
    <t>rluC</t>
  </si>
  <si>
    <t>UEB32093.1</t>
  </si>
  <si>
    <t>LK401_02500</t>
  </si>
  <si>
    <t>ribonuclease E</t>
  </si>
  <si>
    <t>rne</t>
  </si>
  <si>
    <t>UEB32094.1</t>
  </si>
  <si>
    <t>LK401_02505</t>
  </si>
  <si>
    <t>opacity family porin</t>
  </si>
  <si>
    <t>UEB32095.1</t>
  </si>
  <si>
    <t>LK401_02510</t>
  </si>
  <si>
    <t>hydroxyethylthiazole kinase</t>
  </si>
  <si>
    <t>thiM</t>
  </si>
  <si>
    <t>UEB32096.1</t>
  </si>
  <si>
    <t>LK401_02515</t>
  </si>
  <si>
    <t>bifunctional hydroxymethylpyrimidine kinase/phosphomethylpyrimidine kinase</t>
  </si>
  <si>
    <t>thiD</t>
  </si>
  <si>
    <t>UEB32097.1</t>
  </si>
  <si>
    <t>LK401_02520</t>
  </si>
  <si>
    <t>thiamine phosphate synthase</t>
  </si>
  <si>
    <t>thiE</t>
  </si>
  <si>
    <t>UEB32098.1</t>
  </si>
  <si>
    <t>LK401_02525</t>
  </si>
  <si>
    <t>UEB32099.1</t>
  </si>
  <si>
    <t>LK401_02530</t>
  </si>
  <si>
    <t>tRNA 5-hydroxyuridine modification protein YegQ</t>
  </si>
  <si>
    <t>yegQ</t>
  </si>
  <si>
    <t>UEB32100.1</t>
  </si>
  <si>
    <t>LK401_02535</t>
  </si>
  <si>
    <t>ATP-dependent RNA helicase SrmB</t>
  </si>
  <si>
    <t>srmB</t>
  </si>
  <si>
    <t>UEB32101.1</t>
  </si>
  <si>
    <t>LK401_02540</t>
  </si>
  <si>
    <t>tRNA1(Val) (adenine(37)-N6)-methyltransferase</t>
  </si>
  <si>
    <t>UEB32102.1</t>
  </si>
  <si>
    <t>LK401_02545</t>
  </si>
  <si>
    <t>tRNA/rRNA methyltransferase</t>
  </si>
  <si>
    <t>UEB32103.1</t>
  </si>
  <si>
    <t>LK401_02550</t>
  </si>
  <si>
    <t>CDP-diacylglycerol--serine O-phosphatidyltransferase</t>
  </si>
  <si>
    <t>pssA</t>
  </si>
  <si>
    <t>UEB32104.1</t>
  </si>
  <si>
    <t>LK401_02555</t>
  </si>
  <si>
    <t>fatty acid metabolism transcriptional regulator FadR</t>
  </si>
  <si>
    <t>fadR</t>
  </si>
  <si>
    <t>UEB32105.1</t>
  </si>
  <si>
    <t>LK401_02560</t>
  </si>
  <si>
    <t>Na(|)/H(|) antiporter NhaB</t>
  </si>
  <si>
    <t>nhaB</t>
  </si>
  <si>
    <t>UEB32106.1</t>
  </si>
  <si>
    <t>LK401_02565</t>
  </si>
  <si>
    <t>disulfide bond formation protein DsbB</t>
  </si>
  <si>
    <t>dsbB</t>
  </si>
  <si>
    <t>UEB32107.1</t>
  </si>
  <si>
    <t>LK401_02570</t>
  </si>
  <si>
    <t>glutamine--fructose-6-phosphate transaminase (isomerizing)</t>
  </si>
  <si>
    <t>glmS</t>
  </si>
  <si>
    <t>UEB32108.1</t>
  </si>
  <si>
    <t>LK401_02575</t>
  </si>
  <si>
    <t>HU family DNA-binding protein</t>
  </si>
  <si>
    <t>UEB32109.1</t>
  </si>
  <si>
    <t>LK401_02580</t>
  </si>
  <si>
    <t>YjaG family protein</t>
  </si>
  <si>
    <t>UEB32110.1</t>
  </si>
  <si>
    <t>LK401_02585</t>
  </si>
  <si>
    <t>NAD(|) diphosphatase</t>
  </si>
  <si>
    <t>nudC</t>
  </si>
  <si>
    <t>UEB32111.1</t>
  </si>
  <si>
    <t>LK401_02590</t>
  </si>
  <si>
    <t>Fe-S biogenesis protein NfuA</t>
  </si>
  <si>
    <t>nfuA</t>
  </si>
  <si>
    <t>UEB32112.1</t>
  </si>
  <si>
    <t>LK401_02595</t>
  </si>
  <si>
    <t>ComF family protein</t>
  </si>
  <si>
    <t>UEB32113.1</t>
  </si>
  <si>
    <t>LK401_02600</t>
  </si>
  <si>
    <t>type IV pilus secretin PilQ</t>
  </si>
  <si>
    <t>pilQ</t>
  </si>
  <si>
    <t>UEB32114.1</t>
  </si>
  <si>
    <t>LK401_02605</t>
  </si>
  <si>
    <t>pilus assembly protein PilP</t>
  </si>
  <si>
    <t>UEB32115.1</t>
  </si>
  <si>
    <t>LK401_02610</t>
  </si>
  <si>
    <t>competence protein ComC</t>
  </si>
  <si>
    <t>comC</t>
  </si>
  <si>
    <t>UEB32116.1</t>
  </si>
  <si>
    <t>LK401_02615</t>
  </si>
  <si>
    <t>comB</t>
  </si>
  <si>
    <t>LK401_02620</t>
  </si>
  <si>
    <t>pilus assembly protein PilM</t>
  </si>
  <si>
    <t>UEB32117.1</t>
  </si>
  <si>
    <t>LK401_02625</t>
  </si>
  <si>
    <t>penicillin-binding protein 1A</t>
  </si>
  <si>
    <t>UEB32118.1</t>
  </si>
  <si>
    <t>LK401_02630</t>
  </si>
  <si>
    <t>23S rRNA (adenine(2030)-N(6))-methyltransferase RlmJ</t>
  </si>
  <si>
    <t>UEB32119.1</t>
  </si>
  <si>
    <t>LK401_02635</t>
  </si>
  <si>
    <t>YbaB/EbfC family nucleoid-associated protein</t>
  </si>
  <si>
    <t>UEB32120.1</t>
  </si>
  <si>
    <t>LK401_02640</t>
  </si>
  <si>
    <t>recombination mediator RecR</t>
  </si>
  <si>
    <t>recR</t>
  </si>
  <si>
    <t>UEB32121.1</t>
  </si>
  <si>
    <t>LK401_02645</t>
  </si>
  <si>
    <t>DNA topoisomerase III</t>
  </si>
  <si>
    <t>UEB32122.1</t>
  </si>
  <si>
    <t>LK401_02650</t>
  </si>
  <si>
    <t>preprotein translocase subunit SecG</t>
  </si>
  <si>
    <t>secG</t>
  </si>
  <si>
    <t>UEB32123.1</t>
  </si>
  <si>
    <t>LK401_02655</t>
  </si>
  <si>
    <t>LK401_02660</t>
  </si>
  <si>
    <t>fructose-specific PTS transporter subunit EIIC</t>
  </si>
  <si>
    <t>UEB32124.1</t>
  </si>
  <si>
    <t>LK401_02665</t>
  </si>
  <si>
    <t>1-phosphofructokinase</t>
  </si>
  <si>
    <t>fruK</t>
  </si>
  <si>
    <t>UEB32125.1</t>
  </si>
  <si>
    <t>LK401_02670</t>
  </si>
  <si>
    <t>fused PTS fructose transporter subunit IIA/HPr protein</t>
  </si>
  <si>
    <t>fruB</t>
  </si>
  <si>
    <t>UEB32126.1</t>
  </si>
  <si>
    <t>LK401_02675</t>
  </si>
  <si>
    <t>UEB32127.1</t>
  </si>
  <si>
    <t>LK401_02680</t>
  </si>
  <si>
    <t>virulence-associated protein VapD</t>
  </si>
  <si>
    <t>vapD</t>
  </si>
  <si>
    <t>UEB32128.1</t>
  </si>
  <si>
    <t>LK401_02685</t>
  </si>
  <si>
    <t>DUF5397 domain-containing protein</t>
  </si>
  <si>
    <t>UEB32129.1</t>
  </si>
  <si>
    <t>LK401_02690</t>
  </si>
  <si>
    <t>hemolysin family protein</t>
  </si>
  <si>
    <t>UEB32130.1</t>
  </si>
  <si>
    <t>LK401_02695</t>
  </si>
  <si>
    <t>DUF1523 family protein</t>
  </si>
  <si>
    <t>UEB32131.1</t>
  </si>
  <si>
    <t>LK401_02700</t>
  </si>
  <si>
    <t>YchF/TatD family DNA exonuclease</t>
  </si>
  <si>
    <t>UEB32132.1</t>
  </si>
  <si>
    <t>LK401_02705</t>
  </si>
  <si>
    <t>DNA polymerase III subunit delta'</t>
  </si>
  <si>
    <t>UEB32133.1</t>
  </si>
  <si>
    <t>LK401_02710</t>
  </si>
  <si>
    <t>LK401_02715</t>
  </si>
  <si>
    <t>dTMP kinase</t>
  </si>
  <si>
    <t>tmk</t>
  </si>
  <si>
    <t>UEB32134.1</t>
  </si>
  <si>
    <t>LK401_02720</t>
  </si>
  <si>
    <t>endolytic transglycosylase MltG</t>
  </si>
  <si>
    <t>mltG</t>
  </si>
  <si>
    <t>UEB32135.1</t>
  </si>
  <si>
    <t>LK401_02725</t>
  </si>
  <si>
    <t>UEB32136.1</t>
  </si>
  <si>
    <t>LK401_02730</t>
  </si>
  <si>
    <t>bifunctional pyr operon transcriptional regulator/uracil phosphoribosyltransferase PyrR</t>
  </si>
  <si>
    <t>pyrR</t>
  </si>
  <si>
    <t>UEB32137.1</t>
  </si>
  <si>
    <t>LK401_02735</t>
  </si>
  <si>
    <t>nucleoside triphosphate pyrophosphohydrolase</t>
  </si>
  <si>
    <t>mazG</t>
  </si>
  <si>
    <t>UEB32138.1</t>
  </si>
  <si>
    <t>LK401_02740</t>
  </si>
  <si>
    <t>VirK/YbjX family protein</t>
  </si>
  <si>
    <t>UEB32139.1</t>
  </si>
  <si>
    <t>LK401_02745</t>
  </si>
  <si>
    <t>endopeptidase La</t>
  </si>
  <si>
    <t>lon</t>
  </si>
  <si>
    <t>UEB32140.1</t>
  </si>
  <si>
    <t>LK401_02750</t>
  </si>
  <si>
    <t>radical SAM family heme chaperone HemW</t>
  </si>
  <si>
    <t>hemW</t>
  </si>
  <si>
    <t>UEB32141.1</t>
  </si>
  <si>
    <t>LK401_02755</t>
  </si>
  <si>
    <t>ribose-5-phosphate isomerase RpiA</t>
  </si>
  <si>
    <t>rpiA</t>
  </si>
  <si>
    <t>UEB32142.1</t>
  </si>
  <si>
    <t>LK401_02760</t>
  </si>
  <si>
    <t>phosphoglycerate dehydrogenase</t>
  </si>
  <si>
    <t>serA</t>
  </si>
  <si>
    <t>UEB32143.1</t>
  </si>
  <si>
    <t>LK401_02765</t>
  </si>
  <si>
    <t>folate-binding protein YgfZ</t>
  </si>
  <si>
    <t>UEB32144.1</t>
  </si>
  <si>
    <t>LK401_02770</t>
  </si>
  <si>
    <t>YicC family protein</t>
  </si>
  <si>
    <t>UEB32145.1</t>
  </si>
  <si>
    <t>LK401_02775</t>
  </si>
  <si>
    <t>ATP phosphoribosyltransferase</t>
  </si>
  <si>
    <t>hisG</t>
  </si>
  <si>
    <t>UEB32146.1</t>
  </si>
  <si>
    <t>LK401_02780</t>
  </si>
  <si>
    <t>histidinol dehydrogenase</t>
  </si>
  <si>
    <t>hisD</t>
  </si>
  <si>
    <t>UEB32147.1</t>
  </si>
  <si>
    <t>LK401_02785</t>
  </si>
  <si>
    <t>histidinol-phosphate transaminase</t>
  </si>
  <si>
    <t>hisC</t>
  </si>
  <si>
    <t>UEB32148.1</t>
  </si>
  <si>
    <t>LK401_02790</t>
  </si>
  <si>
    <t>bifunctional histidinol-phosphatase/imidazoleglycerol-phosphate dehydratase HisB</t>
  </si>
  <si>
    <t>hisB</t>
  </si>
  <si>
    <t>UEB32149.1</t>
  </si>
  <si>
    <t>LK401_02795</t>
  </si>
  <si>
    <t>imidazole glycerol phosphate synthase subunit HisH</t>
  </si>
  <si>
    <t>hisH</t>
  </si>
  <si>
    <t>UEB32150.1</t>
  </si>
  <si>
    <t>LK401_02800</t>
  </si>
  <si>
    <t>1-(5-phosphoribosyl)-5-[(5-phosphoribosylamino)methylideneamino]imidazole-4-carboxamide isomerase</t>
  </si>
  <si>
    <t>hisA</t>
  </si>
  <si>
    <t>UEB32151.1</t>
  </si>
  <si>
    <t>LK401_02805</t>
  </si>
  <si>
    <t>imidazole glycerol phosphate synthase subunit HisF</t>
  </si>
  <si>
    <t>hisF</t>
  </si>
  <si>
    <t>UEB32152.1</t>
  </si>
  <si>
    <t>LK401_02810</t>
  </si>
  <si>
    <t>bifunctional phosphoribosyl-AMP cyclohydrolase/phosphoribosyl-ATP diphosphatase HisIE</t>
  </si>
  <si>
    <t>hisIE</t>
  </si>
  <si>
    <t>UEB32153.1</t>
  </si>
  <si>
    <t>LK401_02815</t>
  </si>
  <si>
    <t>Tyrosine-specific transporter 1</t>
  </si>
  <si>
    <t>UEB32154.1</t>
  </si>
  <si>
    <t>LK401_02820</t>
  </si>
  <si>
    <t>F0F1 ATP synthase subunit epsilon</t>
  </si>
  <si>
    <t>atpC</t>
  </si>
  <si>
    <t>UEB32155.1</t>
  </si>
  <si>
    <t>LK401_02825</t>
  </si>
  <si>
    <t>F0F1 ATP synthase subunit beta</t>
  </si>
  <si>
    <t>atpD</t>
  </si>
  <si>
    <t>UEB32156.1</t>
  </si>
  <si>
    <t>LK401_02830</t>
  </si>
  <si>
    <t>F0F1 ATP synthase subunit gamma</t>
  </si>
  <si>
    <t>atpG</t>
  </si>
  <si>
    <t>UEB32157.1</t>
  </si>
  <si>
    <t>LK401_02835</t>
  </si>
  <si>
    <t>F0F1 ATP synthase subunit alpha</t>
  </si>
  <si>
    <t>atpA</t>
  </si>
  <si>
    <t>UEB32158.1</t>
  </si>
  <si>
    <t>LK401_02840</t>
  </si>
  <si>
    <t>F0F1 ATP synthase subunit delta</t>
  </si>
  <si>
    <t>atpH</t>
  </si>
  <si>
    <t>UEB32159.1</t>
  </si>
  <si>
    <t>LK401_02845</t>
  </si>
  <si>
    <t>F0F1 ATP synthase subunit B</t>
  </si>
  <si>
    <t>atpF</t>
  </si>
  <si>
    <t>UEB32160.1</t>
  </si>
  <si>
    <t>LK401_02850</t>
  </si>
  <si>
    <t>F0F1 ATP synthase subunit C</t>
  </si>
  <si>
    <t>atpE</t>
  </si>
  <si>
    <t>UEB32161.1</t>
  </si>
  <si>
    <t>LK401_02855</t>
  </si>
  <si>
    <t>F0F1 ATP synthase subunit A</t>
  </si>
  <si>
    <t>atpB</t>
  </si>
  <si>
    <t>UEB32162.1</t>
  </si>
  <si>
    <t>LK401_02860</t>
  </si>
  <si>
    <t>ATP synthase subunit I</t>
  </si>
  <si>
    <t>UEB32163.1</t>
  </si>
  <si>
    <t>LK401_02865</t>
  </si>
  <si>
    <t>16S rRNA (guanine(527)-N(7))-methyltransferase RsmG</t>
  </si>
  <si>
    <t>rsmG</t>
  </si>
  <si>
    <t>UEB32164.1</t>
  </si>
  <si>
    <t>LK401_02870</t>
  </si>
  <si>
    <t>PRD domain-containing protein</t>
  </si>
  <si>
    <t>UEB32165.1</t>
  </si>
  <si>
    <t>LK401_02875</t>
  </si>
  <si>
    <t>beta-phosphoglucomutase family hydrolase</t>
  </si>
  <si>
    <t>UEB32166.1</t>
  </si>
  <si>
    <t>LK401_02880</t>
  </si>
  <si>
    <t>DedA family protein</t>
  </si>
  <si>
    <t>UEB32167.1</t>
  </si>
  <si>
    <t>LK401_02885</t>
  </si>
  <si>
    <t>S-ribosylhomocysteine lyase</t>
  </si>
  <si>
    <t>luxS</t>
  </si>
  <si>
    <t>UEB32168.1</t>
  </si>
  <si>
    <t>LK401_02890</t>
  </si>
  <si>
    <t>LK401_02895</t>
  </si>
  <si>
    <t>acid phosphatase AphA</t>
  </si>
  <si>
    <t>aphA</t>
  </si>
  <si>
    <t>UEB32169.1</t>
  </si>
  <si>
    <t>LK401_02900</t>
  </si>
  <si>
    <t>ATP-dependent protease subunit HslV</t>
  </si>
  <si>
    <t>hslV</t>
  </si>
  <si>
    <t>UEB32170.1</t>
  </si>
  <si>
    <t>LK401_02905</t>
  </si>
  <si>
    <t>HslU--HslV peptidase ATPase subunit</t>
  </si>
  <si>
    <t>hslU</t>
  </si>
  <si>
    <t>UEB32171.1</t>
  </si>
  <si>
    <t>LK401_02910</t>
  </si>
  <si>
    <t>extracellular solute-binding protein</t>
  </si>
  <si>
    <t>UEB32172.1</t>
  </si>
  <si>
    <t>LK401_02915</t>
  </si>
  <si>
    <t>FAD-binding oxidoreductase</t>
  </si>
  <si>
    <t>UEB32173.1</t>
  </si>
  <si>
    <t>LK401_02920</t>
  </si>
  <si>
    <t>DNA recombination protein RmuC</t>
  </si>
  <si>
    <t>UEB32174.1</t>
  </si>
  <si>
    <t>LK401_02925</t>
  </si>
  <si>
    <t>D-ribose pyranase</t>
  </si>
  <si>
    <t>rbsD</t>
  </si>
  <si>
    <t>UEB32175.1</t>
  </si>
  <si>
    <t>LK401_02930</t>
  </si>
  <si>
    <t>ribose ABC transporter ATP-binding protein RbsA</t>
  </si>
  <si>
    <t>rbsA</t>
  </si>
  <si>
    <t>UEB32176.1</t>
  </si>
  <si>
    <t>LK401_02935</t>
  </si>
  <si>
    <t>ribose ABC transporter permease</t>
  </si>
  <si>
    <t>rbsC</t>
  </si>
  <si>
    <t>UEB32527.1</t>
  </si>
  <si>
    <t>LK401_02940</t>
  </si>
  <si>
    <t>ribose ABC transporter substrate-binding protein RbsB</t>
  </si>
  <si>
    <t>rbsB</t>
  </si>
  <si>
    <t>UEB32177.1</t>
  </si>
  <si>
    <t>LK401_02945</t>
  </si>
  <si>
    <t>ribokinase</t>
  </si>
  <si>
    <t>rbsK</t>
  </si>
  <si>
    <t>UEB32178.1</t>
  </si>
  <si>
    <t>LK401_02950</t>
  </si>
  <si>
    <t>substrate-binding domain-containing protein</t>
  </si>
  <si>
    <t>UEB32179.1</t>
  </si>
  <si>
    <t>LK401_02955</t>
  </si>
  <si>
    <t>TIGR00645 family protein</t>
  </si>
  <si>
    <t>UEB32180.1</t>
  </si>
  <si>
    <t>LK401_02960</t>
  </si>
  <si>
    <t>ribonuclease E activity regulator RraA</t>
  </si>
  <si>
    <t>rraA</t>
  </si>
  <si>
    <t>UEB32181.1</t>
  </si>
  <si>
    <t>LK401_02965</t>
  </si>
  <si>
    <t>1,4-dihydroxy-2-naphthoate octaprenyltransferase</t>
  </si>
  <si>
    <t>menA</t>
  </si>
  <si>
    <t>UEB32182.1</t>
  </si>
  <si>
    <t>LK401_02970</t>
  </si>
  <si>
    <t>tRNA (N6-threonylcarbamoyladenosine(37)-N6)-methyltransferase TrmO</t>
  </si>
  <si>
    <t>tsaA</t>
  </si>
  <si>
    <t>UEB32183.1</t>
  </si>
  <si>
    <t>LK401_02975</t>
  </si>
  <si>
    <t>dicarboxylate transporter/tellurite-resistance protein TehA</t>
  </si>
  <si>
    <t>tehA</t>
  </si>
  <si>
    <t>UEB32184.1</t>
  </si>
  <si>
    <t>LK401_02980</t>
  </si>
  <si>
    <t>DNA-directed RNA polymerase subunit beta'</t>
  </si>
  <si>
    <t>rpoC</t>
  </si>
  <si>
    <t>UEB32185.1</t>
  </si>
  <si>
    <t>LK401_02985</t>
  </si>
  <si>
    <t>DNA-directed RNA polymerase subunit beta</t>
  </si>
  <si>
    <t>rpoB</t>
  </si>
  <si>
    <t>UEB32186.1</t>
  </si>
  <si>
    <t>LK401_02990</t>
  </si>
  <si>
    <t>50S ribosomal protein L1</t>
  </si>
  <si>
    <t>rplA</t>
  </si>
  <si>
    <t>UEB32187.1</t>
  </si>
  <si>
    <t>LK401_02995</t>
  </si>
  <si>
    <t>50S ribosomal protein L11</t>
  </si>
  <si>
    <t>rplK</t>
  </si>
  <si>
    <t>UEB32188.1</t>
  </si>
  <si>
    <t>LK401_03000</t>
  </si>
  <si>
    <t>purine-nucleoside phosphorylase</t>
  </si>
  <si>
    <t>deoD</t>
  </si>
  <si>
    <t>UEB32189.1</t>
  </si>
  <si>
    <t>LK401_03005</t>
  </si>
  <si>
    <t>NupC/NupG family nucleoside CNT transporter</t>
  </si>
  <si>
    <t>UEB32190.1</t>
  </si>
  <si>
    <t>LK401_03010</t>
  </si>
  <si>
    <t>4Fe-4S cluster-binding domain-containing protein</t>
  </si>
  <si>
    <t>UEB32191.1</t>
  </si>
  <si>
    <t>LK401_03015</t>
  </si>
  <si>
    <t>YjjI family glycine radical enzyme</t>
  </si>
  <si>
    <t>UEB32192.1</t>
  </si>
  <si>
    <t>LK401_03020</t>
  </si>
  <si>
    <t>YitT family protein</t>
  </si>
  <si>
    <t>UEB32193.1</t>
  </si>
  <si>
    <t>LK401_03025</t>
  </si>
  <si>
    <t>UEB32194.1</t>
  </si>
  <si>
    <t>LK401_03030</t>
  </si>
  <si>
    <t>class II fructose-bisphosphate aldolase</t>
  </si>
  <si>
    <t>fbaA</t>
  </si>
  <si>
    <t>UEB32195.1</t>
  </si>
  <si>
    <t>LK401_03035</t>
  </si>
  <si>
    <t>phosphoglycerate kinase</t>
  </si>
  <si>
    <t>pgk</t>
  </si>
  <si>
    <t>UEB32196.1</t>
  </si>
  <si>
    <t>LK401_03040</t>
  </si>
  <si>
    <t>UEB32197.1</t>
  </si>
  <si>
    <t>LK401_03045</t>
  </si>
  <si>
    <t>YfhL family 4Fe-4S dicluster ferredoxin</t>
  </si>
  <si>
    <t>UEB32198.1</t>
  </si>
  <si>
    <t>LK401_03050</t>
  </si>
  <si>
    <t>aromatic amino acid transporter</t>
  </si>
  <si>
    <t>UEB32199.1</t>
  </si>
  <si>
    <t>LK401_03055</t>
  </si>
  <si>
    <t>thymidine kinase</t>
  </si>
  <si>
    <t>UEB32200.1</t>
  </si>
  <si>
    <t>LK401_03060</t>
  </si>
  <si>
    <t>tRNA (adenosine(37)-N6)-threonylcarbamoyltransferase complex transferase subunit TsaD</t>
  </si>
  <si>
    <t>tsaD</t>
  </si>
  <si>
    <t>UEB32201.1</t>
  </si>
  <si>
    <t>LK401_03065</t>
  </si>
  <si>
    <t>30S ribosomal protein S21</t>
  </si>
  <si>
    <t>rpsU</t>
  </si>
  <si>
    <t>UEB32202.1</t>
  </si>
  <si>
    <t>LK401_03070</t>
  </si>
  <si>
    <t>DNA primase</t>
  </si>
  <si>
    <t>dnaG</t>
  </si>
  <si>
    <t>UEB32203.1</t>
  </si>
  <si>
    <t>LK401_03075</t>
  </si>
  <si>
    <t>RNA polymerase sigma factor RpoD</t>
  </si>
  <si>
    <t>rpoD</t>
  </si>
  <si>
    <t>UEB32204.1</t>
  </si>
  <si>
    <t>LK401_03080</t>
  </si>
  <si>
    <t>aspartate ammonia-lyase</t>
  </si>
  <si>
    <t>aspA</t>
  </si>
  <si>
    <t>UEB32205.1</t>
  </si>
  <si>
    <t>LK401_03085</t>
  </si>
  <si>
    <t>urease accessory protein UreD</t>
  </si>
  <si>
    <t>UEB32206.1</t>
  </si>
  <si>
    <t>LK401_03090</t>
  </si>
  <si>
    <t>urease accessory protein UreG</t>
  </si>
  <si>
    <t>ureG</t>
  </si>
  <si>
    <t>UEB32207.1</t>
  </si>
  <si>
    <t>LK401_03095</t>
  </si>
  <si>
    <t>urease accessory protein UreF</t>
  </si>
  <si>
    <t>UEB32208.1</t>
  </si>
  <si>
    <t>LK401_03100</t>
  </si>
  <si>
    <t>urease accessory protein UreE</t>
  </si>
  <si>
    <t>ureE</t>
  </si>
  <si>
    <t>UEB32209.1</t>
  </si>
  <si>
    <t>LK401_03105</t>
  </si>
  <si>
    <t>urease subunit alpha</t>
  </si>
  <si>
    <t>ureC</t>
  </si>
  <si>
    <t>UEB32210.1</t>
  </si>
  <si>
    <t>LK401_03110</t>
  </si>
  <si>
    <t>urease subunit beta</t>
  </si>
  <si>
    <t>ureB</t>
  </si>
  <si>
    <t>UEB32211.1</t>
  </si>
  <si>
    <t>LK401_03115</t>
  </si>
  <si>
    <t>urease subunit gamma</t>
  </si>
  <si>
    <t>ureA</t>
  </si>
  <si>
    <t>UEB32212.1</t>
  </si>
  <si>
    <t>LK401_03120</t>
  </si>
  <si>
    <t>co-chaperone GroES</t>
  </si>
  <si>
    <t>UEB32213.1</t>
  </si>
  <si>
    <t>LK401_03125</t>
  </si>
  <si>
    <t>chaperonin GroEL</t>
  </si>
  <si>
    <t>groL</t>
  </si>
  <si>
    <t>UEB32214.1</t>
  </si>
  <si>
    <t>LK401_03130</t>
  </si>
  <si>
    <t>50S ribosomal protein L9</t>
  </si>
  <si>
    <t>rplI</t>
  </si>
  <si>
    <t>UEB32215.1</t>
  </si>
  <si>
    <t>LK401_03135</t>
  </si>
  <si>
    <t>30S ribosomal protein S18</t>
  </si>
  <si>
    <t>rpsR</t>
  </si>
  <si>
    <t>UEB32216.1</t>
  </si>
  <si>
    <t>LK401_03140</t>
  </si>
  <si>
    <t>primosomal replication protein N</t>
  </si>
  <si>
    <t>priB</t>
  </si>
  <si>
    <t>UEB32217.1</t>
  </si>
  <si>
    <t>LK401_03145</t>
  </si>
  <si>
    <t>30S ribosomal protein S6</t>
  </si>
  <si>
    <t>rpsF</t>
  </si>
  <si>
    <t>UEB32218.1</t>
  </si>
  <si>
    <t>LK401_03150</t>
  </si>
  <si>
    <t>translation initiation factor IF-1</t>
  </si>
  <si>
    <t>infA</t>
  </si>
  <si>
    <t>UEB32219.1</t>
  </si>
  <si>
    <t>LK401_03155</t>
  </si>
  <si>
    <t>16S rRNA (adenine(1518)-N(6)/adenine(1519)-N(6))-dimethyltransferase RsmA</t>
  </si>
  <si>
    <t>rsmA</t>
  </si>
  <si>
    <t>UEB32220.1</t>
  </si>
  <si>
    <t>LK401_03160</t>
  </si>
  <si>
    <t>LK401_03165</t>
  </si>
  <si>
    <t>bis(5'-nucleosyl)-tetraphosphatase (symmetrical) ApaH</t>
  </si>
  <si>
    <t>apaH</t>
  </si>
  <si>
    <t>UEB32221.1</t>
  </si>
  <si>
    <t>LK401_03170</t>
  </si>
  <si>
    <t>glucose-6-phosphate 1-dehydrogenase family protein</t>
  </si>
  <si>
    <t>UEB32222.1</t>
  </si>
  <si>
    <t>LK401_03175</t>
  </si>
  <si>
    <t>decarboxylating NADP(|)-dependent phosphogluconate dehydrogenase</t>
  </si>
  <si>
    <t>gnd</t>
  </si>
  <si>
    <t>UEB32223.1</t>
  </si>
  <si>
    <t>LK401_03180</t>
  </si>
  <si>
    <t>transposase</t>
  </si>
  <si>
    <t>UEB32224.1</t>
  </si>
  <si>
    <t>LK401_03185</t>
  </si>
  <si>
    <t>6-phosphogluconolactonase</t>
  </si>
  <si>
    <t>pgl</t>
  </si>
  <si>
    <t>UEB32225.1</t>
  </si>
  <si>
    <t>LK401_03190</t>
  </si>
  <si>
    <t>glucose-6-phosphate dehydrogenase</t>
  </si>
  <si>
    <t>zwf</t>
  </si>
  <si>
    <t>UEB32226.1</t>
  </si>
  <si>
    <t>LK401_03195</t>
  </si>
  <si>
    <t>3'(2'),5'-bisphosphate nucleotidase CysQ</t>
  </si>
  <si>
    <t>cysQ</t>
  </si>
  <si>
    <t>UEB32227.1</t>
  </si>
  <si>
    <t>LK401_03200</t>
  </si>
  <si>
    <t>UEB32228.1</t>
  </si>
  <si>
    <t>LK401_03205</t>
  </si>
  <si>
    <t>oligopeptide transporter, OPT family</t>
  </si>
  <si>
    <t>UEB32229.1</t>
  </si>
  <si>
    <t>LK401_03210</t>
  </si>
  <si>
    <t>ribosome-associated heat shock protein Hsp15</t>
  </si>
  <si>
    <t>hslR</t>
  </si>
  <si>
    <t>UEB32230.1</t>
  </si>
  <si>
    <t>LK401_03215</t>
  </si>
  <si>
    <t>transcriptional regulator AsnC</t>
  </si>
  <si>
    <t>asnC</t>
  </si>
  <si>
    <t>UEB32231.1</t>
  </si>
  <si>
    <t>LK401_03220</t>
  </si>
  <si>
    <t>aspartate--ammonia ligase</t>
  </si>
  <si>
    <t>asnA</t>
  </si>
  <si>
    <t>UEB32232.1</t>
  </si>
  <si>
    <t>LK401_03225</t>
  </si>
  <si>
    <t>phosphoglycolate phosphatase</t>
  </si>
  <si>
    <t>UEB32233.1</t>
  </si>
  <si>
    <t>LK401_03230</t>
  </si>
  <si>
    <t>ribulose-phosphate 3-epimerase</t>
  </si>
  <si>
    <t>rpe</t>
  </si>
  <si>
    <t>UEB32234.1</t>
  </si>
  <si>
    <t>LK401_03235</t>
  </si>
  <si>
    <t>DNA topoisomerase (ATP-hydrolyzing) subunit B</t>
  </si>
  <si>
    <t>gyrB</t>
  </si>
  <si>
    <t>UEB32235.1</t>
  </si>
  <si>
    <t>LK401_03240</t>
  </si>
  <si>
    <t>RNA-binding transcriptional accessory protein</t>
  </si>
  <si>
    <t>UEB32236.1</t>
  </si>
  <si>
    <t>LK401_03245</t>
  </si>
  <si>
    <t>transcription elongation factor GreB</t>
  </si>
  <si>
    <t>greB</t>
  </si>
  <si>
    <t>UEB32237.1</t>
  </si>
  <si>
    <t>LK401_03250</t>
  </si>
  <si>
    <t>HTH-type transcriptional repressor FabR</t>
  </si>
  <si>
    <t>fabR</t>
  </si>
  <si>
    <t>UEB32238.1</t>
  </si>
  <si>
    <t>LK401_03255</t>
  </si>
  <si>
    <t>DNA-binding transcriptional regulator OxyR</t>
  </si>
  <si>
    <t>oxyR</t>
  </si>
  <si>
    <t>UEB32239.1</t>
  </si>
  <si>
    <t>LK401_03260</t>
  </si>
  <si>
    <t>redoxin family protein</t>
  </si>
  <si>
    <t>UEB32240.1</t>
  </si>
  <si>
    <t>LK401_03265</t>
  </si>
  <si>
    <t>protein SlyX</t>
  </si>
  <si>
    <t>UEB32241.1</t>
  </si>
  <si>
    <t>LK401_03270</t>
  </si>
  <si>
    <t>FKBP-type peptidyl-prolyl cis-trans isomerase</t>
  </si>
  <si>
    <t>fkpA</t>
  </si>
  <si>
    <t>UEB32242.1</t>
  </si>
  <si>
    <t>LK401_03275</t>
  </si>
  <si>
    <t>transcriptional regulator</t>
  </si>
  <si>
    <t>UEB32243.1</t>
  </si>
  <si>
    <t>LK401_03280</t>
  </si>
  <si>
    <t>sulfurtransferase complex subunit TusD</t>
  </si>
  <si>
    <t>tusD</t>
  </si>
  <si>
    <t>UEB32244.1</t>
  </si>
  <si>
    <t>LK401_03285</t>
  </si>
  <si>
    <t>sulfurtransferase complex subunit TusC</t>
  </si>
  <si>
    <t>tusC</t>
  </si>
  <si>
    <t>UEB32245.1</t>
  </si>
  <si>
    <t>LK401_03290</t>
  </si>
  <si>
    <t>DsrH/TusB family sulfur relay protein</t>
  </si>
  <si>
    <t>UEB32246.1</t>
  </si>
  <si>
    <t>LK401_03295</t>
  </si>
  <si>
    <t>elongation factor Tu</t>
  </si>
  <si>
    <t>tuf</t>
  </si>
  <si>
    <t>UEB32247.1</t>
  </si>
  <si>
    <t>LK401_03300</t>
  </si>
  <si>
    <t>tRNA-Thr</t>
  </si>
  <si>
    <t>LK401_03305</t>
  </si>
  <si>
    <t>LK401_03310</t>
  </si>
  <si>
    <t>tRNA-Tyr</t>
  </si>
  <si>
    <t>LK401_03315</t>
  </si>
  <si>
    <t>LK401_03320</t>
  </si>
  <si>
    <t>type I pantothenate kinase</t>
  </si>
  <si>
    <t>coaA</t>
  </si>
  <si>
    <t>UEB32248.1</t>
  </si>
  <si>
    <t>LK401_03325</t>
  </si>
  <si>
    <t>sigma-E factor regulatory protein RseB</t>
  </si>
  <si>
    <t>rseB</t>
  </si>
  <si>
    <t>UEB32249.1</t>
  </si>
  <si>
    <t>LK401_03330</t>
  </si>
  <si>
    <t>sigma-E factor negative regulatory protein</t>
  </si>
  <si>
    <t>UEB32250.1</t>
  </si>
  <si>
    <t>LK401_03335</t>
  </si>
  <si>
    <t>RNA polymerase sigma factor RpoE</t>
  </si>
  <si>
    <t>rpoE</t>
  </si>
  <si>
    <t>UEB32251.1</t>
  </si>
  <si>
    <t>LK401_03340</t>
  </si>
  <si>
    <t>succinate dehydrogenase assembly factor 2</t>
  </si>
  <si>
    <t>UEB32252.1</t>
  </si>
  <si>
    <t>LK401_03345</t>
  </si>
  <si>
    <t>large-conductance mechanosensitive channel protein MscL</t>
  </si>
  <si>
    <t>mscL</t>
  </si>
  <si>
    <t>UEB32253.1</t>
  </si>
  <si>
    <t>LK401_03350</t>
  </si>
  <si>
    <t>Trk system potassium transporter TrkA</t>
  </si>
  <si>
    <t>trkA</t>
  </si>
  <si>
    <t>UEB32254.1</t>
  </si>
  <si>
    <t>LK401_03355</t>
  </si>
  <si>
    <t>16S rRNA (cytosine(967)-C(5))-methyltransferase RsmB</t>
  </si>
  <si>
    <t>rsmB</t>
  </si>
  <si>
    <t>UEB32255.1</t>
  </si>
  <si>
    <t>LK401_03360</t>
  </si>
  <si>
    <t>methionyl-tRNA formyltransferase</t>
  </si>
  <si>
    <t>fmt</t>
  </si>
  <si>
    <t>UEB32256.1</t>
  </si>
  <si>
    <t>LK401_03365</t>
  </si>
  <si>
    <t>peptide deformylase</t>
  </si>
  <si>
    <t>def</t>
  </si>
  <si>
    <t>UEB32257.1</t>
  </si>
  <si>
    <t>LK401_03370</t>
  </si>
  <si>
    <t>YbjN domain-containing protein</t>
  </si>
  <si>
    <t>UEB32258.1</t>
  </si>
  <si>
    <t>LK401_03375</t>
  </si>
  <si>
    <t>UEB32259.1</t>
  </si>
  <si>
    <t>LK401_03380</t>
  </si>
  <si>
    <t>LK401_03385</t>
  </si>
  <si>
    <t>LK401_03390</t>
  </si>
  <si>
    <t>LK401_03395</t>
  </si>
  <si>
    <t>LK401_03400</t>
  </si>
  <si>
    <t>DNA transformation protein TfoX</t>
  </si>
  <si>
    <t>tfoX</t>
  </si>
  <si>
    <t>UEB32260.1</t>
  </si>
  <si>
    <t>LK401_03405</t>
  </si>
  <si>
    <t>recombinase RecA</t>
  </si>
  <si>
    <t>recA</t>
  </si>
  <si>
    <t>UEB32261.1</t>
  </si>
  <si>
    <t>LK401_03410</t>
  </si>
  <si>
    <t>recombination regulator RecX</t>
  </si>
  <si>
    <t>recX</t>
  </si>
  <si>
    <t>UEB32262.1</t>
  </si>
  <si>
    <t>LK401_03415</t>
  </si>
  <si>
    <t>fluoride efflux transporter CrcB</t>
  </si>
  <si>
    <t>crcB</t>
  </si>
  <si>
    <t>UEB32263.1</t>
  </si>
  <si>
    <t>LK401_03420</t>
  </si>
  <si>
    <t>Cof-type HAD-IIB family hydrolase</t>
  </si>
  <si>
    <t>UEB32264.1</t>
  </si>
  <si>
    <t>LK401_03425</t>
  </si>
  <si>
    <t>ornithine carbamoyltransferase</t>
  </si>
  <si>
    <t>UEB32265.1</t>
  </si>
  <si>
    <t>LK401_03430</t>
  </si>
  <si>
    <t>carbamate kinase</t>
  </si>
  <si>
    <t>arcC</t>
  </si>
  <si>
    <t>UEB32266.1</t>
  </si>
  <si>
    <t>LK401_03435</t>
  </si>
  <si>
    <t>YfcC family protein</t>
  </si>
  <si>
    <t>UEB32267.1</t>
  </si>
  <si>
    <t>LK401_03440</t>
  </si>
  <si>
    <t>PT domain-containing protein</t>
  </si>
  <si>
    <t>UEB32268.1</t>
  </si>
  <si>
    <t>LK401_03445</t>
  </si>
  <si>
    <t>LK401_03450</t>
  </si>
  <si>
    <t>Abi family protein</t>
  </si>
  <si>
    <t>UEB32269.1</t>
  </si>
  <si>
    <t>LK401_03455</t>
  </si>
  <si>
    <t>dipeptidase PepE</t>
  </si>
  <si>
    <t>pepE</t>
  </si>
  <si>
    <t>UEB32270.1</t>
  </si>
  <si>
    <t>LK401_03460</t>
  </si>
  <si>
    <t>C4-dicarboxylate transporter DcuC</t>
  </si>
  <si>
    <t>dcuC</t>
  </si>
  <si>
    <t>UEB32271.1</t>
  </si>
  <si>
    <t>LK401_03465</t>
  </si>
  <si>
    <t>M20 family metallo-hydrolase</t>
  </si>
  <si>
    <t>UEB32272.1</t>
  </si>
  <si>
    <t>LK401_03470</t>
  </si>
  <si>
    <t>2',3'-cyclic-nucleotide 2'-phosphodiesterase</t>
  </si>
  <si>
    <t>cpdB</t>
  </si>
  <si>
    <t>UEB32273.1</t>
  </si>
  <si>
    <t>LK401_03475</t>
  </si>
  <si>
    <t>tRNA uridine-5-carboxymethylaminomethyl(34) synthesis enzyme MnmG</t>
  </si>
  <si>
    <t>mnmG</t>
  </si>
  <si>
    <t>UEB32274.1</t>
  </si>
  <si>
    <t>LK401_03480</t>
  </si>
  <si>
    <t>30S ribosomal protein S12</t>
  </si>
  <si>
    <t>rpsL</t>
  </si>
  <si>
    <t>UEB32275.1</t>
  </si>
  <si>
    <t>LK401_03485</t>
  </si>
  <si>
    <t>30S ribosomal protein S7</t>
  </si>
  <si>
    <t>rpsG</t>
  </si>
  <si>
    <t>UEB32276.1</t>
  </si>
  <si>
    <t>LK401_03490</t>
  </si>
  <si>
    <t>elongation factor G</t>
  </si>
  <si>
    <t>fusA</t>
  </si>
  <si>
    <t>UEB32277.1</t>
  </si>
  <si>
    <t>LK401_03495</t>
  </si>
  <si>
    <t>UEB32278.1</t>
  </si>
  <si>
    <t>LK401_03500</t>
  </si>
  <si>
    <t>LK401_03505</t>
  </si>
  <si>
    <t>chloride channel protein</t>
  </si>
  <si>
    <t>UEB32279.1</t>
  </si>
  <si>
    <t>LK401_03510</t>
  </si>
  <si>
    <t>UEB32280.1</t>
  </si>
  <si>
    <t>LK401_03515</t>
  </si>
  <si>
    <t>tRNA dihydrouridine(20/20a) synthase DusA</t>
  </si>
  <si>
    <t>dusA</t>
  </si>
  <si>
    <t>UEB32281.1</t>
  </si>
  <si>
    <t>LK401_03520</t>
  </si>
  <si>
    <t>UEB32282.1</t>
  </si>
  <si>
    <t>LK401_03525</t>
  </si>
  <si>
    <t>tryptophan--tRNA ligase</t>
  </si>
  <si>
    <t>trpS</t>
  </si>
  <si>
    <t>UEB32283.1</t>
  </si>
  <si>
    <t>LK401_03530</t>
  </si>
  <si>
    <t>high frequency lysogenization protein HflD</t>
  </si>
  <si>
    <t>hflD</t>
  </si>
  <si>
    <t>UEB32284.1</t>
  </si>
  <si>
    <t>LK401_03535</t>
  </si>
  <si>
    <t>adenylosuccinate lyase</t>
  </si>
  <si>
    <t>purB</t>
  </si>
  <si>
    <t>UEB32285.1</t>
  </si>
  <si>
    <t>LK401_03540</t>
  </si>
  <si>
    <t>50S ribosomal protein L10</t>
  </si>
  <si>
    <t>rplJ</t>
  </si>
  <si>
    <t>UEB32286.1</t>
  </si>
  <si>
    <t>LK401_03545</t>
  </si>
  <si>
    <t>50S ribosomal protein L7/L12</t>
  </si>
  <si>
    <t>rplL</t>
  </si>
  <si>
    <t>UEB32287.1</t>
  </si>
  <si>
    <t>LK401_03550</t>
  </si>
  <si>
    <t>bifunctional UDP-N-acetylglucosamine diphosphorylase/glucosamine-1-phosphate N-acetyltransferase GlmU</t>
  </si>
  <si>
    <t>glmU</t>
  </si>
  <si>
    <t>UEB32288.1</t>
  </si>
  <si>
    <t>LK401_03555</t>
  </si>
  <si>
    <t>DUF5389 family protein</t>
  </si>
  <si>
    <t>UEB32289.1</t>
  </si>
  <si>
    <t>LK401_03560</t>
  </si>
  <si>
    <t>LK401_03565</t>
  </si>
  <si>
    <t>LK401_03570</t>
  </si>
  <si>
    <t>LK401_03575</t>
  </si>
  <si>
    <t>trimethylamine-N-oxide reductase TorA</t>
  </si>
  <si>
    <t>torA</t>
  </si>
  <si>
    <t>UEB32290.1</t>
  </si>
  <si>
    <t>LK401_03580</t>
  </si>
  <si>
    <t>NapC/NirT family cytochrome c</t>
  </si>
  <si>
    <t>UEB32291.1</t>
  </si>
  <si>
    <t>LK401_03585</t>
  </si>
  <si>
    <t>alpha/beta hydrolase</t>
  </si>
  <si>
    <t>UEB32292.1</t>
  </si>
  <si>
    <t>LK401_03590</t>
  </si>
  <si>
    <t>aspartate-semialdehyde dehydrogenase</t>
  </si>
  <si>
    <t>UEB32293.1</t>
  </si>
  <si>
    <t>LK401_03595</t>
  </si>
  <si>
    <t>MgtC/SapB family protein</t>
  </si>
  <si>
    <t>UEB32294.1</t>
  </si>
  <si>
    <t>LK401_03600</t>
  </si>
  <si>
    <t>NAD(P)H-dependent oxidoreductase</t>
  </si>
  <si>
    <t>UEB32295.1</t>
  </si>
  <si>
    <t>LK401_03605</t>
  </si>
  <si>
    <t>LysR family transcriptional regulator</t>
  </si>
  <si>
    <t>UEB32296.1</t>
  </si>
  <si>
    <t>LK401_03610</t>
  </si>
  <si>
    <t>DNA helicase Rep</t>
  </si>
  <si>
    <t>rep</t>
  </si>
  <si>
    <t>UEB32297.1</t>
  </si>
  <si>
    <t>LK401_03615</t>
  </si>
  <si>
    <t>YceK/YidQ family lipoprotein</t>
  </si>
  <si>
    <t>UEB32298.1</t>
  </si>
  <si>
    <t>LK401_03620</t>
  </si>
  <si>
    <t>pantetheine-phosphate adenylyltransferase</t>
  </si>
  <si>
    <t>coaD</t>
  </si>
  <si>
    <t>UEB32299.1</t>
  </si>
  <si>
    <t>LK401_03625</t>
  </si>
  <si>
    <t>lipid IV(A) 3-deoxy-D-manno-octulosonic acid transferase</t>
  </si>
  <si>
    <t>waaA</t>
  </si>
  <si>
    <t>UEB32300.1</t>
  </si>
  <si>
    <t>LK401_03630</t>
  </si>
  <si>
    <t>glycosyltransferase family 2 protein</t>
  </si>
  <si>
    <t>UEB32301.1</t>
  </si>
  <si>
    <t>LK401_03635</t>
  </si>
  <si>
    <t>DNA-3-methyladenine glycosylase I</t>
  </si>
  <si>
    <t>UEB32302.1</t>
  </si>
  <si>
    <t>LK401_03640</t>
  </si>
  <si>
    <t>UEB32303.1</t>
  </si>
  <si>
    <t>LK401_03645</t>
  </si>
  <si>
    <t>shikimate dehydrogenase</t>
  </si>
  <si>
    <t>aroE</t>
  </si>
  <si>
    <t>UEB32304.1</t>
  </si>
  <si>
    <t>LK401_03650</t>
  </si>
  <si>
    <t>threonylcarbamoyl-AMP synthase</t>
  </si>
  <si>
    <t>UEB32305.1</t>
  </si>
  <si>
    <t>LK401_03655</t>
  </si>
  <si>
    <t>topoisomerase DNA-binding C4 zinc finger domain-containing protein</t>
  </si>
  <si>
    <t>UEB32306.1</t>
  </si>
  <si>
    <t>LK401_03660</t>
  </si>
  <si>
    <t>UEB32307.1</t>
  </si>
  <si>
    <t>LK401_03665</t>
  </si>
  <si>
    <t>helix-turn-helix transcriptional regulator</t>
  </si>
  <si>
    <t>UEB32308.1</t>
  </si>
  <si>
    <t>LK401_03670</t>
  </si>
  <si>
    <t>LK401_03675</t>
  </si>
  <si>
    <t>UEB32309.1</t>
  </si>
  <si>
    <t>LK401_03680</t>
  </si>
  <si>
    <t>LK401_03685</t>
  </si>
  <si>
    <t>UEB32310.1</t>
  </si>
  <si>
    <t>LK401_03690</t>
  </si>
  <si>
    <t>ABC transporter ATP-binding protein/permease</t>
  </si>
  <si>
    <t>UEB32311.1</t>
  </si>
  <si>
    <t>LK401_03695</t>
  </si>
  <si>
    <t>thiol reductant ABC exporter subunit CydC</t>
  </si>
  <si>
    <t>cydC</t>
  </si>
  <si>
    <t>UEB32312.1</t>
  </si>
  <si>
    <t>LK401_03700</t>
  </si>
  <si>
    <t>class II fructose-bisphosphatase</t>
  </si>
  <si>
    <t>glpX</t>
  </si>
  <si>
    <t>UEB32313.1</t>
  </si>
  <si>
    <t>LK401_03705</t>
  </si>
  <si>
    <t>cell division protein ZapB</t>
  </si>
  <si>
    <t>zapB</t>
  </si>
  <si>
    <t>UEB32314.1</t>
  </si>
  <si>
    <t>LK401_03710</t>
  </si>
  <si>
    <t>FMN-binding protein MioC</t>
  </si>
  <si>
    <t>mioC</t>
  </si>
  <si>
    <t>UEB32315.1</t>
  </si>
  <si>
    <t>LK401_03715</t>
  </si>
  <si>
    <t>D-tyrosyl-tRNA(Tyr) deacylase</t>
  </si>
  <si>
    <t>dtd</t>
  </si>
  <si>
    <t>UEB32316.1</t>
  </si>
  <si>
    <t>LK401_03720</t>
  </si>
  <si>
    <t>2-C-methyl-D-erythritol 2,4-cyclodiphosphate synthase</t>
  </si>
  <si>
    <t>ispF</t>
  </si>
  <si>
    <t>UEB32317.1</t>
  </si>
  <si>
    <t>LK401_03725</t>
  </si>
  <si>
    <t>2-C-methyl-D-erythritol 4-phosphate cytidylyltransferase</t>
  </si>
  <si>
    <t>ispD</t>
  </si>
  <si>
    <t>UEB32318.1</t>
  </si>
  <si>
    <t>LK401_03730</t>
  </si>
  <si>
    <t>cell division protein FtsB</t>
  </si>
  <si>
    <t>ftsB</t>
  </si>
  <si>
    <t>UEB32319.1</t>
  </si>
  <si>
    <t>LK401_03735</t>
  </si>
  <si>
    <t>xanthine phosphoribosyltransferase</t>
  </si>
  <si>
    <t>gpt</t>
  </si>
  <si>
    <t>UEB32320.1</t>
  </si>
  <si>
    <t>LK401_03740</t>
  </si>
  <si>
    <t>aminoacyl-histidine dipeptidase</t>
  </si>
  <si>
    <t>UEB32321.1</t>
  </si>
  <si>
    <t>LK401_03745</t>
  </si>
  <si>
    <t>tyrosine recombinase XerC</t>
  </si>
  <si>
    <t>xerC</t>
  </si>
  <si>
    <t>UEB32322.1</t>
  </si>
  <si>
    <t>LK401_03750</t>
  </si>
  <si>
    <t>GNAT family N-acetyltransferase</t>
  </si>
  <si>
    <t>UEB32323.1</t>
  </si>
  <si>
    <t>LK401_03755</t>
  </si>
  <si>
    <t>triose-phosphate isomerase</t>
  </si>
  <si>
    <t>tpiA</t>
  </si>
  <si>
    <t>UEB32324.1</t>
  </si>
  <si>
    <t>LK401_03760</t>
  </si>
  <si>
    <t>thiosulfate sulfurtransferase GlpE</t>
  </si>
  <si>
    <t>glpE</t>
  </si>
  <si>
    <t>UEB32325.1</t>
  </si>
  <si>
    <t>LK401_03765</t>
  </si>
  <si>
    <t>UEB32326.1</t>
  </si>
  <si>
    <t>LK401_03770</t>
  </si>
  <si>
    <t>HTH-type transcriptional activator IlvY</t>
  </si>
  <si>
    <t>ilvY</t>
  </si>
  <si>
    <t>UEB32327.1</t>
  </si>
  <si>
    <t>LK401_03775</t>
  </si>
  <si>
    <t>ketol-acid reductoisomerase</t>
  </si>
  <si>
    <t>ilvC</t>
  </si>
  <si>
    <t>UEB32328.1</t>
  </si>
  <si>
    <t>LK401_03780</t>
  </si>
  <si>
    <t>anaerobic glycerol-3-phosphate dehydrogenase subunit C</t>
  </si>
  <si>
    <t>glpC</t>
  </si>
  <si>
    <t>UEB32329.1</t>
  </si>
  <si>
    <t>LK401_03785</t>
  </si>
  <si>
    <t>glycerol-3-phosphate dehydrogenase subunit GlpB</t>
  </si>
  <si>
    <t>glpB</t>
  </si>
  <si>
    <t>UEB32330.1</t>
  </si>
  <si>
    <t>LK401_03790</t>
  </si>
  <si>
    <t>anaerobic glycerol-3-phosphate dehydrogenase subunit A</t>
  </si>
  <si>
    <t>glpA</t>
  </si>
  <si>
    <t>UEB32331.1</t>
  </si>
  <si>
    <t>LK401_03795</t>
  </si>
  <si>
    <t>glycerol-3-phosphate transporter</t>
  </si>
  <si>
    <t>glpT</t>
  </si>
  <si>
    <t>UEB32332.1</t>
  </si>
  <si>
    <t>LK401_03800</t>
  </si>
  <si>
    <t>glycerophosphodiester phosphodiesterase</t>
  </si>
  <si>
    <t>glpQ</t>
  </si>
  <si>
    <t>UEB32333.1</t>
  </si>
  <si>
    <t>LK401_03805</t>
  </si>
  <si>
    <t>aquaporin</t>
  </si>
  <si>
    <t>UEB32334.1</t>
  </si>
  <si>
    <t>LK401_03810</t>
  </si>
  <si>
    <t>glycerol kinase GlpK</t>
  </si>
  <si>
    <t>glpK</t>
  </si>
  <si>
    <t>UEB32335.1</t>
  </si>
  <si>
    <t>LK401_03815</t>
  </si>
  <si>
    <t>UEB32336.1</t>
  </si>
  <si>
    <t>LK401_03820</t>
  </si>
  <si>
    <t>LK401_03825</t>
  </si>
  <si>
    <t>lipoprotein e(P4)</t>
  </si>
  <si>
    <t>hel</t>
  </si>
  <si>
    <t>UEB32337.1</t>
  </si>
  <si>
    <t>LK401_03830</t>
  </si>
  <si>
    <t>rRNA large subunit pseudouridine synthase E</t>
  </si>
  <si>
    <t>UEB32338.1</t>
  </si>
  <si>
    <t>LK401_03835</t>
  </si>
  <si>
    <t>ppx</t>
  </si>
  <si>
    <t>LK401_03840</t>
  </si>
  <si>
    <t>translocation/assembly module TamB</t>
  </si>
  <si>
    <t>UEB32339.1</t>
  </si>
  <si>
    <t>LK401_03845</t>
  </si>
  <si>
    <t>autotransporter assembly complex protein TamA</t>
  </si>
  <si>
    <t>UEB32340.1</t>
  </si>
  <si>
    <t>LK401_03850</t>
  </si>
  <si>
    <t>slyD</t>
  </si>
  <si>
    <t>UEB32341.1</t>
  </si>
  <si>
    <t>LK401_03855</t>
  </si>
  <si>
    <t>ribonuclease E inhibitor RraB</t>
  </si>
  <si>
    <t>rraB</t>
  </si>
  <si>
    <t>UEB32342.1</t>
  </si>
  <si>
    <t>LK401_03860</t>
  </si>
  <si>
    <t>tRNA pseudouridine(13) synthase TruD</t>
  </si>
  <si>
    <t>truD</t>
  </si>
  <si>
    <t>UEB32343.1</t>
  </si>
  <si>
    <t>LK401_03865</t>
  </si>
  <si>
    <t>5'/3'-nucleotidase SurE</t>
  </si>
  <si>
    <t>surE</t>
  </si>
  <si>
    <t>UEB32344.1</t>
  </si>
  <si>
    <t>LK401_03870</t>
  </si>
  <si>
    <t>UEB32345.1</t>
  </si>
  <si>
    <t>LK401_03875</t>
  </si>
  <si>
    <t>UEB32346.1</t>
  </si>
  <si>
    <t>LK401_03880</t>
  </si>
  <si>
    <t>murein hydrolase activator NlpD</t>
  </si>
  <si>
    <t>nlpD</t>
  </si>
  <si>
    <t>UEB32347.1</t>
  </si>
  <si>
    <t>LK401_03885</t>
  </si>
  <si>
    <t>tryptophanase leader peptide</t>
  </si>
  <si>
    <t>tnaC</t>
  </si>
  <si>
    <t>UEB32528.1</t>
  </si>
  <si>
    <t>LK401_03890</t>
  </si>
  <si>
    <t>tryptophanase</t>
  </si>
  <si>
    <t>tnaA</t>
  </si>
  <si>
    <t>UEB32348.1</t>
  </si>
  <si>
    <t>LK401_03895</t>
  </si>
  <si>
    <t>UEB32349.1</t>
  </si>
  <si>
    <t>LK401_03900</t>
  </si>
  <si>
    <t>DNA mismatch repair protein MutS</t>
  </si>
  <si>
    <t>mutS</t>
  </si>
  <si>
    <t>UEB32350.1</t>
  </si>
  <si>
    <t>LK401_03905</t>
  </si>
  <si>
    <t>tRNA-Sec</t>
  </si>
  <si>
    <t>LK401_03910</t>
  </si>
  <si>
    <t>L-seryl-tRNA(Sec) selenium transferase</t>
  </si>
  <si>
    <t>selA</t>
  </si>
  <si>
    <t>UEB32351.1</t>
  </si>
  <si>
    <t>LK401_03915</t>
  </si>
  <si>
    <t>selenocysteine-specific translation elongation factor</t>
  </si>
  <si>
    <t>selB</t>
  </si>
  <si>
    <t>UEB32352.1</t>
  </si>
  <si>
    <t>LK401_03920</t>
  </si>
  <si>
    <t>DUF3298 domain-containing protein</t>
  </si>
  <si>
    <t>UEB32353.1</t>
  </si>
  <si>
    <t>LK401_03925</t>
  </si>
  <si>
    <t>type II toxin-antitoxin system RelB/DinJ family antitoxin</t>
  </si>
  <si>
    <t>UEB32354.1</t>
  </si>
  <si>
    <t>LK401_03930</t>
  </si>
  <si>
    <t>type II toxin-antitoxin system YafQ family toxin</t>
  </si>
  <si>
    <t>UEB32355.1</t>
  </si>
  <si>
    <t>LK401_03935</t>
  </si>
  <si>
    <t>UEB32529.1</t>
  </si>
  <si>
    <t>LK401_03940</t>
  </si>
  <si>
    <t>LK401_03945</t>
  </si>
  <si>
    <t>LK401_03950</t>
  </si>
  <si>
    <t>LK401_03955</t>
  </si>
  <si>
    <t>trigger factor</t>
  </si>
  <si>
    <t>tig</t>
  </si>
  <si>
    <t>UEB32356.1</t>
  </si>
  <si>
    <t>LK401_03960</t>
  </si>
  <si>
    <t>ATP-dependent Clp endopeptidase proteolytic subunit ClpP</t>
  </si>
  <si>
    <t>clpP</t>
  </si>
  <si>
    <t>UEB32357.1</t>
  </si>
  <si>
    <t>LK401_03965</t>
  </si>
  <si>
    <t>ATP-dependent protease ATP-binding subunit ClpX</t>
  </si>
  <si>
    <t>clpX</t>
  </si>
  <si>
    <t>UEB32358.1</t>
  </si>
  <si>
    <t>LK401_03970</t>
  </si>
  <si>
    <t>preprotein translocase subunit SecE</t>
  </si>
  <si>
    <t>secE</t>
  </si>
  <si>
    <t>UEB32359.1</t>
  </si>
  <si>
    <t>LK401_03975</t>
  </si>
  <si>
    <t>transcription termination/antitermination protein NusG</t>
  </si>
  <si>
    <t>nusG</t>
  </si>
  <si>
    <t>UEB32360.1</t>
  </si>
  <si>
    <t>LK401_03980</t>
  </si>
  <si>
    <t>VacJ family lipoprotein</t>
  </si>
  <si>
    <t>UEB32361.1</t>
  </si>
  <si>
    <t>LK401_03985</t>
  </si>
  <si>
    <t>RidA family protein</t>
  </si>
  <si>
    <t>UEB32530.1</t>
  </si>
  <si>
    <t>LK401_03990</t>
  </si>
  <si>
    <t>protease HtpX</t>
  </si>
  <si>
    <t>htpX</t>
  </si>
  <si>
    <t>UEB32531.1</t>
  </si>
  <si>
    <t>LK401_03995</t>
  </si>
  <si>
    <t>sulfurtransferase TusA</t>
  </si>
  <si>
    <t>tusA</t>
  </si>
  <si>
    <t>UEB32362.1</t>
  </si>
  <si>
    <t>LK401_04000</t>
  </si>
  <si>
    <t>YigZ family protein</t>
  </si>
  <si>
    <t>UEB32363.1</t>
  </si>
  <si>
    <t>LK401_04005</t>
  </si>
  <si>
    <t>TrkH family potassium uptake protein</t>
  </si>
  <si>
    <t>UEB32364.1</t>
  </si>
  <si>
    <t>LK401_04010</t>
  </si>
  <si>
    <t>LK401_04015</t>
  </si>
  <si>
    <t>tRNA-Ile</t>
  </si>
  <si>
    <t>LK401_04020</t>
  </si>
  <si>
    <t>LK401_04025</t>
  </si>
  <si>
    <t>LK401_04030</t>
  </si>
  <si>
    <t>LK401_04035</t>
  </si>
  <si>
    <t>LK401_04040</t>
  </si>
  <si>
    <t>LK401_04045</t>
  </si>
  <si>
    <t>LK401_04050</t>
  </si>
  <si>
    <t>phosphate-starvation-inducible protein PsiE</t>
  </si>
  <si>
    <t>psiE</t>
  </si>
  <si>
    <t>UEB32365.1</t>
  </si>
  <si>
    <t>LK401_04055</t>
  </si>
  <si>
    <t>heme biosynthesis protein HemY</t>
  </si>
  <si>
    <t>UEB32366.1</t>
  </si>
  <si>
    <t>LK401_04060</t>
  </si>
  <si>
    <t>uroporphyrinogen-III C-methyltransferase</t>
  </si>
  <si>
    <t>UEB32367.1</t>
  </si>
  <si>
    <t>LK401_04065</t>
  </si>
  <si>
    <t>class I adenylate cyclase</t>
  </si>
  <si>
    <t>UEB32368.1</t>
  </si>
  <si>
    <t>LK401_04070</t>
  </si>
  <si>
    <t>NAD(P)H-dependent glycerol-3-phosphate dehydrogenase</t>
  </si>
  <si>
    <t>gpsA</t>
  </si>
  <si>
    <t>UEB32369.1</t>
  </si>
  <si>
    <t>LK401_04075</t>
  </si>
  <si>
    <t>serine O-acetyltransferase</t>
  </si>
  <si>
    <t>cysE</t>
  </si>
  <si>
    <t>UEB32370.1</t>
  </si>
  <si>
    <t>LK401_04080</t>
  </si>
  <si>
    <t>shikimate 5-dehydrogenase</t>
  </si>
  <si>
    <t>UEB32371.1</t>
  </si>
  <si>
    <t>LK401_04085</t>
  </si>
  <si>
    <t>DASS family sodium-coupled anion symporter</t>
  </si>
  <si>
    <t>UEB32372.1</t>
  </si>
  <si>
    <t>LK401_04090</t>
  </si>
  <si>
    <t>bifunctional methylenetetrahydrofolate dehydrogenase/methenyltetrahydrofolate cyclohydrolase FolD</t>
  </si>
  <si>
    <t>folD</t>
  </si>
  <si>
    <t>UEB32373.1</t>
  </si>
  <si>
    <t>LK401_04095</t>
  </si>
  <si>
    <t>LK401_04100</t>
  </si>
  <si>
    <t>LK401_04105</t>
  </si>
  <si>
    <t>L-fucose:H| symporter permease</t>
  </si>
  <si>
    <t>fucP</t>
  </si>
  <si>
    <t>UEB32374.1</t>
  </si>
  <si>
    <t>LK401_04110</t>
  </si>
  <si>
    <t>L-fuculose-phosphate aldolase</t>
  </si>
  <si>
    <t>fucA</t>
  </si>
  <si>
    <t>UEB32375.1</t>
  </si>
  <si>
    <t>LK401_04115</t>
  </si>
  <si>
    <t>L-fucose mutarotase</t>
  </si>
  <si>
    <t>fucU</t>
  </si>
  <si>
    <t>UEB32376.1</t>
  </si>
  <si>
    <t>LK401_04120</t>
  </si>
  <si>
    <t>L-fuculokinase</t>
  </si>
  <si>
    <t>fucK</t>
  </si>
  <si>
    <t>UEB32377.1</t>
  </si>
  <si>
    <t>LK401_04125</t>
  </si>
  <si>
    <t>L-fucose isomerase</t>
  </si>
  <si>
    <t>fucI</t>
  </si>
  <si>
    <t>UEB32532.1</t>
  </si>
  <si>
    <t>LK401_04130</t>
  </si>
  <si>
    <t>DeoR/GlpR family DNA-binding transcription regulator</t>
  </si>
  <si>
    <t>UEB32378.1</t>
  </si>
  <si>
    <t>LK401_04135</t>
  </si>
  <si>
    <t>RNA polymerase-associated protein RapA</t>
  </si>
  <si>
    <t>rapA</t>
  </si>
  <si>
    <t>UEB32379.1</t>
  </si>
  <si>
    <t>LK401_04140</t>
  </si>
  <si>
    <t>bifunctional tRNA pseudouridine(32) synthase/23S rRNA pseudouridine(746) synthase RluA</t>
  </si>
  <si>
    <t>rluA</t>
  </si>
  <si>
    <t>UEB32380.1</t>
  </si>
  <si>
    <t>LK401_04145</t>
  </si>
  <si>
    <t>rhomboid family intramembrane serine protease</t>
  </si>
  <si>
    <t>UEB32381.1</t>
  </si>
  <si>
    <t>LK401_04150</t>
  </si>
  <si>
    <t>DeoR/GlpR family transcriptional regulator</t>
  </si>
  <si>
    <t>UEB32382.1</t>
  </si>
  <si>
    <t>LK401_04155</t>
  </si>
  <si>
    <t>MetQ/NlpA family lipoprotein</t>
  </si>
  <si>
    <t>UEB32383.1</t>
  </si>
  <si>
    <t>LK401_04160</t>
  </si>
  <si>
    <t>UEB32384.1</t>
  </si>
  <si>
    <t>LK401_04165</t>
  </si>
  <si>
    <t>methionine ABC transporter ATP-binding protein MetN</t>
  </si>
  <si>
    <t>metN</t>
  </si>
  <si>
    <t>UEB32385.1</t>
  </si>
  <si>
    <t>LK401_04170</t>
  </si>
  <si>
    <t>D-glycero-beta-D-manno-heptose 1,7-bisphosphate 7-phosphatase</t>
  </si>
  <si>
    <t>gmhB</t>
  </si>
  <si>
    <t>UEB32386.1</t>
  </si>
  <si>
    <t>LK401_04175</t>
  </si>
  <si>
    <t>LK401_04180</t>
  </si>
  <si>
    <t>LK401_04185</t>
  </si>
  <si>
    <t>LK401_04190</t>
  </si>
  <si>
    <t>LK401_04195</t>
  </si>
  <si>
    <t>LK401_04200</t>
  </si>
  <si>
    <t>Der GTPase-activating protein YihI</t>
  </si>
  <si>
    <t>yihI</t>
  </si>
  <si>
    <t>UEB32387.1</t>
  </si>
  <si>
    <t>LK401_04205</t>
  </si>
  <si>
    <t>DUF2489 domain-containing protein</t>
  </si>
  <si>
    <t>UEB32388.1</t>
  </si>
  <si>
    <t>LK401_04210</t>
  </si>
  <si>
    <t>UEB32389.1</t>
  </si>
  <si>
    <t>LK401_04215</t>
  </si>
  <si>
    <t>diaminopimelate decarboxylase</t>
  </si>
  <si>
    <t>lysA</t>
  </si>
  <si>
    <t>UEB32390.1</t>
  </si>
  <si>
    <t>LK401_04220</t>
  </si>
  <si>
    <t>lipoprotein</t>
  </si>
  <si>
    <t>UEB32391.1</t>
  </si>
  <si>
    <t>LK401_04225</t>
  </si>
  <si>
    <t>iron donor protein CyaY</t>
  </si>
  <si>
    <t>cyaY</t>
  </si>
  <si>
    <t>UEB32392.1</t>
  </si>
  <si>
    <t>LK401_04230</t>
  </si>
  <si>
    <t>DNA helicase RecQ</t>
  </si>
  <si>
    <t>recQ</t>
  </si>
  <si>
    <t>UEB32393.1</t>
  </si>
  <si>
    <t>LK401_04235</t>
  </si>
  <si>
    <t>proline--tRNA ligase</t>
  </si>
  <si>
    <t>proS</t>
  </si>
  <si>
    <t>UEB32394.1</t>
  </si>
  <si>
    <t>LK401_04240</t>
  </si>
  <si>
    <t>LPS assembly protein LptD</t>
  </si>
  <si>
    <t>lptD</t>
  </si>
  <si>
    <t>UEB32395.1</t>
  </si>
  <si>
    <t>LK401_04245</t>
  </si>
  <si>
    <t>multicopper oxidase domain-containing protein</t>
  </si>
  <si>
    <t>UEB32396.1</t>
  </si>
  <si>
    <t>LK401_04250</t>
  </si>
  <si>
    <t>1-acylglycerol-3-phosphate O-acyltransferase</t>
  </si>
  <si>
    <t>UEB32397.1</t>
  </si>
  <si>
    <t>LK401_04255</t>
  </si>
  <si>
    <t>UDP-2,3-diacylglucosamine diphosphatase</t>
  </si>
  <si>
    <t>lpxH</t>
  </si>
  <si>
    <t>UEB32398.1</t>
  </si>
  <si>
    <t>LK401_04260</t>
  </si>
  <si>
    <t>methionine/alanine import family NSS transporter small subunit</t>
  </si>
  <si>
    <t>UEB32399.1</t>
  </si>
  <si>
    <t>LK401_04265</t>
  </si>
  <si>
    <t>sodium-dependent transporter</t>
  </si>
  <si>
    <t>UEB32400.1</t>
  </si>
  <si>
    <t>LK401_04270</t>
  </si>
  <si>
    <t>UEB32401.1</t>
  </si>
  <si>
    <t>LK401_04275</t>
  </si>
  <si>
    <t>dihydroxy-acid dehydratase</t>
  </si>
  <si>
    <t>ilvD</t>
  </si>
  <si>
    <t>UEB32402.1</t>
  </si>
  <si>
    <t>LK401_04280</t>
  </si>
  <si>
    <t>threonine ammonia-lyase, biosynthetic</t>
  </si>
  <si>
    <t>ilvA</t>
  </si>
  <si>
    <t>UEB32403.1</t>
  </si>
  <si>
    <t>LK401_04285</t>
  </si>
  <si>
    <t>DNA polymerase III subunit alpha</t>
  </si>
  <si>
    <t>dnaE</t>
  </si>
  <si>
    <t>UEB32404.1</t>
  </si>
  <si>
    <t>LK401_04290</t>
  </si>
  <si>
    <t>phospho-sugar mutase</t>
  </si>
  <si>
    <t>UEB32405.1</t>
  </si>
  <si>
    <t>LK401_04295</t>
  </si>
  <si>
    <t>protein-export chaperone SecB</t>
  </si>
  <si>
    <t>secB</t>
  </si>
  <si>
    <t>UEB32406.1</t>
  </si>
  <si>
    <t>LK401_04300</t>
  </si>
  <si>
    <t>rhodanese-like domain-containing protein</t>
  </si>
  <si>
    <t>UEB32407.1</t>
  </si>
  <si>
    <t>LK401_04305</t>
  </si>
  <si>
    <t>UEB32408.1</t>
  </si>
  <si>
    <t>LK401_04310</t>
  </si>
  <si>
    <t>NAD(P)/FAD-dependent oxidoreductase</t>
  </si>
  <si>
    <t>UEB32409.1</t>
  </si>
  <si>
    <t>LK401_04315</t>
  </si>
  <si>
    <t>glycerol-3-phosphate 1-O-acyltransferase PlsB</t>
  </si>
  <si>
    <t>plsB</t>
  </si>
  <si>
    <t>UEB32410.1</t>
  </si>
  <si>
    <t>LK401_04320</t>
  </si>
  <si>
    <t>transcriptional repressor LexA</t>
  </si>
  <si>
    <t>lexA</t>
  </si>
  <si>
    <t>UEB32411.1</t>
  </si>
  <si>
    <t>LK401_04325</t>
  </si>
  <si>
    <t>diaminopimelate epimerase</t>
  </si>
  <si>
    <t>dapF</t>
  </si>
  <si>
    <t>UEB32412.1</t>
  </si>
  <si>
    <t>LK401_04330</t>
  </si>
  <si>
    <t>thiol peroxidase</t>
  </si>
  <si>
    <t>tpx</t>
  </si>
  <si>
    <t>UEB32413.1</t>
  </si>
  <si>
    <t>LK401_04335</t>
  </si>
  <si>
    <t>LK401_04340</t>
  </si>
  <si>
    <t>phosphoribosylformylglycinamidine synthase</t>
  </si>
  <si>
    <t>purL</t>
  </si>
  <si>
    <t>UEB32414.1</t>
  </si>
  <si>
    <t>LK401_04345</t>
  </si>
  <si>
    <t>UEB32415.1</t>
  </si>
  <si>
    <t>LK401_04350</t>
  </si>
  <si>
    <t>glycosyltransferase family 25 protein</t>
  </si>
  <si>
    <t>UEB32416.1</t>
  </si>
  <si>
    <t>LK401_04355</t>
  </si>
  <si>
    <t>divergent polysaccharide deacetylase family protein</t>
  </si>
  <si>
    <t>UEB32417.1</t>
  </si>
  <si>
    <t>LK401_04360</t>
  </si>
  <si>
    <t>murein hydrolase activator EnvC</t>
  </si>
  <si>
    <t>UEB32418.1</t>
  </si>
  <si>
    <t>LK401_04365</t>
  </si>
  <si>
    <t>2,3-diphosphoglycerate-dependent phosphoglycerate mutase</t>
  </si>
  <si>
    <t>UEB32419.1</t>
  </si>
  <si>
    <t>LK401_04370</t>
  </si>
  <si>
    <t>50S ribosomal protein L31</t>
  </si>
  <si>
    <t>rpmE</t>
  </si>
  <si>
    <t>UEB32420.1</t>
  </si>
  <si>
    <t>LK401_04375</t>
  </si>
  <si>
    <t>A/G-specific adenine glycosylase</t>
  </si>
  <si>
    <t>mutY</t>
  </si>
  <si>
    <t>UEB32421.1</t>
  </si>
  <si>
    <t>LK401_04380</t>
  </si>
  <si>
    <t>oxidative damage protection protein</t>
  </si>
  <si>
    <t>UEB32422.1</t>
  </si>
  <si>
    <t>LK401_04385</t>
  </si>
  <si>
    <t>membrane-bound lytic murein transglycosylase MltC</t>
  </si>
  <si>
    <t>mltC</t>
  </si>
  <si>
    <t>UEB32423.1</t>
  </si>
  <si>
    <t>LK401_04390</t>
  </si>
  <si>
    <t>tRNA-Phe</t>
  </si>
  <si>
    <t>LK401_04395</t>
  </si>
  <si>
    <t>tRNA-Asn</t>
  </si>
  <si>
    <t>LK401_04400</t>
  </si>
  <si>
    <t>metallophosphoesterase</t>
  </si>
  <si>
    <t>UEB32424.1</t>
  </si>
  <si>
    <t>LK401_04405</t>
  </si>
  <si>
    <t>multifunctional transcriptional regulator/nicotinamide-nucleotide adenylyltransferase/ribosylnicotinamide kinase NadR</t>
  </si>
  <si>
    <t>nadR</t>
  </si>
  <si>
    <t>UEB32533.1</t>
  </si>
  <si>
    <t>LK401_04410</t>
  </si>
  <si>
    <t>3,4-dihydroxy-2-butanone-4-phosphate synthase</t>
  </si>
  <si>
    <t>ribB</t>
  </si>
  <si>
    <t>UEB32425.1</t>
  </si>
  <si>
    <t>LK401_04415</t>
  </si>
  <si>
    <t>UEB32426.1</t>
  </si>
  <si>
    <t>LK401_04420</t>
  </si>
  <si>
    <t>tRNA (uridine(34)/cytosine(34)/5-carboxymethylaminomethyluridine(34)-2'-O)-methyltransferase TrmL</t>
  </si>
  <si>
    <t>trmL</t>
  </si>
  <si>
    <t>UEB32427.1</t>
  </si>
  <si>
    <t>LK401_04425</t>
  </si>
  <si>
    <t>16S rRNA (guanine(966)-N(2))-methyltransferase RsmD</t>
  </si>
  <si>
    <t>rsmD</t>
  </si>
  <si>
    <t>UEB32428.1</t>
  </si>
  <si>
    <t>LK401_04430</t>
  </si>
  <si>
    <t>signal recognition particle-docking protein FtsY</t>
  </si>
  <si>
    <t>ftsY</t>
  </si>
  <si>
    <t>UEB32534.1</t>
  </si>
  <si>
    <t>LK401_04435</t>
  </si>
  <si>
    <t>cell division ATP-binding protein FtsE</t>
  </si>
  <si>
    <t>ftsE</t>
  </si>
  <si>
    <t>UEB32429.1</t>
  </si>
  <si>
    <t>LK401_04440</t>
  </si>
  <si>
    <t>permease-like cell division protein FtsX</t>
  </si>
  <si>
    <t>ftsX</t>
  </si>
  <si>
    <t>UEB32430.1</t>
  </si>
  <si>
    <t>LK401_04445</t>
  </si>
  <si>
    <t>acetyl-CoA C-acetyltransferase</t>
  </si>
  <si>
    <t>UEB32431.1</t>
  </si>
  <si>
    <t>LK401_04450</t>
  </si>
  <si>
    <t>TIGR00366 family protein</t>
  </si>
  <si>
    <t>UEB32432.1</t>
  </si>
  <si>
    <t>LK401_04455</t>
  </si>
  <si>
    <t>3-oxoacid CoA-transferase subunit B</t>
  </si>
  <si>
    <t>UEB32433.1</t>
  </si>
  <si>
    <t>LK401_04460</t>
  </si>
  <si>
    <t>acetate CoA-transferase subunit alpha</t>
  </si>
  <si>
    <t>atoD</t>
  </si>
  <si>
    <t>UEB32434.1</t>
  </si>
  <si>
    <t>LK401_04465</t>
  </si>
  <si>
    <t>UEB32435.1</t>
  </si>
  <si>
    <t>LK401_04470</t>
  </si>
  <si>
    <t>30S ribosomal protein S10</t>
  </si>
  <si>
    <t>rpsJ</t>
  </si>
  <si>
    <t>UEB32436.1</t>
  </si>
  <si>
    <t>LK401_04475</t>
  </si>
  <si>
    <t>50S ribosomal protein L3</t>
  </si>
  <si>
    <t>rplC</t>
  </si>
  <si>
    <t>UEB32437.1</t>
  </si>
  <si>
    <t>LK401_04480</t>
  </si>
  <si>
    <t>50S ribosomal protein L4</t>
  </si>
  <si>
    <t>rplD</t>
  </si>
  <si>
    <t>UEB32438.1</t>
  </si>
  <si>
    <t>LK401_04485</t>
  </si>
  <si>
    <t>50S ribosomal protein L23</t>
  </si>
  <si>
    <t>rplW</t>
  </si>
  <si>
    <t>UEB32439.1</t>
  </si>
  <si>
    <t>LK401_04490</t>
  </si>
  <si>
    <t>50S ribosomal protein L2</t>
  </si>
  <si>
    <t>rplB</t>
  </si>
  <si>
    <t>UEB32440.1</t>
  </si>
  <si>
    <t>LK401_04495</t>
  </si>
  <si>
    <t>30S ribosomal protein S19</t>
  </si>
  <si>
    <t>rpsS</t>
  </si>
  <si>
    <t>UEB32441.1</t>
  </si>
  <si>
    <t>LK401_04500</t>
  </si>
  <si>
    <t>50S ribosomal protein L22</t>
  </si>
  <si>
    <t>rplV</t>
  </si>
  <si>
    <t>UEB32442.1</t>
  </si>
  <si>
    <t>LK401_04505</t>
  </si>
  <si>
    <t>30S ribosomal protein S3</t>
  </si>
  <si>
    <t>rpsC</t>
  </si>
  <si>
    <t>UEB32443.1</t>
  </si>
  <si>
    <t>LK401_04510</t>
  </si>
  <si>
    <t>50S ribosomal protein L16</t>
  </si>
  <si>
    <t>rplP</t>
  </si>
  <si>
    <t>UEB32444.1</t>
  </si>
  <si>
    <t>LK401_04515</t>
  </si>
  <si>
    <t>50S ribosomal protein L29</t>
  </si>
  <si>
    <t>rpmC</t>
  </si>
  <si>
    <t>UEB32445.1</t>
  </si>
  <si>
    <t>LK401_04520</t>
  </si>
  <si>
    <t>30S ribosomal protein S17</t>
  </si>
  <si>
    <t>rpsQ</t>
  </si>
  <si>
    <t>UEB32446.1</t>
  </si>
  <si>
    <t>LK401_04525</t>
  </si>
  <si>
    <t>UEB32535.1</t>
  </si>
  <si>
    <t>LK401_04530</t>
  </si>
  <si>
    <t>50S ribosomal protein L14</t>
  </si>
  <si>
    <t>rplN</t>
  </si>
  <si>
    <t>UEB32447.1</t>
  </si>
  <si>
    <t>LK401_04535</t>
  </si>
  <si>
    <t>50S ribosomal protein L24</t>
  </si>
  <si>
    <t>rplX</t>
  </si>
  <si>
    <t>UEB32448.1</t>
  </si>
  <si>
    <t>LK401_04540</t>
  </si>
  <si>
    <t>50S ribosomal protein L5</t>
  </si>
  <si>
    <t>rplE</t>
  </si>
  <si>
    <t>UEB32449.1</t>
  </si>
  <si>
    <t>LK401_04545</t>
  </si>
  <si>
    <t>30S ribosomal protein S14</t>
  </si>
  <si>
    <t>rpsN</t>
  </si>
  <si>
    <t>UEB32450.1</t>
  </si>
  <si>
    <t>LK401_04550</t>
  </si>
  <si>
    <t>30S ribosomal protein S8</t>
  </si>
  <si>
    <t>rpsH</t>
  </si>
  <si>
    <t>UEB32451.1</t>
  </si>
  <si>
    <t>LK401_04555</t>
  </si>
  <si>
    <t>50S ribosomal protein L6</t>
  </si>
  <si>
    <t>rplF</t>
  </si>
  <si>
    <t>UEB32452.1</t>
  </si>
  <si>
    <t>LK401_04560</t>
  </si>
  <si>
    <t>50S ribosomal protein L18</t>
  </si>
  <si>
    <t>rplR</t>
  </si>
  <si>
    <t>UEB32453.1</t>
  </si>
  <si>
    <t>LK401_04565</t>
  </si>
  <si>
    <t>30S ribosomal protein S5</t>
  </si>
  <si>
    <t>rpsE</t>
  </si>
  <si>
    <t>UEB32454.1</t>
  </si>
  <si>
    <t>LK401_04570</t>
  </si>
  <si>
    <t>50S ribosomal protein L30</t>
  </si>
  <si>
    <t>rpmD</t>
  </si>
  <si>
    <t>UEB32455.1</t>
  </si>
  <si>
    <t>LK401_04575</t>
  </si>
  <si>
    <t>50S ribosomal protein L15</t>
  </si>
  <si>
    <t>rplO</t>
  </si>
  <si>
    <t>UEB32456.1</t>
  </si>
  <si>
    <t>LK401_04580</t>
  </si>
  <si>
    <t>preprotein translocase subunit SecY</t>
  </si>
  <si>
    <t>secY</t>
  </si>
  <si>
    <t>UEB32457.1</t>
  </si>
  <si>
    <t>LK401_04585</t>
  </si>
  <si>
    <t>50S ribosomal protein L36</t>
  </si>
  <si>
    <t>rpmJ</t>
  </si>
  <si>
    <t>UEB32458.1</t>
  </si>
  <si>
    <t>LK401_04590</t>
  </si>
  <si>
    <t>30S ribosomal protein S13</t>
  </si>
  <si>
    <t>rpsM</t>
  </si>
  <si>
    <t>UEB32459.1</t>
  </si>
  <si>
    <t>LK401_04595</t>
  </si>
  <si>
    <t>30S ribosomal protein S11</t>
  </si>
  <si>
    <t>rpsK</t>
  </si>
  <si>
    <t>UEB32460.1</t>
  </si>
  <si>
    <t>LK401_04600</t>
  </si>
  <si>
    <t>30S ribosomal protein S4</t>
  </si>
  <si>
    <t>rpsD</t>
  </si>
  <si>
    <t>UEB32461.1</t>
  </si>
  <si>
    <t>LK401_04605</t>
  </si>
  <si>
    <t>DNA-directed RNA polymerase subunit alpha</t>
  </si>
  <si>
    <t>rpoA</t>
  </si>
  <si>
    <t>UEB32462.1</t>
  </si>
  <si>
    <t>LK401_04610</t>
  </si>
  <si>
    <t>50S ribosomal protein L17</t>
  </si>
  <si>
    <t>rplQ</t>
  </si>
  <si>
    <t>UEB32463.1</t>
  </si>
  <si>
    <t>LK401_04615</t>
  </si>
  <si>
    <t>Crp/Fnr family transcriptional regulator</t>
  </si>
  <si>
    <t>UEB32464.1</t>
  </si>
  <si>
    <t>LK401_04620</t>
  </si>
  <si>
    <t>LK401_04625</t>
  </si>
  <si>
    <t>sulfite exporter TauE/SafE family protein</t>
  </si>
  <si>
    <t>UEB32465.1</t>
  </si>
  <si>
    <t>LK401_04630</t>
  </si>
  <si>
    <t>1-deoxy-D-xylulose-5-phosphate reductoisomerase</t>
  </si>
  <si>
    <t>ispC</t>
  </si>
  <si>
    <t>UEB32466.1</t>
  </si>
  <si>
    <t>LK401_04635</t>
  </si>
  <si>
    <t>ribosome recycling factor</t>
  </si>
  <si>
    <t>frr</t>
  </si>
  <si>
    <t>UEB32467.1</t>
  </si>
  <si>
    <t>LK401_04640</t>
  </si>
  <si>
    <t>phosphoenolpyruvate carboxykinase (ATP)</t>
  </si>
  <si>
    <t>pckA</t>
  </si>
  <si>
    <t>UEB32468.1</t>
  </si>
  <si>
    <t>LK401_04645</t>
  </si>
  <si>
    <t>Hsp33 family molecular chaperone HslO</t>
  </si>
  <si>
    <t>hslO</t>
  </si>
  <si>
    <t>UEB32469.1</t>
  </si>
  <si>
    <t>LK401_04650</t>
  </si>
  <si>
    <t>argininosuccinate lyase</t>
  </si>
  <si>
    <t>argH</t>
  </si>
  <si>
    <t>UEB32470.1</t>
  </si>
  <si>
    <t>LK401_04655</t>
  </si>
  <si>
    <t>UTP--glucose-1-phosphate uridylyltransferase GalU</t>
  </si>
  <si>
    <t>galU</t>
  </si>
  <si>
    <t>UEB32471.1</t>
  </si>
  <si>
    <t>LK401_04660</t>
  </si>
  <si>
    <t>carbon storage regulator CsrA</t>
  </si>
  <si>
    <t>csrA</t>
  </si>
  <si>
    <t>UEB32472.1</t>
  </si>
  <si>
    <t>LK401_04665</t>
  </si>
  <si>
    <t>alanine--tRNA ligase</t>
  </si>
  <si>
    <t>alaS</t>
  </si>
  <si>
    <t>UEB32473.1</t>
  </si>
  <si>
    <t>LK401_04670</t>
  </si>
  <si>
    <t>universal stress protein UspA</t>
  </si>
  <si>
    <t>uspA</t>
  </si>
  <si>
    <t>UEB32474.1</t>
  </si>
  <si>
    <t>LK401_04675</t>
  </si>
  <si>
    <t>Xaa-Pro aminopeptidase</t>
  </si>
  <si>
    <t>pepP</t>
  </si>
  <si>
    <t>UEB32475.1</t>
  </si>
  <si>
    <t>LK401_04680</t>
  </si>
  <si>
    <t>YecA family protein</t>
  </si>
  <si>
    <t>UEB32476.1</t>
  </si>
  <si>
    <t>LK401_04685</t>
  </si>
  <si>
    <t>galactose-1-epimerase</t>
  </si>
  <si>
    <t>galM</t>
  </si>
  <si>
    <t>UEB32536.1</t>
  </si>
  <si>
    <t>LK401_04690</t>
  </si>
  <si>
    <t>galactokinase</t>
  </si>
  <si>
    <t>galK</t>
  </si>
  <si>
    <t>UEB32477.1</t>
  </si>
  <si>
    <t>LK401_04695</t>
  </si>
  <si>
    <t>galactose-1-phosphate uridylyltransferase</t>
  </si>
  <si>
    <t>galT</t>
  </si>
  <si>
    <t>UEB32478.1</t>
  </si>
  <si>
    <t>LK401_04700</t>
  </si>
  <si>
    <t>UEB32479.1</t>
  </si>
  <si>
    <t>LK401_04705</t>
  </si>
  <si>
    <t>galactose/glucose ABC transporter substrate-binding protein MglB</t>
  </si>
  <si>
    <t>mglB</t>
  </si>
  <si>
    <t>UEB32480.1</t>
  </si>
  <si>
    <t>LK401_04710</t>
  </si>
  <si>
    <t>galactose/methyl galactoside ABC transporter ATP-binding protein MglA</t>
  </si>
  <si>
    <t>mglA</t>
  </si>
  <si>
    <t>UEB32481.1</t>
  </si>
  <si>
    <t>LK401_04715</t>
  </si>
  <si>
    <t>galactose/methyl galactoside ABC transporter permease MglC</t>
  </si>
  <si>
    <t>mglC</t>
  </si>
  <si>
    <t>UEB32482.1</t>
  </si>
  <si>
    <t>LK401_04720</t>
  </si>
  <si>
    <t>UEB32483.1</t>
  </si>
  <si>
    <t>LK401_04725</t>
  </si>
  <si>
    <t>septation protein A</t>
  </si>
  <si>
    <t>UEB32484.1</t>
  </si>
  <si>
    <t>LK401_04730</t>
  </si>
  <si>
    <t>acyl-CoA thioester hydrolase YciA</t>
  </si>
  <si>
    <t>yciA</t>
  </si>
  <si>
    <t>UEB32485.1</t>
  </si>
  <si>
    <t>LK401_04735</t>
  </si>
  <si>
    <t>YciI family protein</t>
  </si>
  <si>
    <t>UEB32486.1</t>
  </si>
  <si>
    <t>LK401_04740</t>
  </si>
  <si>
    <t>transglycosylase SLT domain-containing protein</t>
  </si>
  <si>
    <t>UEB32487.1</t>
  </si>
  <si>
    <t>LK401_04745</t>
  </si>
  <si>
    <t>trp operon repressor</t>
  </si>
  <si>
    <t>trpR</t>
  </si>
  <si>
    <t>UEB32488.1</t>
  </si>
  <si>
    <t>LK401_04750</t>
  </si>
  <si>
    <t>monofunctional biosynthetic peptidoglycan transglycosylase</t>
  </si>
  <si>
    <t>mtgA</t>
  </si>
  <si>
    <t>UEB32489.1</t>
  </si>
  <si>
    <t>LK401_04755</t>
  </si>
  <si>
    <t>fumarate reductase subunit FrdD</t>
  </si>
  <si>
    <t>frdD</t>
  </si>
  <si>
    <t>UEB32490.1</t>
  </si>
  <si>
    <t>LK401_04760</t>
  </si>
  <si>
    <t>fumarate reductase subunit FrdC</t>
  </si>
  <si>
    <t>frdC</t>
  </si>
  <si>
    <t>UEB32491.1</t>
  </si>
  <si>
    <t>LK401_04765</t>
  </si>
  <si>
    <t>succinate dehydrogenase/fumarate reductase iron-sulfur subunit</t>
  </si>
  <si>
    <t>UEB32492.1</t>
  </si>
  <si>
    <t>LK401_04770</t>
  </si>
  <si>
    <t>fumarate reductase (quinol) flavoprotein subunit</t>
  </si>
  <si>
    <t>frdA</t>
  </si>
  <si>
    <t>UEB32493.1</t>
  </si>
  <si>
    <t>LK401_04775</t>
  </si>
  <si>
    <t>elongation factor P--(R)-beta-lysine ligase</t>
  </si>
  <si>
    <t>epmA</t>
  </si>
  <si>
    <t>UEB32494.1</t>
  </si>
  <si>
    <t>LK401_04780</t>
  </si>
  <si>
    <t>UEB32495.1</t>
  </si>
  <si>
    <t>LK401_04785</t>
  </si>
  <si>
    <t>outer membrane protein assembly factor BamE</t>
  </si>
  <si>
    <t>bamE</t>
  </si>
  <si>
    <t>UEB32496.1</t>
  </si>
  <si>
    <t>LK401_04790</t>
  </si>
  <si>
    <t>nucleoid-associated protein YejK</t>
  </si>
  <si>
    <t>yejK</t>
  </si>
  <si>
    <t>UEB32497.1</t>
  </si>
  <si>
    <t>LK401_04795</t>
  </si>
  <si>
    <t>YejL family protein</t>
  </si>
  <si>
    <t>UEB32498.1</t>
  </si>
  <si>
    <t>LK401_04800</t>
  </si>
  <si>
    <t>DUF3413 domain-containing protein</t>
  </si>
  <si>
    <t>UEB32499.1</t>
  </si>
  <si>
    <t>LK401_04805</t>
  </si>
  <si>
    <t>amidohydrolase family protein</t>
  </si>
  <si>
    <t>UEB32500.1</t>
  </si>
  <si>
    <t>LK401_04810</t>
  </si>
  <si>
    <t>molybdenum cofactor guanylyltransferase MobA</t>
  </si>
  <si>
    <t>mobA</t>
  </si>
  <si>
    <t>UEB32501.1</t>
  </si>
  <si>
    <t>LK401_04815</t>
  </si>
  <si>
    <t>YihD family protein</t>
  </si>
  <si>
    <t>UEB32502.1</t>
  </si>
  <si>
    <t>LK401_04820</t>
  </si>
  <si>
    <t>DsbA family protein</t>
  </si>
  <si>
    <t>UEB32503.1</t>
  </si>
  <si>
    <t>LK401_04825</t>
  </si>
  <si>
    <t>DUF413 domain-containing protein</t>
  </si>
  <si>
    <t>UEB32504.1</t>
  </si>
  <si>
    <t>LK401_04830</t>
  </si>
  <si>
    <t>tRNA (uridine(54)-C5)-methyltransferase TrmA</t>
  </si>
  <si>
    <t>trmA</t>
  </si>
  <si>
    <t>UEB32505.1</t>
  </si>
  <si>
    <t>LK401_04835</t>
  </si>
  <si>
    <t>UEB32506.1</t>
  </si>
  <si>
    <t>LK401_04840</t>
  </si>
  <si>
    <t>SoxR reducing system RseC family protein</t>
  </si>
  <si>
    <t>UEB32507.1</t>
  </si>
  <si>
    <t>LK401_04845</t>
  </si>
  <si>
    <t>LK401_04850</t>
  </si>
  <si>
    <t>molybdopterin-guanine dinucleotide biosynthesis protein MobB</t>
  </si>
  <si>
    <t>mobB</t>
  </si>
  <si>
    <t>UEB32508.1</t>
  </si>
  <si>
    <t>LK401_04855</t>
  </si>
  <si>
    <t>multidrug efflux MFS transporter</t>
  </si>
  <si>
    <t>UEB32509.1</t>
  </si>
  <si>
    <t>LK401_04860</t>
  </si>
  <si>
    <t>UEB32510.1</t>
  </si>
  <si>
    <t>LK401_04865</t>
  </si>
  <si>
    <t>HugZ family heme oxygenase</t>
  </si>
  <si>
    <t>UEB32511.1</t>
  </si>
  <si>
    <t>LK401_04870</t>
  </si>
  <si>
    <t>serine dehydratase subunit alpha family protein</t>
  </si>
  <si>
    <t>UEB32512.1</t>
  </si>
  <si>
    <t>LK401_04875</t>
  </si>
  <si>
    <t>DNA polymerase I</t>
  </si>
  <si>
    <t>polA</t>
  </si>
  <si>
    <t>UEB32513.1</t>
  </si>
  <si>
    <t>LK401_04880</t>
  </si>
  <si>
    <t>cell division protein ZapA</t>
  </si>
  <si>
    <t>UEB32514.1</t>
  </si>
  <si>
    <t>LK401_04885</t>
  </si>
  <si>
    <t>6S RNA</t>
  </si>
  <si>
    <t>ssrS</t>
  </si>
  <si>
    <t>ncRNA</t>
  </si>
  <si>
    <t>LK401_04890</t>
  </si>
  <si>
    <t>5-formyltetrahydrofolate cyclo-ligase</t>
  </si>
  <si>
    <t>UEB32515.1</t>
  </si>
  <si>
    <t>LK401_04895</t>
  </si>
  <si>
    <t>ATP-dependent chaperone ClpB</t>
  </si>
  <si>
    <t>clpB</t>
  </si>
  <si>
    <t>UEB32516.1</t>
  </si>
  <si>
    <t>LK401_04900</t>
  </si>
  <si>
    <t>23S rRNA (guanosine(2251)-2'-O)-methyltransferase RlmB</t>
  </si>
  <si>
    <t>rlmB</t>
  </si>
  <si>
    <t>UEB32517.1</t>
  </si>
  <si>
    <t>LK401_04905</t>
  </si>
  <si>
    <t>ribonuclease R</t>
  </si>
  <si>
    <t>rnr</t>
  </si>
  <si>
    <t>UEB32518.1</t>
  </si>
  <si>
    <t>LK401_04910</t>
  </si>
  <si>
    <t>7-cyano-7-deazaguanine/7-aminomethyl-7-deazaguanine transporter</t>
  </si>
  <si>
    <t>UEB30811.1</t>
  </si>
  <si>
    <t>LK401_04915</t>
  </si>
  <si>
    <t>pyridoxamine 5'-phosphate oxidase</t>
  </si>
  <si>
    <t>pdxH</t>
  </si>
  <si>
    <t>UEB30812.1</t>
  </si>
  <si>
    <t>LK401_04920</t>
  </si>
  <si>
    <t>translational GTPase TypA</t>
  </si>
  <si>
    <t>typA</t>
  </si>
  <si>
    <t>UEB30813.1</t>
  </si>
  <si>
    <t>LK401_04925</t>
  </si>
  <si>
    <t>UEB32537.1</t>
  </si>
  <si>
    <t>LK401_04930</t>
  </si>
  <si>
    <t>UEB30814.1</t>
  </si>
  <si>
    <t>LK401_04935</t>
  </si>
  <si>
    <t>glutamate--ammonia ligase</t>
  </si>
  <si>
    <t>glnA</t>
  </si>
  <si>
    <t>UEB30815.1</t>
  </si>
  <si>
    <t>LK401_04940</t>
  </si>
  <si>
    <t>dTDP-glucose 4,6-dehydratase</t>
  </si>
  <si>
    <t>rfbB</t>
  </si>
  <si>
    <t>UEB30816.1</t>
  </si>
  <si>
    <t>LK401_04945</t>
  </si>
  <si>
    <t>aminopeptidase PepB</t>
  </si>
  <si>
    <t>pepB</t>
  </si>
  <si>
    <t>UEB30817.1</t>
  </si>
  <si>
    <t>LK401_04950</t>
  </si>
  <si>
    <t>nucleoside-diphosphate kinase</t>
  </si>
  <si>
    <t>ndk</t>
  </si>
  <si>
    <t>UEB32538.1</t>
  </si>
  <si>
    <t>LK401_04955</t>
  </si>
  <si>
    <t>Obg family GTPase CgtA</t>
  </si>
  <si>
    <t>cgtA</t>
  </si>
  <si>
    <t>UEB30818.1</t>
  </si>
  <si>
    <t>LK401_04960</t>
  </si>
  <si>
    <t>DMT family transporter</t>
  </si>
  <si>
    <t>UEB30819.1</t>
  </si>
  <si>
    <t>LK401_04965</t>
  </si>
  <si>
    <t>50S ribosomal protein L27</t>
  </si>
  <si>
    <t>rpmA</t>
  </si>
  <si>
    <t>UEB30820.1</t>
  </si>
  <si>
    <t>LK401_04970</t>
  </si>
  <si>
    <t>50S ribosomal protein L21</t>
  </si>
  <si>
    <t>rplU</t>
  </si>
  <si>
    <t>UEB30821.1</t>
  </si>
  <si>
    <t>LK401_04975</t>
  </si>
  <si>
    <t>octaprenyl diphosphate synthase</t>
  </si>
  <si>
    <t>ispB</t>
  </si>
  <si>
    <t>UEB30822.1</t>
  </si>
  <si>
    <t>LK401_04980</t>
  </si>
  <si>
    <t>epoxyqueuosine reductase QueH</t>
  </si>
  <si>
    <t>UEB30823.1</t>
  </si>
  <si>
    <t>LK401_04985</t>
  </si>
  <si>
    <t>UEB30824.1</t>
  </si>
  <si>
    <t>LK401_04990</t>
  </si>
  <si>
    <t>two-component system response regulator ArcA</t>
  </si>
  <si>
    <t>arcA</t>
  </si>
  <si>
    <t>UEB30825.1</t>
  </si>
  <si>
    <t>LK401_04995</t>
  </si>
  <si>
    <t>protein-disulfide reductase DsbD</t>
  </si>
  <si>
    <t>UEB30826.1</t>
  </si>
  <si>
    <t>LK401_05000</t>
  </si>
  <si>
    <t>DoxX family protein</t>
  </si>
  <si>
    <t>UEB30827.1</t>
  </si>
  <si>
    <t>LK401_05005</t>
  </si>
  <si>
    <t>bifunctional phosphoribosylaminoimidazolecarboxamide formyltransferase/IMP cyclohydrolase</t>
  </si>
  <si>
    <t>purH</t>
  </si>
  <si>
    <t>UEB30828.1</t>
  </si>
  <si>
    <t>LK401_05010</t>
  </si>
  <si>
    <t>phosphoribosylamine--glycine ligase</t>
  </si>
  <si>
    <t>purD</t>
  </si>
  <si>
    <t>UEB30829.1</t>
  </si>
  <si>
    <t>LK401_05015</t>
  </si>
  <si>
    <t>sulfatase-like hydrolase/transferase</t>
  </si>
  <si>
    <t>UEB30830.1</t>
  </si>
  <si>
    <t>LK401_05020</t>
  </si>
  <si>
    <t>serine hydroxymethyltransferase</t>
  </si>
  <si>
    <t>UEB30831.1</t>
  </si>
  <si>
    <t>LK401_05025</t>
  </si>
  <si>
    <t>dephospho-CoA kinase</t>
  </si>
  <si>
    <t>coaE</t>
  </si>
  <si>
    <t>UEB30832.1</t>
  </si>
  <si>
    <t>LK401_05030</t>
  </si>
  <si>
    <t>DNA gyrase inhibitor YacG</t>
  </si>
  <si>
    <t>yacG</t>
  </si>
  <si>
    <t>UEB30833.1</t>
  </si>
  <si>
    <t>LK401_05035</t>
  </si>
  <si>
    <t>ATP-dependent RNA helicase RhlB</t>
  </si>
  <si>
    <t>rhlB</t>
  </si>
  <si>
    <t>UEB30834.1</t>
  </si>
  <si>
    <t>LK401_05040</t>
  </si>
  <si>
    <t>TetR/AcrR family transcriptional regulator</t>
  </si>
  <si>
    <t>UEB30835.1</t>
  </si>
  <si>
    <t>LK401_05045</t>
  </si>
  <si>
    <t>efflux RND transporter periplasmic adaptor subunit</t>
  </si>
  <si>
    <t>UEB30836.1</t>
  </si>
  <si>
    <t>LK401_05050</t>
  </si>
  <si>
    <t>efflux RND transporter permease subunit</t>
  </si>
  <si>
    <t>UEB30837.1</t>
  </si>
  <si>
    <t>LK401_05055</t>
  </si>
  <si>
    <t>cell division protein FtsN</t>
  </si>
  <si>
    <t>ftsN</t>
  </si>
  <si>
    <t>UEB30838.1</t>
  </si>
  <si>
    <t>LK401_05060</t>
  </si>
  <si>
    <t>DHA2 family efflux MFS transporter permease subunit</t>
  </si>
  <si>
    <t>UEB30839.1</t>
  </si>
  <si>
    <t>LK401_05065</t>
  </si>
  <si>
    <t>EmrA/EmrK family multidrug efflux transporter periplasmic adaptor subunit</t>
  </si>
  <si>
    <t>UEB30840.1</t>
  </si>
  <si>
    <t>LK401_05070</t>
  </si>
  <si>
    <t>type 3 dihydrofolate reductase</t>
  </si>
  <si>
    <t>folA</t>
  </si>
  <si>
    <t>UEB30841.1</t>
  </si>
  <si>
    <t>LK401_05075</t>
  </si>
  <si>
    <t>glutamate 5-kinase</t>
  </si>
  <si>
    <t>proB</t>
  </si>
  <si>
    <t>UEB30842.1</t>
  </si>
  <si>
    <t>LK401_05080</t>
  </si>
  <si>
    <t>RNA pyrophosphohydrolase</t>
  </si>
  <si>
    <t>rppH</t>
  </si>
  <si>
    <t>UEB30843.1</t>
  </si>
  <si>
    <t>LK401_05085</t>
  </si>
  <si>
    <t>UEB30844.1</t>
  </si>
  <si>
    <t>LK401_05090</t>
  </si>
  <si>
    <t>prolipoprotein diacylglyceryl transferase</t>
  </si>
  <si>
    <t>lgt</t>
  </si>
  <si>
    <t>UEB30845.1</t>
  </si>
  <si>
    <t>LK401_05095</t>
  </si>
  <si>
    <t>thymidylate synthase</t>
  </si>
  <si>
    <t>UEB30846.1</t>
  </si>
  <si>
    <t>LK401_05100</t>
  </si>
  <si>
    <t>tRNA adenosine(34) deaminase TadA</t>
  </si>
  <si>
    <t>tadA</t>
  </si>
  <si>
    <t>UEB30847.1</t>
  </si>
  <si>
    <t>LK401_05105</t>
  </si>
  <si>
    <t>DUF721 domain-containing protein</t>
  </si>
  <si>
    <t>UEB30848.1</t>
  </si>
  <si>
    <t>LK401_05110</t>
  </si>
  <si>
    <t>secA translation cis-regulator SecM</t>
  </si>
  <si>
    <t>secM</t>
  </si>
  <si>
    <t>UEB30849.1</t>
  </si>
  <si>
    <t>LK401_05115</t>
  </si>
  <si>
    <t>preprotein translocase subunit SecA</t>
  </si>
  <si>
    <t>secA</t>
  </si>
  <si>
    <t>UEB30850.1</t>
  </si>
  <si>
    <t>LK401_05120</t>
  </si>
  <si>
    <t>8-oxo-dGTP diphosphatase MutT</t>
  </si>
  <si>
    <t>mutT</t>
  </si>
  <si>
    <t>UEB30851.1</t>
  </si>
  <si>
    <t>LK401_05125</t>
  </si>
  <si>
    <t>monovalent cation:proton antiporter-2 (CPA2) family protein</t>
  </si>
  <si>
    <t>UEB30852.1</t>
  </si>
  <si>
    <t>LK401_05130</t>
  </si>
  <si>
    <t>methyltransferase domain-containing protein</t>
  </si>
  <si>
    <t>UEB30853.1</t>
  </si>
  <si>
    <t>LK401_05135</t>
  </si>
  <si>
    <t>30S ribosomal protein S2</t>
  </si>
  <si>
    <t>rpsB</t>
  </si>
  <si>
    <t>UEB30854.1</t>
  </si>
  <si>
    <t>LK401_05140</t>
  </si>
  <si>
    <t>translation elongation factor Ts</t>
  </si>
  <si>
    <t>tsf</t>
  </si>
  <si>
    <t>UEB30855.1</t>
  </si>
  <si>
    <t>LK401_05145</t>
  </si>
  <si>
    <t>UDP-3-O-(3-hydroxymyristoyl)glucosamine N-acyltransferase</t>
  </si>
  <si>
    <t>lpxD</t>
  </si>
  <si>
    <t>UEB30856.1</t>
  </si>
  <si>
    <t>LK401_05150</t>
  </si>
  <si>
    <t>OmpH family outer membrane protein</t>
  </si>
  <si>
    <t>UEB30857.1</t>
  </si>
  <si>
    <t>LK401_05155</t>
  </si>
  <si>
    <t>outer membrane protein assembly factor BamA</t>
  </si>
  <si>
    <t>bamA</t>
  </si>
  <si>
    <t>UEB30858.1</t>
  </si>
  <si>
    <t>LK401_05160</t>
  </si>
  <si>
    <t>RIP metalloprotease RseP</t>
  </si>
  <si>
    <t>rseP</t>
  </si>
  <si>
    <t>UEB30859.1</t>
  </si>
  <si>
    <t>LK401_05165</t>
  </si>
  <si>
    <t>phosphatidate cytidylyltransferase</t>
  </si>
  <si>
    <t>UEB30860.1</t>
  </si>
  <si>
    <t>LK401_05170</t>
  </si>
  <si>
    <t>di-trans,poly-cis-decaprenylcistransferase</t>
  </si>
  <si>
    <t>uppS</t>
  </si>
  <si>
    <t>UEB30861.1</t>
  </si>
  <si>
    <t>LK401_05175</t>
  </si>
  <si>
    <t>leucine--tRNA ligase</t>
  </si>
  <si>
    <t>leuS</t>
  </si>
  <si>
    <t>UEB30862.1</t>
  </si>
  <si>
    <t>LK401_05180</t>
  </si>
  <si>
    <t>LPS assembly lipoprotein LptE</t>
  </si>
  <si>
    <t>lptE</t>
  </si>
  <si>
    <t>UEB30863.1</t>
  </si>
  <si>
    <t>LK401_05185</t>
  </si>
  <si>
    <t>DNA polymerase III subunit delta</t>
  </si>
  <si>
    <t>holA</t>
  </si>
  <si>
    <t>UEB30864.1</t>
  </si>
  <si>
    <t>LK401_05190</t>
  </si>
  <si>
    <t>LK401_05195</t>
  </si>
  <si>
    <t>glycine--tRNA ligase subunit beta</t>
  </si>
  <si>
    <t>glyS</t>
  </si>
  <si>
    <t>UEB30865.1</t>
  </si>
  <si>
    <t>LK401_05200</t>
  </si>
  <si>
    <t>UEB30866.1</t>
  </si>
  <si>
    <t>LK401_05205</t>
  </si>
  <si>
    <t>endonuclease domain-containing protein</t>
  </si>
  <si>
    <t>UEB30867.1</t>
  </si>
  <si>
    <t>LK401_05210</t>
  </si>
  <si>
    <t>UEB30868.1</t>
  </si>
  <si>
    <t>LK401_05215</t>
  </si>
  <si>
    <t>glycine--tRNA ligase subunit alpha</t>
  </si>
  <si>
    <t>glyQ</t>
  </si>
  <si>
    <t>UEB30869.1</t>
  </si>
  <si>
    <t>LK401_05220</t>
  </si>
  <si>
    <t>catalase</t>
  </si>
  <si>
    <t>UEB30870.1</t>
  </si>
  <si>
    <t>LK401_05225</t>
  </si>
  <si>
    <t>glutathionylspermidine synthase family protein</t>
  </si>
  <si>
    <t>UEB30871.1</t>
  </si>
  <si>
    <t>LK401_05230</t>
  </si>
  <si>
    <t>UEB30872.1</t>
  </si>
  <si>
    <t>LK401_05235</t>
  </si>
  <si>
    <t>DUF2251 domain-containing protein</t>
  </si>
  <si>
    <t>UEB30873.1</t>
  </si>
  <si>
    <t>LK401_05240</t>
  </si>
  <si>
    <t>phosphopyruvate hydratase</t>
  </si>
  <si>
    <t>eno</t>
  </si>
  <si>
    <t>UEB30874.1</t>
  </si>
  <si>
    <t>LK401_05245</t>
  </si>
  <si>
    <t>UEB30875.1</t>
  </si>
  <si>
    <t>LK401_05250</t>
  </si>
  <si>
    <t>heme lyase NrfEFG subunit NrfF</t>
  </si>
  <si>
    <t>nrfF</t>
  </si>
  <si>
    <t>UEB30876.1</t>
  </si>
  <si>
    <t>LK401_05255</t>
  </si>
  <si>
    <t>DsbE family thiol:disulfide interchange protein</t>
  </si>
  <si>
    <t>UEB30877.1</t>
  </si>
  <si>
    <t>LK401_05260</t>
  </si>
  <si>
    <t>heme lyase NrfEFG subunit NrfE</t>
  </si>
  <si>
    <t>nrfE</t>
  </si>
  <si>
    <t>UEB30878.1</t>
  </si>
  <si>
    <t>LK401_05265</t>
  </si>
  <si>
    <t>inositol-1-monophosphatase</t>
  </si>
  <si>
    <t>suhB</t>
  </si>
  <si>
    <t>UEB30879.1</t>
  </si>
  <si>
    <t>LK401_05270</t>
  </si>
  <si>
    <t>type II secretion system GspH family protein</t>
  </si>
  <si>
    <t>UEB30880.1</t>
  </si>
  <si>
    <t>LK401_05275</t>
  </si>
  <si>
    <t>type II secretion system protein J</t>
  </si>
  <si>
    <t>UEB30881.1</t>
  </si>
  <si>
    <t>LK401_05280</t>
  </si>
  <si>
    <t>DUF2572 family protein</t>
  </si>
  <si>
    <t>UEB30882.1</t>
  </si>
  <si>
    <t>LK401_05285</t>
  </si>
  <si>
    <t>DUF5374 domain-containing protein</t>
  </si>
  <si>
    <t>UEB32539.1</t>
  </si>
  <si>
    <t>LK401_05290</t>
  </si>
  <si>
    <t>exodeoxyribonuclease V subunit gamma</t>
  </si>
  <si>
    <t>recC</t>
  </si>
  <si>
    <t>UEB30883.1</t>
  </si>
  <si>
    <t>LK401_05295</t>
  </si>
  <si>
    <t>transcriptional regulator NrdR</t>
  </si>
  <si>
    <t>nrdR</t>
  </si>
  <si>
    <t>UEB30884.1</t>
  </si>
  <si>
    <t>LK401_05300</t>
  </si>
  <si>
    <t>bifunctional diaminohydroxyphosphoribosylaminopyrimidine deaminase/5-amino-6-(5-phosphoribosylamino)uracil reductase RibD</t>
  </si>
  <si>
    <t>ribD</t>
  </si>
  <si>
    <t>UEB30885.1</t>
  </si>
  <si>
    <t>LK401_05305</t>
  </si>
  <si>
    <t>outer membrane-stress sensor serine endopeptidase DegS</t>
  </si>
  <si>
    <t>degS</t>
  </si>
  <si>
    <t>UEB30886.1</t>
  </si>
  <si>
    <t>LK401_05310</t>
  </si>
  <si>
    <t>DNA-formamidopyrimidine glycosylase</t>
  </si>
  <si>
    <t>mutM</t>
  </si>
  <si>
    <t>UEB30887.1</t>
  </si>
  <si>
    <t>LK401_05315</t>
  </si>
  <si>
    <t>L-2,4-diaminobutyrate decarboxylase</t>
  </si>
  <si>
    <t>ddc</t>
  </si>
  <si>
    <t>UEB30888.1</t>
  </si>
  <si>
    <t>LK401_05320</t>
  </si>
  <si>
    <t>tRNA(fMet)-specific endonuclease VapC</t>
  </si>
  <si>
    <t>vapC</t>
  </si>
  <si>
    <t>UEB30889.1</t>
  </si>
  <si>
    <t>LK401_05325</t>
  </si>
  <si>
    <t>type II toxin-antitoxin system antitoxin VapB2</t>
  </si>
  <si>
    <t>vapB2</t>
  </si>
  <si>
    <t>UEB30890.1</t>
  </si>
  <si>
    <t>LK401_05330</t>
  </si>
  <si>
    <t>diaminobutyrate--2-oxoglutarate transaminase</t>
  </si>
  <si>
    <t>UEB30891.1</t>
  </si>
  <si>
    <t>LK401_05335</t>
  </si>
  <si>
    <t>50S ribosomal protein L33</t>
  </si>
  <si>
    <t>rpmG</t>
  </si>
  <si>
    <t>UEB30892.1</t>
  </si>
  <si>
    <t>LK401_05340</t>
  </si>
  <si>
    <t>50S ribosomal protein L28</t>
  </si>
  <si>
    <t>rpmB</t>
  </si>
  <si>
    <t>UEB30893.1</t>
  </si>
  <si>
    <t>LK401_05345</t>
  </si>
  <si>
    <t>DNA repair protein RadC</t>
  </si>
  <si>
    <t>radC</t>
  </si>
  <si>
    <t>UEB30894.1</t>
  </si>
  <si>
    <t>LK401_05350</t>
  </si>
  <si>
    <t>bifunctional phosphopantothenoylcysteine decarboxylase/phosphopantothenate--cysteine ligase CoaBC</t>
  </si>
  <si>
    <t>coaBC</t>
  </si>
  <si>
    <t>UEB30895.1</t>
  </si>
  <si>
    <t>LK401_05355</t>
  </si>
  <si>
    <t>dUTP diphosphatase</t>
  </si>
  <si>
    <t>dut</t>
  </si>
  <si>
    <t>UEB30896.1</t>
  </si>
  <si>
    <t>LK401_05360</t>
  </si>
  <si>
    <t>nucleoid occlusion factor SlmA</t>
  </si>
  <si>
    <t>slmA</t>
  </si>
  <si>
    <t>UEB30897.1</t>
  </si>
  <si>
    <t>LK401_05365</t>
  </si>
  <si>
    <t>YheU family protein</t>
  </si>
  <si>
    <t>UEB30898.1</t>
  </si>
  <si>
    <t>LK401_05370</t>
  </si>
  <si>
    <t>cAMP-activated global transcriptional regulator CRP</t>
  </si>
  <si>
    <t>crp</t>
  </si>
  <si>
    <t>UEB30899.1</t>
  </si>
  <si>
    <t>LK401_05375</t>
  </si>
  <si>
    <t>23S rRNA (uracil(747)-C(5))-methyltransferase RlmC</t>
  </si>
  <si>
    <t>rlmC</t>
  </si>
  <si>
    <t>UEB30900.1</t>
  </si>
  <si>
    <t>LK401_05380</t>
  </si>
  <si>
    <t>beta-N-acetylhexosaminidase</t>
  </si>
  <si>
    <t>nagZ</t>
  </si>
  <si>
    <t>UEB30901.1</t>
  </si>
  <si>
    <t>LK401_05385</t>
  </si>
  <si>
    <t>DUF1425 domain-containing protein</t>
  </si>
  <si>
    <t>UEB30902.1</t>
  </si>
  <si>
    <t>LK401_05390</t>
  </si>
  <si>
    <t>purine nucleoside phosphoramidase</t>
  </si>
  <si>
    <t>hinT</t>
  </si>
  <si>
    <t>UEB30903.1</t>
  </si>
  <si>
    <t>LK401_05395</t>
  </si>
  <si>
    <t>isoleucine--tRNA ligase</t>
  </si>
  <si>
    <t>ileS</t>
  </si>
  <si>
    <t>UEB30904.1</t>
  </si>
  <si>
    <t>LK401_05400</t>
  </si>
  <si>
    <t>bifunctional riboflavin kinase/FAD synthetase</t>
  </si>
  <si>
    <t>ribF</t>
  </si>
  <si>
    <t>UEB30905.1</t>
  </si>
  <si>
    <t>LK401_05405</t>
  </si>
  <si>
    <t>murein biosynthesis integral membrane protein MurJ</t>
  </si>
  <si>
    <t>murJ</t>
  </si>
  <si>
    <t>UEB30906.1</t>
  </si>
  <si>
    <t>LK401_05410</t>
  </si>
  <si>
    <t>30S ribosomal protein S20</t>
  </si>
  <si>
    <t>rpsT</t>
  </si>
  <si>
    <t>UEB30907.1</t>
  </si>
  <si>
    <t>LK401_05415</t>
  </si>
  <si>
    <t>DUF5358 domain-containing protein</t>
  </si>
  <si>
    <t>UEB30908.1</t>
  </si>
  <si>
    <t>LK401_05420</t>
  </si>
  <si>
    <t>1,4-dihydroxy-2-naphthoyl-CoA synthase</t>
  </si>
  <si>
    <t>menB</t>
  </si>
  <si>
    <t>UEB30909.1</t>
  </si>
  <si>
    <t>LK401_05425</t>
  </si>
  <si>
    <t>o-succinylbenzoate synthase</t>
  </si>
  <si>
    <t>menC</t>
  </si>
  <si>
    <t>UEB32540.1</t>
  </si>
  <si>
    <t>LK401_05430</t>
  </si>
  <si>
    <t>type II 3-dehydroquinate dehydratase</t>
  </si>
  <si>
    <t>aroQ</t>
  </si>
  <si>
    <t>UEB30910.1</t>
  </si>
  <si>
    <t>LK401_05435</t>
  </si>
  <si>
    <t>acetyl-CoA carboxylase biotin carboxyl carrier protein</t>
  </si>
  <si>
    <t>accB</t>
  </si>
  <si>
    <t>UEB30911.1</t>
  </si>
  <si>
    <t>LK401_05440</t>
  </si>
  <si>
    <t>acetyl-CoA carboxylase biotin carboxylase subunit</t>
  </si>
  <si>
    <t>accC</t>
  </si>
  <si>
    <t>UEB30912.1</t>
  </si>
  <si>
    <t>LK401_05445</t>
  </si>
  <si>
    <t>YhdT family protein</t>
  </si>
  <si>
    <t>UEB30913.1</t>
  </si>
  <si>
    <t>LK401_05450</t>
  </si>
  <si>
    <t>sodium/pantothenate symporter</t>
  </si>
  <si>
    <t>panF</t>
  </si>
  <si>
    <t>UEB30914.1</t>
  </si>
  <si>
    <t>LK401_05455</t>
  </si>
  <si>
    <t>EamA family transporter</t>
  </si>
  <si>
    <t>UEB30915.1</t>
  </si>
  <si>
    <t>LK401_05460</t>
  </si>
  <si>
    <t>50S ribosomal protein L11 methyltransferase</t>
  </si>
  <si>
    <t>prmA</t>
  </si>
  <si>
    <t>UEB30916.1</t>
  </si>
  <si>
    <t>LK401_05465</t>
  </si>
  <si>
    <t>tRNA dihydrouridine synthase DusB</t>
  </si>
  <si>
    <t>dusB</t>
  </si>
  <si>
    <t>UEB32541.1</t>
  </si>
  <si>
    <t>LK401_05470</t>
  </si>
  <si>
    <t>DNA-binding transcriptional regulator Fis</t>
  </si>
  <si>
    <t>fis</t>
  </si>
  <si>
    <t>UEB30917.1</t>
  </si>
  <si>
    <t>LK401_05475</t>
  </si>
  <si>
    <t>SsrA-binding protein SmpB</t>
  </si>
  <si>
    <t>smpB</t>
  </si>
  <si>
    <t>UEB30918.1</t>
  </si>
  <si>
    <t>LK401_05480</t>
  </si>
  <si>
    <t>6-phosphofructokinase</t>
  </si>
  <si>
    <t>pfkA</t>
  </si>
  <si>
    <t>UEB30919.1</t>
  </si>
  <si>
    <t>LK401_05485</t>
  </si>
  <si>
    <t>UEB30920.1</t>
  </si>
  <si>
    <t>LK401_05490</t>
  </si>
  <si>
    <t>peroxide stress protein YaaA</t>
  </si>
  <si>
    <t>yaaA</t>
  </si>
  <si>
    <t>UEB30921.1</t>
  </si>
  <si>
    <t>LK401_05495</t>
  </si>
  <si>
    <t>DNA-processing protein DprA</t>
  </si>
  <si>
    <t>dprA</t>
  </si>
  <si>
    <t>UEB30922.1</t>
  </si>
  <si>
    <t>LK401_05500</t>
  </si>
  <si>
    <t>2-isopropylmalate synthase</t>
  </si>
  <si>
    <t>leuA</t>
  </si>
  <si>
    <t>UEB30923.1</t>
  </si>
  <si>
    <t>LK401_05505</t>
  </si>
  <si>
    <t>3-isopropylmalate dehydrogenase</t>
  </si>
  <si>
    <t>leuB</t>
  </si>
  <si>
    <t>UEB30924.1</t>
  </si>
  <si>
    <t>LK401_05510</t>
  </si>
  <si>
    <t>3-isopropylmalate dehydratase large subunit</t>
  </si>
  <si>
    <t>leuC</t>
  </si>
  <si>
    <t>UEB30925.1</t>
  </si>
  <si>
    <t>LK401_05515</t>
  </si>
  <si>
    <t>3-isopropylmalate dehydratase small subunit</t>
  </si>
  <si>
    <t>leuD</t>
  </si>
  <si>
    <t>UEB30926.1</t>
  </si>
  <si>
    <t>LK401_05520</t>
  </si>
  <si>
    <t>autotransporter domain-containing protein</t>
  </si>
  <si>
    <t>UEB30927.1</t>
  </si>
  <si>
    <t>LK401_05525</t>
  </si>
  <si>
    <t>DNA replication/repair protein RecF</t>
  </si>
  <si>
    <t>recF</t>
  </si>
  <si>
    <t>UEB32542.1</t>
  </si>
  <si>
    <t>LK401_05530</t>
  </si>
  <si>
    <t>DNA polymerase III subunit beta</t>
  </si>
  <si>
    <t>dnaN</t>
  </si>
  <si>
    <t>UEB30928.1</t>
  </si>
  <si>
    <t>LK401_05535</t>
  </si>
  <si>
    <t>chromosomal replication initiator protein DnaA</t>
  </si>
  <si>
    <t>dnaA</t>
  </si>
  <si>
    <t>UEB30929.1</t>
  </si>
  <si>
    <t>LK401_05540</t>
  </si>
  <si>
    <t>transferrin-binding protein Tbp1</t>
  </si>
  <si>
    <t>tbp1</t>
  </si>
  <si>
    <t>UEB30930.1</t>
  </si>
  <si>
    <t>LK401_05545</t>
  </si>
  <si>
    <t>transferrin-binding protein-like solute binding protein</t>
  </si>
  <si>
    <t>UEB32543.1</t>
  </si>
  <si>
    <t>LK401_05550</t>
  </si>
  <si>
    <t>surface lipoprotein assembly modifier</t>
  </si>
  <si>
    <t>UEB30931.1</t>
  </si>
  <si>
    <t>LK401_05555</t>
  </si>
  <si>
    <t>50S ribosomal protein L34</t>
  </si>
  <si>
    <t>rpmH</t>
  </si>
  <si>
    <t>UEB30932.1</t>
  </si>
  <si>
    <t>LK401_05560</t>
  </si>
  <si>
    <t>ribonuclease P protein component</t>
  </si>
  <si>
    <t>rnpA</t>
  </si>
  <si>
    <t>UEB30933.1</t>
  </si>
  <si>
    <t>LK401_05565</t>
  </si>
  <si>
    <t>membrane protein insertion efficiency factor YidD</t>
  </si>
  <si>
    <t>yidD</t>
  </si>
  <si>
    <t>UEB30934.1</t>
  </si>
  <si>
    <t>LK401_05570</t>
  </si>
  <si>
    <t>membrane protein insertase YidC</t>
  </si>
  <si>
    <t>yidC</t>
  </si>
  <si>
    <t>UEB30935.1</t>
  </si>
  <si>
    <t>LK401_05575</t>
  </si>
  <si>
    <t>tRNA uridine-5-carboxymethylaminomethyl(34) synthesis GTPase MnmE</t>
  </si>
  <si>
    <t>mnmE</t>
  </si>
  <si>
    <t>UEB30936.1</t>
  </si>
  <si>
    <t>LK401_05580</t>
  </si>
  <si>
    <t>SurA N-terminal domain-containing protein</t>
  </si>
  <si>
    <t>UEB30937.1</t>
  </si>
  <si>
    <t>LK401_05585</t>
  </si>
  <si>
    <t>phosphoethanolamine transferase</t>
  </si>
  <si>
    <t>UEB30938.1</t>
  </si>
  <si>
    <t>LK401_05590</t>
  </si>
  <si>
    <t>signal peptidase II</t>
  </si>
  <si>
    <t>lspA</t>
  </si>
  <si>
    <t>UEB30939.1</t>
  </si>
  <si>
    <t>LK401_05595</t>
  </si>
  <si>
    <t>4-hydroxy-3-methylbut-2-enyl diphosphate reductase</t>
  </si>
  <si>
    <t>ispH</t>
  </si>
  <si>
    <t>UEB30940.1</t>
  </si>
  <si>
    <t>LK401_05600</t>
  </si>
  <si>
    <t>helix-hairpin-helix domain-containing protein</t>
  </si>
  <si>
    <t>UEB30941.1</t>
  </si>
  <si>
    <t>LK401_05605</t>
  </si>
  <si>
    <t>thiamine ABC transporter substrate binding subunit</t>
  </si>
  <si>
    <t>thiB</t>
  </si>
  <si>
    <t>UEB30942.1</t>
  </si>
  <si>
    <t>LK401_05610</t>
  </si>
  <si>
    <t>thiamine/thiamine pyrophosphate ABC transporter permease</t>
  </si>
  <si>
    <t>thiP</t>
  </si>
  <si>
    <t>UEB30943.1</t>
  </si>
  <si>
    <t>LK401_05615</t>
  </si>
  <si>
    <t>thiamine ABC transporter ATP-binding protein</t>
  </si>
  <si>
    <t>thiQ</t>
  </si>
  <si>
    <t>UEB30944.1</t>
  </si>
  <si>
    <t>LK401_05620</t>
  </si>
  <si>
    <t>biotin synthase BioB</t>
  </si>
  <si>
    <t>bioB</t>
  </si>
  <si>
    <t>UEB30945.1</t>
  </si>
  <si>
    <t>LK401_05625</t>
  </si>
  <si>
    <t>transketolase</t>
  </si>
  <si>
    <t>tkt</t>
  </si>
  <si>
    <t>UEB30946.1</t>
  </si>
  <si>
    <t>LK401_05630</t>
  </si>
  <si>
    <t>phosphoserine phosphatase</t>
  </si>
  <si>
    <t>serB</t>
  </si>
  <si>
    <t>UEB30947.1</t>
  </si>
  <si>
    <t>LK401_05635</t>
  </si>
  <si>
    <t>YajQ family cyclic di-GMP-binding protein</t>
  </si>
  <si>
    <t>UEB30948.1</t>
  </si>
  <si>
    <t>LK401_05640</t>
  </si>
  <si>
    <t>magnesium/cobalt transporter CorA</t>
  </si>
  <si>
    <t>corA</t>
  </si>
  <si>
    <t>UEB30949.1</t>
  </si>
  <si>
    <t>LK401_05645</t>
  </si>
  <si>
    <t>YggT family protein</t>
  </si>
  <si>
    <t>UEB32544.1</t>
  </si>
  <si>
    <t>LK401_05650</t>
  </si>
  <si>
    <t>class II glutamine amidotransferase</t>
  </si>
  <si>
    <t>UEB30950.1</t>
  </si>
  <si>
    <t>LK401_05655</t>
  </si>
  <si>
    <t>ATP-binding protein</t>
  </si>
  <si>
    <t>UEB30951.1</t>
  </si>
  <si>
    <t>LK401_05660</t>
  </si>
  <si>
    <t>RNA-directed DNA polymerase</t>
  </si>
  <si>
    <t>UEB30952.1</t>
  </si>
  <si>
    <t>LK401_05665</t>
  </si>
  <si>
    <t>LK401_05670</t>
  </si>
  <si>
    <t>UEB30953.1</t>
  </si>
  <si>
    <t>LK401_05675</t>
  </si>
  <si>
    <t>Tat proofreading chaperone DmsD</t>
  </si>
  <si>
    <t>dmsD</t>
  </si>
  <si>
    <t>UEB30954.1</t>
  </si>
  <si>
    <t>LK401_05680</t>
  </si>
  <si>
    <t>dimethyl sulfoxide reductase anchor subunit</t>
  </si>
  <si>
    <t>UEB30955.1</t>
  </si>
  <si>
    <t>LK401_05685</t>
  </si>
  <si>
    <t>dimethylsulfoxide reductase subunit B</t>
  </si>
  <si>
    <t>dmsB</t>
  </si>
  <si>
    <t>UEB32545.1</t>
  </si>
  <si>
    <t>LK401_05690</t>
  </si>
  <si>
    <t>molybdopterin-dependent oxidoreductase</t>
  </si>
  <si>
    <t>UEB30956.1</t>
  </si>
  <si>
    <t>LK401_05695</t>
  </si>
  <si>
    <t>transglutaminase family protein</t>
  </si>
  <si>
    <t>UEB30957.1</t>
  </si>
  <si>
    <t>LK401_05700</t>
  </si>
  <si>
    <t>UEB30958.1</t>
  </si>
  <si>
    <t>LK401_05705</t>
  </si>
  <si>
    <t>UEB30959.1</t>
  </si>
  <si>
    <t>LK401_05710</t>
  </si>
  <si>
    <t>UEB30960.1</t>
  </si>
  <si>
    <t>LK401_05715</t>
  </si>
  <si>
    <t>AraC family transcriptional regulator</t>
  </si>
  <si>
    <t>UEB30961.1</t>
  </si>
  <si>
    <t>LK401_05720</t>
  </si>
  <si>
    <t>carboxymuconolactone decarboxylase family protein</t>
  </si>
  <si>
    <t>UEB30962.1</t>
  </si>
  <si>
    <t>LK401_05725</t>
  </si>
  <si>
    <t>UEB30963.1</t>
  </si>
  <si>
    <t>LK401_05730</t>
  </si>
  <si>
    <t>UEB32546.1</t>
  </si>
  <si>
    <t>LK401_05735</t>
  </si>
  <si>
    <t>UEB30964.1</t>
  </si>
  <si>
    <t>LK401_05740</t>
  </si>
  <si>
    <t>UEB30965.1</t>
  </si>
  <si>
    <t>LK401_05745</t>
  </si>
  <si>
    <t>ribonuclease HII</t>
  </si>
  <si>
    <t>rnhB</t>
  </si>
  <si>
    <t>UEB30966.1</t>
  </si>
  <si>
    <t>LK401_05750</t>
  </si>
  <si>
    <t>lipid-A-disaccharide synthase</t>
  </si>
  <si>
    <t>lpxB</t>
  </si>
  <si>
    <t>UEB30967.1</t>
  </si>
  <si>
    <t>LK401_05755</t>
  </si>
  <si>
    <t>acyl-ACP--UDP-N-acetylglucosamine O-acyltransferase</t>
  </si>
  <si>
    <t>lpxA</t>
  </si>
  <si>
    <t>UEB30968.1</t>
  </si>
  <si>
    <t>LK401_05760</t>
  </si>
  <si>
    <t>3-hydroxyacyl-ACP dehydratase FabZ</t>
  </si>
  <si>
    <t>fabZ</t>
  </si>
  <si>
    <t>UEB32547.1</t>
  </si>
  <si>
    <t>LK401_05765</t>
  </si>
  <si>
    <t>UEB32548.1</t>
  </si>
  <si>
    <t>LK401_05770</t>
  </si>
  <si>
    <t>UMP kinase</t>
  </si>
  <si>
    <t>pyrH</t>
  </si>
  <si>
    <t>UEB30969.1</t>
  </si>
  <si>
    <t>LK401_05775</t>
  </si>
  <si>
    <t>cytochrome c nitrite reductase subunit NrfD</t>
  </si>
  <si>
    <t>nrfD</t>
  </si>
  <si>
    <t>UEB30970.1</t>
  </si>
  <si>
    <t>LK401_05780</t>
  </si>
  <si>
    <t>cytochrome c nitrite reductase Fe-S protein</t>
  </si>
  <si>
    <t>nrfC</t>
  </si>
  <si>
    <t>UEB30971.1</t>
  </si>
  <si>
    <t>LK401_05785</t>
  </si>
  <si>
    <t>cytochrome c nitrite reductase pentaheme subunit</t>
  </si>
  <si>
    <t>nrfB</t>
  </si>
  <si>
    <t>UEB30972.1</t>
  </si>
  <si>
    <t>LK401_05790</t>
  </si>
  <si>
    <t>ammonia-forming nitrite reductase cytochrome c552 subunit</t>
  </si>
  <si>
    <t>nrfA</t>
  </si>
  <si>
    <t>UEB30973.1</t>
  </si>
  <si>
    <t>LK401_05795</t>
  </si>
  <si>
    <t>ATP-dependent RNA helicase HrpA</t>
  </si>
  <si>
    <t>hrpA</t>
  </si>
  <si>
    <t>UEB30974.1</t>
  </si>
  <si>
    <t>LK401_05800</t>
  </si>
  <si>
    <t>DUF423 domain-containing protein</t>
  </si>
  <si>
    <t>UEB30975.1</t>
  </si>
  <si>
    <t>LK401_05805</t>
  </si>
  <si>
    <t>DUF441 domain-containing protein</t>
  </si>
  <si>
    <t>UEB30976.1</t>
  </si>
  <si>
    <t>LK401_05810</t>
  </si>
  <si>
    <t>cytochrome d ubiquinol oxidase subunit II</t>
  </si>
  <si>
    <t>cydB</t>
  </si>
  <si>
    <t>UEB30977.1</t>
  </si>
  <si>
    <t>LK401_05815</t>
  </si>
  <si>
    <t>cytochrome ubiquinol oxidase subunit I</t>
  </si>
  <si>
    <t>UEB30978.1</t>
  </si>
  <si>
    <t>LK401_05820</t>
  </si>
  <si>
    <t>CTP synthase (glutamine hydrolyzing)</t>
  </si>
  <si>
    <t>pyrG</t>
  </si>
  <si>
    <t>UEB30979.1</t>
  </si>
  <si>
    <t>LK401_05825</t>
  </si>
  <si>
    <t>nicotinamide riboside transporter PnuC</t>
  </si>
  <si>
    <t>pnuC</t>
  </si>
  <si>
    <t>UEB30980.1</t>
  </si>
  <si>
    <t>LK401_05830</t>
  </si>
  <si>
    <t>amino acid ABC transporter ATP-binding protein</t>
  </si>
  <si>
    <t>UEB30981.1</t>
  </si>
  <si>
    <t>LK401_05835</t>
  </si>
  <si>
    <t>amino acid ABC transporter permease</t>
  </si>
  <si>
    <t>UEB30982.1</t>
  </si>
  <si>
    <t>LK401_05840</t>
  </si>
  <si>
    <t>amino acid ABC transporter substrate-binding protein</t>
  </si>
  <si>
    <t>UEB30983.1</t>
  </si>
  <si>
    <t>LK401_05845</t>
  </si>
  <si>
    <t>UDP-N-acetylglucosamine 1-carboxyvinyltransferase</t>
  </si>
  <si>
    <t>murA</t>
  </si>
  <si>
    <t>UEB30984.1</t>
  </si>
  <si>
    <t>LK401_05850</t>
  </si>
  <si>
    <t>BolA family transcriptional regulator</t>
  </si>
  <si>
    <t>UEB30985.1</t>
  </si>
  <si>
    <t>LK401_05855</t>
  </si>
  <si>
    <t>lipid asymmetry maintenance protein MlaB</t>
  </si>
  <si>
    <t>UEB30986.1</t>
  </si>
  <si>
    <t>LK401_05860</t>
  </si>
  <si>
    <t>phospholipid-binding protein MlaC</t>
  </si>
  <si>
    <t>mlaC</t>
  </si>
  <si>
    <t>UEB30987.1</t>
  </si>
  <si>
    <t>LK401_05865</t>
  </si>
  <si>
    <t>outer membrane lipid asymmetry maintenance protein MlaD</t>
  </si>
  <si>
    <t>mlaD</t>
  </si>
  <si>
    <t>UEB30988.1</t>
  </si>
  <si>
    <t>LK401_05870</t>
  </si>
  <si>
    <t>lipid asymmetry maintenance ABC transporter permease subunit MlaE</t>
  </si>
  <si>
    <t>mlaE</t>
  </si>
  <si>
    <t>UEB30989.1</t>
  </si>
  <si>
    <t>LK401_05875</t>
  </si>
  <si>
    <t>phospholipid ABC transporter ATP-binding protein MlaF</t>
  </si>
  <si>
    <t>mlaF</t>
  </si>
  <si>
    <t>UEB30990.1</t>
  </si>
  <si>
    <t>LK401_05880</t>
  </si>
  <si>
    <t>superoxide dismutase [Mn]</t>
  </si>
  <si>
    <t>sodA</t>
  </si>
  <si>
    <t>UEB30991.1</t>
  </si>
  <si>
    <t>LK401_05885</t>
  </si>
  <si>
    <t>cytochrome c biogenesis heme-transporting ATPase CcmA</t>
  </si>
  <si>
    <t>ccmA</t>
  </si>
  <si>
    <t>UEB30992.1</t>
  </si>
  <si>
    <t>LK401_05890</t>
  </si>
  <si>
    <t>heme exporter protein CcmB</t>
  </si>
  <si>
    <t>ccmB</t>
  </si>
  <si>
    <t>UEB30993.1</t>
  </si>
  <si>
    <t>LK401_05895</t>
  </si>
  <si>
    <t>heme ABC transporter permease</t>
  </si>
  <si>
    <t>UEB30994.1</t>
  </si>
  <si>
    <t>LK401_05900</t>
  </si>
  <si>
    <t>heme exporter protein CcmD</t>
  </si>
  <si>
    <t>ccmD</t>
  </si>
  <si>
    <t>UEB30995.1</t>
  </si>
  <si>
    <t>LK401_05905</t>
  </si>
  <si>
    <t>cytochrome c maturation protein CcmE</t>
  </si>
  <si>
    <t>ccmE</t>
  </si>
  <si>
    <t>UEB30996.1</t>
  </si>
  <si>
    <t>LK401_05910</t>
  </si>
  <si>
    <t>heme lyase CcmF/NrfE family subunit</t>
  </si>
  <si>
    <t>UEB30997.1</t>
  </si>
  <si>
    <t>LK401_05915</t>
  </si>
  <si>
    <t>UEB30998.1</t>
  </si>
  <si>
    <t>LK401_05920</t>
  </si>
  <si>
    <t>cytochrome c-type biogenesis protein CcmH</t>
  </si>
  <si>
    <t>UEB30999.1</t>
  </si>
  <si>
    <t>LK401_05925</t>
  </si>
  <si>
    <t>c-type cytochrome biogenesis protein CcmI</t>
  </si>
  <si>
    <t>ccmI</t>
  </si>
  <si>
    <t>UEB31000.1</t>
  </si>
  <si>
    <t>LK401_05930</t>
  </si>
  <si>
    <t>UEB31001.1</t>
  </si>
  <si>
    <t>LK401_05935</t>
  </si>
  <si>
    <t>UEB31002.1</t>
  </si>
  <si>
    <t>LK401_05940</t>
  </si>
  <si>
    <t>NAD-dependent DNA ligase LigA</t>
  </si>
  <si>
    <t>ligA</t>
  </si>
  <si>
    <t>UEB31003.1</t>
  </si>
  <si>
    <t>LK401_05945</t>
  </si>
  <si>
    <t>cell division protein ZipA</t>
  </si>
  <si>
    <t>zipA</t>
  </si>
  <si>
    <t>UEB31004.1</t>
  </si>
  <si>
    <t>LK401_05950</t>
  </si>
  <si>
    <t>sulfate transporter CysZ</t>
  </si>
  <si>
    <t>cysZ</t>
  </si>
  <si>
    <t>UEB31005.1</t>
  </si>
  <si>
    <t>LK401_05955</t>
  </si>
  <si>
    <t>cysteine synthase A</t>
  </si>
  <si>
    <t>cysK</t>
  </si>
  <si>
    <t>UEB31006.1</t>
  </si>
  <si>
    <t>LK401_05960</t>
  </si>
  <si>
    <t>UEB31007.1</t>
  </si>
  <si>
    <t>LK401_05965</t>
  </si>
  <si>
    <t>lipopolysaccharide heptosyltransferase II</t>
  </si>
  <si>
    <t>waaF</t>
  </si>
  <si>
    <t>UEB31008.1</t>
  </si>
  <si>
    <t>LK401_05970</t>
  </si>
  <si>
    <t>XylR family transcriptional regulator</t>
  </si>
  <si>
    <t>UEB31009.1</t>
  </si>
  <si>
    <t>LK401_05975</t>
  </si>
  <si>
    <t>Na|/H| antiporter NhaC</t>
  </si>
  <si>
    <t>nhaC</t>
  </si>
  <si>
    <t>UEB31010.1</t>
  </si>
  <si>
    <t>LK401_05980</t>
  </si>
  <si>
    <t>UEB31011.1</t>
  </si>
  <si>
    <t>LK401_05985</t>
  </si>
  <si>
    <t>xylose isomerase</t>
  </si>
  <si>
    <t>xylA</t>
  </si>
  <si>
    <t>UEB31012.1</t>
  </si>
  <si>
    <t>LK401_05990</t>
  </si>
  <si>
    <t>xylulokinase</t>
  </si>
  <si>
    <t>xylB</t>
  </si>
  <si>
    <t>UEB31013.1</t>
  </si>
  <si>
    <t>LK401_05995</t>
  </si>
  <si>
    <t>ADP-glyceromanno-heptose 6-epimerase</t>
  </si>
  <si>
    <t>rfaD</t>
  </si>
  <si>
    <t>UEB31014.1</t>
  </si>
  <si>
    <t>LK401_06000</t>
  </si>
  <si>
    <t>protein disulfide oxidoreductase</t>
  </si>
  <si>
    <t>UEB31015.1</t>
  </si>
  <si>
    <t>LK401_06005</t>
  </si>
  <si>
    <t>deoxyribose-phosphate aldolase</t>
  </si>
  <si>
    <t>deoC</t>
  </si>
  <si>
    <t>UEB31016.1</t>
  </si>
  <si>
    <t>LK401_06010</t>
  </si>
  <si>
    <t>YifB family Mg chelatase-like AAA ATPase</t>
  </si>
  <si>
    <t>UEB31017.1</t>
  </si>
  <si>
    <t>LK401_06015</t>
  </si>
  <si>
    <t>ribosome biogenesis GTP-binding protein YihA/YsxC</t>
  </si>
  <si>
    <t>yihA</t>
  </si>
  <si>
    <t>UEB31018.1</t>
  </si>
  <si>
    <t>LK401_06020</t>
  </si>
  <si>
    <t>UEB31019.1</t>
  </si>
  <si>
    <t>LK401_06025</t>
  </si>
  <si>
    <t>murein tripeptide/oligopeptide ABC transporter ATP binding protein OppF</t>
  </si>
  <si>
    <t>oppF</t>
  </si>
  <si>
    <t>UEB31020.1</t>
  </si>
  <si>
    <t>LK401_06030</t>
  </si>
  <si>
    <t>UEB31021.1</t>
  </si>
  <si>
    <t>LK401_06035</t>
  </si>
  <si>
    <t>oligopeptide ABC transporter permease OppC</t>
  </si>
  <si>
    <t>oppC</t>
  </si>
  <si>
    <t>UEB31022.1</t>
  </si>
  <si>
    <t>LK401_06040</t>
  </si>
  <si>
    <t>oligopeptide ABC transporter permease OppB</t>
  </si>
  <si>
    <t>oppB</t>
  </si>
  <si>
    <t>UEB31023.1</t>
  </si>
  <si>
    <t>LK401_06045</t>
  </si>
  <si>
    <t>UEB31024.1</t>
  </si>
  <si>
    <t>LK401_06050</t>
  </si>
  <si>
    <t>transaldolase</t>
  </si>
  <si>
    <t>tal</t>
  </si>
  <si>
    <t>UEB31025.1</t>
  </si>
  <si>
    <t>LK401_06055</t>
  </si>
  <si>
    <t>zinc ribbon domain-containing protein</t>
  </si>
  <si>
    <t>UEB31026.1</t>
  </si>
  <si>
    <t>LK401_06060</t>
  </si>
  <si>
    <t>carbon starvation protein A</t>
  </si>
  <si>
    <t>UEB31027.1</t>
  </si>
  <si>
    <t>LK401_06065</t>
  </si>
  <si>
    <t>division/cell wall cluster transcriptional repressor MraZ</t>
  </si>
  <si>
    <t>mraZ</t>
  </si>
  <si>
    <t>UEB31028.1</t>
  </si>
  <si>
    <t>LK401_06070</t>
  </si>
  <si>
    <t>16S rRNA (cytosine(1402)-N(4))-methyltransferase RsmH</t>
  </si>
  <si>
    <t>rsmH</t>
  </si>
  <si>
    <t>UEB31029.1</t>
  </si>
  <si>
    <t>LK401_06075</t>
  </si>
  <si>
    <t>cell division protein FtsL</t>
  </si>
  <si>
    <t>ftsL</t>
  </si>
  <si>
    <t>UEB31030.1</t>
  </si>
  <si>
    <t>LK401_06080</t>
  </si>
  <si>
    <t>peptidoglycan synthase</t>
  </si>
  <si>
    <t>UEB31031.1</t>
  </si>
  <si>
    <t>LK401_06085</t>
  </si>
  <si>
    <t>UDP-N-acetylmuramoyl-L-alanyl-D-glutamate--2,6-diaminopimelate ligase</t>
  </si>
  <si>
    <t>murE</t>
  </si>
  <si>
    <t>UEB31032.1</t>
  </si>
  <si>
    <t>LK401_06090</t>
  </si>
  <si>
    <t>UDP-N-acetylmuramoyl-tripeptide--D-alanyl-D-alanine ligase</t>
  </si>
  <si>
    <t>murF</t>
  </si>
  <si>
    <t>UEB31033.1</t>
  </si>
  <si>
    <t>LK401_06095</t>
  </si>
  <si>
    <t>phospho-N-acetylmuramoyl-pentapeptide-transferase</t>
  </si>
  <si>
    <t>mraY</t>
  </si>
  <si>
    <t>UEB31034.1</t>
  </si>
  <si>
    <t>LK401_06100</t>
  </si>
  <si>
    <t>UDP-N-acetylmuramoyl-L-alanine--D-glutamate ligase</t>
  </si>
  <si>
    <t>murD</t>
  </si>
  <si>
    <t>UEB31035.1</t>
  </si>
  <si>
    <t>LK401_06105</t>
  </si>
  <si>
    <t>putative lipid II flippase FtsW</t>
  </si>
  <si>
    <t>ftsW</t>
  </si>
  <si>
    <t>UEB31036.1</t>
  </si>
  <si>
    <t>LK401_06110</t>
  </si>
  <si>
    <t>undecaprenyldiphospho-muramoylpentapeptide beta-N-acetylglucosaminyltransferase</t>
  </si>
  <si>
    <t>murG</t>
  </si>
  <si>
    <t>UEB31037.1</t>
  </si>
  <si>
    <t>LK401_06115</t>
  </si>
  <si>
    <t>UDP-N-acetylmuramate--L-alanine ligase</t>
  </si>
  <si>
    <t>murC</t>
  </si>
  <si>
    <t>UEB31038.1</t>
  </si>
  <si>
    <t>LK401_06120</t>
  </si>
  <si>
    <t>D-alanine--D-alanine ligase</t>
  </si>
  <si>
    <t>UEB31039.1</t>
  </si>
  <si>
    <t>LK401_06125</t>
  </si>
  <si>
    <t>cell division protein FtsQ/DivIB</t>
  </si>
  <si>
    <t>UEB31040.1</t>
  </si>
  <si>
    <t>LK401_06130</t>
  </si>
  <si>
    <t>cell division protein FtsA</t>
  </si>
  <si>
    <t>ftsA</t>
  </si>
  <si>
    <t>UEB31041.1</t>
  </si>
  <si>
    <t>LK401_06135</t>
  </si>
  <si>
    <t>cell division protein FtsZ</t>
  </si>
  <si>
    <t>ftsZ</t>
  </si>
  <si>
    <t>UEB31042.1</t>
  </si>
  <si>
    <t>LK401_06140</t>
  </si>
  <si>
    <t>UDP-3-O-acyl-N-acetylglucosamine deacetylase</t>
  </si>
  <si>
    <t>lpxC</t>
  </si>
  <si>
    <t>UEB31043.1</t>
  </si>
  <si>
    <t>LK401_06145</t>
  </si>
  <si>
    <t>prephenate dehydratase</t>
  </si>
  <si>
    <t>pheA</t>
  </si>
  <si>
    <t>UEB31044.1</t>
  </si>
  <si>
    <t>LK401_06150</t>
  </si>
  <si>
    <t>RNase adapter RapZ</t>
  </si>
  <si>
    <t>rapZ</t>
  </si>
  <si>
    <t>UEB31045.1</t>
  </si>
  <si>
    <t>LK401_06155</t>
  </si>
  <si>
    <t>PTS IIA-like nitrogen regulatory protein PtsN</t>
  </si>
  <si>
    <t>ptsN</t>
  </si>
  <si>
    <t>UEB31046.1</t>
  </si>
  <si>
    <t>LK401_06160</t>
  </si>
  <si>
    <t>LPS export ABC transporter ATP-binding protein</t>
  </si>
  <si>
    <t>lptB</t>
  </si>
  <si>
    <t>UEB31047.1</t>
  </si>
  <si>
    <t>LK401_06165</t>
  </si>
  <si>
    <t>lipopolysaccharide transport periplasmic protein LptA</t>
  </si>
  <si>
    <t>lptA</t>
  </si>
  <si>
    <t>UEB31048.1</t>
  </si>
  <si>
    <t>LK401_06170</t>
  </si>
  <si>
    <t>LPS export ABC transporter periplasmic protein LptC</t>
  </si>
  <si>
    <t>lptC</t>
  </si>
  <si>
    <t>UEB31049.1</t>
  </si>
  <si>
    <t>LK401_06175</t>
  </si>
  <si>
    <t>ribosome-associated protein</t>
  </si>
  <si>
    <t>UEB31050.1</t>
  </si>
  <si>
    <t>LK401_06180</t>
  </si>
  <si>
    <t>metalloprotease PmbA</t>
  </si>
  <si>
    <t>pmbA</t>
  </si>
  <si>
    <t>UEB31051.1</t>
  </si>
  <si>
    <t>LK401_06185</t>
  </si>
  <si>
    <t>hypoxanthine phosphoribosyltransferase</t>
  </si>
  <si>
    <t>hpt</t>
  </si>
  <si>
    <t>UEB31052.1</t>
  </si>
  <si>
    <t>LK401_06190</t>
  </si>
  <si>
    <t>L-cystine transporter</t>
  </si>
  <si>
    <t>UEB31053.1</t>
  </si>
  <si>
    <t>LK401_06195</t>
  </si>
  <si>
    <t>anaerobic ribonucleoside-triphosphate reductase-activating protein</t>
  </si>
  <si>
    <t>nrdG</t>
  </si>
  <si>
    <t>UEB31054.1</t>
  </si>
  <si>
    <t>LK401_06200</t>
  </si>
  <si>
    <t>signal recognition particle sRNA small type</t>
  </si>
  <si>
    <t>ffs</t>
  </si>
  <si>
    <t>other</t>
  </si>
  <si>
    <t>LK401_06205</t>
  </si>
  <si>
    <t>cysteine/glutathione ABC transporter ATP-binding protein/permease CydC</t>
  </si>
  <si>
    <t>UEB31055.1</t>
  </si>
  <si>
    <t>LK401_06210</t>
  </si>
  <si>
    <t>cysteine/glutathione ABC transporter permease/ATP-binding protein CydD</t>
  </si>
  <si>
    <t>cydD</t>
  </si>
  <si>
    <t>UEB31056.1</t>
  </si>
  <si>
    <t>LK401_06215</t>
  </si>
  <si>
    <t>thioredoxin-disulfide reductase</t>
  </si>
  <si>
    <t>trxB</t>
  </si>
  <si>
    <t>UEB31057.1</t>
  </si>
  <si>
    <t>LK401_06220</t>
  </si>
  <si>
    <t>co-chaperone YbbN</t>
  </si>
  <si>
    <t>UEB31058.1</t>
  </si>
  <si>
    <t>LK401_06225</t>
  </si>
  <si>
    <t>ferrochelatase</t>
  </si>
  <si>
    <t>hemH</t>
  </si>
  <si>
    <t>UEB31059.1</t>
  </si>
  <si>
    <t>LK401_06230</t>
  </si>
  <si>
    <t>hotdog fold thioesterase</t>
  </si>
  <si>
    <t>UEB31060.1</t>
  </si>
  <si>
    <t>LK401_06235</t>
  </si>
  <si>
    <t>UEB31061.1</t>
  </si>
  <si>
    <t>LK401_06240</t>
  </si>
  <si>
    <t>porin OmpA</t>
  </si>
  <si>
    <t>ompA</t>
  </si>
  <si>
    <t>UEB31062.1</t>
  </si>
  <si>
    <t>LK401_06245</t>
  </si>
  <si>
    <t>Grx4 family monothiol glutaredoxin</t>
  </si>
  <si>
    <t>grxD</t>
  </si>
  <si>
    <t>UEB31063.1</t>
  </si>
  <si>
    <t>LK401_06250</t>
  </si>
  <si>
    <t>UEB31064.1</t>
  </si>
  <si>
    <t>LK401_06255</t>
  </si>
  <si>
    <t>3-phosphoserine/phosphohydroxythreonine transaminase</t>
  </si>
  <si>
    <t>serC</t>
  </si>
  <si>
    <t>UEB31065.1</t>
  </si>
  <si>
    <t>LK401_06260</t>
  </si>
  <si>
    <t>DUF496 family protein</t>
  </si>
  <si>
    <t>UEB31066.1</t>
  </si>
  <si>
    <t>LK401_06265</t>
  </si>
  <si>
    <t>aminotransferase class IV</t>
  </si>
  <si>
    <t>UEB32549.1</t>
  </si>
  <si>
    <t>LK401_06270</t>
  </si>
  <si>
    <t>UEB32550.1</t>
  </si>
  <si>
    <t>LK401_06275</t>
  </si>
  <si>
    <t>aminodeoxychorismate synthase component I</t>
  </si>
  <si>
    <t>UEB31067.1</t>
  </si>
  <si>
    <t>LK401_06280</t>
  </si>
  <si>
    <t>anthranilate synthase component II</t>
  </si>
  <si>
    <t>UEB31068.1</t>
  </si>
  <si>
    <t>LK401_06285</t>
  </si>
  <si>
    <t>methionine adenosyltransferase</t>
  </si>
  <si>
    <t>metK</t>
  </si>
  <si>
    <t>UEB31069.1</t>
  </si>
  <si>
    <t>LK401_06290</t>
  </si>
  <si>
    <t>SprT family zinc-dependent metalloprotease</t>
  </si>
  <si>
    <t>UEB31070.1</t>
  </si>
  <si>
    <t>LK401_06295</t>
  </si>
  <si>
    <t>UEB31071.1</t>
  </si>
  <si>
    <t>LK401_06300</t>
  </si>
  <si>
    <t>YadA C-terminal domain-containing protein</t>
  </si>
  <si>
    <t>UEB31072.1</t>
  </si>
  <si>
    <t>LK401_06305</t>
  </si>
  <si>
    <t>arginine ABC transporter permease ArtM</t>
  </si>
  <si>
    <t>artM</t>
  </si>
  <si>
    <t>UEB31073.1</t>
  </si>
  <si>
    <t>LK401_06310</t>
  </si>
  <si>
    <t>arginine ABC transporter permease ArtQ</t>
  </si>
  <si>
    <t>artQ</t>
  </si>
  <si>
    <t>UEB31074.1</t>
  </si>
  <si>
    <t>LK401_06315</t>
  </si>
  <si>
    <t>lysine/arginine/ornithine ABC transporter substrate-binding protein</t>
  </si>
  <si>
    <t>UEB31075.1</t>
  </si>
  <si>
    <t>LK401_06320</t>
  </si>
  <si>
    <t>arginine ABC transporter ATP-binding protein ArtP</t>
  </si>
  <si>
    <t>artP</t>
  </si>
  <si>
    <t>UEB31076.1</t>
  </si>
  <si>
    <t>LK401_06325</t>
  </si>
  <si>
    <t>D-sedoheptulose 7-phosphate isomerase</t>
  </si>
  <si>
    <t>lpcA</t>
  </si>
  <si>
    <t>UEB31077.1</t>
  </si>
  <si>
    <t>LK401_06330</t>
  </si>
  <si>
    <t>DNA ligase</t>
  </si>
  <si>
    <t>UEB32551.1</t>
  </si>
  <si>
    <t>LK401_06335</t>
  </si>
  <si>
    <t>UEB31078.1</t>
  </si>
  <si>
    <t>LK401_06340</t>
  </si>
  <si>
    <t>dipeptide ABC transporter ATP-binding protein</t>
  </si>
  <si>
    <t>dppD</t>
  </si>
  <si>
    <t>UEB31079.1</t>
  </si>
  <si>
    <t>LK401_06345</t>
  </si>
  <si>
    <t>ABC transporter permease subunit</t>
  </si>
  <si>
    <t>UEB31080.1</t>
  </si>
  <si>
    <t>LK401_06350</t>
  </si>
  <si>
    <t>UEB31081.1</t>
  </si>
  <si>
    <t>LK401_06355</t>
  </si>
  <si>
    <t>DNA helicase II</t>
  </si>
  <si>
    <t>uvrD</t>
  </si>
  <si>
    <t>UEB32552.1</t>
  </si>
  <si>
    <t>LK401_06360</t>
  </si>
  <si>
    <t>7-carboxy-7-deazaguanine synthase QueE</t>
  </si>
  <si>
    <t>UEB31082.1</t>
  </si>
  <si>
    <t>LK401_06365</t>
  </si>
  <si>
    <t>6-carboxytetrahydropterin synthase QueD</t>
  </si>
  <si>
    <t>queD</t>
  </si>
  <si>
    <t>UEB31083.1</t>
  </si>
  <si>
    <t>LK401_06370</t>
  </si>
  <si>
    <t>7-cyano-7-deazaguanine synthase QueC</t>
  </si>
  <si>
    <t>queC</t>
  </si>
  <si>
    <t>UEB31084.1</t>
  </si>
  <si>
    <t>LK401_06375</t>
  </si>
  <si>
    <t>UEB31085.1</t>
  </si>
  <si>
    <t>LK401_06380</t>
  </si>
  <si>
    <t>branched-chain-amino-acid transaminase</t>
  </si>
  <si>
    <t>ilvE</t>
  </si>
  <si>
    <t>UEB31086.1</t>
  </si>
  <si>
    <t>LK401_06385</t>
  </si>
  <si>
    <t>transcriptional regulator GcvA</t>
  </si>
  <si>
    <t>UEB31087.1</t>
  </si>
  <si>
    <t>LK401_06390</t>
  </si>
  <si>
    <t>23S rRNA (cytidine(2498)-2'-O)-methyltransferase RlmM</t>
  </si>
  <si>
    <t>rlmM</t>
  </si>
  <si>
    <t>UEB31088.1</t>
  </si>
  <si>
    <t>LK401_06395</t>
  </si>
  <si>
    <t>ADP-forming succinate--CoA ligase subunit beta</t>
  </si>
  <si>
    <t>sucC</t>
  </si>
  <si>
    <t>UEB31089.1</t>
  </si>
  <si>
    <t>LK401_06400</t>
  </si>
  <si>
    <t>succinate--CoA ligase subunit alpha</t>
  </si>
  <si>
    <t>sucD</t>
  </si>
  <si>
    <t>UEB31090.1</t>
  </si>
  <si>
    <t>LK401_06405</t>
  </si>
  <si>
    <t>UEB31091.1</t>
  </si>
  <si>
    <t>LK401_06410</t>
  </si>
  <si>
    <t>23S rRNA pseudouridine(2605) synthase RluB</t>
  </si>
  <si>
    <t>rluB</t>
  </si>
  <si>
    <t>UEB31092.1</t>
  </si>
  <si>
    <t>LK401_06415</t>
  </si>
  <si>
    <t>HTH-type transcriptional regulator CysB</t>
  </si>
  <si>
    <t>cysB</t>
  </si>
  <si>
    <t>UEB31093.1</t>
  </si>
  <si>
    <t>LK401_06420</t>
  </si>
  <si>
    <t>50S ribosomal protein L3 N(5)-glutamine methyltransferase</t>
  </si>
  <si>
    <t>prmB</t>
  </si>
  <si>
    <t>UEB31094.1</t>
  </si>
  <si>
    <t>LK401_06425</t>
  </si>
  <si>
    <t>endonuclease SmrB</t>
  </si>
  <si>
    <t>smrB</t>
  </si>
  <si>
    <t>UEB31095.1</t>
  </si>
  <si>
    <t>LK401_06430</t>
  </si>
  <si>
    <t>phosphate acetyltransferase</t>
  </si>
  <si>
    <t>pta</t>
  </si>
  <si>
    <t>UEB31096.1</t>
  </si>
  <si>
    <t>LK401_06435</t>
  </si>
  <si>
    <t>acetate kinase</t>
  </si>
  <si>
    <t>UEB31097.1</t>
  </si>
  <si>
    <t>LK401_06440</t>
  </si>
  <si>
    <t>DUF412 domain-containing protein</t>
  </si>
  <si>
    <t>UEB31098.1</t>
  </si>
  <si>
    <t>LK401_06445</t>
  </si>
  <si>
    <t>CvpA family protein</t>
  </si>
  <si>
    <t>UEB31099.1</t>
  </si>
  <si>
    <t>LK401_06450</t>
  </si>
  <si>
    <t>amidophosphoribosyltransferase</t>
  </si>
  <si>
    <t>purF</t>
  </si>
  <si>
    <t>UEB31100.1</t>
  </si>
  <si>
    <t>LK401_06455</t>
  </si>
  <si>
    <t>TIGR01777 family oxidoreductase</t>
  </si>
  <si>
    <t>UEB31101.1</t>
  </si>
  <si>
    <t>LK401_06460</t>
  </si>
  <si>
    <t>transcriptional regulator ArgR</t>
  </si>
  <si>
    <t>argR</t>
  </si>
  <si>
    <t>UEB31102.1</t>
  </si>
  <si>
    <t>LK401_06465</t>
  </si>
  <si>
    <t>malate dehydrogenase</t>
  </si>
  <si>
    <t>mdh</t>
  </si>
  <si>
    <t>UEB31103.1</t>
  </si>
  <si>
    <t>LK401_06470</t>
  </si>
  <si>
    <t>lysine--tRNA ligase</t>
  </si>
  <si>
    <t>lysS</t>
  </si>
  <si>
    <t>UEB31104.1</t>
  </si>
  <si>
    <t>LK401_06475</t>
  </si>
  <si>
    <t>peptide chain release factor 2</t>
  </si>
  <si>
    <t>prfB</t>
  </si>
  <si>
    <t>UEB31105.1</t>
  </si>
  <si>
    <t>LK401_06480</t>
  </si>
  <si>
    <t>bifunctional protein-disulfide isomerase/oxidoreductase DsbC</t>
  </si>
  <si>
    <t>dsbC</t>
  </si>
  <si>
    <t>UEB31106.1</t>
  </si>
  <si>
    <t>LK401_06485</t>
  </si>
  <si>
    <t>single-stranded-DNA-specific exonuclease RecJ</t>
  </si>
  <si>
    <t>recJ</t>
  </si>
  <si>
    <t>UEB31107.1</t>
  </si>
  <si>
    <t>LK401_06490</t>
  </si>
  <si>
    <t>thiol:disulfide interchange protein DsbA/DsbL</t>
  </si>
  <si>
    <t>UEB31108.1</t>
  </si>
  <si>
    <t>LK401_06495</t>
  </si>
  <si>
    <t>5'-methylthioadenosine/adenosylhomocysteine nucleosidase</t>
  </si>
  <si>
    <t>UEB31109.1</t>
  </si>
  <si>
    <t>LK401_06500</t>
  </si>
  <si>
    <t>TonB-dependent receptor</t>
  </si>
  <si>
    <t>UEB31110.1</t>
  </si>
  <si>
    <t>LK401_06505</t>
  </si>
  <si>
    <t>lactate permease LctP family transporter</t>
  </si>
  <si>
    <t>UEB31111.1</t>
  </si>
  <si>
    <t>LK401_06510</t>
  </si>
  <si>
    <t>LK401_06515</t>
  </si>
  <si>
    <t>class 1 fructose-bisphosphatase</t>
  </si>
  <si>
    <t>fbp</t>
  </si>
  <si>
    <t>UEB31112.1</t>
  </si>
  <si>
    <t>LK401_06520</t>
  </si>
  <si>
    <t>tRNA pseudouridine(38-40) synthase TruA</t>
  </si>
  <si>
    <t>truA</t>
  </si>
  <si>
    <t>UEB31113.1</t>
  </si>
  <si>
    <t>LK401_06525</t>
  </si>
  <si>
    <t>YeiH family protein</t>
  </si>
  <si>
    <t>UEB31114.1</t>
  </si>
  <si>
    <t>LK401_06530</t>
  </si>
  <si>
    <t>UEB31115.1</t>
  </si>
  <si>
    <t>LK401_06535</t>
  </si>
  <si>
    <t>UEB31116.1</t>
  </si>
  <si>
    <t>LK401_06540</t>
  </si>
  <si>
    <t>UEB31117.1</t>
  </si>
  <si>
    <t>LK401_06545</t>
  </si>
  <si>
    <t>UEB31118.1</t>
  </si>
  <si>
    <t>LK401_06550</t>
  </si>
  <si>
    <t>UEB31119.1</t>
  </si>
  <si>
    <t>LK401_06555</t>
  </si>
  <si>
    <t>YcjX family protein</t>
  </si>
  <si>
    <t>UEB31120.1</t>
  </si>
  <si>
    <t>LK401_06560</t>
  </si>
  <si>
    <t>phosphoenolpyruvate carboxylase</t>
  </si>
  <si>
    <t>ppc</t>
  </si>
  <si>
    <t>UEB31121.1</t>
  </si>
  <si>
    <t>LK401_06565</t>
  </si>
  <si>
    <t>HTH-type transcriptional repressor PurR</t>
  </si>
  <si>
    <t>purR</t>
  </si>
  <si>
    <t>UEB31122.1</t>
  </si>
  <si>
    <t>LK401_06570</t>
  </si>
  <si>
    <t>2,3,4,5-tetrahydropyridine-2,6-dicarboxylate N-succinyltransferase</t>
  </si>
  <si>
    <t>dapD</t>
  </si>
  <si>
    <t>UEB31123.1</t>
  </si>
  <si>
    <t>LK401_06575</t>
  </si>
  <si>
    <t>adenylosuccinate synthase</t>
  </si>
  <si>
    <t>purA</t>
  </si>
  <si>
    <t>UEB31124.1</t>
  </si>
  <si>
    <t>LK401_06580</t>
  </si>
  <si>
    <t>aspartate kinase</t>
  </si>
  <si>
    <t>UEB31125.1</t>
  </si>
  <si>
    <t>LK401_06585</t>
  </si>
  <si>
    <t>LK401_06590</t>
  </si>
  <si>
    <t>LK401_06595</t>
  </si>
  <si>
    <t>tRNA-Gln</t>
  </si>
  <si>
    <t>LK401_06600</t>
  </si>
  <si>
    <t>LK401_06605</t>
  </si>
  <si>
    <t>50S ribosomal protein L25</t>
  </si>
  <si>
    <t>rplY</t>
  </si>
  <si>
    <t>UEB31126.1</t>
  </si>
  <si>
    <t>LK401_06610</t>
  </si>
  <si>
    <t>UEB31127.1</t>
  </si>
  <si>
    <t>LK401_06615</t>
  </si>
  <si>
    <t>YhcB family protein</t>
  </si>
  <si>
    <t>UEB31128.1</t>
  </si>
  <si>
    <t>LK401_06620</t>
  </si>
  <si>
    <t>UEB31129.1</t>
  </si>
  <si>
    <t>LK401_06625</t>
  </si>
  <si>
    <t>YwiC-like family protein</t>
  </si>
  <si>
    <t>UEB31130.1</t>
  </si>
  <si>
    <t>LK401_06630</t>
  </si>
  <si>
    <t>sel1 repeat family protein</t>
  </si>
  <si>
    <t>UEB31131.1</t>
  </si>
  <si>
    <t>LK401_06635</t>
  </si>
  <si>
    <t>Cd(II)/Pb(II)-responsive transcriptional regulator</t>
  </si>
  <si>
    <t>UEB31132.1</t>
  </si>
  <si>
    <t>LK401_06640</t>
  </si>
  <si>
    <t>DUF4198 domain-containing protein</t>
  </si>
  <si>
    <t>UEB31133.1</t>
  </si>
  <si>
    <t>LK401_06645</t>
  </si>
  <si>
    <t>carboxypeptidase regulatory-like domain-containing protein</t>
  </si>
  <si>
    <t>UEB31134.1</t>
  </si>
  <si>
    <t>LK401_06650</t>
  </si>
  <si>
    <t>cobalt transporter CbiM</t>
  </si>
  <si>
    <t>cbiM</t>
  </si>
  <si>
    <t>UEB31135.1</t>
  </si>
  <si>
    <t>LK401_06655</t>
  </si>
  <si>
    <t>energy-coupling factor transporter transmembrane protein EcfT</t>
  </si>
  <si>
    <t>UEB31136.1</t>
  </si>
  <si>
    <t>LK401_06660</t>
  </si>
  <si>
    <t>energy-coupling factor ABC transporter ATP-binding protein</t>
  </si>
  <si>
    <t>UEB31137.1</t>
  </si>
  <si>
    <t>LK401_06665</t>
  </si>
  <si>
    <t>aspartate/tyrosine/aromatic aminotransferase</t>
  </si>
  <si>
    <t>UEB31138.1</t>
  </si>
  <si>
    <t>LK401_06670</t>
  </si>
  <si>
    <t>5-(carboxyamino)imidazole ribonucleotide synthase</t>
  </si>
  <si>
    <t>purK</t>
  </si>
  <si>
    <t>UEB31139.1</t>
  </si>
  <si>
    <t>LK401_06675</t>
  </si>
  <si>
    <t>5-(carboxyamino)imidazole ribonucleotide mutase</t>
  </si>
  <si>
    <t>purE</t>
  </si>
  <si>
    <t>UEB31140.1</t>
  </si>
  <si>
    <t>LK401_06680</t>
  </si>
  <si>
    <t>type II toxin-antitoxin system HicA family toxin</t>
  </si>
  <si>
    <t>UEB31141.1</t>
  </si>
  <si>
    <t>LK401_06685</t>
  </si>
  <si>
    <t>type II toxin-antitoxin system HicB family antitoxin</t>
  </si>
  <si>
    <t>UEB31142.1</t>
  </si>
  <si>
    <t>LK401_06690</t>
  </si>
  <si>
    <t>aminopeptidase N</t>
  </si>
  <si>
    <t>pepN</t>
  </si>
  <si>
    <t>UEB31143.1</t>
  </si>
  <si>
    <t>LK401_06695</t>
  </si>
  <si>
    <t>riboflavin synthase</t>
  </si>
  <si>
    <t>ribE</t>
  </si>
  <si>
    <t>UEB31144.1</t>
  </si>
  <si>
    <t>LK401_06700</t>
  </si>
  <si>
    <t>sodium-coupled multidrug efflux MATE transporter HmrM</t>
  </si>
  <si>
    <t>hmrM</t>
  </si>
  <si>
    <t>UEB31145.1</t>
  </si>
  <si>
    <t>LK401_06705</t>
  </si>
  <si>
    <t>DNA/RNA nuclease SfsA</t>
  </si>
  <si>
    <t>sfsA</t>
  </si>
  <si>
    <t>UEB31146.1</t>
  </si>
  <si>
    <t>LK401_06710</t>
  </si>
  <si>
    <t>tyrosine--tRNA ligase</t>
  </si>
  <si>
    <t>tyrS</t>
  </si>
  <si>
    <t>UEB31147.1</t>
  </si>
  <si>
    <t>LK401_06715</t>
  </si>
  <si>
    <t>ribose-phosphate pyrophosphokinase</t>
  </si>
  <si>
    <t>UEB31148.1</t>
  </si>
  <si>
    <t>LK401_06720</t>
  </si>
  <si>
    <t>4-(cytidine 5'-diphospho)-2-C-methyl-D-erythritol kinase</t>
  </si>
  <si>
    <t>ispE</t>
  </si>
  <si>
    <t>UEB32553.1</t>
  </si>
  <si>
    <t>LK401_06725</t>
  </si>
  <si>
    <t>lipoprotein insertase outer membrane protein LolB</t>
  </si>
  <si>
    <t>lolB</t>
  </si>
  <si>
    <t>UEB31149.1</t>
  </si>
  <si>
    <t>LK401_06730</t>
  </si>
  <si>
    <t>multifunctional CCA addition/repair protein</t>
  </si>
  <si>
    <t>UEB31150.1</t>
  </si>
  <si>
    <t>LK401_06735</t>
  </si>
  <si>
    <t>SH3 domain-containing protein</t>
  </si>
  <si>
    <t>UEB31151.1</t>
  </si>
  <si>
    <t>LK401_06740</t>
  </si>
  <si>
    <t>inorganic phosphate transporter</t>
  </si>
  <si>
    <t>UEB31152.1</t>
  </si>
  <si>
    <t>LK401_06745</t>
  </si>
  <si>
    <t>TIGR00153 family protein</t>
  </si>
  <si>
    <t>UEB31153.1</t>
  </si>
  <si>
    <t>LK401_06750</t>
  </si>
  <si>
    <t>UEB32554.1</t>
  </si>
  <si>
    <t>LK401_06755</t>
  </si>
  <si>
    <t>UEB31154.1</t>
  </si>
  <si>
    <t>LK401_06760</t>
  </si>
  <si>
    <t>DUF692 family protein</t>
  </si>
  <si>
    <t>UEB31155.1</t>
  </si>
  <si>
    <t>LK401_06765</t>
  </si>
  <si>
    <t>DUF2063 domain-containing protein</t>
  </si>
  <si>
    <t>UEB31156.1</t>
  </si>
  <si>
    <t>LK401_06770</t>
  </si>
  <si>
    <t>UEB31157.1</t>
  </si>
  <si>
    <t>LK401_06775</t>
  </si>
  <si>
    <t>LK401_06780</t>
  </si>
  <si>
    <t>UEB31158.1</t>
  </si>
  <si>
    <t>LK401_06785</t>
  </si>
  <si>
    <t>integrase core domain-containing protein</t>
  </si>
  <si>
    <t>UEB32555.1</t>
  </si>
  <si>
    <t>LK401_06790</t>
  </si>
  <si>
    <t>adhesin</t>
  </si>
  <si>
    <t>UEB31159.1</t>
  </si>
  <si>
    <t>LK401_06795</t>
  </si>
  <si>
    <t>two-partner secretion (TPS) system translocator Hmw1B</t>
  </si>
  <si>
    <t>hmw1B</t>
  </si>
  <si>
    <t>UEB31160.1</t>
  </si>
  <si>
    <t>LK401_06800</t>
  </si>
  <si>
    <t>UEB31161.1</t>
  </si>
  <si>
    <t>LK401_06805</t>
  </si>
  <si>
    <t>inorganic triphosphatase</t>
  </si>
  <si>
    <t>UEB31162.1</t>
  </si>
  <si>
    <t>LK401_06810</t>
  </si>
  <si>
    <t>DNA repair protein RadA</t>
  </si>
  <si>
    <t>radA</t>
  </si>
  <si>
    <t>UEB31163.1</t>
  </si>
  <si>
    <t>LK401_06815</t>
  </si>
  <si>
    <t>leucine-responsive transcriptional regulator Lrp</t>
  </si>
  <si>
    <t>lrp</t>
  </si>
  <si>
    <t>UEB31164.1</t>
  </si>
  <si>
    <t>LK401_06820</t>
  </si>
  <si>
    <t>DNA translocase FtsK 4TM domain-containing protein</t>
  </si>
  <si>
    <t>UEB31165.1</t>
  </si>
  <si>
    <t>LK401_06825</t>
  </si>
  <si>
    <t>outer membrane lipoprotein chaperone LolA</t>
  </si>
  <si>
    <t>lolA</t>
  </si>
  <si>
    <t>UEB31166.1</t>
  </si>
  <si>
    <t>LK401_06830</t>
  </si>
  <si>
    <t>replication-associated recombination protein A</t>
  </si>
  <si>
    <t>UEB31167.1</t>
  </si>
  <si>
    <t>LK401_06835</t>
  </si>
  <si>
    <t>3-phosphoshikimate 1-carboxyvinyltransferase</t>
  </si>
  <si>
    <t>aroA</t>
  </si>
  <si>
    <t>UEB31168.1</t>
  </si>
  <si>
    <t>LK401_06840</t>
  </si>
  <si>
    <t>formyltetrahydrofolate deformylase</t>
  </si>
  <si>
    <t>purU</t>
  </si>
  <si>
    <t>UEB31169.1</t>
  </si>
  <si>
    <t>LK401_06845</t>
  </si>
  <si>
    <t>H-NS histone family protein</t>
  </si>
  <si>
    <t>UEB31170.1</t>
  </si>
  <si>
    <t>LK401_06850</t>
  </si>
  <si>
    <t>Na|/H| antiporter NhaC family protein</t>
  </si>
  <si>
    <t>UEB31171.1</t>
  </si>
  <si>
    <t>LK401_06855</t>
  </si>
  <si>
    <t>acetolactate synthase 3 large subunit</t>
  </si>
  <si>
    <t>UEB31172.1</t>
  </si>
  <si>
    <t>LK401_06860</t>
  </si>
  <si>
    <t>acetolactate synthase small subunit</t>
  </si>
  <si>
    <t>ilvN</t>
  </si>
  <si>
    <t>UEB31173.1</t>
  </si>
  <si>
    <t>LK401_06865</t>
  </si>
  <si>
    <t>arginine--tRNA ligase</t>
  </si>
  <si>
    <t>argS</t>
  </si>
  <si>
    <t>UEB31174.1</t>
  </si>
  <si>
    <t>LK401_06870</t>
  </si>
  <si>
    <t>VOC family protein</t>
  </si>
  <si>
    <t>UEB31175.1</t>
  </si>
  <si>
    <t>LK401_06875</t>
  </si>
  <si>
    <t>glucose-6-phosphate isomerase</t>
  </si>
  <si>
    <t>UEB31176.1</t>
  </si>
  <si>
    <t>LK401_06880</t>
  </si>
  <si>
    <t>glycine zipper 2TM domain-containing protein</t>
  </si>
  <si>
    <t>UEB31177.1</t>
  </si>
  <si>
    <t>LK401_06885</t>
  </si>
  <si>
    <t>UEB31178.1</t>
  </si>
  <si>
    <t>LK401_06890</t>
  </si>
  <si>
    <t>LK401_06895</t>
  </si>
  <si>
    <t>pgi</t>
  </si>
  <si>
    <t>UEB31179.1</t>
  </si>
  <si>
    <t>LK401_06900</t>
  </si>
  <si>
    <t>alanine racemase</t>
  </si>
  <si>
    <t>alr</t>
  </si>
  <si>
    <t>UEB31180.1</t>
  </si>
  <si>
    <t>LK401_06905</t>
  </si>
  <si>
    <t>replicative DNA helicase</t>
  </si>
  <si>
    <t>UEB31181.1</t>
  </si>
  <si>
    <t>LK401_06910</t>
  </si>
  <si>
    <t>pyruvate kinase</t>
  </si>
  <si>
    <t>pyk</t>
  </si>
  <si>
    <t>UEB31182.1</t>
  </si>
  <si>
    <t>LK401_06915</t>
  </si>
  <si>
    <t>LK401_06920</t>
  </si>
  <si>
    <t>integrase</t>
  </si>
  <si>
    <t>UEB31183.1</t>
  </si>
  <si>
    <t>LK401_06925</t>
  </si>
  <si>
    <t>UEB31184.1</t>
  </si>
  <si>
    <t>LK401_06930</t>
  </si>
  <si>
    <t>UEB31185.1</t>
  </si>
  <si>
    <t>LK401_06935</t>
  </si>
  <si>
    <t>UEB31186.1</t>
  </si>
  <si>
    <t>LK401_06940</t>
  </si>
  <si>
    <t>UEB31187.1</t>
  </si>
  <si>
    <t>LK401_06945</t>
  </si>
  <si>
    <t>elongation factor P hydroxylase</t>
  </si>
  <si>
    <t>UEB31188.1</t>
  </si>
  <si>
    <t>LK401_06950</t>
  </si>
  <si>
    <t>UEB31189.1</t>
  </si>
  <si>
    <t>LK401_06955</t>
  </si>
  <si>
    <t>UEB31190.1</t>
  </si>
  <si>
    <t>LK401_06960</t>
  </si>
  <si>
    <t>UEB31191.1</t>
  </si>
  <si>
    <t>LK401_06965</t>
  </si>
  <si>
    <t>UEB31192.1</t>
  </si>
  <si>
    <t>LK401_06970</t>
  </si>
  <si>
    <t>UEB31193.1</t>
  </si>
  <si>
    <t>LK401_06975</t>
  </si>
  <si>
    <t>peptide chain release factor 1</t>
  </si>
  <si>
    <t>prfA</t>
  </si>
  <si>
    <t>UEB32556.1</t>
  </si>
  <si>
    <t>LK401_06980</t>
  </si>
  <si>
    <t>RDD family protein</t>
  </si>
  <si>
    <t>UEB31194.1</t>
  </si>
  <si>
    <t>LK401_06985</t>
  </si>
  <si>
    <t>prmC</t>
  </si>
  <si>
    <t>LK401_06990</t>
  </si>
  <si>
    <t>LK401_06995</t>
  </si>
  <si>
    <t>SirB1 family protein</t>
  </si>
  <si>
    <t>UEB31195.1</t>
  </si>
  <si>
    <t>LK401_07000</t>
  </si>
  <si>
    <t>3-deoxy-8-phosphooctulonate synthase</t>
  </si>
  <si>
    <t>kdsA</t>
  </si>
  <si>
    <t>UEB31196.1</t>
  </si>
  <si>
    <t>LK401_07005</t>
  </si>
  <si>
    <t>UEB31197.1</t>
  </si>
  <si>
    <t>LK401_07010</t>
  </si>
  <si>
    <t>lipoprotein-releasing ABC transporter permease subunit</t>
  </si>
  <si>
    <t>UEB31198.1</t>
  </si>
  <si>
    <t>LK401_07015</t>
  </si>
  <si>
    <t>adenosylmethionine--8-amino-7-oxononanoate transaminase</t>
  </si>
  <si>
    <t>bioA</t>
  </si>
  <si>
    <t>UEB32557.1</t>
  </si>
  <si>
    <t>LK401_07020</t>
  </si>
  <si>
    <t>8-amino-7-oxononanoate synthase</t>
  </si>
  <si>
    <t>bioF</t>
  </si>
  <si>
    <t>UEB31199.1</t>
  </si>
  <si>
    <t>LK401_07025</t>
  </si>
  <si>
    <t>DUF452 family protein</t>
  </si>
  <si>
    <t>UEB31200.1</t>
  </si>
  <si>
    <t>LK401_07030</t>
  </si>
  <si>
    <t>malonyl-ACP O-methyltransferase BioC</t>
  </si>
  <si>
    <t>bioC</t>
  </si>
  <si>
    <t>UEB31201.1</t>
  </si>
  <si>
    <t>LK401_07035</t>
  </si>
  <si>
    <t>dethiobiotin synthase</t>
  </si>
  <si>
    <t>bioD</t>
  </si>
  <si>
    <t>UEB31202.1</t>
  </si>
  <si>
    <t>LK401_07040</t>
  </si>
  <si>
    <t>lipoprotein-releasing ABC transporter ATP-binding protein LolD</t>
  </si>
  <si>
    <t>lolD</t>
  </si>
  <si>
    <t>UEB31203.1</t>
  </si>
  <si>
    <t>LK401_07045</t>
  </si>
  <si>
    <t>lipoprotein-releasing ABC transporter permease subunit LolE</t>
  </si>
  <si>
    <t>lolE</t>
  </si>
  <si>
    <t>UEB31204.1</t>
  </si>
  <si>
    <t>LK401_07050</t>
  </si>
  <si>
    <t>3-deoxy-7-phosphoheptulonate synthase AroG</t>
  </si>
  <si>
    <t>aroG</t>
  </si>
  <si>
    <t>UEB32558.1</t>
  </si>
  <si>
    <t>LK401_07055</t>
  </si>
  <si>
    <t>LexA family transcriptional regulator</t>
  </si>
  <si>
    <t>UEB31205.1</t>
  </si>
  <si>
    <t>LK401_07060</t>
  </si>
  <si>
    <t>serine/threonine transporter SstT</t>
  </si>
  <si>
    <t>sstT</t>
  </si>
  <si>
    <t>UEB31206.1</t>
  </si>
  <si>
    <t>LK401_07065</t>
  </si>
  <si>
    <t>UEB31207.1</t>
  </si>
  <si>
    <t>LK401_07070</t>
  </si>
  <si>
    <t>molecular chaperone</t>
  </si>
  <si>
    <t>UEB31208.1</t>
  </si>
  <si>
    <t>LK401_07075</t>
  </si>
  <si>
    <t>NAD(P)H nitroreductase</t>
  </si>
  <si>
    <t>UEB31209.1</t>
  </si>
  <si>
    <t>LK401_07080</t>
  </si>
  <si>
    <t>signal peptide peptidase SppA</t>
  </si>
  <si>
    <t>sppA</t>
  </si>
  <si>
    <t>UEB31210.1</t>
  </si>
  <si>
    <t>LK401_07085</t>
  </si>
  <si>
    <t>lipopolysaccharide cholinephosphotransferase LicD</t>
  </si>
  <si>
    <t>licD</t>
  </si>
  <si>
    <t>UEB31211.1</t>
  </si>
  <si>
    <t>LK401_07090</t>
  </si>
  <si>
    <t>NTP transferase domain-containing protein</t>
  </si>
  <si>
    <t>UEB31212.1</t>
  </si>
  <si>
    <t>LK401_07095</t>
  </si>
  <si>
    <t>choline transport protein LicB</t>
  </si>
  <si>
    <t>licB</t>
  </si>
  <si>
    <t>UEB31213.1</t>
  </si>
  <si>
    <t>LK401_07100</t>
  </si>
  <si>
    <t>phosphorylcholine kinase LicA</t>
  </si>
  <si>
    <t>licA</t>
  </si>
  <si>
    <t>UEB31214.1</t>
  </si>
  <si>
    <t>LK401_07105</t>
  </si>
  <si>
    <t>bifunctional tRNA (5-methylaminomethyl-2-thiouridine)(34)-methyltransferase MnmD/FAD-dependent 5-carboxymethylaminomethyl-2-thiouridine(34) oxidoreductase MnmC</t>
  </si>
  <si>
    <t>mnmC</t>
  </si>
  <si>
    <t>UEB31215.1</t>
  </si>
  <si>
    <t>LK401_07110</t>
  </si>
  <si>
    <t>beta-ketoacyl-ACP synthase I</t>
  </si>
  <si>
    <t>fabB</t>
  </si>
  <si>
    <t>UEB31216.1</t>
  </si>
  <si>
    <t>LK401_07115</t>
  </si>
  <si>
    <t>GrxA family glutaredoxin</t>
  </si>
  <si>
    <t>UEB31217.1</t>
  </si>
  <si>
    <t>LK401_07120</t>
  </si>
  <si>
    <t>RimK family alpha-L-glutamate ligase</t>
  </si>
  <si>
    <t>UEB31218.1</t>
  </si>
  <si>
    <t>LK401_07125</t>
  </si>
  <si>
    <t>sodium/glutamate symporter</t>
  </si>
  <si>
    <t>gltS</t>
  </si>
  <si>
    <t>UEB31219.1</t>
  </si>
  <si>
    <t>LK401_07130</t>
  </si>
  <si>
    <t>DNA topoisomerase IV subunit A</t>
  </si>
  <si>
    <t>parC</t>
  </si>
  <si>
    <t>UEB31220.1</t>
  </si>
  <si>
    <t>LK401_07135</t>
  </si>
  <si>
    <t>DNA topoisomerase IV subunit B</t>
  </si>
  <si>
    <t>parE</t>
  </si>
  <si>
    <t>UEB31221.1</t>
  </si>
  <si>
    <t>LK401_07140</t>
  </si>
  <si>
    <t>lipid A biosynthesis lauroyl acyltransferase HtrB</t>
  </si>
  <si>
    <t>htrB</t>
  </si>
  <si>
    <t>UEB31222.1</t>
  </si>
  <si>
    <t>LK401_07145</t>
  </si>
  <si>
    <t>bifunctional D-glycero-beta-D-manno-heptose-7-phosphate kinase/D-glycero-beta-D-manno-heptose 1-phosphate adenylyltransferase HldE</t>
  </si>
  <si>
    <t>hldE</t>
  </si>
  <si>
    <t>UEB31223.1</t>
  </si>
  <si>
    <t>LK401_07150</t>
  </si>
  <si>
    <t>UEB31224.1</t>
  </si>
  <si>
    <t>LK401_07155</t>
  </si>
  <si>
    <t>abortive infection family protein</t>
  </si>
  <si>
    <t>UEB31225.1</t>
  </si>
  <si>
    <t>LK401_07160</t>
  </si>
  <si>
    <t>LK401_07165</t>
  </si>
  <si>
    <t>carbonate dehydratase</t>
  </si>
  <si>
    <t>can</t>
  </si>
  <si>
    <t>UEB31226.1</t>
  </si>
  <si>
    <t>LK401_07170</t>
  </si>
  <si>
    <t>asparagine--tRNA ligase</t>
  </si>
  <si>
    <t>asnS</t>
  </si>
  <si>
    <t>UEB31227.1</t>
  </si>
  <si>
    <t>LK401_07175</t>
  </si>
  <si>
    <t>6,7-dimethyl-8-ribityllumazine synthase</t>
  </si>
  <si>
    <t>UEB31228.1</t>
  </si>
  <si>
    <t>LK401_07180</t>
  </si>
  <si>
    <t>transcription antitermination factor NusB</t>
  </si>
  <si>
    <t>nusB</t>
  </si>
  <si>
    <t>UEB31229.1</t>
  </si>
  <si>
    <t>LK401_07185</t>
  </si>
  <si>
    <t>thiamine-phosphate kinase</t>
  </si>
  <si>
    <t>thiL</t>
  </si>
  <si>
    <t>UEB31230.1</t>
  </si>
  <si>
    <t>LK401_07190</t>
  </si>
  <si>
    <t>phosphatidylglycerophosphatase A</t>
  </si>
  <si>
    <t>UEB31231.1</t>
  </si>
  <si>
    <t>LK401_07195</t>
  </si>
  <si>
    <t>LysE family transporter</t>
  </si>
  <si>
    <t>UEB31232.1</t>
  </si>
  <si>
    <t>LK401_07200</t>
  </si>
  <si>
    <t>4-hydroxy-tetrahydrodipicolinate reductase</t>
  </si>
  <si>
    <t>dapB</t>
  </si>
  <si>
    <t>UEB31233.1</t>
  </si>
  <si>
    <t>LK401_07205</t>
  </si>
  <si>
    <t>class I ribonucleotide reductase maintenance protein YfaE</t>
  </si>
  <si>
    <t>yfaE</t>
  </si>
  <si>
    <t>UEB31234.1</t>
  </si>
  <si>
    <t>LK401_07210</t>
  </si>
  <si>
    <t>UEB31235.1</t>
  </si>
  <si>
    <t>LK401_07215</t>
  </si>
  <si>
    <t>phenylalanine--tRNA ligase subunit alpha</t>
  </si>
  <si>
    <t>pheS</t>
  </si>
  <si>
    <t>UEB31236.1</t>
  </si>
  <si>
    <t>LK401_07220</t>
  </si>
  <si>
    <t>phenylalanine--tRNA ligase subunit beta</t>
  </si>
  <si>
    <t>pheT</t>
  </si>
  <si>
    <t>UEB31237.1</t>
  </si>
  <si>
    <t>LK401_07225</t>
  </si>
  <si>
    <t>integration host factor subunit alpha</t>
  </si>
  <si>
    <t>UEB31238.1</t>
  </si>
  <si>
    <t>LK401_07230</t>
  </si>
  <si>
    <t>NlpC/P60 family protein</t>
  </si>
  <si>
    <t>UEB31239.1</t>
  </si>
  <si>
    <t>LK401_07235</t>
  </si>
  <si>
    <t>WYL domain-containing protein</t>
  </si>
  <si>
    <t>UEB31240.1</t>
  </si>
  <si>
    <t>LK401_07240</t>
  </si>
  <si>
    <t>UEB31241.1</t>
  </si>
  <si>
    <t>LK401_07245</t>
  </si>
  <si>
    <t>NAD-dependent deacylase</t>
  </si>
  <si>
    <t>UEB31242.1</t>
  </si>
  <si>
    <t>LK401_07250</t>
  </si>
  <si>
    <t>UEB31243.1</t>
  </si>
  <si>
    <t>LK401_07255</t>
  </si>
  <si>
    <t>cell division protein FtsK</t>
  </si>
  <si>
    <t>UEB31244.1</t>
  </si>
  <si>
    <t>LK401_07260</t>
  </si>
  <si>
    <t>NAD-dependent deacetylase</t>
  </si>
  <si>
    <t>UEB31245.1</t>
  </si>
  <si>
    <t>LK401_07265</t>
  </si>
  <si>
    <t>protein phosphatase 2C domain-containing protein</t>
  </si>
  <si>
    <t>UEB31246.1</t>
  </si>
  <si>
    <t>LK401_07270</t>
  </si>
  <si>
    <t>restriction endonuclease</t>
  </si>
  <si>
    <t>UEB31247.1</t>
  </si>
  <si>
    <t>LK401_07275</t>
  </si>
  <si>
    <t>UEB31248.1</t>
  </si>
  <si>
    <t>LK401_07280</t>
  </si>
  <si>
    <t>LK401_07285</t>
  </si>
  <si>
    <t>D-hexose-6-phosphate mutarotase</t>
  </si>
  <si>
    <t>UEB31249.1</t>
  </si>
  <si>
    <t>LK401_07290</t>
  </si>
  <si>
    <t>translation initiation factor IF-3</t>
  </si>
  <si>
    <t>infC</t>
  </si>
  <si>
    <t>UEB32559.1</t>
  </si>
  <si>
    <t>LK401_07295</t>
  </si>
  <si>
    <t>50S ribosomal protein L35</t>
  </si>
  <si>
    <t>rpmI</t>
  </si>
  <si>
    <t>UEB31250.1</t>
  </si>
  <si>
    <t>LK401_07300</t>
  </si>
  <si>
    <t>50S ribosomal protein L20</t>
  </si>
  <si>
    <t>rplT</t>
  </si>
  <si>
    <t>UEB31251.1</t>
  </si>
  <si>
    <t>LK401_07305</t>
  </si>
  <si>
    <t>exodeoxyribonuclease V subunit beta</t>
  </si>
  <si>
    <t>recB</t>
  </si>
  <si>
    <t>UEB31252.1</t>
  </si>
  <si>
    <t>LK401_07310</t>
  </si>
  <si>
    <t>exodeoxyribonuclease V subunit alpha</t>
  </si>
  <si>
    <t>recD</t>
  </si>
  <si>
    <t>UEB31253.1</t>
  </si>
  <si>
    <t>LK401_07315</t>
  </si>
  <si>
    <t>macrodomain Ter protein MatP</t>
  </si>
  <si>
    <t>matP</t>
  </si>
  <si>
    <t>UEB31254.1</t>
  </si>
  <si>
    <t>LK401_07320</t>
  </si>
  <si>
    <t>Lon protease family protein</t>
  </si>
  <si>
    <t>UEB31255.1</t>
  </si>
  <si>
    <t>LK401_07325</t>
  </si>
  <si>
    <t>bifunctional 3-hydroxydecanoyl-ACP dehydratase/trans-2-decenoyl-ACP isomerase</t>
  </si>
  <si>
    <t>fabA</t>
  </si>
  <si>
    <t>UEB31256.1</t>
  </si>
  <si>
    <t>LK401_07330</t>
  </si>
  <si>
    <t>UEB31257.1</t>
  </si>
  <si>
    <t>LK401_07335</t>
  </si>
  <si>
    <t>UEB31258.1</t>
  </si>
  <si>
    <t>LK401_07340</t>
  </si>
  <si>
    <t>30S ribosomal protein S15</t>
  </si>
  <si>
    <t>rpsO</t>
  </si>
  <si>
    <t>UEB31259.1</t>
  </si>
  <si>
    <t>LK401_07345</t>
  </si>
  <si>
    <t>LK401_07350</t>
  </si>
  <si>
    <t>serine-type D-Ala-D-Ala carboxypeptidase</t>
  </si>
  <si>
    <t>dacB</t>
  </si>
  <si>
    <t>UEB31260.1</t>
  </si>
  <si>
    <t>LK401_07355</t>
  </si>
  <si>
    <t>transcription elongation factor GreA</t>
  </si>
  <si>
    <t>greA</t>
  </si>
  <si>
    <t>UEB31261.1</t>
  </si>
  <si>
    <t>LK401_07360</t>
  </si>
  <si>
    <t>ribosome assembly RNA-binding protein YhbY</t>
  </si>
  <si>
    <t>yhbY</t>
  </si>
  <si>
    <t>UEB31262.1</t>
  </si>
  <si>
    <t>LK401_07365</t>
  </si>
  <si>
    <t>23S rRNA (uridine(2552)-2'-O)-methyltransferase RlmE</t>
  </si>
  <si>
    <t>rlmE</t>
  </si>
  <si>
    <t>UEB31263.1</t>
  </si>
  <si>
    <t>LK401_07370</t>
  </si>
  <si>
    <t>ATP-dependent zinc metalloprotease FtsH</t>
  </si>
  <si>
    <t>ftsH</t>
  </si>
  <si>
    <t>UEB32560.1</t>
  </si>
  <si>
    <t>LK401_07375</t>
  </si>
  <si>
    <t>dihydropteroate synthase</t>
  </si>
  <si>
    <t>folP</t>
  </si>
  <si>
    <t>UEB31264.1</t>
  </si>
  <si>
    <t>LK401_07380</t>
  </si>
  <si>
    <t>phosphoglucosamine mutase</t>
  </si>
  <si>
    <t>glmM</t>
  </si>
  <si>
    <t>UEB31265.1</t>
  </si>
  <si>
    <t>LK401_07385</t>
  </si>
  <si>
    <t>phosphohistidine phosphatase SixA</t>
  </si>
  <si>
    <t>sixA</t>
  </si>
  <si>
    <t>UEB31266.1</t>
  </si>
  <si>
    <t>LK401_07390</t>
  </si>
  <si>
    <t>apolipoprotein A1/A4/E family protein</t>
  </si>
  <si>
    <t>UEB31267.1</t>
  </si>
  <si>
    <t>LK401_07395</t>
  </si>
  <si>
    <t>TolC family protein</t>
  </si>
  <si>
    <t>UEB31268.1</t>
  </si>
  <si>
    <t>LK401_07400</t>
  </si>
  <si>
    <t>UEB32561.1</t>
  </si>
  <si>
    <t>LK401_07405</t>
  </si>
  <si>
    <t>YadA-like family protein</t>
  </si>
  <si>
    <t>UEB31269.1</t>
  </si>
  <si>
    <t>LK401_07410</t>
  </si>
  <si>
    <t>sigma-70 family RNA polymerase sigma factor</t>
  </si>
  <si>
    <t>UEB31270.1</t>
  </si>
  <si>
    <t>LK401_07415</t>
  </si>
  <si>
    <t>zf-HC2 domain-containing protein</t>
  </si>
  <si>
    <t>UEB31271.1</t>
  </si>
  <si>
    <t>LK401_07420</t>
  </si>
  <si>
    <t>UEB31272.1</t>
  </si>
  <si>
    <t>LK401_07425</t>
  </si>
  <si>
    <t>bifunctional peptide-methionine (S)-S-oxide reductase MsrA/peptide-methionine (R)-S-oxide reductase MsrB</t>
  </si>
  <si>
    <t>msrAB</t>
  </si>
  <si>
    <t>UEB31273.1</t>
  </si>
  <si>
    <t>LK401_07430</t>
  </si>
  <si>
    <t>cytochrome c biogenesis protein CcdA</t>
  </si>
  <si>
    <t>UEB31274.1</t>
  </si>
  <si>
    <t>LK401_07435</t>
  </si>
  <si>
    <t>UEB31275.1</t>
  </si>
  <si>
    <t>LK401_07440</t>
  </si>
  <si>
    <t>lysine exporter LysO family protein</t>
  </si>
  <si>
    <t>UEB31276.1</t>
  </si>
  <si>
    <t>LK401_07445</t>
  </si>
  <si>
    <t>HI1450 family dsDNA-mimic protein</t>
  </si>
  <si>
    <t>UEB31277.1</t>
  </si>
  <si>
    <t>LK401_07450</t>
  </si>
  <si>
    <t>molybdopterin-synthase adenylyltransferase MoeB</t>
  </si>
  <si>
    <t>moeB</t>
  </si>
  <si>
    <t>UEB31278.1</t>
  </si>
  <si>
    <t>LK401_07455</t>
  </si>
  <si>
    <t>molybdopterin molybdotransferase MoeA</t>
  </si>
  <si>
    <t>moeA</t>
  </si>
  <si>
    <t>UEB31279.1</t>
  </si>
  <si>
    <t>LK401_07460</t>
  </si>
  <si>
    <t>GTP cyclohydrolase I FolE</t>
  </si>
  <si>
    <t>folE</t>
  </si>
  <si>
    <t>UEB32562.1</t>
  </si>
  <si>
    <t>LK401_07465</t>
  </si>
  <si>
    <t>YcgL domain-containing protein</t>
  </si>
  <si>
    <t>UEB31280.1</t>
  </si>
  <si>
    <t>LK401_07470</t>
  </si>
  <si>
    <t>UEB31281.1</t>
  </si>
  <si>
    <t>LK401_07475</t>
  </si>
  <si>
    <t>methylenetetrahydrofolate reductase</t>
  </si>
  <si>
    <t>metF</t>
  </si>
  <si>
    <t>UEB31282.1</t>
  </si>
  <si>
    <t>LK401_07480</t>
  </si>
  <si>
    <t>50S ribosomal protein L13</t>
  </si>
  <si>
    <t>rplM</t>
  </si>
  <si>
    <t>UEB31283.1</t>
  </si>
  <si>
    <t>LK401_07485</t>
  </si>
  <si>
    <t>30S ribosomal protein S9</t>
  </si>
  <si>
    <t>rpsI</t>
  </si>
  <si>
    <t>UEB31284.1</t>
  </si>
  <si>
    <t>LK401_07490</t>
  </si>
  <si>
    <t>stringent starvation protein A</t>
  </si>
  <si>
    <t>sspA</t>
  </si>
  <si>
    <t>UEB31285.1</t>
  </si>
  <si>
    <t>LK401_07495</t>
  </si>
  <si>
    <t>ClpXP protease specificity-enhancing factor</t>
  </si>
  <si>
    <t>UEB31286.1</t>
  </si>
  <si>
    <t>LK401_07500</t>
  </si>
  <si>
    <t>1-deoxy-D-xylulose-5-phosphate synthase</t>
  </si>
  <si>
    <t>dxs</t>
  </si>
  <si>
    <t>UEB31287.1</t>
  </si>
  <si>
    <t>LK401_07505</t>
  </si>
  <si>
    <t>(2E,6E)-farnesyl diphosphate synthase</t>
  </si>
  <si>
    <t>ispA</t>
  </si>
  <si>
    <t>UEB31288.1</t>
  </si>
  <si>
    <t>LK401_07510</t>
  </si>
  <si>
    <t>exodeoxyribonuclease VII small subunit</t>
  </si>
  <si>
    <t>xseB</t>
  </si>
  <si>
    <t>UEB31289.1</t>
  </si>
  <si>
    <t>LK401_07515</t>
  </si>
  <si>
    <t>tRNA 4-thiouridine(8) synthase ThiI</t>
  </si>
  <si>
    <t>thiI</t>
  </si>
  <si>
    <t>UEB31290.1</t>
  </si>
  <si>
    <t>LK401_07520</t>
  </si>
  <si>
    <t>YqcC family protein</t>
  </si>
  <si>
    <t>UEB31291.1</t>
  </si>
  <si>
    <t>LK401_07525</t>
  </si>
  <si>
    <t>tRNA pseudouridine(65) synthase TruC</t>
  </si>
  <si>
    <t>truC</t>
  </si>
  <si>
    <t>UEB31292.1</t>
  </si>
  <si>
    <t>LK401_07530</t>
  </si>
  <si>
    <t>YoaH family protein</t>
  </si>
  <si>
    <t>UEB31293.1</t>
  </si>
  <si>
    <t>LK401_07535</t>
  </si>
  <si>
    <t>cold shock domain-containing protein CspD</t>
  </si>
  <si>
    <t>cspD</t>
  </si>
  <si>
    <t>UEB31294.1</t>
  </si>
  <si>
    <t>LK401_07540</t>
  </si>
  <si>
    <t>Cys-tRNA(Pro) deacylase</t>
  </si>
  <si>
    <t>ybaK</t>
  </si>
  <si>
    <t>UEB31295.1</t>
  </si>
  <si>
    <t>LK401_07545</t>
  </si>
  <si>
    <t>oxidoreductase</t>
  </si>
  <si>
    <t>UEB31296.1</t>
  </si>
  <si>
    <t>LK401_07550</t>
  </si>
  <si>
    <t>tryptophan synthase subunit alpha</t>
  </si>
  <si>
    <t>trpA</t>
  </si>
  <si>
    <t>UEB31297.1</t>
  </si>
  <si>
    <t>LK401_07555</t>
  </si>
  <si>
    <t>tryptophan synthase subunit beta</t>
  </si>
  <si>
    <t>trpB</t>
  </si>
  <si>
    <t>UEB31298.1</t>
  </si>
  <si>
    <t>LK401_07560</t>
  </si>
  <si>
    <t>SDR family oxidoreductase</t>
  </si>
  <si>
    <t>UEB31299.1</t>
  </si>
  <si>
    <t>LK401_07565</t>
  </si>
  <si>
    <t>phosphoribosylformylglycinamidine cyclo-ligase</t>
  </si>
  <si>
    <t>purM</t>
  </si>
  <si>
    <t>UEB31300.1</t>
  </si>
  <si>
    <t>LK401_07570</t>
  </si>
  <si>
    <t>phosphoribosylglycinamide formyltransferase</t>
  </si>
  <si>
    <t>purN</t>
  </si>
  <si>
    <t>UEB31301.1</t>
  </si>
  <si>
    <t>LK401_07575</t>
  </si>
  <si>
    <t>UEB31302.1</t>
  </si>
  <si>
    <t>LK401_07580</t>
  </si>
  <si>
    <t>universal stress protein UspE</t>
  </si>
  <si>
    <t>uspE</t>
  </si>
  <si>
    <t>UEB31303.1</t>
  </si>
  <si>
    <t>LK401_07585</t>
  </si>
  <si>
    <t>fumarate/nitrate reduction transcriptional regulator Fnr</t>
  </si>
  <si>
    <t>fnr</t>
  </si>
  <si>
    <t>UEB31304.1</t>
  </si>
  <si>
    <t>LK401_07590</t>
  </si>
  <si>
    <t>LK401_07595</t>
  </si>
  <si>
    <t>tyrosine-type recombinase/integrase</t>
  </si>
  <si>
    <t>UEB32563.1</t>
  </si>
  <si>
    <t>LK401_07600</t>
  </si>
  <si>
    <t>phage antirepressor Ant</t>
  </si>
  <si>
    <t>UEB31305.1</t>
  </si>
  <si>
    <t>LK401_07605</t>
  </si>
  <si>
    <t>UEB31306.1</t>
  </si>
  <si>
    <t>LK401_07610</t>
  </si>
  <si>
    <t>UEB31307.1</t>
  </si>
  <si>
    <t>LK401_07615</t>
  </si>
  <si>
    <t>UEB31308.1</t>
  </si>
  <si>
    <t>LK401_07620</t>
  </si>
  <si>
    <t>UEB31309.1</t>
  </si>
  <si>
    <t>LK401_07625</t>
  </si>
  <si>
    <t>UEB31310.1</t>
  </si>
  <si>
    <t>LK401_07630</t>
  </si>
  <si>
    <t>UEB31311.1</t>
  </si>
  <si>
    <t>LK401_07635</t>
  </si>
  <si>
    <t>STAS-like domain-containing protein</t>
  </si>
  <si>
    <t>UEB31312.1</t>
  </si>
  <si>
    <t>LK401_07640</t>
  </si>
  <si>
    <t>UEB31313.1</t>
  </si>
  <si>
    <t>LK401_07645</t>
  </si>
  <si>
    <t>UEB31314.1</t>
  </si>
  <si>
    <t>LK401_07650</t>
  </si>
  <si>
    <t>UEB31315.1</t>
  </si>
  <si>
    <t>LK401_07655</t>
  </si>
  <si>
    <t>UEB31316.1</t>
  </si>
  <si>
    <t>LK401_07660</t>
  </si>
  <si>
    <t>phage antirepressor KilAC domain-containing protein</t>
  </si>
  <si>
    <t>UEB31317.1</t>
  </si>
  <si>
    <t>LK401_07665</t>
  </si>
  <si>
    <t>UEB31318.1</t>
  </si>
  <si>
    <t>LK401_07670</t>
  </si>
  <si>
    <t>UEB31319.1</t>
  </si>
  <si>
    <t>LK401_07675</t>
  </si>
  <si>
    <t>UEB31320.1</t>
  </si>
  <si>
    <t>LK401_07680</t>
  </si>
  <si>
    <t>UEB31321.1</t>
  </si>
  <si>
    <t>LK401_07685</t>
  </si>
  <si>
    <t>LK401_07690</t>
  </si>
  <si>
    <t>UEB31322.1</t>
  </si>
  <si>
    <t>LK401_07695</t>
  </si>
  <si>
    <t>UEB31323.1</t>
  </si>
  <si>
    <t>LK401_07700</t>
  </si>
  <si>
    <t>P63C domain-containing protein</t>
  </si>
  <si>
    <t>UEB31324.1</t>
  </si>
  <si>
    <t>LK401_07705</t>
  </si>
  <si>
    <t>Bro-N domain-containing protein</t>
  </si>
  <si>
    <t>UEB31325.1</t>
  </si>
  <si>
    <t>LK401_07710</t>
  </si>
  <si>
    <t>UEB31326.1</t>
  </si>
  <si>
    <t>LK401_07715</t>
  </si>
  <si>
    <t>phage holin, lambda family</t>
  </si>
  <si>
    <t>UEB31327.1</t>
  </si>
  <si>
    <t>LK401_07720</t>
  </si>
  <si>
    <t>glycoside hydrolase family 19 protein</t>
  </si>
  <si>
    <t>UEB31328.1</t>
  </si>
  <si>
    <t>LK401_07725</t>
  </si>
  <si>
    <t>UEB31329.1</t>
  </si>
  <si>
    <t>LK401_07730</t>
  </si>
  <si>
    <t>UEB31330.1</t>
  </si>
  <si>
    <t>LK401_07735</t>
  </si>
  <si>
    <t>UEB31331.1</t>
  </si>
  <si>
    <t>LK401_07740</t>
  </si>
  <si>
    <t>terminase small subunit</t>
  </si>
  <si>
    <t>UEB31332.1</t>
  </si>
  <si>
    <t>LK401_07745</t>
  </si>
  <si>
    <t>PBSX family phage terminase large subunit</t>
  </si>
  <si>
    <t>UEB31333.1</t>
  </si>
  <si>
    <t>LK401_07750</t>
  </si>
  <si>
    <t>DUF1073 domain-containing protein</t>
  </si>
  <si>
    <t>UEB31334.1</t>
  </si>
  <si>
    <t>LK401_07755</t>
  </si>
  <si>
    <t>UEB31335.1</t>
  </si>
  <si>
    <t>LK401_07760</t>
  </si>
  <si>
    <t>DUF2213 domain-containing protein</t>
  </si>
  <si>
    <t>UEB31336.1</t>
  </si>
  <si>
    <t>LK401_07765</t>
  </si>
  <si>
    <t>quinone-dependent dihydroorotate dehydrogenase</t>
  </si>
  <si>
    <t>pyrD</t>
  </si>
  <si>
    <t>UEB31337.1</t>
  </si>
  <si>
    <t>LK401_07770</t>
  </si>
  <si>
    <t>PHP domain-containing protein</t>
  </si>
  <si>
    <t>UEB31338.1</t>
  </si>
  <si>
    <t>LK401_07775</t>
  </si>
  <si>
    <t>chalcone isomerase family protein</t>
  </si>
  <si>
    <t>UEB31339.1</t>
  </si>
  <si>
    <t>LK401_07780</t>
  </si>
  <si>
    <t>class II fumarate hydratase</t>
  </si>
  <si>
    <t>fumC</t>
  </si>
  <si>
    <t>UEB31340.1</t>
  </si>
  <si>
    <t>LK401_07785</t>
  </si>
  <si>
    <t>UEB31341.1</t>
  </si>
  <si>
    <t>LK401_07790</t>
  </si>
  <si>
    <t>LK401_07795</t>
  </si>
  <si>
    <t>DNA polymerase III subunit chi</t>
  </si>
  <si>
    <t>UEB31342.1</t>
  </si>
  <si>
    <t>LK401_07800</t>
  </si>
  <si>
    <t>UEB31343.1</t>
  </si>
  <si>
    <t>LK401_07805</t>
  </si>
  <si>
    <t>UEB31344.1</t>
  </si>
  <si>
    <t>LK401_07810</t>
  </si>
  <si>
    <t>UEB31345.1</t>
  </si>
  <si>
    <t>LK401_07815</t>
  </si>
  <si>
    <t>DNA (cytosine-5-)-methyltransferase</t>
  </si>
  <si>
    <t>dcm</t>
  </si>
  <si>
    <t>UEB31346.1</t>
  </si>
  <si>
    <t>LK401_07820</t>
  </si>
  <si>
    <t>type II restriction endonuclease</t>
  </si>
  <si>
    <t>UEB31347.1</t>
  </si>
  <si>
    <t>LK401_07825</t>
  </si>
  <si>
    <t>valine--tRNA ligase</t>
  </si>
  <si>
    <t>valS</t>
  </si>
  <si>
    <t>UEB31348.1</t>
  </si>
  <si>
    <t>LK401_07830</t>
  </si>
  <si>
    <t>hybG</t>
  </si>
  <si>
    <t>LK401_07835</t>
  </si>
  <si>
    <t>bifunctional indole-3-glycerol-phosphate synthase TrpC/phosphoribosylanthranilate isomerase TrpF</t>
  </si>
  <si>
    <t>trpCF</t>
  </si>
  <si>
    <t>UEB32564.1</t>
  </si>
  <si>
    <t>LK401_07840</t>
  </si>
  <si>
    <t>anthranilate phosphoribosyltransferase</t>
  </si>
  <si>
    <t>trpD</t>
  </si>
  <si>
    <t>UEB31349.1</t>
  </si>
  <si>
    <t>LK401_07845</t>
  </si>
  <si>
    <t>tautomerase family protein</t>
  </si>
  <si>
    <t>UEB31350.1</t>
  </si>
  <si>
    <t>LK401_07850</t>
  </si>
  <si>
    <t>aminodeoxychorismate/anthranilate synthase component II</t>
  </si>
  <si>
    <t>UEB31351.1</t>
  </si>
  <si>
    <t>LK401_07855</t>
  </si>
  <si>
    <t>anthranilate synthase component I</t>
  </si>
  <si>
    <t>trpE</t>
  </si>
  <si>
    <t>UEB31352.1</t>
  </si>
  <si>
    <t>LK401_07860</t>
  </si>
  <si>
    <t>glycosyltransferase</t>
  </si>
  <si>
    <t>UEB31353.1</t>
  </si>
  <si>
    <t>LK401_07865</t>
  </si>
  <si>
    <t>LK401_07870</t>
  </si>
  <si>
    <t>LK401_07875</t>
  </si>
  <si>
    <t>non-heme ferritin</t>
  </si>
  <si>
    <t>ftnA</t>
  </si>
  <si>
    <t>UEB31354.1</t>
  </si>
  <si>
    <t>LK401_07880</t>
  </si>
  <si>
    <t>UEB32565.1</t>
  </si>
  <si>
    <t>LK401_07885</t>
  </si>
  <si>
    <t>phosphate ABC transporter substrate-binding protein PstS</t>
  </si>
  <si>
    <t>pstS</t>
  </si>
  <si>
    <t>UEB32566.1</t>
  </si>
  <si>
    <t>LK401_07890</t>
  </si>
  <si>
    <t>phosphate ABC transporter permease subunit PstC</t>
  </si>
  <si>
    <t>pstC</t>
  </si>
  <si>
    <t>UEB31355.1</t>
  </si>
  <si>
    <t>LK401_07895</t>
  </si>
  <si>
    <t>phosphate ABC transporter permease PstA</t>
  </si>
  <si>
    <t>pstA</t>
  </si>
  <si>
    <t>UEB31356.1</t>
  </si>
  <si>
    <t>LK401_07900</t>
  </si>
  <si>
    <t>phosphate ABC transporter ATP-binding protein PstB</t>
  </si>
  <si>
    <t>pstB</t>
  </si>
  <si>
    <t>UEB31357.1</t>
  </si>
  <si>
    <t>LK401_07905</t>
  </si>
  <si>
    <t>phosphate regulon transcriptional regulator PhoB</t>
  </si>
  <si>
    <t>phoB</t>
  </si>
  <si>
    <t>UEB31358.1</t>
  </si>
  <si>
    <t>LK401_07910</t>
  </si>
  <si>
    <t>phosphate regulon sensor histidine kinase PhoR</t>
  </si>
  <si>
    <t>phoR</t>
  </si>
  <si>
    <t>UEB31359.1</t>
  </si>
  <si>
    <t>LK401_07915</t>
  </si>
  <si>
    <t>exodeoxyribonuclease I</t>
  </si>
  <si>
    <t>sbcB</t>
  </si>
  <si>
    <t>UEB31360.1</t>
  </si>
  <si>
    <t>LK401_07920</t>
  </si>
  <si>
    <t>EamA/RhaT family transporter</t>
  </si>
  <si>
    <t>UEB31361.1</t>
  </si>
  <si>
    <t>LK401_07925</t>
  </si>
  <si>
    <t>DUF5655 domain-containing protein</t>
  </si>
  <si>
    <t>UEB31362.1</t>
  </si>
  <si>
    <t>LK401_07930</t>
  </si>
  <si>
    <t>chromosome partition protein MukB</t>
  </si>
  <si>
    <t>mukB</t>
  </si>
  <si>
    <t>UEB31363.1</t>
  </si>
  <si>
    <t>LK401_07935</t>
  </si>
  <si>
    <t>chromosome partition protein MukE</t>
  </si>
  <si>
    <t>mukE</t>
  </si>
  <si>
    <t>UEB31364.1</t>
  </si>
  <si>
    <t>LK401_07940</t>
  </si>
  <si>
    <t>HaeII family restriction endonuclease</t>
  </si>
  <si>
    <t>UEB31365.1</t>
  </si>
  <si>
    <t>LK401_07945</t>
  </si>
  <si>
    <t>UEB31366.1</t>
  </si>
  <si>
    <t>LK401_07950</t>
  </si>
  <si>
    <t>chromosome partition protein MukF</t>
  </si>
  <si>
    <t>mukF</t>
  </si>
  <si>
    <t>UEB31367.1</t>
  </si>
  <si>
    <t>LK401_07955</t>
  </si>
  <si>
    <t>tRNA 2-thiocytidine(32) synthetase TtcA</t>
  </si>
  <si>
    <t>ttcA</t>
  </si>
  <si>
    <t>UEB31368.1</t>
  </si>
  <si>
    <t>LK401_07960</t>
  </si>
  <si>
    <t>TusE/DsrC/DsvC family sulfur relay protein</t>
  </si>
  <si>
    <t>UEB31369.1</t>
  </si>
  <si>
    <t>LK401_07965</t>
  </si>
  <si>
    <t>TOBE domain-containing protein</t>
  </si>
  <si>
    <t>UEB31370.1</t>
  </si>
  <si>
    <t>LK401_07970</t>
  </si>
  <si>
    <t>TonB-dependent receptor plug domain-containing protein</t>
  </si>
  <si>
    <t>UEB31371.1</t>
  </si>
  <si>
    <t>LK401_07975</t>
  </si>
  <si>
    <t>insulinase family protein</t>
  </si>
  <si>
    <t>UEB31372.1</t>
  </si>
  <si>
    <t>LK401_07980</t>
  </si>
  <si>
    <t>threonine--tRNA ligase</t>
  </si>
  <si>
    <t>thrS</t>
  </si>
  <si>
    <t>UEB31373.1</t>
  </si>
  <si>
    <t>LK401_07985</t>
  </si>
  <si>
    <t>FMN-dependent NADH-azoreductase</t>
  </si>
  <si>
    <t>UEB31374.1</t>
  </si>
  <si>
    <t>LK401_07990</t>
  </si>
  <si>
    <t>type I DNA topoisomerase</t>
  </si>
  <si>
    <t>topA</t>
  </si>
  <si>
    <t>UEB31375.1</t>
  </si>
  <si>
    <t>LK401_07995</t>
  </si>
  <si>
    <t>UEB31376.1</t>
  </si>
  <si>
    <t>LK401_08000</t>
  </si>
  <si>
    <t>Re/Si-specific NAD(P)(|) transhydrogenase subunit beta</t>
  </si>
  <si>
    <t>pntB</t>
  </si>
  <si>
    <t>UEB31377.1</t>
  </si>
  <si>
    <t>LK401_08005</t>
  </si>
  <si>
    <t>Re/Si-specific NAD(P)(|) transhydrogenase subunit alpha</t>
  </si>
  <si>
    <t>pntA</t>
  </si>
  <si>
    <t>UEB31378.1</t>
  </si>
  <si>
    <t>LK401_08010</t>
  </si>
  <si>
    <t>glycogen/starch/alpha-glucan phosphorylase</t>
  </si>
  <si>
    <t>UEB31379.1</t>
  </si>
  <si>
    <t>LK401_08015</t>
  </si>
  <si>
    <t>glycogen synthase GlgA</t>
  </si>
  <si>
    <t>glgA</t>
  </si>
  <si>
    <t>UEB31380.1</t>
  </si>
  <si>
    <t>LK401_08020</t>
  </si>
  <si>
    <t>glucose-1-phosphate adenylyltransferase</t>
  </si>
  <si>
    <t>glgC</t>
  </si>
  <si>
    <t>UEB31381.1</t>
  </si>
  <si>
    <t>LK401_08025</t>
  </si>
  <si>
    <t>glycogen debranching protein GlgX</t>
  </si>
  <si>
    <t>glgX</t>
  </si>
  <si>
    <t>UEB31382.1</t>
  </si>
  <si>
    <t>LK401_08030</t>
  </si>
  <si>
    <t>1,4-alpha-glucan branching protein GlgB</t>
  </si>
  <si>
    <t>glgB</t>
  </si>
  <si>
    <t>UEB31383.1</t>
  </si>
  <si>
    <t>LK401_08035</t>
  </si>
  <si>
    <t>4-alpha-glucanotransferase</t>
  </si>
  <si>
    <t>malQ</t>
  </si>
  <si>
    <t>UEB31384.1</t>
  </si>
  <si>
    <t>LK401_08040</t>
  </si>
  <si>
    <t>YcgN family cysteine cluster protein</t>
  </si>
  <si>
    <t>UEB31385.1</t>
  </si>
  <si>
    <t>LK401_08045</t>
  </si>
  <si>
    <t>glutamine--tRNA ligase</t>
  </si>
  <si>
    <t>glnS</t>
  </si>
  <si>
    <t>UEB31386.1</t>
  </si>
  <si>
    <t>LK401_08050</t>
  </si>
  <si>
    <t>ribonuclease G</t>
  </si>
  <si>
    <t>rng</t>
  </si>
  <si>
    <t>UEB31387.1</t>
  </si>
  <si>
    <t>LK401_08055</t>
  </si>
  <si>
    <t>sodium/proline symporter PutP</t>
  </si>
  <si>
    <t>putP</t>
  </si>
  <si>
    <t>UEB31388.1</t>
  </si>
  <si>
    <t>LK401_08060</t>
  </si>
  <si>
    <t>tRNA 5-methoxyuridine(34)/uridine 5-oxyacetic acid(34) synthase CmoB</t>
  </si>
  <si>
    <t>cmoB</t>
  </si>
  <si>
    <t>UEB31389.1</t>
  </si>
  <si>
    <t>LK401_08065</t>
  </si>
  <si>
    <t>cytidine deaminase</t>
  </si>
  <si>
    <t>cdd</t>
  </si>
  <si>
    <t>UEB31390.1</t>
  </si>
  <si>
    <t>LK401_08070</t>
  </si>
  <si>
    <t>DNA starvation/stationary phase protection protein</t>
  </si>
  <si>
    <t>UEB31391.1</t>
  </si>
  <si>
    <t>LK401_08075</t>
  </si>
  <si>
    <t>peptidase T</t>
  </si>
  <si>
    <t>pepT</t>
  </si>
  <si>
    <t>UEB31392.1</t>
  </si>
  <si>
    <t>LK401_08080</t>
  </si>
  <si>
    <t>spermidine/putrescine ABC transporter ATP-binding protein PotA</t>
  </si>
  <si>
    <t>potA</t>
  </si>
  <si>
    <t>UEB31393.1</t>
  </si>
  <si>
    <t>LK401_08085</t>
  </si>
  <si>
    <t>spermidine/putrescine ABC transporter permease PotB</t>
  </si>
  <si>
    <t>potB</t>
  </si>
  <si>
    <t>UEB31394.1</t>
  </si>
  <si>
    <t>LK401_08090</t>
  </si>
  <si>
    <t>spermidine/putrescine ABC transporter permease PotC</t>
  </si>
  <si>
    <t>potC</t>
  </si>
  <si>
    <t>UEB31395.1</t>
  </si>
  <si>
    <t>LK401_08095</t>
  </si>
  <si>
    <t>UEB31396.1</t>
  </si>
  <si>
    <t>LK401_08100</t>
  </si>
  <si>
    <t>UEB31397.1</t>
  </si>
  <si>
    <t>LK401_08105</t>
  </si>
  <si>
    <t>deoxyguanosinetriphosphate triphosphohydrolase family protein</t>
  </si>
  <si>
    <t>UEB32567.1</t>
  </si>
  <si>
    <t>LK401_08110</t>
  </si>
  <si>
    <t>CidB/LrgB family autolysis modulator</t>
  </si>
  <si>
    <t>UEB31398.1</t>
  </si>
  <si>
    <t>LK401_08115</t>
  </si>
  <si>
    <t>CidA/LrgA family protein</t>
  </si>
  <si>
    <t>UEB31399.1</t>
  </si>
  <si>
    <t>LK401_08120</t>
  </si>
  <si>
    <t>thermonuclease family protein</t>
  </si>
  <si>
    <t>UEB31400.1</t>
  </si>
  <si>
    <t>LK401_08125</t>
  </si>
  <si>
    <t>cysteine desulfurase</t>
  </si>
  <si>
    <t>UEB31401.1</t>
  </si>
  <si>
    <t>LK401_08130</t>
  </si>
  <si>
    <t>SufE family protein</t>
  </si>
  <si>
    <t>UEB31402.1</t>
  </si>
  <si>
    <t>LK401_08135</t>
  </si>
  <si>
    <t>Zn-ribbon-containing protein</t>
  </si>
  <si>
    <t>UEB31403.1</t>
  </si>
  <si>
    <t>LK401_08140</t>
  </si>
  <si>
    <t>NADPH-dependent 7-cyano-7-deazaguanine reductase QueF</t>
  </si>
  <si>
    <t>queF</t>
  </si>
  <si>
    <t>UEB31404.1</t>
  </si>
  <si>
    <t>LK401_08145</t>
  </si>
  <si>
    <t>bifunctional chorismate mutase/prephenate dehydrogenase</t>
  </si>
  <si>
    <t>tyrA</t>
  </si>
  <si>
    <t>UEB31405.1</t>
  </si>
  <si>
    <t>LK401_08150</t>
  </si>
  <si>
    <t>tRNA pseudouridine(55) synthase TruB</t>
  </si>
  <si>
    <t>truB</t>
  </si>
  <si>
    <t>UEB31406.1</t>
  </si>
  <si>
    <t>LK401_08155</t>
  </si>
  <si>
    <t>30S ribosome-binding factor RbfA</t>
  </si>
  <si>
    <t>rbfA</t>
  </si>
  <si>
    <t>UEB31407.1</t>
  </si>
  <si>
    <t>LK401_08160</t>
  </si>
  <si>
    <t>UEB31408.1</t>
  </si>
  <si>
    <t>LK401_08165</t>
  </si>
  <si>
    <t>UEB31409.1</t>
  </si>
  <si>
    <t>LK401_08170</t>
  </si>
  <si>
    <t>SIR2 family protein</t>
  </si>
  <si>
    <t>UEB31410.1</t>
  </si>
  <si>
    <t>LK401_08175</t>
  </si>
  <si>
    <t>UEB32568.1</t>
  </si>
  <si>
    <t>LK401_08180</t>
  </si>
  <si>
    <t>translation initiation factor IF-2</t>
  </si>
  <si>
    <t>infB</t>
  </si>
  <si>
    <t>UEB31411.1</t>
  </si>
  <si>
    <t>LK401_08185</t>
  </si>
  <si>
    <t>transcription termination factor NusA</t>
  </si>
  <si>
    <t>nusA</t>
  </si>
  <si>
    <t>UEB31412.1</t>
  </si>
  <si>
    <t>LK401_08190</t>
  </si>
  <si>
    <t>ribosome maturation factor RimP</t>
  </si>
  <si>
    <t>rimP</t>
  </si>
  <si>
    <t>UEB31413.1</t>
  </si>
  <si>
    <t>LK401_08195</t>
  </si>
  <si>
    <t>LK401_08200</t>
  </si>
  <si>
    <t>transfer-messenger RNA</t>
  </si>
  <si>
    <t>ssrA</t>
  </si>
  <si>
    <t>LK401_08205</t>
  </si>
  <si>
    <t>UEB31414.1</t>
  </si>
  <si>
    <t>LK401_08210</t>
  </si>
  <si>
    <t>UEB31415.1</t>
  </si>
  <si>
    <t>LK401_08215</t>
  </si>
  <si>
    <t>UEB31416.1</t>
  </si>
  <si>
    <t>LK401_08220</t>
  </si>
  <si>
    <t>UEB31417.1</t>
  </si>
  <si>
    <t>LK401_08225</t>
  </si>
  <si>
    <t>UEB31418.1</t>
  </si>
  <si>
    <t>LK401_08230</t>
  </si>
  <si>
    <t>UEB31419.1</t>
  </si>
  <si>
    <t>LK401_08235</t>
  </si>
  <si>
    <t>UEB31420.1</t>
  </si>
  <si>
    <t>LK401_08240</t>
  </si>
  <si>
    <t>UEB31421.1</t>
  </si>
  <si>
    <t>LK401_08245</t>
  </si>
  <si>
    <t>phage tail protein I</t>
  </si>
  <si>
    <t>UEB32569.1</t>
  </si>
  <si>
    <t>LK401_08250</t>
  </si>
  <si>
    <t>UEB31422.1</t>
  </si>
  <si>
    <t>LK401_08255</t>
  </si>
  <si>
    <t>GPW/gp25 family protein</t>
  </si>
  <si>
    <t>UEB31423.1</t>
  </si>
  <si>
    <t>LK401_08260</t>
  </si>
  <si>
    <t>UEB31424.1</t>
  </si>
  <si>
    <t>LK401_08265</t>
  </si>
  <si>
    <t>UEB31425.1</t>
  </si>
  <si>
    <t>LK401_08270</t>
  </si>
  <si>
    <t>UEB31426.1</t>
  </si>
  <si>
    <t>LK401_08275</t>
  </si>
  <si>
    <t>UEB31427.1</t>
  </si>
  <si>
    <t>LK401_08280</t>
  </si>
  <si>
    <t>UEB31428.1</t>
  </si>
  <si>
    <t>LK401_08285</t>
  </si>
  <si>
    <t>UEB32570.1</t>
  </si>
  <si>
    <t>LK401_08290</t>
  </si>
  <si>
    <t>UEB31429.1</t>
  </si>
  <si>
    <t>LK401_08295</t>
  </si>
  <si>
    <t>UEB31430.1</t>
  </si>
  <si>
    <t>LK401_08300</t>
  </si>
  <si>
    <t>UEB31431.1</t>
  </si>
  <si>
    <t>LK401_08305</t>
  </si>
  <si>
    <t>UEB31432.1</t>
  </si>
  <si>
    <t>LK401_08310</t>
  </si>
  <si>
    <t>UEB31433.1</t>
  </si>
  <si>
    <t>LK401_08315</t>
  </si>
  <si>
    <t>UEB31434.1</t>
  </si>
  <si>
    <t>LK401_08320</t>
  </si>
  <si>
    <t>UEB31435.1</t>
  </si>
  <si>
    <t>LK401_08325</t>
  </si>
  <si>
    <t>UEB31436.1</t>
  </si>
  <si>
    <t>LK401_08330</t>
  </si>
  <si>
    <t>UEB31437.1</t>
  </si>
  <si>
    <t>LK401_08335</t>
  </si>
  <si>
    <t>TraR/DksA family transcriptional regulator</t>
  </si>
  <si>
    <t>UEB31438.1</t>
  </si>
  <si>
    <t>LK401_08340</t>
  </si>
  <si>
    <t>Rz1-like lysis system protein LysC</t>
  </si>
  <si>
    <t>lysC</t>
  </si>
  <si>
    <t>UEB31439.1</t>
  </si>
  <si>
    <t>LK401_08345</t>
  </si>
  <si>
    <t>chemotaxis protein</t>
  </si>
  <si>
    <t>UEB31440.1</t>
  </si>
  <si>
    <t>LK401_08350</t>
  </si>
  <si>
    <t>UEB31441.1</t>
  </si>
  <si>
    <t>LK401_08355</t>
  </si>
  <si>
    <t>phage holin family protein</t>
  </si>
  <si>
    <t>UEB32571.1</t>
  </si>
  <si>
    <t>LK401_08360</t>
  </si>
  <si>
    <t>tail protein X</t>
  </si>
  <si>
    <t>UEB31442.1</t>
  </si>
  <si>
    <t>LK401_08365</t>
  </si>
  <si>
    <t>head completion/stabilization protein</t>
  </si>
  <si>
    <t>UEB31443.1</t>
  </si>
  <si>
    <t>LK401_08370</t>
  </si>
  <si>
    <t>terminase</t>
  </si>
  <si>
    <t>UEB31444.1</t>
  </si>
  <si>
    <t>LK401_08375</t>
  </si>
  <si>
    <t>phage major capsid protein, P2 family</t>
  </si>
  <si>
    <t>UEB31445.1</t>
  </si>
  <si>
    <t>LK401_08380</t>
  </si>
  <si>
    <t>GPO family capsid scaffolding protein</t>
  </si>
  <si>
    <t>UEB31446.1</t>
  </si>
  <si>
    <t>LK401_08385</t>
  </si>
  <si>
    <t>terminase family protein</t>
  </si>
  <si>
    <t>UEB31447.1</t>
  </si>
  <si>
    <t>LK401_08390</t>
  </si>
  <si>
    <t>UEB31448.1</t>
  </si>
  <si>
    <t>LK401_08395</t>
  </si>
  <si>
    <t>UEB32578.1</t>
  </si>
  <si>
    <t>LK401_08400</t>
  </si>
  <si>
    <t>acylneuraminate cytidylyltransferase</t>
  </si>
  <si>
    <t>UEB31449.1</t>
  </si>
  <si>
    <t>LK401_08405</t>
  </si>
  <si>
    <t>UEB31450.1</t>
  </si>
  <si>
    <t>LK401_08410</t>
  </si>
  <si>
    <t>iron-sulfur cluster carrier protein ApbC</t>
  </si>
  <si>
    <t>apbC</t>
  </si>
  <si>
    <t>UEB31451.1</t>
  </si>
  <si>
    <t>LK401_08415</t>
  </si>
  <si>
    <t>methionine--tRNA ligase</t>
  </si>
  <si>
    <t>metG</t>
  </si>
  <si>
    <t>UEB31452.1</t>
  </si>
  <si>
    <t>LK401_08420</t>
  </si>
  <si>
    <t>SAM-dependent methyltransferase TehB</t>
  </si>
  <si>
    <t>tehB</t>
  </si>
  <si>
    <t>UEB31453.1</t>
  </si>
  <si>
    <t>LK401_08425</t>
  </si>
  <si>
    <t>hydroxyacylglutathione hydrolase</t>
  </si>
  <si>
    <t>gloB</t>
  </si>
  <si>
    <t>UEB31454.1</t>
  </si>
  <si>
    <t>LK401_08430</t>
  </si>
  <si>
    <t>UEB31455.1</t>
  </si>
  <si>
    <t>LK401_08435</t>
  </si>
  <si>
    <t>UEB31456.1</t>
  </si>
  <si>
    <t>LK401_08440</t>
  </si>
  <si>
    <t>30S ribosomal protein S12 methylthiotransferase accessory protein YcaO</t>
  </si>
  <si>
    <t>UEB31457.1</t>
  </si>
  <si>
    <t>LK401_08445</t>
  </si>
  <si>
    <t>DNA topoisomerase (ATP-hydrolyzing) subunit A</t>
  </si>
  <si>
    <t>gyrA</t>
  </si>
  <si>
    <t>UEB31458.1</t>
  </si>
  <si>
    <t>LK401_08450</t>
  </si>
  <si>
    <t>homoserine O-acetyltransferase</t>
  </si>
  <si>
    <t>UEB31459.1</t>
  </si>
  <si>
    <t>LK401_08455</t>
  </si>
  <si>
    <t>vancomycin high temperature exclusion protein</t>
  </si>
  <si>
    <t>UEB32572.1</t>
  </si>
  <si>
    <t>LK401_08460</t>
  </si>
  <si>
    <t>bifunctional tetrahydrofolate synthase/dihydrofolate synthase</t>
  </si>
  <si>
    <t>folC</t>
  </si>
  <si>
    <t>UEB31460.1</t>
  </si>
  <si>
    <t>LK401_08465</t>
  </si>
  <si>
    <t>acetyl-CoA carboxylase, carboxyltransferase subunit beta</t>
  </si>
  <si>
    <t>accD</t>
  </si>
  <si>
    <t>UEB31461.1</t>
  </si>
  <si>
    <t>LK401_08470</t>
  </si>
  <si>
    <t>DegQ family serine endoprotease</t>
  </si>
  <si>
    <t>UEB31462.1</t>
  </si>
  <si>
    <t>LK401_08475</t>
  </si>
  <si>
    <t>transcription-repair coupling factor</t>
  </si>
  <si>
    <t>mfd</t>
  </si>
  <si>
    <t>UEB31463.1</t>
  </si>
  <si>
    <t>LK401_08480</t>
  </si>
  <si>
    <t>DUF5363 domain-containing protein</t>
  </si>
  <si>
    <t>UEB31464.1</t>
  </si>
  <si>
    <t>LK401_08485</t>
  </si>
  <si>
    <t>UEB31465.1</t>
  </si>
  <si>
    <t>LK401_08490</t>
  </si>
  <si>
    <t>SirB2 family protein</t>
  </si>
  <si>
    <t>UEB31466.1</t>
  </si>
  <si>
    <t>LK401_08495</t>
  </si>
  <si>
    <t>energy-dependent translational throttle protein EttA</t>
  </si>
  <si>
    <t>ettA</t>
  </si>
  <si>
    <t>UEB31467.1</t>
  </si>
  <si>
    <t>LK401_08500</t>
  </si>
  <si>
    <t>HigA family addiction module antitoxin</t>
  </si>
  <si>
    <t>UEB31468.1</t>
  </si>
  <si>
    <t>LK401_08505</t>
  </si>
  <si>
    <t>UEB31469.1</t>
  </si>
  <si>
    <t>LK401_08510</t>
  </si>
  <si>
    <t>zinc transporter binding subunit ZevA</t>
  </si>
  <si>
    <t>zevA</t>
  </si>
  <si>
    <t>UEB31470.1</t>
  </si>
  <si>
    <t>LK401_08515</t>
  </si>
  <si>
    <t>zinc transporter permease subunit ZevB</t>
  </si>
  <si>
    <t>zevB</t>
  </si>
  <si>
    <t>UEB31471.1</t>
  </si>
  <si>
    <t>LK401_08520</t>
  </si>
  <si>
    <t>LK401_08525</t>
  </si>
  <si>
    <t>excinuclease ABC subunit B</t>
  </si>
  <si>
    <t>uvrB</t>
  </si>
  <si>
    <t>UEB31472.1</t>
  </si>
  <si>
    <t>LK401_08530</t>
  </si>
  <si>
    <t>LTA synthase family protein</t>
  </si>
  <si>
    <t>UEB31473.1</t>
  </si>
  <si>
    <t>LK401_08535</t>
  </si>
  <si>
    <t>NADP-dependent malic enzyme</t>
  </si>
  <si>
    <t>UEB31474.1</t>
  </si>
  <si>
    <t>LK401_08540</t>
  </si>
  <si>
    <t>DUF1919 domain-containing protein</t>
  </si>
  <si>
    <t>UEB31475.1</t>
  </si>
  <si>
    <t>LK401_08545</t>
  </si>
  <si>
    <t>16S rRNA pseudouridine(516) synthase RsuA</t>
  </si>
  <si>
    <t>rsuA</t>
  </si>
  <si>
    <t>UEB31476.1</t>
  </si>
  <si>
    <t>LK401_08550</t>
  </si>
  <si>
    <t>Bcr/CflA family multidrug efflux MFS transporter</t>
  </si>
  <si>
    <t>UEB31477.1</t>
  </si>
  <si>
    <t>LK401_08555</t>
  </si>
  <si>
    <t>UEB31478.1</t>
  </si>
  <si>
    <t>LK401_08560</t>
  </si>
  <si>
    <t>trimeric intracellular cation channel family protein</t>
  </si>
  <si>
    <t>UEB31479.1</t>
  </si>
  <si>
    <t>LK401_08565</t>
  </si>
  <si>
    <t>glutamate-5-semialdehyde dehydrogenase</t>
  </si>
  <si>
    <t>proA</t>
  </si>
  <si>
    <t>UEB31480.1</t>
  </si>
  <si>
    <t>LK401_08570</t>
  </si>
  <si>
    <t>molecular chaperone DnaJ</t>
  </si>
  <si>
    <t>dnaJ</t>
  </si>
  <si>
    <t>UEB31481.1</t>
  </si>
  <si>
    <t>LK401_08575</t>
  </si>
  <si>
    <t>molecular chaperone DnaK</t>
  </si>
  <si>
    <t>dnaK</t>
  </si>
  <si>
    <t>UEB31482.1</t>
  </si>
  <si>
    <t>LK401_08580</t>
  </si>
  <si>
    <t>YdgA family protein</t>
  </si>
  <si>
    <t>UEB31483.1</t>
  </si>
  <si>
    <t>LK401_08585</t>
  </si>
  <si>
    <t>methylglyoxal synthase</t>
  </si>
  <si>
    <t>mgsA</t>
  </si>
  <si>
    <t>UEB31484.1</t>
  </si>
  <si>
    <t>LK401_08590</t>
  </si>
  <si>
    <t>pyruvate dehydrogenase (acetyl-transferring), homodimeric type</t>
  </si>
  <si>
    <t>aceE</t>
  </si>
  <si>
    <t>UEB31485.1</t>
  </si>
  <si>
    <t>LK401_08595</t>
  </si>
  <si>
    <t>pyruvate dehydrogenase complex dihydrolipoyllysine-residue acetyltransferase</t>
  </si>
  <si>
    <t>aceF</t>
  </si>
  <si>
    <t>UEB31486.1</t>
  </si>
  <si>
    <t>LK401_08600</t>
  </si>
  <si>
    <t>dihydrolipoyl dehydrogenase</t>
  </si>
  <si>
    <t>lpdA</t>
  </si>
  <si>
    <t>UEB31487.1</t>
  </si>
  <si>
    <t>LK401_08605</t>
  </si>
  <si>
    <t>adenine phosphoribosyltransferase</t>
  </si>
  <si>
    <t>apt</t>
  </si>
  <si>
    <t>UEB31488.1</t>
  </si>
  <si>
    <t>LK401_08610</t>
  </si>
  <si>
    <t>DNA polymerase III subunit gamma/tau</t>
  </si>
  <si>
    <t>dnaX</t>
  </si>
  <si>
    <t>UEB31489.1</t>
  </si>
  <si>
    <t>LK401_08615</t>
  </si>
  <si>
    <t>uracil phosphoribosyltransferase</t>
  </si>
  <si>
    <t>upp</t>
  </si>
  <si>
    <t>UEB31490.1</t>
  </si>
  <si>
    <t>LK401_08620</t>
  </si>
  <si>
    <t>NCS2 family protein</t>
  </si>
  <si>
    <t>UEB31491.1</t>
  </si>
  <si>
    <t>LK401_08625</t>
  </si>
  <si>
    <t>DnaA regulatory inactivator Hda</t>
  </si>
  <si>
    <t>hda</t>
  </si>
  <si>
    <t>UEB31492.1</t>
  </si>
  <si>
    <t>LK401_08630</t>
  </si>
  <si>
    <t>stress response translation initiation inhibitor YciH</t>
  </si>
  <si>
    <t>yciH</t>
  </si>
  <si>
    <t>UEB31493.1</t>
  </si>
  <si>
    <t>LK401_08635</t>
  </si>
  <si>
    <t>orotidine-5'-phosphate decarboxylase</t>
  </si>
  <si>
    <t>pyrF</t>
  </si>
  <si>
    <t>UEB31494.1</t>
  </si>
  <si>
    <t>LK401_08640</t>
  </si>
  <si>
    <t>lipopolysaccharide assembly protein LapB</t>
  </si>
  <si>
    <t>lapB</t>
  </si>
  <si>
    <t>UEB31495.1</t>
  </si>
  <si>
    <t>LK401_08645</t>
  </si>
  <si>
    <t>LapA family protein</t>
  </si>
  <si>
    <t>UEB31496.1</t>
  </si>
  <si>
    <t>LK401_08650</t>
  </si>
  <si>
    <t>integration host factor subunit beta</t>
  </si>
  <si>
    <t>UEB31497.1</t>
  </si>
  <si>
    <t>LK401_08655</t>
  </si>
  <si>
    <t>30S ribosomal protein S1</t>
  </si>
  <si>
    <t>rpsA</t>
  </si>
  <si>
    <t>UEB31498.1</t>
  </si>
  <si>
    <t>LK401_08660</t>
  </si>
  <si>
    <t>(d)CMP kinase</t>
  </si>
  <si>
    <t>cmk</t>
  </si>
  <si>
    <t>UEB31499.1</t>
  </si>
  <si>
    <t>LK401_08665</t>
  </si>
  <si>
    <t>pyridoxal 5'-phosphate synthase lyase subunit PdxS</t>
  </si>
  <si>
    <t>pdxS</t>
  </si>
  <si>
    <t>UEB31500.1</t>
  </si>
  <si>
    <t>LK401_08670</t>
  </si>
  <si>
    <t>pyridoxal 5'-phosphate synthase glutaminase subunit PdxT</t>
  </si>
  <si>
    <t>pdxT</t>
  </si>
  <si>
    <t>UEB31501.1</t>
  </si>
  <si>
    <t>LK401_08675</t>
  </si>
  <si>
    <t>D-lactate dehydrogenase</t>
  </si>
  <si>
    <t>dld</t>
  </si>
  <si>
    <t>UEB31502.1</t>
  </si>
  <si>
    <t>LK401_08680</t>
  </si>
  <si>
    <t>UEB32573.1</t>
  </si>
  <si>
    <t>LK401_08685</t>
  </si>
  <si>
    <t>LK401_08690</t>
  </si>
  <si>
    <t>LK401_08695</t>
  </si>
  <si>
    <t>endopeptidase</t>
  </si>
  <si>
    <t>UEB31503.1</t>
  </si>
  <si>
    <t>LK401_08700</t>
  </si>
  <si>
    <t>metalloprotease TldD</t>
  </si>
  <si>
    <t>tldD</t>
  </si>
  <si>
    <t>UEB31504.1</t>
  </si>
  <si>
    <t>LK401_08705</t>
  </si>
  <si>
    <t>16S rRNA (cytidine(1402)-2'-O)-methyltransferase</t>
  </si>
  <si>
    <t>rsmI</t>
  </si>
  <si>
    <t>UEB31505.1</t>
  </si>
  <si>
    <t>LK401_08710</t>
  </si>
  <si>
    <t>penicillin-binding protein activator</t>
  </si>
  <si>
    <t>UEB31506.1</t>
  </si>
  <si>
    <t>LK401_08715</t>
  </si>
  <si>
    <t>YraN family protein</t>
  </si>
  <si>
    <t>UEB31507.1</t>
  </si>
  <si>
    <t>LK401_08720</t>
  </si>
  <si>
    <t>SIS domain-containing protein</t>
  </si>
  <si>
    <t>UEB31508.1</t>
  </si>
  <si>
    <t>LK401_08725</t>
  </si>
  <si>
    <t>divisome-associated lipoprotein YraP</t>
  </si>
  <si>
    <t>yraP</t>
  </si>
  <si>
    <t>UEB31509.1</t>
  </si>
  <si>
    <t>LK401_08730</t>
  </si>
  <si>
    <t>ribonucleoside-diphosphate reductase subunit alpha</t>
  </si>
  <si>
    <t>nrdA</t>
  </si>
  <si>
    <t>UEB31510.1</t>
  </si>
  <si>
    <t>LK401_08735</t>
  </si>
  <si>
    <t>ribonucleotide-diphosphate reductase subunit beta</t>
  </si>
  <si>
    <t>nrdB</t>
  </si>
  <si>
    <t>UEB31511.1</t>
  </si>
  <si>
    <t>LK401_08740</t>
  </si>
  <si>
    <t>2-oxoglutarate dehydrogenase complex dihydrolipoyllysine-residue succinyltransferase</t>
  </si>
  <si>
    <t>odhB</t>
  </si>
  <si>
    <t>UEB31512.1</t>
  </si>
  <si>
    <t>LK401_08745</t>
  </si>
  <si>
    <t>2-oxoglutarate dehydrogenase E1 component</t>
  </si>
  <si>
    <t>sucA</t>
  </si>
  <si>
    <t>UEB31513.1</t>
  </si>
  <si>
    <t>LK401_08750</t>
  </si>
  <si>
    <t>MBL fold metallo-hydrolase</t>
  </si>
  <si>
    <t>UEB31514.1</t>
  </si>
  <si>
    <t>LK401_08755</t>
  </si>
  <si>
    <t>UEB31515.1</t>
  </si>
  <si>
    <t>LK401_08760</t>
  </si>
  <si>
    <t>YcbK family protein</t>
  </si>
  <si>
    <t>UEB31516.1</t>
  </si>
  <si>
    <t>LK401_08765</t>
  </si>
  <si>
    <t>L,D-transpeptidase family protein</t>
  </si>
  <si>
    <t>UEB31517.1</t>
  </si>
  <si>
    <t>LK401_08770</t>
  </si>
  <si>
    <t>carboxy terminal-processing peptidase</t>
  </si>
  <si>
    <t>prc</t>
  </si>
  <si>
    <t>UEB31518.1</t>
  </si>
  <si>
    <t>LK401_08775</t>
  </si>
  <si>
    <t>RNA chaperone ProQ</t>
  </si>
  <si>
    <t>proQ</t>
  </si>
  <si>
    <t>UEB31519.1</t>
  </si>
  <si>
    <t>LK401_08780</t>
  </si>
  <si>
    <t>paraquat-inducible protein A</t>
  </si>
  <si>
    <t>UEB31520.1</t>
  </si>
  <si>
    <t>LK401_08785</t>
  </si>
  <si>
    <t>MlaD family protein</t>
  </si>
  <si>
    <t>UEB31521.1</t>
  </si>
  <si>
    <t>LK401_08790</t>
  </si>
  <si>
    <t>molybdopterin synthase catalytic subunit MoaE</t>
  </si>
  <si>
    <t>moaE</t>
  </si>
  <si>
    <t>UEB31522.1</t>
  </si>
  <si>
    <t>LK401_08795</t>
  </si>
  <si>
    <t>molybdopterin synthase sulfur carrier subunit</t>
  </si>
  <si>
    <t>moaD</t>
  </si>
  <si>
    <t>UEB31523.1</t>
  </si>
  <si>
    <t>LK401_08800</t>
  </si>
  <si>
    <t>cyclic pyranopterin monophosphate synthase MoaC</t>
  </si>
  <si>
    <t>moaC</t>
  </si>
  <si>
    <t>UEB31524.1</t>
  </si>
  <si>
    <t>LK401_08805</t>
  </si>
  <si>
    <t>GTP 3',8-cyclase MoaA</t>
  </si>
  <si>
    <t>moaA</t>
  </si>
  <si>
    <t>UEB31525.1</t>
  </si>
  <si>
    <t>LK401_08810</t>
  </si>
  <si>
    <t>iron-sulfur cluster repair protein YtfE</t>
  </si>
  <si>
    <t>ytfE</t>
  </si>
  <si>
    <t>UEB31526.1</t>
  </si>
  <si>
    <t>LK401_08815</t>
  </si>
  <si>
    <t>RNase P RNA component class A</t>
  </si>
  <si>
    <t>rnpB</t>
  </si>
  <si>
    <t>RNase_P_RNA</t>
  </si>
  <si>
    <t>LK401_08820</t>
  </si>
  <si>
    <t>KpsF/GutQ family sugar isomerase</t>
  </si>
  <si>
    <t>UEB31527.1</t>
  </si>
  <si>
    <t>LK401_08825</t>
  </si>
  <si>
    <t>HAD family hydrolase</t>
  </si>
  <si>
    <t>UEB31528.1</t>
  </si>
  <si>
    <t>LK401_08830</t>
  </si>
  <si>
    <t>UEB32574.1</t>
  </si>
  <si>
    <t>LK401_08835</t>
  </si>
  <si>
    <t>UEB31529.1</t>
  </si>
  <si>
    <t>LK401_08840</t>
  </si>
  <si>
    <t>UEB31530.1</t>
  </si>
  <si>
    <t>LK401_08845</t>
  </si>
  <si>
    <t>tnpA</t>
  </si>
  <si>
    <t>LK401_08850</t>
  </si>
  <si>
    <t>UEB31531.1</t>
  </si>
  <si>
    <t>LK401_08855</t>
  </si>
  <si>
    <t>UEB31532.1</t>
  </si>
  <si>
    <t>LK401_08860</t>
  </si>
  <si>
    <t>UEB31533.1</t>
  </si>
  <si>
    <t>LK401_08865</t>
  </si>
  <si>
    <t>UEB31534.1</t>
  </si>
  <si>
    <t>LK401_08870</t>
  </si>
  <si>
    <t>TIGR01666 family membrane protein</t>
  </si>
  <si>
    <t>yccS</t>
  </si>
  <si>
    <t>UEB31535.1</t>
  </si>
  <si>
    <t>LK401_08875</t>
  </si>
  <si>
    <t>DUF2057 domain-containing protein</t>
  </si>
  <si>
    <t>UEB31536.1</t>
  </si>
  <si>
    <t>LK401_08880</t>
  </si>
  <si>
    <t>protease SohB</t>
  </si>
  <si>
    <t>sohB</t>
  </si>
  <si>
    <t>UEB31537.1</t>
  </si>
  <si>
    <t>LK401_08885</t>
  </si>
  <si>
    <t>electron transport complex subunit RsxA</t>
  </si>
  <si>
    <t>rsxA</t>
  </si>
  <si>
    <t>UEB31538.1</t>
  </si>
  <si>
    <t>LK401_08890</t>
  </si>
  <si>
    <t>electron transport complex subunit RsxB</t>
  </si>
  <si>
    <t>rsxB</t>
  </si>
  <si>
    <t>UEB31539.1</t>
  </si>
  <si>
    <t>LK401_08895</t>
  </si>
  <si>
    <t>electron transport complex subunit RsxC</t>
  </si>
  <si>
    <t>rsxC</t>
  </si>
  <si>
    <t>UEB31540.1</t>
  </si>
  <si>
    <t>LK401_08900</t>
  </si>
  <si>
    <t>electron transport complex subunit RsxD</t>
  </si>
  <si>
    <t>rsxD</t>
  </si>
  <si>
    <t>UEB31541.1</t>
  </si>
  <si>
    <t>LK401_08905</t>
  </si>
  <si>
    <t>electron transport complex subunit RsxG</t>
  </si>
  <si>
    <t>rsxG</t>
  </si>
  <si>
    <t>UEB31542.1</t>
  </si>
  <si>
    <t>LK401_08910</t>
  </si>
  <si>
    <t>electron transport complex subunit E</t>
  </si>
  <si>
    <t>UEB31543.1</t>
  </si>
  <si>
    <t>LK401_08915</t>
  </si>
  <si>
    <t>endonuclease III</t>
  </si>
  <si>
    <t>nth</t>
  </si>
  <si>
    <t>UEB31544.1</t>
  </si>
  <si>
    <t>LK401_08920</t>
  </si>
  <si>
    <t>UEB31545.1</t>
  </si>
  <si>
    <t>LK401_08925</t>
  </si>
  <si>
    <t>molybdenum ABC transporter ATP-binding protein ModC</t>
  </si>
  <si>
    <t>modC</t>
  </si>
  <si>
    <t>UEB31546.1</t>
  </si>
  <si>
    <t>LK401_08930</t>
  </si>
  <si>
    <t>molybdate ABC transporter permease subunit</t>
  </si>
  <si>
    <t>modB</t>
  </si>
  <si>
    <t>UEB31547.1</t>
  </si>
  <si>
    <t>LK401_08935</t>
  </si>
  <si>
    <t>molybdate ABC transporter substrate-binding protein</t>
  </si>
  <si>
    <t>modA</t>
  </si>
  <si>
    <t>UEB31548.1</t>
  </si>
  <si>
    <t>LK401_08940</t>
  </si>
  <si>
    <t>UEB31549.1</t>
  </si>
  <si>
    <t>LK401_08945</t>
  </si>
  <si>
    <t>lipooligosaccharide biosynthesis galactosyltransferase LsgF</t>
  </si>
  <si>
    <t>lsgF</t>
  </si>
  <si>
    <t>UEB31550.1</t>
  </si>
  <si>
    <t>LK401_08950</t>
  </si>
  <si>
    <t>lipooligosaccharide biosynthesis N-acetyl-glucosamine transferase LsgE</t>
  </si>
  <si>
    <t>lsgE</t>
  </si>
  <si>
    <t>UEB31551.1</t>
  </si>
  <si>
    <t>LK401_08955</t>
  </si>
  <si>
    <t>lipooligosaccharide biosynthesis galactosyltransferase LsgD</t>
  </si>
  <si>
    <t>lsgD</t>
  </si>
  <si>
    <t>UEB31552.1</t>
  </si>
  <si>
    <t>LK401_08960</t>
  </si>
  <si>
    <t>lipooligosaccharide biosynthesis family 4 glycosyltransferase LsgC</t>
  </si>
  <si>
    <t>lsgC</t>
  </si>
  <si>
    <t>UEB31553.1</t>
  </si>
  <si>
    <t>LK401_08965</t>
  </si>
  <si>
    <t>lipooligosaccharide biosynthesis sialyltransferase LsgB</t>
  </si>
  <si>
    <t>lsgB</t>
  </si>
  <si>
    <t>UEB31554.1</t>
  </si>
  <si>
    <t>LK401_08970</t>
  </si>
  <si>
    <t>lipooligosaccharide flippase LsgA</t>
  </si>
  <si>
    <t>lsgA</t>
  </si>
  <si>
    <t>UEB31555.1</t>
  </si>
  <si>
    <t>LK401_08975</t>
  </si>
  <si>
    <t>YdcF family protein</t>
  </si>
  <si>
    <t>UEB31556.1</t>
  </si>
  <si>
    <t>LK401_08980</t>
  </si>
  <si>
    <t>5-methyltetrahydropteroyltriglutamate--homocysteine S-methyltransferase</t>
  </si>
  <si>
    <t>metE</t>
  </si>
  <si>
    <t>UEB31557.1</t>
  </si>
  <si>
    <t>LK401_08985</t>
  </si>
  <si>
    <t>LPS export ABC transporter permease LptG</t>
  </si>
  <si>
    <t>lptG</t>
  </si>
  <si>
    <t>UEB31558.1</t>
  </si>
  <si>
    <t>LK401_08990</t>
  </si>
  <si>
    <t>LPS export ABC transporter permease LptF</t>
  </si>
  <si>
    <t>lptF</t>
  </si>
  <si>
    <t>UEB31559.1</t>
  </si>
  <si>
    <t>LK401_08995</t>
  </si>
  <si>
    <t>leucyl aminopeptidase</t>
  </si>
  <si>
    <t>UEB31560.1</t>
  </si>
  <si>
    <t>LK401_09000</t>
  </si>
  <si>
    <t>BCCT family transporter</t>
  </si>
  <si>
    <t>UEB31561.1</t>
  </si>
  <si>
    <t>LK401_09005</t>
  </si>
  <si>
    <t>two-component system sensor histidine kinase QseC</t>
  </si>
  <si>
    <t>qseC</t>
  </si>
  <si>
    <t>UEB31562.1</t>
  </si>
  <si>
    <t>LK401_09010</t>
  </si>
  <si>
    <t>UEB31563.1</t>
  </si>
  <si>
    <t>LK401_09015</t>
  </si>
  <si>
    <t>YgiW/YdeI family stress tolerance OB fold protein</t>
  </si>
  <si>
    <t>UEB31564.1</t>
  </si>
  <si>
    <t>LK401_09020</t>
  </si>
  <si>
    <t>manA</t>
  </si>
  <si>
    <t>LK401_09025</t>
  </si>
  <si>
    <t>PTS glucose transporter subunit IIA</t>
  </si>
  <si>
    <t>crr</t>
  </si>
  <si>
    <t>UEB31565.1</t>
  </si>
  <si>
    <t>LK401_09030</t>
  </si>
  <si>
    <t>phosphoenolpyruvate-protein phosphotransferase PtsI</t>
  </si>
  <si>
    <t>ptsI</t>
  </si>
  <si>
    <t>UEB31566.1</t>
  </si>
  <si>
    <t>LK401_09035</t>
  </si>
  <si>
    <t>phosphocarrier protein Hpr</t>
  </si>
  <si>
    <t>ptsH</t>
  </si>
  <si>
    <t>UEB31567.1</t>
  </si>
  <si>
    <t>LK401_09040</t>
  </si>
  <si>
    <t>small ribosomal subunit biogenesis GTPase RsgA</t>
  </si>
  <si>
    <t>rsgA</t>
  </si>
  <si>
    <t>UEB31568.1</t>
  </si>
  <si>
    <t>LK401_09045</t>
  </si>
  <si>
    <t>oligoribonuclease</t>
  </si>
  <si>
    <t>orn</t>
  </si>
  <si>
    <t>UEB31569.1</t>
  </si>
  <si>
    <t>LK401_09050</t>
  </si>
  <si>
    <t>LK401_09055</t>
  </si>
  <si>
    <t>LK401_09060</t>
  </si>
  <si>
    <t>UDP-N-acetylglucosamine--undecaprenyl-phosphate N-acetylglucosaminephosphotransferase</t>
  </si>
  <si>
    <t>wecA</t>
  </si>
  <si>
    <t>UEB31570.1</t>
  </si>
  <si>
    <t>LK401_09065</t>
  </si>
  <si>
    <t>bifunctional uridylyltransferase/uridylyl-removing protein GlnD</t>
  </si>
  <si>
    <t>glnD</t>
  </si>
  <si>
    <t>UEB31571.1</t>
  </si>
  <si>
    <t>LK401_09070</t>
  </si>
  <si>
    <t>type I methionyl aminopeptidase</t>
  </si>
  <si>
    <t>map</t>
  </si>
  <si>
    <t>UEB31572.1</t>
  </si>
  <si>
    <t>LK401_09075</t>
  </si>
  <si>
    <t>iron-sulfur cluster insertion protein ErpA</t>
  </si>
  <si>
    <t>erpA</t>
  </si>
  <si>
    <t>UEB31573.1</t>
  </si>
  <si>
    <t>LK401_09080</t>
  </si>
  <si>
    <t>YacL family protein</t>
  </si>
  <si>
    <t>UEB31574.1</t>
  </si>
  <si>
    <t>LK401_09085</t>
  </si>
  <si>
    <t>penicillin-binding protein 1B</t>
  </si>
  <si>
    <t>mrcB</t>
  </si>
  <si>
    <t>UEB31575.1</t>
  </si>
  <si>
    <t>LK401_09090</t>
  </si>
  <si>
    <t>phosphoribosylaminoimidazolesuccinocarboxamide synthase</t>
  </si>
  <si>
    <t>UEB31576.1</t>
  </si>
  <si>
    <t>LK401_09095</t>
  </si>
  <si>
    <t>argininosuccinate synthase</t>
  </si>
  <si>
    <t>argG</t>
  </si>
  <si>
    <t>UEB31577.1</t>
  </si>
  <si>
    <t>LK401_09100</t>
  </si>
  <si>
    <t>divalent metal cation transporter</t>
  </si>
  <si>
    <t>UEB31578.1</t>
  </si>
  <si>
    <t>LK401_09105</t>
  </si>
  <si>
    <t>5-oxoprolinase subunit PxpA</t>
  </si>
  <si>
    <t>pxpA</t>
  </si>
  <si>
    <t>UEB31579.1</t>
  </si>
  <si>
    <t>LK401_09110</t>
  </si>
  <si>
    <t>5-oxoprolinase/urea amidolyase family protein</t>
  </si>
  <si>
    <t>UEB31580.1</t>
  </si>
  <si>
    <t>LK401_09115</t>
  </si>
  <si>
    <t>5-oxoprolinase subunit PxpB</t>
  </si>
  <si>
    <t>pxpB</t>
  </si>
  <si>
    <t>UEB31581.1</t>
  </si>
  <si>
    <t>LK401_09120</t>
  </si>
  <si>
    <t>exoribonuclease II</t>
  </si>
  <si>
    <t>rnb</t>
  </si>
  <si>
    <t>UEB31582.1</t>
  </si>
  <si>
    <t>LK401_09125</t>
  </si>
  <si>
    <t>UEB31583.1</t>
  </si>
  <si>
    <t>LK401_09130</t>
  </si>
  <si>
    <t>peptide chain release factor 3</t>
  </si>
  <si>
    <t>prfC</t>
  </si>
  <si>
    <t>UEB31584.1</t>
  </si>
  <si>
    <t>LK401_09135</t>
  </si>
  <si>
    <t>YgjV family protein</t>
  </si>
  <si>
    <t>UEB31585.1</t>
  </si>
  <si>
    <t>LK401_09140</t>
  </si>
  <si>
    <t>branched-chain amino acid transporter permease</t>
  </si>
  <si>
    <t>UEB31586.1</t>
  </si>
  <si>
    <t>LK401_09145</t>
  </si>
  <si>
    <t>azaleucine resistance protein AzlC</t>
  </si>
  <si>
    <t>azlC</t>
  </si>
  <si>
    <t>UEB31587.1</t>
  </si>
  <si>
    <t>LK401_09150</t>
  </si>
  <si>
    <t>UEB31588.1</t>
  </si>
  <si>
    <t>LK401_09155</t>
  </si>
  <si>
    <t>LK401_09160</t>
  </si>
  <si>
    <t>LK401_09165</t>
  </si>
  <si>
    <t>LK401_09170</t>
  </si>
  <si>
    <t>LK401_09175</t>
  </si>
  <si>
    <t>LK401_09180</t>
  </si>
  <si>
    <t>FMN-dependent L-lactate dehydrogenase LldD</t>
  </si>
  <si>
    <t>lldD</t>
  </si>
  <si>
    <t>UEB31589.1</t>
  </si>
  <si>
    <t>LK401_09185</t>
  </si>
  <si>
    <t>glutamate racemase</t>
  </si>
  <si>
    <t>murI</t>
  </si>
  <si>
    <t>UEB31590.1</t>
  </si>
  <si>
    <t>LK401_09190</t>
  </si>
  <si>
    <t>ATP-dependent DNA helicase RecG</t>
  </si>
  <si>
    <t>recG</t>
  </si>
  <si>
    <t>UEB31591.1</t>
  </si>
  <si>
    <t>LK401_09195</t>
  </si>
  <si>
    <t>bifunctional GTP diphosphokinase/guanosine-3',5'-bis pyrophosphate 3'-pyrophosphohydrolase</t>
  </si>
  <si>
    <t>spoT</t>
  </si>
  <si>
    <t>UEB31592.1</t>
  </si>
  <si>
    <t>LK401_09200</t>
  </si>
  <si>
    <t>DNA-directed RNA polymerase subunit omega</t>
  </si>
  <si>
    <t>rpoZ</t>
  </si>
  <si>
    <t>UEB31593.1</t>
  </si>
  <si>
    <t>LK401_09205</t>
  </si>
  <si>
    <t>guanylate kinase</t>
  </si>
  <si>
    <t>gmk</t>
  </si>
  <si>
    <t>UEB31594.1</t>
  </si>
  <si>
    <t>LK401_09210</t>
  </si>
  <si>
    <t>type I glyceraldehyde-3-phosphate dehydrogenase</t>
  </si>
  <si>
    <t>gap</t>
  </si>
  <si>
    <t>UEB31595.1</t>
  </si>
  <si>
    <t>LK401_09215</t>
  </si>
  <si>
    <t>long-chain fatty acid--CoA ligase</t>
  </si>
  <si>
    <t>UEB31596.1</t>
  </si>
  <si>
    <t>LK401_09220</t>
  </si>
  <si>
    <t>UEB32575.1</t>
  </si>
  <si>
    <t>LK401_09225</t>
  </si>
  <si>
    <t>rRNA maturation RNase YbeY</t>
  </si>
  <si>
    <t>ybeY</t>
  </si>
  <si>
    <t>UEB31597.1</t>
  </si>
  <si>
    <t>LK401_09230</t>
  </si>
  <si>
    <t>formate dehydrogenase accessory sulfurtransferase FdhD</t>
  </si>
  <si>
    <t>fdhD</t>
  </si>
  <si>
    <t>UEB31598.1</t>
  </si>
  <si>
    <t>LK401_09235</t>
  </si>
  <si>
    <t>formate dehydrogenase-N subunit alpha</t>
  </si>
  <si>
    <t>fdnG</t>
  </si>
  <si>
    <t>UEB31599.1</t>
  </si>
  <si>
    <t>LK401_09240</t>
  </si>
  <si>
    <t>formate dehydrogenase subunit beta</t>
  </si>
  <si>
    <t>fdxH</t>
  </si>
  <si>
    <t>UEB31600.1</t>
  </si>
  <si>
    <t>LK401_09245</t>
  </si>
  <si>
    <t>formate dehydrogenase subunit gamma</t>
  </si>
  <si>
    <t>UEB31601.1</t>
  </si>
  <si>
    <t>LK401_09250</t>
  </si>
  <si>
    <t>formate dehydrogenase accessory protein FdhE</t>
  </si>
  <si>
    <t>fdhE</t>
  </si>
  <si>
    <t>UEB31602.1</t>
  </si>
  <si>
    <t>LK401_09255</t>
  </si>
  <si>
    <t>ribosomal protein S18-alanine N-acetyltransferase</t>
  </si>
  <si>
    <t>rimI</t>
  </si>
  <si>
    <t>UEB32576.1</t>
  </si>
  <si>
    <t>LK401_09260</t>
  </si>
  <si>
    <t>DNA polymerase III subunit psi</t>
  </si>
  <si>
    <t>holD</t>
  </si>
  <si>
    <t>UEB31603.1</t>
  </si>
  <si>
    <t>LK401_09265</t>
  </si>
  <si>
    <t>16S rRNA (guanine(1207)-N(2))-methyltransferase RsmC</t>
  </si>
  <si>
    <t>rsmC</t>
  </si>
  <si>
    <t>UEB31604.1</t>
  </si>
  <si>
    <t>LK401_09270</t>
  </si>
  <si>
    <t>GTPase Era</t>
  </si>
  <si>
    <t>era</t>
  </si>
  <si>
    <t>UEB31605.1</t>
  </si>
  <si>
    <t>LK401_09275</t>
  </si>
  <si>
    <t>ribonuclease III</t>
  </si>
  <si>
    <t>rnc</t>
  </si>
  <si>
    <t>UEB31606.1</t>
  </si>
  <si>
    <t>LK401_09280</t>
  </si>
  <si>
    <t>signal peptidase I</t>
  </si>
  <si>
    <t>lepB</t>
  </si>
  <si>
    <t>UEB31607.1</t>
  </si>
  <si>
    <t>LK401_09285</t>
  </si>
  <si>
    <t>translation elongation factor 4</t>
  </si>
  <si>
    <t>lepA</t>
  </si>
  <si>
    <t>UEB31608.1</t>
  </si>
  <si>
    <t>LK401_09290</t>
  </si>
  <si>
    <t>autonomous glycyl radical cofactor GrcA</t>
  </si>
  <si>
    <t>grcA</t>
  </si>
  <si>
    <t>UEB31609.1</t>
  </si>
  <si>
    <t>LK401_09295</t>
  </si>
  <si>
    <t>uracil-DNA glycosylase</t>
  </si>
  <si>
    <t>ung</t>
  </si>
  <si>
    <t>UEB31610.1</t>
  </si>
  <si>
    <t>LK401_09300</t>
  </si>
  <si>
    <t>tRNA (N6-isopentenyl adenosine(37)-C2)-methylthiotransferase MiaB</t>
  </si>
  <si>
    <t>miaB</t>
  </si>
  <si>
    <t>UEB31611.1</t>
  </si>
  <si>
    <t>LK401_09305</t>
  </si>
  <si>
    <t>anion permease</t>
  </si>
  <si>
    <t>UEB31612.1</t>
  </si>
  <si>
    <t>LK401_09310</t>
  </si>
  <si>
    <t>triphosphoribosyl-dephospho-CoA synthase CitG</t>
  </si>
  <si>
    <t>citG</t>
  </si>
  <si>
    <t>UEB31613.1</t>
  </si>
  <si>
    <t>LK401_09315</t>
  </si>
  <si>
    <t>citrate lyase subunit alpha</t>
  </si>
  <si>
    <t>citF</t>
  </si>
  <si>
    <t>UEB31614.1</t>
  </si>
  <si>
    <t>LK401_09320</t>
  </si>
  <si>
    <t>citrate (pro-3S)-lyase subunit beta</t>
  </si>
  <si>
    <t>citE</t>
  </si>
  <si>
    <t>UEB31615.1</t>
  </si>
  <si>
    <t>LK401_09325</t>
  </si>
  <si>
    <t>citrate lyase acyl carrier protein</t>
  </si>
  <si>
    <t>citD</t>
  </si>
  <si>
    <t>UEB31616.1</t>
  </si>
  <si>
    <t>LK401_09330</t>
  </si>
  <si>
    <t>[citrate (pro-3S)-lyase] ligase</t>
  </si>
  <si>
    <t>citC</t>
  </si>
  <si>
    <t>UEB31617.1</t>
  </si>
  <si>
    <t>LK401_09335</t>
  </si>
  <si>
    <t>lipoyl synthase</t>
  </si>
  <si>
    <t>lipA</t>
  </si>
  <si>
    <t>UEB31618.1</t>
  </si>
  <si>
    <t>LK401_09340</t>
  </si>
  <si>
    <t>lipoyl(octanoyl) transferase LipB</t>
  </si>
  <si>
    <t>lipB</t>
  </si>
  <si>
    <t>UEB31619.1</t>
  </si>
  <si>
    <t>LK401_09345</t>
  </si>
  <si>
    <t>DUF493 family protein YbeD</t>
  </si>
  <si>
    <t>ybeD</t>
  </si>
  <si>
    <t>UEB31620.1</t>
  </si>
  <si>
    <t>LK401_09350</t>
  </si>
  <si>
    <t>UEB31621.1</t>
  </si>
  <si>
    <t>LK401_09355</t>
  </si>
  <si>
    <t>septal ring lytic transglycosylase RlpA family protein</t>
  </si>
  <si>
    <t>UEB31622.1</t>
  </si>
  <si>
    <t>LK401_09360</t>
  </si>
  <si>
    <t>rod shape-determining protein RodA</t>
  </si>
  <si>
    <t>rodA</t>
  </si>
  <si>
    <t>UEB31623.1</t>
  </si>
  <si>
    <t>LK401_09365</t>
  </si>
  <si>
    <t>penicillin-binding protein 2</t>
  </si>
  <si>
    <t>mrdA</t>
  </si>
  <si>
    <t>UEB31624.1</t>
  </si>
  <si>
    <t>LK401_09370</t>
  </si>
  <si>
    <t>23S rRNA (pseudouridine(1915)-N(3))-methyltransferase RlmH</t>
  </si>
  <si>
    <t>rlmH</t>
  </si>
  <si>
    <t>UEB31625.1</t>
  </si>
  <si>
    <t>LK401_09375</t>
  </si>
  <si>
    <t>ribosome silencing factor</t>
  </si>
  <si>
    <t>rsfS</t>
  </si>
  <si>
    <t>UEB31626.1</t>
  </si>
  <si>
    <t>LK401_09380</t>
  </si>
  <si>
    <t>putative transporter</t>
  </si>
  <si>
    <t>UEB31627.1</t>
  </si>
  <si>
    <t>LK401_09385</t>
  </si>
  <si>
    <t>UEB31628.1</t>
  </si>
  <si>
    <t>LK401_09390</t>
  </si>
  <si>
    <t>rod shape-determining protein</t>
  </si>
  <si>
    <t>UEB31629.1</t>
  </si>
  <si>
    <t>LK401_09395</t>
  </si>
  <si>
    <t>rod shape-determining protein MreC</t>
  </si>
  <si>
    <t>mreC</t>
  </si>
  <si>
    <t>UEB31630.1</t>
  </si>
  <si>
    <t>LK401_09400</t>
  </si>
  <si>
    <t>rod shape-determining protein MreD</t>
  </si>
  <si>
    <t>mreD</t>
  </si>
  <si>
    <t>UEB31631.1</t>
  </si>
  <si>
    <t>LK401_09405</t>
  </si>
  <si>
    <t>TIGR01619 family protein</t>
  </si>
  <si>
    <t>UEB31632.1</t>
  </si>
  <si>
    <t>LK401_09410</t>
  </si>
  <si>
    <t>exodeoxyribonuclease III</t>
  </si>
  <si>
    <t>xthA</t>
  </si>
  <si>
    <t>UEB31633.1</t>
  </si>
  <si>
    <t>LK401_09415</t>
  </si>
  <si>
    <t>TIGR01621 family pseudouridine synthase</t>
  </si>
  <si>
    <t>UEB31634.1</t>
  </si>
  <si>
    <t>LK401_09420</t>
  </si>
  <si>
    <t>YcjF family protein</t>
  </si>
  <si>
    <t>UEB31635.1</t>
  </si>
  <si>
    <t>LK401_09425</t>
  </si>
  <si>
    <t>BAX inhibitor protein</t>
  </si>
  <si>
    <t>UEB31636.1</t>
  </si>
  <si>
    <t>LK401_09430</t>
  </si>
  <si>
    <t>LK401_09435</t>
  </si>
  <si>
    <t>YtfJ family protein</t>
  </si>
  <si>
    <t>UEB31637.1</t>
  </si>
  <si>
    <t>LK401_09440</t>
  </si>
  <si>
    <t>alkylphosphonate utilization protein</t>
  </si>
  <si>
    <t>UEB31638.1</t>
  </si>
  <si>
    <t>LK401_09445</t>
  </si>
  <si>
    <t>bifunctional 4-hydroxy-2-oxoglutarate aldolase/2-dehydro-3-deoxy-phosphogluconate aldolase</t>
  </si>
  <si>
    <t>UEB31639.1</t>
  </si>
  <si>
    <t>LK401_09450</t>
  </si>
  <si>
    <t>glucuronate isomerase</t>
  </si>
  <si>
    <t>uxaC</t>
  </si>
  <si>
    <t>UEB31640.1</t>
  </si>
  <si>
    <t>LK401_09455</t>
  </si>
  <si>
    <t>UEB31641.1</t>
  </si>
  <si>
    <t>LK401_09460</t>
  </si>
  <si>
    <t>sugar kinase</t>
  </si>
  <si>
    <t>UEB31642.1</t>
  </si>
  <si>
    <t>LK401_09465</t>
  </si>
  <si>
    <t>TRAP transporter large permease</t>
  </si>
  <si>
    <t>UEB31643.1</t>
  </si>
  <si>
    <t>LK401_09470</t>
  </si>
  <si>
    <t>TRAP transporter small permease</t>
  </si>
  <si>
    <t>UEB31644.1</t>
  </si>
  <si>
    <t>LK401_09475</t>
  </si>
  <si>
    <t>DctP family TRAP transporter solute-binding subunit</t>
  </si>
  <si>
    <t>UEB31645.1</t>
  </si>
  <si>
    <t>LK401_09480</t>
  </si>
  <si>
    <t>alcohol dehydrogenase catalytic domain-containing protein</t>
  </si>
  <si>
    <t>UEB31646.1</t>
  </si>
  <si>
    <t>LK401_00005</t>
  </si>
  <si>
    <t>EC numbers</t>
  </si>
  <si>
    <t>New EC number</t>
  </si>
  <si>
    <t>KEGG Enzyme URL</t>
  </si>
  <si>
    <t>KEGG Reaction URL</t>
  </si>
  <si>
    <t>Reactants</t>
  </si>
  <si>
    <t>Products</t>
  </si>
  <si>
    <t>4.2.1.8</t>
  </si>
  <si>
    <t>https://www.genome.jp/entry/4.2.1.8</t>
  </si>
  <si>
    <t>https://www.genome.jp/entry/R05606</t>
  </si>
  <si>
    <t>C00514</t>
  </si>
  <si>
    <t>C00204|C00001</t>
  </si>
  <si>
    <t>2.7.7.38</t>
  </si>
  <si>
    <t>https://www.genome.jp/entry/2.7.7.38</t>
  </si>
  <si>
    <t>https://www.genome.jp/entry/R03351</t>
  </si>
  <si>
    <t>C00063|C01187</t>
  </si>
  <si>
    <t>C00013|C04121</t>
  </si>
  <si>
    <t>2.7.1.130</t>
  </si>
  <si>
    <t>https://www.genome.jp/entry/2.7.1.130</t>
  </si>
  <si>
    <t>https://www.genome.jp/entry/R04657</t>
  </si>
  <si>
    <t>C00002|C04932</t>
  </si>
  <si>
    <t>C00008|C04919</t>
  </si>
  <si>
    <t>7.5.2.5</t>
  </si>
  <si>
    <t>https://www.genome.jp/entry/7.5.2.5</t>
  </si>
  <si>
    <t>2.7.7.19</t>
  </si>
  <si>
    <t>https://www.genome.jp/entry/2.7.7.19</t>
  </si>
  <si>
    <t>https://www.genome.jp/entry/R00435</t>
  </si>
  <si>
    <t>C00002|C00046</t>
  </si>
  <si>
    <t>C00013|C00046</t>
  </si>
  <si>
    <t>2.7.6.3</t>
  </si>
  <si>
    <t>https://www.genome.jp/entry/2.7.6.3</t>
  </si>
  <si>
    <t>https://www.genome.jp/entry/R03503</t>
  </si>
  <si>
    <t>C00002|C01300</t>
  </si>
  <si>
    <t>C00020|C04807</t>
  </si>
  <si>
    <t>3.5.1.28</t>
  </si>
  <si>
    <t>2.5.1.75</t>
  </si>
  <si>
    <t>https://www.genome.jp/entry/2.5.1.75</t>
  </si>
  <si>
    <t>https://www.genome.jp/entry/R01122</t>
  </si>
  <si>
    <t>C00235|C17324</t>
  </si>
  <si>
    <t>C00013|C04432</t>
  </si>
  <si>
    <t>2.7.7.42</t>
  </si>
  <si>
    <t>https://www.genome.jp/entry/2.7.7.42</t>
  </si>
  <si>
    <t>https://www.genome.jp/entry/R03473</t>
  </si>
  <si>
    <t>C00002|C01281</t>
  </si>
  <si>
    <t>C00013|C01299</t>
  </si>
  <si>
    <t>2.7.7.89</t>
  </si>
  <si>
    <t>https://www.genome.jp/entry/2.7.7.89</t>
  </si>
  <si>
    <t>https://www.genome.jp/entry/R03474</t>
  </si>
  <si>
    <t>C01299|C00009</t>
  </si>
  <si>
    <t>C00008|C01281</t>
  </si>
  <si>
    <t>1.17.4.2</t>
  </si>
  <si>
    <t>https://www.genome.jp/entry/1.17.4.2</t>
  </si>
  <si>
    <t>https://www.genome.jp/entry/R04315</t>
  </si>
  <si>
    <t>C00677|C00343|C00001</t>
  </si>
  <si>
    <t>C03802|C00342</t>
  </si>
  <si>
    <t>https://www.genome.jp/entry/R02014</t>
  </si>
  <si>
    <t>C00131|C00343|C00001</t>
  </si>
  <si>
    <t>C00002|C00342</t>
  </si>
  <si>
    <t>https://www.genome.jp/entry/R02020</t>
  </si>
  <si>
    <t>C00286|C00343|C00001</t>
  </si>
  <si>
    <t>C00044|C00342</t>
  </si>
  <si>
    <t>https://www.genome.jp/entry/R02022</t>
  </si>
  <si>
    <t>C00458|C00343|C00001</t>
  </si>
  <si>
    <t>C00063|C00342</t>
  </si>
  <si>
    <t>https://www.genome.jp/entry/R02023</t>
  </si>
  <si>
    <t>C00460|C00343|C00001</t>
  </si>
  <si>
    <t>C00075|C00342</t>
  </si>
  <si>
    <t>6.1.1.16</t>
  </si>
  <si>
    <t>https://www.genome.jp/entry/6.1.1.16</t>
  </si>
  <si>
    <t>https://www.genome.jp/entry/R03650</t>
  </si>
  <si>
    <t>C00002|C00097|C01639</t>
  </si>
  <si>
    <t>C00020|C00013|C03125</t>
  </si>
  <si>
    <t>5.2.1.8</t>
  </si>
  <si>
    <t>https://www.genome.jp/entry/5.2.1.8</t>
  </si>
  <si>
    <t>https://www.genome.jp/entry/R04273</t>
  </si>
  <si>
    <t>C03798</t>
  </si>
  <si>
    <t>C03633</t>
  </si>
  <si>
    <t>4.2.3.1</t>
  </si>
  <si>
    <t>https://www.genome.jp/entry/4.2.3.1</t>
  </si>
  <si>
    <t>https://www.genome.jp/entry/R01466</t>
  </si>
  <si>
    <t>C01102|C00001</t>
  </si>
  <si>
    <t>C00188|C00009</t>
  </si>
  <si>
    <t>https://www.genome.jp/entry/R05086</t>
  </si>
  <si>
    <t>C06055|C00001</t>
  </si>
  <si>
    <t>C06056|C00009</t>
  </si>
  <si>
    <t>2.7.1.39</t>
  </si>
  <si>
    <t>https://www.genome.jp/entry/2.7.1.39</t>
  </si>
  <si>
    <t>https://www.genome.jp/entry/R01771</t>
  </si>
  <si>
    <t>C00002|C00263</t>
  </si>
  <si>
    <t>C00008|C01102</t>
  </si>
  <si>
    <t>1.1.1.3</t>
  </si>
  <si>
    <t>https://www.genome.jp/entry/1.1.1.3</t>
  </si>
  <si>
    <t>https://www.genome.jp/entry/R01773</t>
  </si>
  <si>
    <t>C00263|C00003</t>
  </si>
  <si>
    <t>C00441|C00004|C00080</t>
  </si>
  <si>
    <t>https://www.genome.jp/entry/R01775</t>
  </si>
  <si>
    <t>C00263|C00006</t>
  </si>
  <si>
    <t>C00441|C00005|C00080</t>
  </si>
  <si>
    <t>2.7.2.4</t>
  </si>
  <si>
    <t>https://www.genome.jp/entry/2.7.2.4</t>
  </si>
  <si>
    <t>https://www.genome.jp/entry/R00480</t>
  </si>
  <si>
    <t>C00002|C00049</t>
  </si>
  <si>
    <t>C00008|C03082</t>
  </si>
  <si>
    <t>3.5.1.18</t>
  </si>
  <si>
    <t>https://www.genome.jp/entry/3.5.1.18</t>
  </si>
  <si>
    <t>https://www.genome.jp/entry/R02734</t>
  </si>
  <si>
    <t>C04421|C00001</t>
  </si>
  <si>
    <t>C00042|C00666</t>
  </si>
  <si>
    <t>6.1.1.11</t>
  </si>
  <si>
    <t>https://www.genome.jp/entry/6.1.1.11</t>
  </si>
  <si>
    <t>https://www.genome.jp/entry/R03662</t>
  </si>
  <si>
    <t>C00002|C00065|C01650</t>
  </si>
  <si>
    <t>C00020|C00013|C02553</t>
  </si>
  <si>
    <t>https://www.genome.jp/entry/R08218</t>
  </si>
  <si>
    <t>C00002|C00065|C16636</t>
  </si>
  <si>
    <t>C00020|C00013|C06481</t>
  </si>
  <si>
    <t>2.1.1.173</t>
  </si>
  <si>
    <t>https://www.genome.jp/entry/2.1.1.173</t>
  </si>
  <si>
    <t>https://www.genome.jp/entry/R07234</t>
  </si>
  <si>
    <t>C00019|C00240</t>
  </si>
  <si>
    <t>C00021|C04153</t>
  </si>
  <si>
    <t>2.1.1.264</t>
  </si>
  <si>
    <t>https://www.genome.jp/entry/2.1.1.264</t>
  </si>
  <si>
    <t>4.2.2.-</t>
  </si>
  <si>
    <t>7.2.2.-</t>
  </si>
  <si>
    <t>6.3.2.45</t>
  </si>
  <si>
    <t>https://www.genome.jp/entry/6.3.2.45</t>
  </si>
  <si>
    <t>https://www.genome.jp/entry/R10901</t>
  </si>
  <si>
    <t>C00002|C01050|C20925</t>
  </si>
  <si>
    <t>C00008|C00009|C04877</t>
  </si>
  <si>
    <t>4.4.1.8</t>
  </si>
  <si>
    <t>https://www.genome.jp/entry/4.4.1.8</t>
  </si>
  <si>
    <t>1.11.1.24</t>
  </si>
  <si>
    <t>https://www.genome.jp/entry/1.11.1.24</t>
  </si>
  <si>
    <t>https://www.genome.jp/entry/R12570</t>
  </si>
  <si>
    <t>C00342|C15498</t>
  </si>
  <si>
    <t>C00343|C00001|C01335</t>
  </si>
  <si>
    <t>2.7.8.5</t>
  </si>
  <si>
    <t>https://www.genome.jp/entry/2.7.8.5</t>
  </si>
  <si>
    <t>https://www.genome.jp/entry/R01801</t>
  </si>
  <si>
    <t>C00269|C00093</t>
  </si>
  <si>
    <t>C00055|C03892</t>
  </si>
  <si>
    <t>2.7.1.48</t>
  </si>
  <si>
    <t>https://www.genome.jp/entry/2.7.1.48</t>
  </si>
  <si>
    <t>https://www.genome.jp/entry/R00513</t>
  </si>
  <si>
    <t>C00002|C00475</t>
  </si>
  <si>
    <t>C00008|C00055</t>
  </si>
  <si>
    <t>https://www.genome.jp/entry/R00964</t>
  </si>
  <si>
    <t>C00002|C00299</t>
  </si>
  <si>
    <t>C00008|C00105</t>
  </si>
  <si>
    <t>https://www.genome.jp/entry/R00517</t>
  </si>
  <si>
    <t>C00044|C00475</t>
  </si>
  <si>
    <t>C00035|C00055</t>
  </si>
  <si>
    <t>https://www.genome.jp/entry/R00968</t>
  </si>
  <si>
    <t>C00044|C00299</t>
  </si>
  <si>
    <t>C00035|C00105</t>
  </si>
  <si>
    <t>https://www.genome.jp/entry/R08232</t>
  </si>
  <si>
    <t>C16633|C00002</t>
  </si>
  <si>
    <t>C16634|C00008</t>
  </si>
  <si>
    <t>3.5.4.13</t>
  </si>
  <si>
    <t>https://www.genome.jp/entry/3.5.4.13</t>
  </si>
  <si>
    <t>https://www.genome.jp/entry/R02325</t>
  </si>
  <si>
    <t>C00458|C00001</t>
  </si>
  <si>
    <t>C00460|C00014</t>
  </si>
  <si>
    <t>3.6.5.-</t>
  </si>
  <si>
    <t>2.7.7.7</t>
  </si>
  <si>
    <t>https://www.genome.jp/entry/2.7.7.7</t>
  </si>
  <si>
    <t>https://www.genome.jp/entry/R00379</t>
  </si>
  <si>
    <t>C00677|C00039</t>
  </si>
  <si>
    <t>C00013|C00039</t>
  </si>
  <si>
    <t>https://www.genome.jp/entry/R00375</t>
  </si>
  <si>
    <t>C00131|C00039</t>
  </si>
  <si>
    <t>https://www.genome.jp/entry/R00376</t>
  </si>
  <si>
    <t>C00286|C00039</t>
  </si>
  <si>
    <t>https://www.genome.jp/entry/R00377</t>
  </si>
  <si>
    <t>C00458|C00039</t>
  </si>
  <si>
    <t>https://www.genome.jp/entry/R00378</t>
  </si>
  <si>
    <t>C00459|C00039</t>
  </si>
  <si>
    <t>https://www.genome.jp/entry/R11029</t>
  </si>
  <si>
    <t>C11039</t>
  </si>
  <si>
    <t>C21031</t>
  </si>
  <si>
    <t>3.1.26.4</t>
  </si>
  <si>
    <t>https://www.genome.jp/entry/3.1.26.4</t>
  </si>
  <si>
    <t>3.5.1.25</t>
  </si>
  <si>
    <t>https://www.genome.jp/entry/3.5.1.25</t>
  </si>
  <si>
    <t>https://www.genome.jp/entry/R02059</t>
  </si>
  <si>
    <t>C00357|C00001</t>
  </si>
  <si>
    <t>C00352|C00033</t>
  </si>
  <si>
    <t>3.5.99.6</t>
  </si>
  <si>
    <t>https://www.genome.jp/entry/3.5.99.6</t>
  </si>
  <si>
    <t>https://www.genome.jp/entry/R00765</t>
  </si>
  <si>
    <t>C00352|C00001</t>
  </si>
  <si>
    <t>C00085|C00014</t>
  </si>
  <si>
    <t>4.1.3.3</t>
  </si>
  <si>
    <t>https://www.genome.jp/entry/4.1.3.3</t>
  </si>
  <si>
    <t>https://www.genome.jp/entry/R12768</t>
  </si>
  <si>
    <t>C22382</t>
  </si>
  <si>
    <t>C00645|C00022</t>
  </si>
  <si>
    <t>https://www.genome.jp/entry/R01811</t>
  </si>
  <si>
    <t>C00270</t>
  </si>
  <si>
    <t>1.1.1.100</t>
  </si>
  <si>
    <t>https://www.genome.jp/entry/1.1.1.100</t>
  </si>
  <si>
    <t>https://www.genome.jp/entry/R02767</t>
  </si>
  <si>
    <t>C01271|C00006</t>
  </si>
  <si>
    <t>C00685|C00005|C00080</t>
  </si>
  <si>
    <t>https://www.genome.jp/entry/R04533</t>
  </si>
  <si>
    <t>C04618|C00006</t>
  </si>
  <si>
    <t>C05744|C00005|C00080</t>
  </si>
  <si>
    <t>https://www.genome.jp/entry/R04534</t>
  </si>
  <si>
    <t>C04619|C00006</t>
  </si>
  <si>
    <t>C05753|C00005</t>
  </si>
  <si>
    <t>https://www.genome.jp/entry/R04536</t>
  </si>
  <si>
    <t>C04620|C00006</t>
  </si>
  <si>
    <t>C05750|C00005|C00080</t>
  </si>
  <si>
    <t>https://www.genome.jp/entry/R04543</t>
  </si>
  <si>
    <t>C04633|C00006</t>
  </si>
  <si>
    <t>C05762|C00005|C00080</t>
  </si>
  <si>
    <t>https://www.genome.jp/entry/R04566</t>
  </si>
  <si>
    <t>C04688|C00006</t>
  </si>
  <si>
    <t>C05759|C00005|C00080</t>
  </si>
  <si>
    <t>https://www.genome.jp/entry/R04953</t>
  </si>
  <si>
    <t>C05747|C00006</t>
  </si>
  <si>
    <t>C05746|C00005|C00080</t>
  </si>
  <si>
    <t>https://www.genome.jp/entry/R04964</t>
  </si>
  <si>
    <t>C05757|C00006</t>
  </si>
  <si>
    <t>C05756|C00005|C00080</t>
  </si>
  <si>
    <t>https://www.genome.jp/entry/R07763</t>
  </si>
  <si>
    <t>C16219|C00005|C00080</t>
  </si>
  <si>
    <t>C16220|C00006</t>
  </si>
  <si>
    <t>https://www.genome.jp/entry/R10116</t>
  </si>
  <si>
    <t>C20372|C00005|C00080</t>
  </si>
  <si>
    <t>C20373|C00006</t>
  </si>
  <si>
    <t>https://www.genome.jp/entry/R10120</t>
  </si>
  <si>
    <t>C20376|C00005|C00080</t>
  </si>
  <si>
    <t>C20377|C00006</t>
  </si>
  <si>
    <t>2.3.1.39</t>
  </si>
  <si>
    <t>https://www.genome.jp/entry/2.3.1.39</t>
  </si>
  <si>
    <t>https://www.genome.jp/entry/R01626</t>
  </si>
  <si>
    <t>C00083|C00229</t>
  </si>
  <si>
    <t>C00010|C01209</t>
  </si>
  <si>
    <t>4.1.1.65</t>
  </si>
  <si>
    <t>https://www.genome.jp/entry/4.1.1.65</t>
  </si>
  <si>
    <t>https://www.genome.jp/entry/R02055</t>
  </si>
  <si>
    <t>C02737</t>
  </si>
  <si>
    <t>C00350|C00011</t>
  </si>
  <si>
    <t>1.8.1.7</t>
  </si>
  <si>
    <t>https://www.genome.jp/entry/1.8.1.7</t>
  </si>
  <si>
    <t>https://www.genome.jp/entry/R00115</t>
  </si>
  <si>
    <t>C00051|C00006</t>
  </si>
  <si>
    <t>C00127|C00005|C00080</t>
  </si>
  <si>
    <t>https://www.genome.jp/entry/R00094</t>
  </si>
  <si>
    <t>C00051|C00003</t>
  </si>
  <si>
    <t>C00127|C00004|C00080</t>
  </si>
  <si>
    <t>7.2.1.1</t>
  </si>
  <si>
    <t>https://www.genome.jp/entry/7.2.1.1</t>
  </si>
  <si>
    <t>2.8.1.13</t>
  </si>
  <si>
    <t>https://www.genome.jp/entry/2.8.1.13</t>
  </si>
  <si>
    <t>https://www.genome.jp/entry/R08700</t>
  </si>
  <si>
    <t>C00868|C15812|C00002</t>
  </si>
  <si>
    <t>C17322|C15811|C00020|C00013</t>
  </si>
  <si>
    <t>5.4.99.23</t>
  </si>
  <si>
    <t>https://www.genome.jp/entry/5.4.99.23</t>
  </si>
  <si>
    <t>1.97.1.4</t>
  </si>
  <si>
    <t>https://www.genome.jp/entry/1.97.1.4</t>
  </si>
  <si>
    <t>https://www.genome.jp/entry/R04710</t>
  </si>
  <si>
    <t>C00019|C05196|C05197</t>
  </si>
  <si>
    <t>C05198|C00073|C05199|C05312</t>
  </si>
  <si>
    <t>2.3.1.54</t>
  </si>
  <si>
    <t>https://www.genome.jp/entry/2.3.1.54</t>
  </si>
  <si>
    <t>https://www.genome.jp/entry/R00212</t>
  </si>
  <si>
    <t>C00024|C00058</t>
  </si>
  <si>
    <t>C00010|C00022</t>
  </si>
  <si>
    <t>https://www.genome.jp/entry/R06987</t>
  </si>
  <si>
    <t>C00109|C00010</t>
  </si>
  <si>
    <t>C00100|C00058</t>
  </si>
  <si>
    <t>2.7.1.59</t>
  </si>
  <si>
    <t>https://www.genome.jp/entry/2.7.1.59</t>
  </si>
  <si>
    <t>https://www.genome.jp/entry/R01201</t>
  </si>
  <si>
    <t>C00002|C00140</t>
  </si>
  <si>
    <t>C00008|C00357</t>
  </si>
  <si>
    <t>3.1.2.12</t>
  </si>
  <si>
    <t>https://www.genome.jp/entry/3.1.2.12</t>
  </si>
  <si>
    <t>https://www.genome.jp/entry/R00527</t>
  </si>
  <si>
    <t>C01031|C00001</t>
  </si>
  <si>
    <t>C00058|C00051</t>
  </si>
  <si>
    <t>1.4.1.4</t>
  </si>
  <si>
    <t>https://www.genome.jp/entry/1.4.1.4</t>
  </si>
  <si>
    <t>https://www.genome.jp/entry/R00248</t>
  </si>
  <si>
    <t>C00025|C00006|C00001</t>
  </si>
  <si>
    <t>C00026|C00014|C00005|C00080</t>
  </si>
  <si>
    <t>https://www.genome.jp/entry/R00145</t>
  </si>
  <si>
    <t>C05167|C00001|C00003</t>
  </si>
  <si>
    <t>C00161|C00014|C00004|C00080</t>
  </si>
  <si>
    <t>https://www.genome.jp/entry/R00146</t>
  </si>
  <si>
    <t>C05167|C00001|C00006</t>
  </si>
  <si>
    <t>C00161|C00014|C00005|C00080</t>
  </si>
  <si>
    <t>6.2.1.26</t>
  </si>
  <si>
    <t>https://www.genome.jp/entry/6.2.1.26</t>
  </si>
  <si>
    <t>https://www.genome.jp/entry/R04030</t>
  </si>
  <si>
    <t>C00002|C02730|C00010</t>
  </si>
  <si>
    <t>C00020|C00013|C03160</t>
  </si>
  <si>
    <t>4.2.3.5</t>
  </si>
  <si>
    <t>https://www.genome.jp/entry/4.2.3.5</t>
  </si>
  <si>
    <t>https://www.genome.jp/entry/R01714</t>
  </si>
  <si>
    <t>C01269</t>
  </si>
  <si>
    <t>C00251|C00009</t>
  </si>
  <si>
    <t>3.4.-.-</t>
  </si>
  <si>
    <t>2.3.1.243</t>
  </si>
  <si>
    <t>https://www.genome.jp/entry/2.3.1.243</t>
  </si>
  <si>
    <t>https://www.genome.jp/entry/R05075</t>
  </si>
  <si>
    <t>C05761|C06251</t>
  </si>
  <si>
    <t>C06026|C00229</t>
  </si>
  <si>
    <t>https://www.genome.jp/entry/R12197</t>
  </si>
  <si>
    <t>C05761|C20933</t>
  </si>
  <si>
    <t>C21991|C00229</t>
  </si>
  <si>
    <t>2.7.9.3</t>
  </si>
  <si>
    <t>https://www.genome.jp/entry/2.7.9.3</t>
  </si>
  <si>
    <t>https://www.genome.jp/entry/R03595</t>
  </si>
  <si>
    <t>C00002|C01528|C00001</t>
  </si>
  <si>
    <t>C00020|C05172|C00009</t>
  </si>
  <si>
    <t>2.1.1.228</t>
  </si>
  <si>
    <t>https://www.genome.jp/entry/2.1.1.228</t>
  </si>
  <si>
    <t>https://www.genome.jp/entry/R00597</t>
  </si>
  <si>
    <t>C00019|C01977</t>
  </si>
  <si>
    <t>C00021|C04157</t>
  </si>
  <si>
    <t>2.7.1.71</t>
  </si>
  <si>
    <t>https://www.genome.jp/entry/2.7.1.71</t>
  </si>
  <si>
    <t>https://www.genome.jp/entry/R02412</t>
  </si>
  <si>
    <t>C00002|C00493</t>
  </si>
  <si>
    <t>C00008|C03175</t>
  </si>
  <si>
    <t>4.2.3.4</t>
  </si>
  <si>
    <t>https://www.genome.jp/entry/4.2.3.4</t>
  </si>
  <si>
    <t>https://www.genome.jp/entry/R03083</t>
  </si>
  <si>
    <t>C04691</t>
  </si>
  <si>
    <t>C00944|C00009</t>
  </si>
  <si>
    <t>2.1.1.72</t>
  </si>
  <si>
    <t>https://www.genome.jp/entry/2.1.1.72</t>
  </si>
  <si>
    <t>https://www.genome.jp/entry/R02961</t>
  </si>
  <si>
    <t>C00019|C00821</t>
  </si>
  <si>
    <t>C00021|C03391</t>
  </si>
  <si>
    <t>3.5.4.25</t>
  </si>
  <si>
    <t>https://www.genome.jp/entry/3.5.4.25</t>
  </si>
  <si>
    <t>https://www.genome.jp/entry/R00425</t>
  </si>
  <si>
    <t>C00044|C00001</t>
  </si>
  <si>
    <t>C00058|C01304|C00009</t>
  </si>
  <si>
    <t>3.4.24.70</t>
  </si>
  <si>
    <t>https://www.genome.jp/entry/3.4.24.70</t>
  </si>
  <si>
    <t>3.1.21.-</t>
  </si>
  <si>
    <t>6.3.4.15</t>
  </si>
  <si>
    <t>https://www.genome.jp/entry/6.3.4.15</t>
  </si>
  <si>
    <t>https://www.genome.jp/entry/R04562</t>
  </si>
  <si>
    <t>C00002|C00120|C04735</t>
  </si>
  <si>
    <t>C00020|C00013|C04681</t>
  </si>
  <si>
    <t>https://www.genome.jp/entry/R01074</t>
  </si>
  <si>
    <t>C00002|C00120</t>
  </si>
  <si>
    <t>C00013|C05921</t>
  </si>
  <si>
    <t>https://www.genome.jp/entry/R05145</t>
  </si>
  <si>
    <t>C05921|C06249</t>
  </si>
  <si>
    <t>C00020|C06250</t>
  </si>
  <si>
    <t>1.1.1.205</t>
  </si>
  <si>
    <t>https://www.genome.jp/entry/1.1.1.205</t>
  </si>
  <si>
    <t>https://www.genome.jp/entry/R01130</t>
  </si>
  <si>
    <t>C00130|C00003|C00001</t>
  </si>
  <si>
    <t>C00655|C00004|C00080</t>
  </si>
  <si>
    <t>https://www.genome.jp/entry/R08240</t>
  </si>
  <si>
    <t>C04646|C00003|C00001</t>
  </si>
  <si>
    <t>C16618|C00004|C00080</t>
  </si>
  <si>
    <t>6.3.5.2</t>
  </si>
  <si>
    <t>https://www.genome.jp/entry/6.3.5.2</t>
  </si>
  <si>
    <t>https://www.genome.jp/entry/R00256</t>
  </si>
  <si>
    <t>C00064|C00001 C00025C|00014</t>
  </si>
  <si>
    <t>C00025C|00014</t>
  </si>
  <si>
    <t>https://www.genome.jp/entry/R01230</t>
  </si>
  <si>
    <t>C00002|C00655|C00014</t>
  </si>
  <si>
    <t>C00020|C00013|C00144</t>
  </si>
  <si>
    <t>https://www.genome.jp/entry/R01231</t>
  </si>
  <si>
    <t>C00002|C00655|C00064|C00001</t>
  </si>
  <si>
    <t>C00020|C00013|C00144|C00025</t>
  </si>
  <si>
    <t>https://www.genome.jp/entry/R08244</t>
  </si>
  <si>
    <t>C16618|C00002|C00064|C00001</t>
  </si>
  <si>
    <t>C16619|C00020|C00013|C00025</t>
  </si>
  <si>
    <t>2.7.7.8</t>
  </si>
  <si>
    <t>https://www.genome.jp/entry/2.7.7.8</t>
  </si>
  <si>
    <t>https://www.genome.jp/entry/R07282</t>
  </si>
  <si>
    <t>C00046|C00009</t>
  </si>
  <si>
    <t>C00046|C00454</t>
  </si>
  <si>
    <t>https://www.genome.jp/entry/R00437</t>
  </si>
  <si>
    <t>C00046|C00008</t>
  </si>
  <si>
    <t>https://www.genome.jp/entry/R00438</t>
  </si>
  <si>
    <t>C00046|C00015</t>
  </si>
  <si>
    <t>https://www.genome.jp/entry/R00439</t>
  </si>
  <si>
    <t>C00046|C00035</t>
  </si>
  <si>
    <t>https://www.genome.jp/entry/R00440</t>
  </si>
  <si>
    <t>C00046|C00112</t>
  </si>
  <si>
    <t>1.20.4.1</t>
  </si>
  <si>
    <t>https://www.genome.jp/entry/1.20.4.1</t>
  </si>
  <si>
    <t>https://www.genome.jp/entry/R05747</t>
  </si>
  <si>
    <t>C11215|C07292</t>
  </si>
  <si>
    <t>C06697|C07293</t>
  </si>
  <si>
    <t>2.4.2.29</t>
  </si>
  <si>
    <t>https://www.genome.jp/entry/2.4.2.29</t>
  </si>
  <si>
    <t>https://www.genome.jp/entry/R10209</t>
  </si>
  <si>
    <t>C01977|C16675</t>
  </si>
  <si>
    <t>C20446|C00242</t>
  </si>
  <si>
    <t>2.4.99.17</t>
  </si>
  <si>
    <t>https://www.genome.jp/entry/2.4.99.17</t>
  </si>
  <si>
    <t>https://www.genome.jp/entry/R10220</t>
  </si>
  <si>
    <t>C00019|C20446</t>
  </si>
  <si>
    <t>C00073|C00147|C19647</t>
  </si>
  <si>
    <t>3.1.25.-</t>
  </si>
  <si>
    <t>4.3.3.7</t>
  </si>
  <si>
    <t>https://www.genome.jp/entry/4.3.3.7</t>
  </si>
  <si>
    <t>https://www.genome.jp/entry/R10147</t>
  </si>
  <si>
    <t>C00441|C00022</t>
  </si>
  <si>
    <t>C20258|C00001</t>
  </si>
  <si>
    <t>2.7.1.166</t>
  </si>
  <si>
    <t>https://www.genome.jp/entry/2.7.1.166</t>
  </si>
  <si>
    <t>https://www.genome.jp/entry/R09767</t>
  </si>
  <si>
    <t>C06024|C00002</t>
  </si>
  <si>
    <t>C19877|C00008</t>
  </si>
  <si>
    <t>4.1.2.25</t>
  </si>
  <si>
    <t>https://www.genome.jp/entry/4.1.2.25</t>
  </si>
  <si>
    <t>https://www.genome.jp/entry/R03504</t>
  </si>
  <si>
    <t>C04874</t>
  </si>
  <si>
    <t>C00266|C01300</t>
  </si>
  <si>
    <t>2.3.1.15</t>
  </si>
  <si>
    <t>https://www.genome.jp/entry/2.3.1.15</t>
  </si>
  <si>
    <t>https://www.genome.jp/entry/R00851</t>
  </si>
  <si>
    <t>C00093|C00040</t>
  </si>
  <si>
    <t>C00681|C00010</t>
  </si>
  <si>
    <t>https://www.genome.jp/entry/R02617</t>
  </si>
  <si>
    <t>C00605|C00093</t>
  </si>
  <si>
    <t>C00010|C00681</t>
  </si>
  <si>
    <t>https://www.genome.jp/entry/R09380</t>
  </si>
  <si>
    <t>C00173|C00093</t>
  </si>
  <si>
    <t>C00681|C00229</t>
  </si>
  <si>
    <t>2.7.13.3</t>
  </si>
  <si>
    <t>https://www.genome.jp/entry/2.7.13.3</t>
  </si>
  <si>
    <t>1.3.1.98</t>
  </si>
  <si>
    <t>https://www.genome.jp/entry/1.3.1.98</t>
  </si>
  <si>
    <t>https://www.genome.jp/entry/R03192</t>
  </si>
  <si>
    <t>C01050|C00006</t>
  </si>
  <si>
    <t>C04631|C00005|C00080</t>
  </si>
  <si>
    <t>https://www.genome.jp/entry/R03191</t>
  </si>
  <si>
    <t>C01050|C00003</t>
  </si>
  <si>
    <t>C04631|C00004|C00080</t>
  </si>
  <si>
    <t>2.4.2.10</t>
  </si>
  <si>
    <t>https://www.genome.jp/entry/2.4.2.10</t>
  </si>
  <si>
    <t>https://www.genome.jp/entry/R01870</t>
  </si>
  <si>
    <t>C01103|C00013</t>
  </si>
  <si>
    <t>C00295|C00119</t>
  </si>
  <si>
    <t>https://www.genome.jp/entry/R08231</t>
  </si>
  <si>
    <t>C07649|C00119</t>
  </si>
  <si>
    <t>C16634|C00013</t>
  </si>
  <si>
    <t>6.1.1.17</t>
  </si>
  <si>
    <t>https://www.genome.jp/entry/6.1.1.17</t>
  </si>
  <si>
    <t>https://www.genome.jp/entry/R05578</t>
  </si>
  <si>
    <t>C01641|C00025|C00002</t>
  </si>
  <si>
    <t>C02987|C00013|C00020</t>
  </si>
  <si>
    <t>2.4.2.3</t>
  </si>
  <si>
    <t>https://www.genome.jp/entry/2.4.2.3</t>
  </si>
  <si>
    <t>https://www.genome.jp/entry/R01876</t>
  </si>
  <si>
    <t>C00299|C00009</t>
  </si>
  <si>
    <t>C00106|C00620</t>
  </si>
  <si>
    <t>https://www.genome.jp/entry/R02484</t>
  </si>
  <si>
    <t>C00526|C00009</t>
  </si>
  <si>
    <t>C00106|C00672</t>
  </si>
  <si>
    <t>https://www.genome.jp/entry/R08229</t>
  </si>
  <si>
    <t>C07649|C00620</t>
  </si>
  <si>
    <t>C16633|C00009</t>
  </si>
  <si>
    <t>4.2.99.20</t>
  </si>
  <si>
    <t>https://www.genome.jp/entry/4.2.99.20</t>
  </si>
  <si>
    <t>https://www.genome.jp/entry/R08166</t>
  </si>
  <si>
    <t>C16519</t>
  </si>
  <si>
    <t>C05817|C00022</t>
  </si>
  <si>
    <t>2.2.1.9</t>
  </si>
  <si>
    <t>https://www.genome.jp/entry/2.2.1.9</t>
  </si>
  <si>
    <t>https://www.genome.jp/entry/R08165</t>
  </si>
  <si>
    <t>C00885|C00026</t>
  </si>
  <si>
    <t>C16519|C00011</t>
  </si>
  <si>
    <t>4.3.1.17</t>
  </si>
  <si>
    <t>https://www.genome.jp/entry/4.3.1.17</t>
  </si>
  <si>
    <t>https://www.genome.jp/entry/R00220</t>
  </si>
  <si>
    <t>C00065</t>
  </si>
  <si>
    <t>C00022|C00014</t>
  </si>
  <si>
    <t>https://www.genome.jp/entry/R00590</t>
  </si>
  <si>
    <t>C02218|C00001</t>
  </si>
  <si>
    <t>https://www.genome.jp/entry/R11099</t>
  </si>
  <si>
    <t>C20904|C00001</t>
  </si>
  <si>
    <t>https://www.genome.jp/entry/R11100</t>
  </si>
  <si>
    <t>C02218</t>
  </si>
  <si>
    <t>C20904</t>
  </si>
  <si>
    <t>https://www.genome.jp/entry/R06131</t>
  </si>
  <si>
    <t>C05167</t>
  </si>
  <si>
    <t>C00161|C00014</t>
  </si>
  <si>
    <t>https://www.genome.jp/entry/3.5.1.28</t>
  </si>
  <si>
    <t>https://www.genome.jp/entry/R04112</t>
  </si>
  <si>
    <t>C02999|C00001</t>
  </si>
  <si>
    <t>C02713|C00041</t>
  </si>
  <si>
    <t>2.1.1.193</t>
  </si>
  <si>
    <t>https://www.genome.jp/entry/2.1.1.193</t>
  </si>
  <si>
    <t>3.1.22.4</t>
  </si>
  <si>
    <t>https://www.genome.jp/entry/3.1.22.4</t>
  </si>
  <si>
    <t>1.5.1.2</t>
  </si>
  <si>
    <t>https://www.genome.jp/entry/1.5.1.2</t>
  </si>
  <si>
    <t>https://www.genome.jp/entry/R01248</t>
  </si>
  <si>
    <t>C00148|C00003</t>
  </si>
  <si>
    <t>C03912|C00004|C00080</t>
  </si>
  <si>
    <t>https://www.genome.jp/entry/R01251</t>
  </si>
  <si>
    <t>C00148|C00006</t>
  </si>
  <si>
    <t>C03912|C00005|C00080</t>
  </si>
  <si>
    <t>https://www.genome.jp/entry/R03291</t>
  </si>
  <si>
    <t>C01157|C00003</t>
  </si>
  <si>
    <t>C04281|C00004|C00080</t>
  </si>
  <si>
    <t>https://www.genome.jp/entry/R03293</t>
  </si>
  <si>
    <t>C01157|C00006</t>
  </si>
  <si>
    <t>C04281|C00005|C00080</t>
  </si>
  <si>
    <t>3.6.4.12</t>
  </si>
  <si>
    <t>https://www.genome.jp/entry/3.6.4.12</t>
  </si>
  <si>
    <t>3.6.1.67</t>
  </si>
  <si>
    <t>https://www.genome.jp/entry/3.6.1.67</t>
  </si>
  <si>
    <t>6.1.1.12</t>
  </si>
  <si>
    <t>https://www.genome.jp/entry/6.1.1.12</t>
  </si>
  <si>
    <t>https://www.genome.jp/entry/R05577</t>
  </si>
  <si>
    <t>C01638|C00049|C00002</t>
  </si>
  <si>
    <t>C02984|C00013|C00020</t>
  </si>
  <si>
    <t>4.4.1.5</t>
  </si>
  <si>
    <t>https://www.genome.jp/entry/4.4.1.5</t>
  </si>
  <si>
    <t>https://www.genome.jp/entry/R02530</t>
  </si>
  <si>
    <t>C03451</t>
  </si>
  <si>
    <t>C00051|C00546</t>
  </si>
  <si>
    <t>2.1.1.190</t>
  </si>
  <si>
    <t>https://www.genome.jp/entry/2.1.1.190</t>
  </si>
  <si>
    <t>2.7.6.5</t>
  </si>
  <si>
    <t>https://www.genome.jp/entry/2.7.6.5</t>
  </si>
  <si>
    <t>https://www.genome.jp/entry/R00429</t>
  </si>
  <si>
    <t>C00002|C00044</t>
  </si>
  <si>
    <t>C00020|C04494</t>
  </si>
  <si>
    <t>2.7.7.75</t>
  </si>
  <si>
    <t>https://www.genome.jp/entry/2.7.7.75</t>
  </si>
  <si>
    <t>https://www.genome.jp/entry/R09726</t>
  </si>
  <si>
    <t>C00002|C05924</t>
  </si>
  <si>
    <t>C00013|C19848</t>
  </si>
  <si>
    <t>3.6.1.-</t>
  </si>
  <si>
    <t>2.1.1.33</t>
  </si>
  <si>
    <t>https://www.genome.jp/entry/2.1.1.33</t>
  </si>
  <si>
    <t>https://www.genome.jp/entry/R00600</t>
  </si>
  <si>
    <t>C00021|C04160</t>
  </si>
  <si>
    <t>7.1.1.-</t>
  </si>
  <si>
    <t>2.7.4.3</t>
  </si>
  <si>
    <t>https://www.genome.jp/entry/2.7.4.3</t>
  </si>
  <si>
    <t>https://www.genome.jp/entry/R00127</t>
  </si>
  <si>
    <t>C00002|C00020</t>
  </si>
  <si>
    <t>C00008</t>
  </si>
  <si>
    <t>https://www.genome.jp/entry/R01547</t>
  </si>
  <si>
    <t>C00002|C00360</t>
  </si>
  <si>
    <t>C00008|C00206</t>
  </si>
  <si>
    <t>https://www.genome.jp/entry/R11319</t>
  </si>
  <si>
    <t>C00068|C00008</t>
  </si>
  <si>
    <t>C03028|C00020</t>
  </si>
  <si>
    <t>5.1.3.2</t>
  </si>
  <si>
    <t>https://www.genome.jp/entry/5.1.3.2</t>
  </si>
  <si>
    <t>https://www.genome.jp/entry/R00291</t>
  </si>
  <si>
    <t>C00029</t>
  </si>
  <si>
    <t>C00052</t>
  </si>
  <si>
    <t>https://www.genome.jp/entry/R00418</t>
  </si>
  <si>
    <t>C00043</t>
  </si>
  <si>
    <t>C00203</t>
  </si>
  <si>
    <t>https://www.genome.jp/entry/R02984</t>
  </si>
  <si>
    <t>C00842</t>
  </si>
  <si>
    <t>C02097</t>
  </si>
  <si>
    <t>2.1.1.-</t>
  </si>
  <si>
    <t>2.1.1.192</t>
  </si>
  <si>
    <t>https://www.genome.jp/entry/2.1.1.192</t>
  </si>
  <si>
    <t>1.17.7.1</t>
  </si>
  <si>
    <t>https://www.genome.jp/entry/1.17.7.1</t>
  </si>
  <si>
    <t>https://www.genome.jp/entry/R08689</t>
  </si>
  <si>
    <t>C11453|C00138</t>
  </si>
  <si>
    <t>C11811|C00001|C00139</t>
  </si>
  <si>
    <t>6.1.1.21</t>
  </si>
  <si>
    <t>https://www.genome.jp/entry/6.1.1.21</t>
  </si>
  <si>
    <t>https://www.genome.jp/entry/R03655</t>
  </si>
  <si>
    <t>C00002|C00135|C01643</t>
  </si>
  <si>
    <t>C00020|C00013|C02988</t>
  </si>
  <si>
    <t>3.6.4.-</t>
  </si>
  <si>
    <t>2.8.1.7</t>
  </si>
  <si>
    <t>https://www.genome.jp/entry/2.8.1.7</t>
  </si>
  <si>
    <t>https://www.genome.jp/entry/R07460</t>
  </si>
  <si>
    <t>C15811|C00097</t>
  </si>
  <si>
    <t>C15812|C00041</t>
  </si>
  <si>
    <t>https://www.genome.jp/entry/R11528</t>
  </si>
  <si>
    <t>C00097|C02743</t>
  </si>
  <si>
    <t>C00041|C21440</t>
  </si>
  <si>
    <t>https://www.genome.jp/entry/R11529</t>
  </si>
  <si>
    <t>C15812|C02743</t>
  </si>
  <si>
    <t>C15811|C21440</t>
  </si>
  <si>
    <t>2.1.1.200</t>
  </si>
  <si>
    <t>https://www.genome.jp/entry/2.1.1.200</t>
  </si>
  <si>
    <t>2.3.1.234</t>
  </si>
  <si>
    <t>https://www.genome.jp/entry/2.3.1.234</t>
  </si>
  <si>
    <t>https://www.genome.jp/entry/R10648</t>
  </si>
  <si>
    <t>C20641|C17324</t>
  </si>
  <si>
    <t>C00020|C20751</t>
  </si>
  <si>
    <t>6.2.1.3</t>
  </si>
  <si>
    <t>https://www.genome.jp/entry/6.2.1.3</t>
  </si>
  <si>
    <t>https://www.genome.jp/entry/R00390</t>
  </si>
  <si>
    <t>C00002|C00638|C00010</t>
  </si>
  <si>
    <t>C00020|C00013|C02843</t>
  </si>
  <si>
    <t>3.1.13.5</t>
  </si>
  <si>
    <t>https://www.genome.jp/entry/3.1.13.5</t>
  </si>
  <si>
    <t>3.1.1.29</t>
  </si>
  <si>
    <t>https://www.genome.jp/entry/3.1.1.29</t>
  </si>
  <si>
    <t>https://www.genome.jp/entry/R04238</t>
  </si>
  <si>
    <t>C03880|C00001</t>
  </si>
  <si>
    <t>C03523|C00066</t>
  </si>
  <si>
    <t>3.1.11.6</t>
  </si>
  <si>
    <t>https://www.genome.jp/entry/3.1.11.6</t>
  </si>
  <si>
    <t>3.6.1.13</t>
  </si>
  <si>
    <t>https://www.genome.jp/entry/3.6.1.13</t>
  </si>
  <si>
    <t>https://www.genome.jp/entry/R01054</t>
  </si>
  <si>
    <t>C00301|C00001</t>
  </si>
  <si>
    <t>C00020|C00117</t>
  </si>
  <si>
    <t>3.1.4.53</t>
  </si>
  <si>
    <t>https://www.genome.jp/entry/3.1.4.53</t>
  </si>
  <si>
    <t>https://www.genome.jp/entry/R00191</t>
  </si>
  <si>
    <t>C00575|C00001</t>
  </si>
  <si>
    <t>C00020</t>
  </si>
  <si>
    <t>6.3.4.19</t>
  </si>
  <si>
    <t>https://www.genome.jp/entry/6.3.4.19</t>
  </si>
  <si>
    <t>https://www.genome.jp/entry/R09597</t>
  </si>
  <si>
    <t>C19722|C00047|C00002</t>
  </si>
  <si>
    <t>C19723|C00020|C00013|C00001</t>
  </si>
  <si>
    <t>3.4.24.-</t>
  </si>
  <si>
    <t>5.4.99.24</t>
  </si>
  <si>
    <t>https://www.genome.jp/entry/5.4.99.24</t>
  </si>
  <si>
    <t>3.1.26.12</t>
  </si>
  <si>
    <t>https://www.genome.jp/entry/3.1.26.12</t>
  </si>
  <si>
    <t>2.7.1.50</t>
  </si>
  <si>
    <t>https://www.genome.jp/entry/2.7.1.50</t>
  </si>
  <si>
    <t>https://www.genome.jp/entry/R04448</t>
  </si>
  <si>
    <t>C00002|C04294</t>
  </si>
  <si>
    <t>C00008|C04327</t>
  </si>
  <si>
    <t>2.7.1.49</t>
  </si>
  <si>
    <t>https://www.genome.jp/entry/2.7.1.49</t>
  </si>
  <si>
    <t>https://www.genome.jp/entry/R03471</t>
  </si>
  <si>
    <t>C00002|C01279</t>
  </si>
  <si>
    <t>C00008|C04556</t>
  </si>
  <si>
    <t>2.7.4.7</t>
  </si>
  <si>
    <t>https://www.genome.jp/entry/2.7.4.7</t>
  </si>
  <si>
    <t>https://www.genome.jp/entry/R04509</t>
  </si>
  <si>
    <t>C00002|C04556</t>
  </si>
  <si>
    <t>C00008|C04752</t>
  </si>
  <si>
    <t>2.5.1.3</t>
  </si>
  <si>
    <t>3.6.4.13</t>
  </si>
  <si>
    <t>https://www.genome.jp/entry/3.6.4.13</t>
  </si>
  <si>
    <t>2.7.8.8</t>
  </si>
  <si>
    <t>https://www.genome.jp/entry/2.7.8.8</t>
  </si>
  <si>
    <t>https://www.genome.jp/entry/R01800</t>
  </si>
  <si>
    <t>C00269|C00065</t>
  </si>
  <si>
    <t>C00055|C02737</t>
  </si>
  <si>
    <t>1.8.5.-</t>
  </si>
  <si>
    <t>2.6.1.16</t>
  </si>
  <si>
    <t>https://www.genome.jp/entry/2.6.1.16</t>
  </si>
  <si>
    <t>https://www.genome.jp/entry/R00768</t>
  </si>
  <si>
    <t>C00064|C00085</t>
  </si>
  <si>
    <t>C00025|C00352</t>
  </si>
  <si>
    <t>3.6.1.22</t>
  </si>
  <si>
    <t>https://www.genome.jp/entry/3.6.1.22</t>
  </si>
  <si>
    <t>https://www.genome.jp/entry/R00103</t>
  </si>
  <si>
    <t>C00003|C00001</t>
  </si>
  <si>
    <t>C00020|C00455</t>
  </si>
  <si>
    <t>https://www.genome.jp/entry/R11104</t>
  </si>
  <si>
    <t>C00004|C00001</t>
  </si>
  <si>
    <t>C00020|C21113</t>
  </si>
  <si>
    <t>https://www.genome.jp/entry/R03004</t>
  </si>
  <si>
    <t>C00857|C00001</t>
  </si>
  <si>
    <t>C00020|C01185</t>
  </si>
  <si>
    <t>2.7.1.56</t>
  </si>
  <si>
    <t>https://www.genome.jp/entry/2.7.1.56</t>
  </si>
  <si>
    <t>https://www.genome.jp/entry/R13203</t>
  </si>
  <si>
    <t>C00002|C01094</t>
  </si>
  <si>
    <t>C00008|C00354</t>
  </si>
  <si>
    <t>https://www.genome.jp/entry/R02071</t>
  </si>
  <si>
    <t>C00008|C05378</t>
  </si>
  <si>
    <t>https://www.genome.jp/entry/R03236</t>
  </si>
  <si>
    <t>C01097|C00002</t>
  </si>
  <si>
    <t>C03785|C00008</t>
  </si>
  <si>
    <t>2.7.4.9</t>
  </si>
  <si>
    <t>https://www.genome.jp/entry/2.7.4.9</t>
  </si>
  <si>
    <t>https://www.genome.jp/entry/R02094</t>
  </si>
  <si>
    <t>C00002|C00364</t>
  </si>
  <si>
    <t>C00008|C00363</t>
  </si>
  <si>
    <t>https://www.genome.jp/entry/R02098</t>
  </si>
  <si>
    <t>C00002|C00365</t>
  </si>
  <si>
    <t>C00008|C01346</t>
  </si>
  <si>
    <t>2.4.2.9</t>
  </si>
  <si>
    <t>https://www.genome.jp/entry/2.4.2.9</t>
  </si>
  <si>
    <t>https://www.genome.jp/entry/R00966</t>
  </si>
  <si>
    <t>C00105|C00013</t>
  </si>
  <si>
    <t>C00106|C00119</t>
  </si>
  <si>
    <t>3.6.1.9</t>
  </si>
  <si>
    <t>https://www.genome.jp/entry/3.6.1.9</t>
  </si>
  <si>
    <t>https://www.genome.jp/entry/R01532</t>
  </si>
  <si>
    <t>C00201|C00001</t>
  </si>
  <si>
    <t>C00215|C00013</t>
  </si>
  <si>
    <t>https://www.genome.jp/entry/R00087</t>
  </si>
  <si>
    <t>C00002|C00001</t>
  </si>
  <si>
    <t>C00020|C00013</t>
  </si>
  <si>
    <t>https://www.genome.jp/entry/R00426</t>
  </si>
  <si>
    <t>C00144|C00013</t>
  </si>
  <si>
    <t>https://www.genome.jp/entry/R00515</t>
  </si>
  <si>
    <t>C00063|C00001</t>
  </si>
  <si>
    <t>C00055|C00013</t>
  </si>
  <si>
    <t>https://www.genome.jp/entry/R00662</t>
  </si>
  <si>
    <t>C00075|C00001</t>
  </si>
  <si>
    <t>https://www.genome.jp/entry/R11323</t>
  </si>
  <si>
    <t>C00459|C00001</t>
  </si>
  <si>
    <t>C00364|C00013</t>
  </si>
  <si>
    <t>https://www.genome.jp/entry/R00160</t>
  </si>
  <si>
    <t>C00016|C00001</t>
  </si>
  <si>
    <t>C00020|C00061</t>
  </si>
  <si>
    <t>https://www.genome.jp/entry/R00287</t>
  </si>
  <si>
    <t>C00029|C00001</t>
  </si>
  <si>
    <t>C00105|C00103</t>
  </si>
  <si>
    <t>https://www.genome.jp/entry/R03036</t>
  </si>
  <si>
    <t>C00882|C00001</t>
  </si>
  <si>
    <t>C01134|C00020</t>
  </si>
  <si>
    <t>3.4.21.53</t>
  </si>
  <si>
    <t>https://www.genome.jp/entry/3.4.21.53</t>
  </si>
  <si>
    <t>5.3.1.6</t>
  </si>
  <si>
    <t>https://www.genome.jp/entry/5.3.1.6</t>
  </si>
  <si>
    <t>https://www.genome.jp/entry/R01056</t>
  </si>
  <si>
    <t>C00117</t>
  </si>
  <si>
    <t>C00199</t>
  </si>
  <si>
    <t>https://www.genome.jp/entry/R09030</t>
  </si>
  <si>
    <t>C02962</t>
  </si>
  <si>
    <t>C18096</t>
  </si>
  <si>
    <t>1.1.1.95</t>
  </si>
  <si>
    <t>https://www.genome.jp/entry/1.1.1.95</t>
  </si>
  <si>
    <t>https://www.genome.jp/entry/R01513</t>
  </si>
  <si>
    <t>C00197|C00003</t>
  </si>
  <si>
    <t>C03232|C00004|C00080</t>
  </si>
  <si>
    <t>https://www.genome.jp/entry/R08198</t>
  </si>
  <si>
    <t>C02630|C00003</t>
  </si>
  <si>
    <t>C00026|C00004|C00080</t>
  </si>
  <si>
    <t>2.4.2.17</t>
  </si>
  <si>
    <t>https://www.genome.jp/entry/2.4.2.17</t>
  </si>
  <si>
    <t>https://www.genome.jp/entry/R01071</t>
  </si>
  <si>
    <t>C02739|C00013</t>
  </si>
  <si>
    <t>C00002|C00119</t>
  </si>
  <si>
    <t>1.1.1.23</t>
  </si>
  <si>
    <t>https://www.genome.jp/entry/1.1.1.23</t>
  </si>
  <si>
    <t>https://www.genome.jp/entry/R01158</t>
  </si>
  <si>
    <t>C00860|C00003|C00001</t>
  </si>
  <si>
    <t>C00135|C00004|C00080</t>
  </si>
  <si>
    <t>https://www.genome.jp/entry/R01163</t>
  </si>
  <si>
    <t>C01929|C00001|C00003</t>
  </si>
  <si>
    <t>https://www.genome.jp/entry/R03012</t>
  </si>
  <si>
    <t>C00860|C00003</t>
  </si>
  <si>
    <t>C01929|C00004|C00080</t>
  </si>
  <si>
    <t>2.6.1.9</t>
  </si>
  <si>
    <t>https://www.genome.jp/entry/2.6.1.9</t>
  </si>
  <si>
    <t>https://www.genome.jp/entry/R03243</t>
  </si>
  <si>
    <t>C01100|C00026</t>
  </si>
  <si>
    <t>C01267|C00025</t>
  </si>
  <si>
    <t>https://www.genome.jp/entry/R00694</t>
  </si>
  <si>
    <t>C00079|C00026</t>
  </si>
  <si>
    <t>C00166|C00025</t>
  </si>
  <si>
    <t>https://www.genome.jp/entry/R00734</t>
  </si>
  <si>
    <t>C00082|C00026</t>
  </si>
  <si>
    <t>C01179|C00025</t>
  </si>
  <si>
    <t>3.1.3.15</t>
  </si>
  <si>
    <t>https://www.genome.jp/entry/3.1.3.15</t>
  </si>
  <si>
    <t>https://www.genome.jp/entry/R03013</t>
  </si>
  <si>
    <t>C01100|C00001</t>
  </si>
  <si>
    <t>C00860|C00009</t>
  </si>
  <si>
    <t>4.2.1.19</t>
  </si>
  <si>
    <t>https://www.genome.jp/entry/4.2.1.19</t>
  </si>
  <si>
    <t>https://www.genome.jp/entry/R03457</t>
  </si>
  <si>
    <t>C04666</t>
  </si>
  <si>
    <t>C01267|C00001</t>
  </si>
  <si>
    <t>4.3.2.10</t>
  </si>
  <si>
    <t>https://www.genome.jp/entry/4.3.2.10</t>
  </si>
  <si>
    <t>C00064|C00001</t>
  </si>
  <si>
    <t>C00025|C00014</t>
  </si>
  <si>
    <t>https://www.genome.jp/entry/R04558</t>
  </si>
  <si>
    <t>C04916|C00064</t>
  </si>
  <si>
    <t>C04666|C04677|C00025</t>
  </si>
  <si>
    <t>https://www.genome.jp/entry/R12152</t>
  </si>
  <si>
    <t>C04916|C00014</t>
  </si>
  <si>
    <t>C04677|C04666|C00001</t>
  </si>
  <si>
    <t>5.3.1.16</t>
  </si>
  <si>
    <t>https://www.genome.jp/entry/5.3.1.16</t>
  </si>
  <si>
    <t>https://www.genome.jp/entry/R04640</t>
  </si>
  <si>
    <t>C04896</t>
  </si>
  <si>
    <t>C04916</t>
  </si>
  <si>
    <t>3.5.4.19</t>
  </si>
  <si>
    <t>https://www.genome.jp/entry/3.5.4.19</t>
  </si>
  <si>
    <t>https://www.genome.jp/entry/R04037</t>
  </si>
  <si>
    <t>C02741|C00001</t>
  </si>
  <si>
    <t>3.6.1.31</t>
  </si>
  <si>
    <t>https://www.genome.jp/entry/3.6.1.31</t>
  </si>
  <si>
    <t>https://www.genome.jp/entry/R04035</t>
  </si>
  <si>
    <t>C02739|C00001</t>
  </si>
  <si>
    <t>C02741|C00013</t>
  </si>
  <si>
    <t>7.1.2.2</t>
  </si>
  <si>
    <t>https://www.genome.jp/entry/7.1.2.2</t>
  </si>
  <si>
    <t>https://www.genome.jp/entry/R00086</t>
  </si>
  <si>
    <t>2.1.1.170</t>
  </si>
  <si>
    <t>https://www.genome.jp/entry/2.1.1.170</t>
  </si>
  <si>
    <t>4.4.1.21</t>
  </si>
  <si>
    <t>https://www.genome.jp/entry/4.4.1.21</t>
  </si>
  <si>
    <t>https://www.genome.jp/entry/R01291</t>
  </si>
  <si>
    <t>C03539</t>
  </si>
  <si>
    <t>C11838|C00155</t>
  </si>
  <si>
    <t>3.1.3.2</t>
  </si>
  <si>
    <t>https://www.genome.jp/entry/3.1.3.2</t>
  </si>
  <si>
    <t>https://www.genome.jp/entry/R00626</t>
  </si>
  <si>
    <t>C01153|C00001</t>
  </si>
  <si>
    <t>C00069|C00009</t>
  </si>
  <si>
    <t>https://www.genome.jp/entry/R00548</t>
  </si>
  <si>
    <t>C00061|C00001</t>
  </si>
  <si>
    <t>C00255|C00009</t>
  </si>
  <si>
    <t>https://www.genome.jp/entry/R02135</t>
  </si>
  <si>
    <t>C01081|C00001</t>
  </si>
  <si>
    <t>C00378|C00009</t>
  </si>
  <si>
    <t>https://www.genome.jp/entry/R03024</t>
  </si>
  <si>
    <t>C03360|C00001</t>
  </si>
  <si>
    <t>C00870|C00009</t>
  </si>
  <si>
    <t>https://www.genome.jp/entry/R11527</t>
  </si>
  <si>
    <t>C00681|C00001</t>
  </si>
  <si>
    <t>C01885|C00009</t>
  </si>
  <si>
    <t>https://www.genome.jp/entry/R01010</t>
  </si>
  <si>
    <t>C00111|C00001</t>
  </si>
  <si>
    <t>C00184|C00009</t>
  </si>
  <si>
    <t>3.4.25.2</t>
  </si>
  <si>
    <t>https://www.genome.jp/entry/3.4.25.2</t>
  </si>
  <si>
    <t>3.4.21.-</t>
  </si>
  <si>
    <t>5.4.99.62</t>
  </si>
  <si>
    <t>https://www.genome.jp/entry/5.4.99.62</t>
  </si>
  <si>
    <t>https://www.genome.jp/entry/R08247</t>
  </si>
  <si>
    <t>C08353</t>
  </si>
  <si>
    <t>C16639</t>
  </si>
  <si>
    <t>2.7.1.15</t>
  </si>
  <si>
    <t>https://www.genome.jp/entry/2.7.1.15</t>
  </si>
  <si>
    <t>https://www.genome.jp/entry/R01051</t>
  </si>
  <si>
    <t>C00002|C00121</t>
  </si>
  <si>
    <t>C00008|C00117</t>
  </si>
  <si>
    <t>https://www.genome.jp/entry/R02750</t>
  </si>
  <si>
    <t>C00673|C00008</t>
  </si>
  <si>
    <t>C01801|C00002</t>
  </si>
  <si>
    <t>2.7.7.6</t>
  </si>
  <si>
    <t>https://www.genome.jp/entry/2.7.7.6</t>
  </si>
  <si>
    <t>https://www.genome.jp/entry/R00444</t>
  </si>
  <si>
    <t>C00201|C00046</t>
  </si>
  <si>
    <t>https://www.genome.jp/entry/R00441</t>
  </si>
  <si>
    <t>C00044|C00046</t>
  </si>
  <si>
    <t>https://www.genome.jp/entry/R00442</t>
  </si>
  <si>
    <t>C00063|C00046</t>
  </si>
  <si>
    <t>https://www.genome.jp/entry/R00443</t>
  </si>
  <si>
    <t>C00075|C00046</t>
  </si>
  <si>
    <t>https://www.genome.jp/entry/R10813</t>
  </si>
  <si>
    <t>C00201</t>
  </si>
  <si>
    <t>C20864|C00013</t>
  </si>
  <si>
    <t>2.4.2.1</t>
  </si>
  <si>
    <t>https://www.genome.jp/entry/2.4.2.1</t>
  </si>
  <si>
    <t>https://www.genome.jp/entry/R08368</t>
  </si>
  <si>
    <t>C15586|C00009</t>
  </si>
  <si>
    <t>C15587|C00620</t>
  </si>
  <si>
    <t>https://www.genome.jp/entry/R01561</t>
  </si>
  <si>
    <t>C00212|C00009</t>
  </si>
  <si>
    <t>C00147|C00620</t>
  </si>
  <si>
    <t>https://www.genome.jp/entry/R01863</t>
  </si>
  <si>
    <t>C00294|C00009</t>
  </si>
  <si>
    <t>C00262|C00620</t>
  </si>
  <si>
    <t>https://www.genome.jp/entry/R02147</t>
  </si>
  <si>
    <t>C00387|C00009</t>
  </si>
  <si>
    <t>C00242|C00620</t>
  </si>
  <si>
    <t>https://www.genome.jp/entry/R02297</t>
  </si>
  <si>
    <t>C01762|C00009</t>
  </si>
  <si>
    <t>C00385|C00620</t>
  </si>
  <si>
    <t>https://www.genome.jp/entry/R10244</t>
  </si>
  <si>
    <t>C20463|C00009</t>
  </si>
  <si>
    <t>C15587|C00672</t>
  </si>
  <si>
    <t>https://www.genome.jp/entry/R01969</t>
  </si>
  <si>
    <t>C00330|C00009</t>
  </si>
  <si>
    <t>C00242|C00672</t>
  </si>
  <si>
    <t>https://www.genome.jp/entry/R02557</t>
  </si>
  <si>
    <t>C00559|C00009</t>
  </si>
  <si>
    <t>C00147|C00672</t>
  </si>
  <si>
    <t>https://www.genome.jp/entry/R02748</t>
  </si>
  <si>
    <t>C05512|C00009</t>
  </si>
  <si>
    <t>C00262|C00672</t>
  </si>
  <si>
    <t>https://www.genome.jp/entry/R02294</t>
  </si>
  <si>
    <t>C03150|C00009</t>
  </si>
  <si>
    <t>C00153|C00620</t>
  </si>
  <si>
    <t>https://www.genome.jp/entry/R02295</t>
  </si>
  <si>
    <t>C05841|C00009</t>
  </si>
  <si>
    <t>C00253|C00620|C00080</t>
  </si>
  <si>
    <t>4.1.2.13</t>
  </si>
  <si>
    <t>https://www.genome.jp/entry/4.1.2.13</t>
  </si>
  <si>
    <t>https://www.genome.jp/entry/R01068</t>
  </si>
  <si>
    <t>C00354</t>
  </si>
  <si>
    <t>C00111|C00118</t>
  </si>
  <si>
    <t>https://www.genome.jp/entry/R01070</t>
  </si>
  <si>
    <t>C05378</t>
  </si>
  <si>
    <t>https://www.genome.jp/entry/R01829</t>
  </si>
  <si>
    <t>C00447</t>
  </si>
  <si>
    <t>C00111|C00279</t>
  </si>
  <si>
    <t>https://www.genome.jp/entry/R02568</t>
  </si>
  <si>
    <t>C01094</t>
  </si>
  <si>
    <t>C00111|C00577</t>
  </si>
  <si>
    <t>2.7.2.3</t>
  </si>
  <si>
    <t>https://www.genome.jp/entry/2.7.2.3</t>
  </si>
  <si>
    <t>https://www.genome.jp/entry/R01512</t>
  </si>
  <si>
    <t>C00002|C00197</t>
  </si>
  <si>
    <t>C00008|C00236</t>
  </si>
  <si>
    <t>2.7.1.21</t>
  </si>
  <si>
    <t>https://www.genome.jp/entry/2.7.1.21</t>
  </si>
  <si>
    <t>https://www.genome.jp/entry/R01567</t>
  </si>
  <si>
    <t>C00002|C00214</t>
  </si>
  <si>
    <t>C00008|C00364</t>
  </si>
  <si>
    <t>https://www.genome.jp/entry/R02099</t>
  </si>
  <si>
    <t>C00002|C00526</t>
  </si>
  <si>
    <t>C00008|C00365</t>
  </si>
  <si>
    <t>https://www.genome.jp/entry/R08233</t>
  </si>
  <si>
    <t>C11736|C00002</t>
  </si>
  <si>
    <t>C04242|C00008</t>
  </si>
  <si>
    <t>4.3.1.1</t>
  </si>
  <si>
    <t>https://www.genome.jp/entry/4.3.1.1</t>
  </si>
  <si>
    <t>https://www.genome.jp/entry/R00490</t>
  </si>
  <si>
    <t>C00049</t>
  </si>
  <si>
    <t>C00122|C00014</t>
  </si>
  <si>
    <t>3.5.1.5</t>
  </si>
  <si>
    <t>https://www.genome.jp/entry/3.5.1.5</t>
  </si>
  <si>
    <t>https://www.genome.jp/entry/R12185</t>
  </si>
  <si>
    <t>C00014|C00288</t>
  </si>
  <si>
    <t>C01563|C00001</t>
  </si>
  <si>
    <t>https://www.genome.jp/entry/R13420</t>
  </si>
  <si>
    <t>C00086|C00001</t>
  </si>
  <si>
    <t>C00288|C00014</t>
  </si>
  <si>
    <t>https://www.genome.jp/entry/R13421</t>
  </si>
  <si>
    <t>C01563|C00014</t>
  </si>
  <si>
    <t>https://www.genome.jp/entry/R00131</t>
  </si>
  <si>
    <t>C00011|C00014</t>
  </si>
  <si>
    <t>https://www.genome.jp/entry/R06134</t>
  </si>
  <si>
    <t>C00241|C00001</t>
  </si>
  <si>
    <t>C00060|C00014</t>
  </si>
  <si>
    <t>2.1.1.182</t>
  </si>
  <si>
    <t>https://www.genome.jp/entry/2.1.1.182</t>
  </si>
  <si>
    <t>https://www.genome.jp/entry/R10716</t>
  </si>
  <si>
    <t>C00019|C20648</t>
  </si>
  <si>
    <t>C00021|C20796</t>
  </si>
  <si>
    <t>3.6.1.41</t>
  </si>
  <si>
    <t>https://www.genome.jp/entry/3.6.1.41</t>
  </si>
  <si>
    <t>https://www.genome.jp/entry/R00125</t>
  </si>
  <si>
    <t>C01260|C00001</t>
  </si>
  <si>
    <t>1.1.1.44</t>
  </si>
  <si>
    <t>https://www.genome.jp/entry/1.1.1.44</t>
  </si>
  <si>
    <t>https://www.genome.jp/entry/R01528</t>
  </si>
  <si>
    <t>C00345|C00006</t>
  </si>
  <si>
    <t>C00199|C00011|C00005|C00080</t>
  </si>
  <si>
    <t>3.1.1.31</t>
  </si>
  <si>
    <t>https://www.genome.jp/entry/3.1.1.31</t>
  </si>
  <si>
    <t>https://www.genome.jp/entry/R02035</t>
  </si>
  <si>
    <t>C01236|C00001</t>
  </si>
  <si>
    <t>C00345</t>
  </si>
  <si>
    <t>3.1.3.7</t>
  </si>
  <si>
    <t>https://www.genome.jp/entry/3.1.3.7</t>
  </si>
  <si>
    <t>https://www.genome.jp/entry/R00188</t>
  </si>
  <si>
    <t>C00054|C00001</t>
  </si>
  <si>
    <t>C00020|C00009</t>
  </si>
  <si>
    <t>https://www.genome.jp/entry/R00508</t>
  </si>
  <si>
    <t>C00053|C00001</t>
  </si>
  <si>
    <t>C00224|C00009</t>
  </si>
  <si>
    <t>6.3.1.1</t>
  </si>
  <si>
    <t>https://www.genome.jp/entry/6.3.1.1</t>
  </si>
  <si>
    <t>https://www.genome.jp/entry/R00483</t>
  </si>
  <si>
    <t>C00002|C00049|C00014</t>
  </si>
  <si>
    <t>C00020|C00013|C00152</t>
  </si>
  <si>
    <t>3.1.3.18</t>
  </si>
  <si>
    <t>https://www.genome.jp/entry/3.1.3.18</t>
  </si>
  <si>
    <t>https://www.genome.jp/entry/R01334</t>
  </si>
  <si>
    <t>C00988|C00001</t>
  </si>
  <si>
    <t>C00160|C00009</t>
  </si>
  <si>
    <t>5.1.3.1</t>
  </si>
  <si>
    <t>https://www.genome.jp/entry/5.1.3.1</t>
  </si>
  <si>
    <t>https://www.genome.jp/entry/R01529</t>
  </si>
  <si>
    <t>C00231</t>
  </si>
  <si>
    <t>5.6.2.2</t>
  </si>
  <si>
    <t>https://www.genome.jp/entry/5.6.2.2</t>
  </si>
  <si>
    <t>2.8.1.-</t>
  </si>
  <si>
    <t>2.7.1.33</t>
  </si>
  <si>
    <t>https://www.genome.jp/entry/2.7.1.33</t>
  </si>
  <si>
    <t>https://www.genome.jp/entry/R03018</t>
  </si>
  <si>
    <t>C00002|C00864</t>
  </si>
  <si>
    <t>C00008|C03492</t>
  </si>
  <si>
    <t>2.1.1.176</t>
  </si>
  <si>
    <t>https://www.genome.jp/entry/2.1.1.176</t>
  </si>
  <si>
    <t>2.1.2.9</t>
  </si>
  <si>
    <t>https://www.genome.jp/entry/2.1.2.9</t>
  </si>
  <si>
    <t>https://www.genome.jp/entry/R03940</t>
  </si>
  <si>
    <t>C02430|C00234</t>
  </si>
  <si>
    <t>C00101|C03294</t>
  </si>
  <si>
    <t>3.5.1.88</t>
  </si>
  <si>
    <t>https://www.genome.jp/entry/3.5.1.88</t>
  </si>
  <si>
    <t>https://www.genome.jp/entry/R05635</t>
  </si>
  <si>
    <t>C11439|C00001</t>
  </si>
  <si>
    <t>C11440|C00058</t>
  </si>
  <si>
    <t>https://www.genome.jp/entry/R04268</t>
  </si>
  <si>
    <t>C04258|C00001</t>
  </si>
  <si>
    <t>C00058|C03617</t>
  </si>
  <si>
    <t>2.1.3.3</t>
  </si>
  <si>
    <t>https://www.genome.jp/entry/2.1.3.3</t>
  </si>
  <si>
    <t>https://www.genome.jp/entry/R01398</t>
  </si>
  <si>
    <t>C00169|C00077</t>
  </si>
  <si>
    <t>C00009|C00327</t>
  </si>
  <si>
    <t>2.7.2.2</t>
  </si>
  <si>
    <t>https://www.genome.jp/entry/2.7.2.2</t>
  </si>
  <si>
    <t>https://www.genome.jp/entry/R00150</t>
  </si>
  <si>
    <t>C00002|C00014|C00288</t>
  </si>
  <si>
    <t>C00008|C00169|C00001</t>
  </si>
  <si>
    <t>https://www.genome.jp/entry/R01395</t>
  </si>
  <si>
    <t>C00002|C01563</t>
  </si>
  <si>
    <t>C00008|C00169</t>
  </si>
  <si>
    <t>3.4.13.21</t>
  </si>
  <si>
    <t>https://www.genome.jp/entry/3.4.13.21</t>
  </si>
  <si>
    <t>3.1.4.16</t>
  </si>
  <si>
    <t>https://www.genome.jp/entry/3.1.4.16</t>
  </si>
  <si>
    <t>https://www.genome.jp/entry/R03423</t>
  </si>
  <si>
    <t>C01240|C00001</t>
  </si>
  <si>
    <t>C03419</t>
  </si>
  <si>
    <t>https://www.genome.jp/entry/R03537</t>
  </si>
  <si>
    <t>C02353|C00001</t>
  </si>
  <si>
    <t>C01367</t>
  </si>
  <si>
    <t>https://www.genome.jp/entry/R03538</t>
  </si>
  <si>
    <t>C02355|C00001</t>
  </si>
  <si>
    <t>C01368</t>
  </si>
  <si>
    <t>https://www.genome.jp/entry/R03929</t>
  </si>
  <si>
    <t>C02354|C00001</t>
  </si>
  <si>
    <t>C05822</t>
  </si>
  <si>
    <t>https://www.genome.jp/entry/R05135</t>
  </si>
  <si>
    <t>C06194|C00001</t>
  </si>
  <si>
    <t>C06193</t>
  </si>
  <si>
    <t>1.3.1.-</t>
  </si>
  <si>
    <t>1.3.1.91</t>
  </si>
  <si>
    <t>https://www.genome.jp/entry/1.3.1.91</t>
  </si>
  <si>
    <t>6.1.1.2</t>
  </si>
  <si>
    <t>https://www.genome.jp/entry/6.1.1.2</t>
  </si>
  <si>
    <t>https://www.genome.jp/entry/R03664</t>
  </si>
  <si>
    <t>C00002|C00078|C01652</t>
  </si>
  <si>
    <t>C00020|C00013|C03512</t>
  </si>
  <si>
    <t>4.3.2.2</t>
  </si>
  <si>
    <t>https://www.genome.jp/entry/4.3.2.2</t>
  </si>
  <si>
    <t>https://www.genome.jp/entry/R01083</t>
  </si>
  <si>
    <t>C03794</t>
  </si>
  <si>
    <t>C00122|C00020</t>
  </si>
  <si>
    <t>https://www.genome.jp/entry/R04559</t>
  </si>
  <si>
    <t>C04823</t>
  </si>
  <si>
    <t>C00122|C04677</t>
  </si>
  <si>
    <t>https://www.genome.jp/entry/R12851</t>
  </si>
  <si>
    <t>C22395</t>
  </si>
  <si>
    <t>C22441|C00122</t>
  </si>
  <si>
    <t>1.7.2.3</t>
  </si>
  <si>
    <t>https://www.genome.jp/entry/1.7.2.3</t>
  </si>
  <si>
    <t>https://www.genome.jp/entry/R02560</t>
  </si>
  <si>
    <t>C00565|C00125|C00001</t>
  </si>
  <si>
    <t>C01104|C00126|C00080</t>
  </si>
  <si>
    <t>1.2.1.11</t>
  </si>
  <si>
    <t>https://www.genome.jp/entry/1.2.1.11</t>
  </si>
  <si>
    <t>https://www.genome.jp/entry/R02291</t>
  </si>
  <si>
    <t>C00441|C00009|C00006</t>
  </si>
  <si>
    <t>C03082|C00005|C00080</t>
  </si>
  <si>
    <t>2.7.7.3</t>
  </si>
  <si>
    <t>https://www.genome.jp/entry/2.7.7.3</t>
  </si>
  <si>
    <t>https://www.genome.jp/entry/R03035</t>
  </si>
  <si>
    <t>C00002|C01134</t>
  </si>
  <si>
    <t>C00013|C00882</t>
  </si>
  <si>
    <t>2.4.99.12</t>
  </si>
  <si>
    <t>https://www.genome.jp/entry/2.4.99.12</t>
  </si>
  <si>
    <t>https://www.genome.jp/entry/R04658</t>
  </si>
  <si>
    <t>C04919|C04121</t>
  </si>
  <si>
    <t>C06024|C00055</t>
  </si>
  <si>
    <t>1.1.1.25</t>
  </si>
  <si>
    <t>https://www.genome.jp/entry/1.1.1.25</t>
  </si>
  <si>
    <t>https://www.genome.jp/entry/R02413</t>
  </si>
  <si>
    <t>C00493|C00006</t>
  </si>
  <si>
    <t>C02637|C00005|C00080</t>
  </si>
  <si>
    <t>https://www.genome.jp/entry/R12885</t>
  </si>
  <si>
    <t>C02637|C00006</t>
  </si>
  <si>
    <t>C22438|C00005|C00080</t>
  </si>
  <si>
    <t>3.1.3.11</t>
  </si>
  <si>
    <t>https://www.genome.jp/entry/3.1.3.11</t>
  </si>
  <si>
    <t>https://www.genome.jp/entry/R00762</t>
  </si>
  <si>
    <t>C00354|C00001</t>
  </si>
  <si>
    <t>C00085|C00009</t>
  </si>
  <si>
    <t>https://www.genome.jp/entry/R04780</t>
  </si>
  <si>
    <t>C05378|C00001</t>
  </si>
  <si>
    <t>C05345|C00009</t>
  </si>
  <si>
    <t>https://www.genome.jp/entry/R01845</t>
  </si>
  <si>
    <t>C00447|C00001</t>
  </si>
  <si>
    <t>C05382|C00009</t>
  </si>
  <si>
    <t>3.1.1.96</t>
  </si>
  <si>
    <t>https://www.genome.jp/entry/3.1.1.96</t>
  </si>
  <si>
    <t>4.6.1.12</t>
  </si>
  <si>
    <t>https://www.genome.jp/entry/4.6.1.12</t>
  </si>
  <si>
    <t>https://www.genome.jp/entry/R05637</t>
  </si>
  <si>
    <t>C11436</t>
  </si>
  <si>
    <t>C11453|C00055</t>
  </si>
  <si>
    <t>2.7.7.60</t>
  </si>
  <si>
    <t>https://www.genome.jp/entry/2.7.7.60</t>
  </si>
  <si>
    <t>https://www.genome.jp/entry/R05633</t>
  </si>
  <si>
    <t>C11434|C00063</t>
  </si>
  <si>
    <t>C11435|C00013</t>
  </si>
  <si>
    <t>2.4.2.22</t>
  </si>
  <si>
    <t>https://www.genome.jp/entry/2.4.2.22</t>
  </si>
  <si>
    <t>https://www.genome.jp/entry/R02142</t>
  </si>
  <si>
    <t>C00655|C00013</t>
  </si>
  <si>
    <t>C00385|C00119</t>
  </si>
  <si>
    <t>https://www.genome.jp/entry/R01229</t>
  </si>
  <si>
    <t>C00242|C00119</t>
  </si>
  <si>
    <t>5.3.1.1</t>
  </si>
  <si>
    <t>https://www.genome.jp/entry/5.3.1.1</t>
  </si>
  <si>
    <t>https://www.genome.jp/entry/R01015</t>
  </si>
  <si>
    <t>C00118</t>
  </si>
  <si>
    <t>C00111</t>
  </si>
  <si>
    <t>2.8.1.1</t>
  </si>
  <si>
    <t>https://www.genome.jp/entry/2.8.1.1</t>
  </si>
  <si>
    <t>https://www.genome.jp/entry/R01931</t>
  </si>
  <si>
    <t>C00320|C00177</t>
  </si>
  <si>
    <t>C00094|C01755</t>
  </si>
  <si>
    <t>1.1.1.86</t>
  </si>
  <si>
    <t>https://www.genome.jp/entry/1.1.1.86</t>
  </si>
  <si>
    <t>https://www.genome.jp/entry/R04439</t>
  </si>
  <si>
    <t>C04272|C00006</t>
  </si>
  <si>
    <t>C06010|C00005|C00080</t>
  </si>
  <si>
    <t>https://www.genome.jp/entry/R03051</t>
  </si>
  <si>
    <t>C00900|C00005|C00080</t>
  </si>
  <si>
    <t>C04039|C00006</t>
  </si>
  <si>
    <t>https://www.genome.jp/entry/R04440</t>
  </si>
  <si>
    <t>C04181|C00005|C00080</t>
  </si>
  <si>
    <t>https://www.genome.jp/entry/R05068</t>
  </si>
  <si>
    <t>C06007|C00006</t>
  </si>
  <si>
    <t>C14463|C00005|C00080</t>
  </si>
  <si>
    <t>https://www.genome.jp/entry/R05069</t>
  </si>
  <si>
    <t>C06006</t>
  </si>
  <si>
    <t>C14463</t>
  </si>
  <si>
    <t>https://www.genome.jp/entry/R05071</t>
  </si>
  <si>
    <t>C06010</t>
  </si>
  <si>
    <t>C04181</t>
  </si>
  <si>
    <t>1.1.5.3</t>
  </si>
  <si>
    <t>https://www.genome.jp/entry/1.1.5.3</t>
  </si>
  <si>
    <t>https://www.genome.jp/entry/R00849</t>
  </si>
  <si>
    <t>C00093|C15602</t>
  </si>
  <si>
    <t>C00111|C15603</t>
  </si>
  <si>
    <t>https://www.genome.jp/entry/R08657</t>
  </si>
  <si>
    <t>C00093|C00399</t>
  </si>
  <si>
    <t>C00111|C00390</t>
  </si>
  <si>
    <t>https://www.genome.jp/entry/R00848</t>
  </si>
  <si>
    <t>C00093|C00016</t>
  </si>
  <si>
    <t>C00111|C01352</t>
  </si>
  <si>
    <t>3.1.4.46</t>
  </si>
  <si>
    <t>https://www.genome.jp/entry/3.1.4.46</t>
  </si>
  <si>
    <t>https://www.genome.jp/entry/R00857</t>
  </si>
  <si>
    <t>C03120|C00001</t>
  </si>
  <si>
    <t>C00069|C00093</t>
  </si>
  <si>
    <t>https://www.genome.jp/entry/R01030</t>
  </si>
  <si>
    <t>C00670|C00001</t>
  </si>
  <si>
    <t>C00114|C00093</t>
  </si>
  <si>
    <t>https://www.genome.jp/entry/R01470</t>
  </si>
  <si>
    <t>C01233|C00001</t>
  </si>
  <si>
    <t>C00189|C00093</t>
  </si>
  <si>
    <t>2.7.1.30</t>
  </si>
  <si>
    <t>https://www.genome.jp/entry/2.7.1.30</t>
  </si>
  <si>
    <t>https://www.genome.jp/entry/R00847</t>
  </si>
  <si>
    <t>C00002|C00116</t>
  </si>
  <si>
    <t>C00008|C00093</t>
  </si>
  <si>
    <t>5.4.99.27</t>
  </si>
  <si>
    <t>https://www.genome.jp/entry/5.4.99.27</t>
  </si>
  <si>
    <t>3.1.3.6</t>
  </si>
  <si>
    <t>https://www.genome.jp/entry/3.1.3.6</t>
  </si>
  <si>
    <t>https://www.genome.jp/entry/R03060</t>
  </si>
  <si>
    <t>C02508|C00001</t>
  </si>
  <si>
    <t>C00911|C00009</t>
  </si>
  <si>
    <t>https://www.genome.jp/entry/R01562</t>
  </si>
  <si>
    <t>C01367|C00001</t>
  </si>
  <si>
    <t>https://www.genome.jp/entry/R01877</t>
  </si>
  <si>
    <t>C01368|C00001</t>
  </si>
  <si>
    <t>https://www.genome.jp/entry/R02148</t>
  </si>
  <si>
    <t>C06193|C00001</t>
  </si>
  <si>
    <t>https://www.genome.jp/entry/R02370</t>
  </si>
  <si>
    <t>C05822|C00001</t>
  </si>
  <si>
    <t>C00475|C00009</t>
  </si>
  <si>
    <t>4.1.99.1</t>
  </si>
  <si>
    <t>https://www.genome.jp/entry/4.1.99.1</t>
  </si>
  <si>
    <t>https://www.genome.jp/entry/R00673</t>
  </si>
  <si>
    <t>C00078|C00001</t>
  </si>
  <si>
    <t>C00463|C00022|C00014</t>
  </si>
  <si>
    <t>https://www.genome.jp/entry/R12758</t>
  </si>
  <si>
    <t>C00078</t>
  </si>
  <si>
    <t>C00463|C02218</t>
  </si>
  <si>
    <t>2.9.1.1</t>
  </si>
  <si>
    <t>https://www.genome.jp/entry/2.9.1.1</t>
  </si>
  <si>
    <t>https://www.genome.jp/entry/R08219</t>
  </si>
  <si>
    <t>C06481|C05172</t>
  </si>
  <si>
    <t>C06482|C00009</t>
  </si>
  <si>
    <t>3.4.21.92</t>
  </si>
  <si>
    <t>4.6.1.1</t>
  </si>
  <si>
    <t>https://www.genome.jp/entry/4.6.1.1</t>
  </si>
  <si>
    <t>https://www.genome.jp/entry/R00089</t>
  </si>
  <si>
    <t>C00002</t>
  </si>
  <si>
    <t>C00575|C00013</t>
  </si>
  <si>
    <t>https://www.genome.jp/entry/R00434</t>
  </si>
  <si>
    <t>C00044</t>
  </si>
  <si>
    <t>C00942|C00013</t>
  </si>
  <si>
    <t>1.1.1.94</t>
  </si>
  <si>
    <t>https://www.genome.jp/entry/1.1.1.94</t>
  </si>
  <si>
    <t>https://www.genome.jp/entry/R00842</t>
  </si>
  <si>
    <t>C00093|C00003</t>
  </si>
  <si>
    <t>C00111|C00004|C00080</t>
  </si>
  <si>
    <t>https://www.genome.jp/entry/R00844</t>
  </si>
  <si>
    <t>C00093|C00006</t>
  </si>
  <si>
    <t>C00111|C00005|C00080</t>
  </si>
  <si>
    <t>2.3.1.30</t>
  </si>
  <si>
    <t>https://www.genome.jp/entry/2.3.1.30</t>
  </si>
  <si>
    <t>https://www.genome.jp/entry/R00586</t>
  </si>
  <si>
    <t>C00065|C00024</t>
  </si>
  <si>
    <t>C00979|C00010</t>
  </si>
  <si>
    <t>1.5.1.5</t>
  </si>
  <si>
    <t>https://www.genome.jp/entry/1.5.1.5</t>
  </si>
  <si>
    <t>https://www.genome.jp/entry/R01220</t>
  </si>
  <si>
    <t>C00143|C00006</t>
  </si>
  <si>
    <t>C00445|C00005</t>
  </si>
  <si>
    <t>3.5.4.9</t>
  </si>
  <si>
    <t>https://www.genome.jp/entry/3.5.4.9</t>
  </si>
  <si>
    <t>https://www.genome.jp/entry/R01655</t>
  </si>
  <si>
    <t>C00445|C00001</t>
  </si>
  <si>
    <t>C00234|C00080</t>
  </si>
  <si>
    <t>4.1.2.17</t>
  </si>
  <si>
    <t>https://www.genome.jp/entry/4.1.2.17</t>
  </si>
  <si>
    <t>https://www.genome.jp/entry/R02262</t>
  </si>
  <si>
    <t>C01099</t>
  </si>
  <si>
    <t>C00111|C00424</t>
  </si>
  <si>
    <t>https://www.genome.jp/entry/R12696</t>
  </si>
  <si>
    <t>C22337</t>
  </si>
  <si>
    <t>C00111|C00266</t>
  </si>
  <si>
    <t>5.1.3.29</t>
  </si>
  <si>
    <t>https://www.genome.jp/entry/5.1.3.29</t>
  </si>
  <si>
    <t>https://www.genome.jp/entry/R10764</t>
  </si>
  <si>
    <t>C20835</t>
  </si>
  <si>
    <t>C20836</t>
  </si>
  <si>
    <t>2.7.1.51</t>
  </si>
  <si>
    <t>https://www.genome.jp/entry/2.7.1.51</t>
  </si>
  <si>
    <t>https://www.genome.jp/entry/R03241</t>
  </si>
  <si>
    <t>C00002|C01721</t>
  </si>
  <si>
    <t>C00008|C01099</t>
  </si>
  <si>
    <t>https://www.genome.jp/entry/R12695</t>
  </si>
  <si>
    <t>C00002|C00309</t>
  </si>
  <si>
    <t>C00008|C22337</t>
  </si>
  <si>
    <t>5.3.1.25</t>
  </si>
  <si>
    <t>https://www.genome.jp/entry/5.3.1.25</t>
  </si>
  <si>
    <t>https://www.genome.jp/entry/R03163</t>
  </si>
  <si>
    <t>C01019</t>
  </si>
  <si>
    <t>C01721</t>
  </si>
  <si>
    <t>5.4.99.28</t>
  </si>
  <si>
    <t>https://www.genome.jp/entry/5.4.99.28</t>
  </si>
  <si>
    <t>5.4.99.29</t>
  </si>
  <si>
    <t>https://www.genome.jp/entry/5.4.99.29</t>
  </si>
  <si>
    <t>3.4.21.105</t>
  </si>
  <si>
    <t>https://www.genome.jp/entry/3.4.21.105</t>
  </si>
  <si>
    <t>3.1.3.82</t>
  </si>
  <si>
    <t>https://www.genome.jp/entry/3.1.3.82</t>
  </si>
  <si>
    <t>https://www.genome.jp/entry/R05647</t>
  </si>
  <si>
    <t>C11472|C00001</t>
  </si>
  <si>
    <t>C07838|C00009</t>
  </si>
  <si>
    <t>4.1.1.20</t>
  </si>
  <si>
    <t>https://www.genome.jp/entry/4.1.1.20</t>
  </si>
  <si>
    <t>https://www.genome.jp/entry/R00451</t>
  </si>
  <si>
    <t>C00680</t>
  </si>
  <si>
    <t>C00047|C00011</t>
  </si>
  <si>
    <t>6.1.1.15</t>
  </si>
  <si>
    <t>https://www.genome.jp/entry/6.1.1.15</t>
  </si>
  <si>
    <t>https://www.genome.jp/entry/R03661</t>
  </si>
  <si>
    <t>C00002|C00148|C01649</t>
  </si>
  <si>
    <t>C00020|C00013|C02702</t>
  </si>
  <si>
    <t>2.3.1.51</t>
  </si>
  <si>
    <t>https://www.genome.jp/entry/2.3.1.51</t>
  </si>
  <si>
    <t>https://www.genome.jp/entry/R02241</t>
  </si>
  <si>
    <t>C00416|C00010</t>
  </si>
  <si>
    <t>C00681|C00040</t>
  </si>
  <si>
    <t>https://www.genome.jp/entry/R02760</t>
  </si>
  <si>
    <t>C00605|C00681</t>
  </si>
  <si>
    <t>C00010|C00416</t>
  </si>
  <si>
    <t>https://www.genome.jp/entry/R09381</t>
  </si>
  <si>
    <t>C00173|C00681</t>
  </si>
  <si>
    <t>C00229|C00416</t>
  </si>
  <si>
    <t>3.6.1.54</t>
  </si>
  <si>
    <t>https://www.genome.jp/entry/3.6.1.54</t>
  </si>
  <si>
    <t>https://www.genome.jp/entry/R04549</t>
  </si>
  <si>
    <t>C04652|C00001</t>
  </si>
  <si>
    <t>C00105|C04824</t>
  </si>
  <si>
    <t>4.2.1.9</t>
  </si>
  <si>
    <t>https://www.genome.jp/entry/4.2.1.9</t>
  </si>
  <si>
    <t>https://www.genome.jp/entry/R01209</t>
  </si>
  <si>
    <t>C04039</t>
  </si>
  <si>
    <t>C00141|C00001</t>
  </si>
  <si>
    <t>https://www.genome.jp/entry/R04441</t>
  </si>
  <si>
    <t>C04272</t>
  </si>
  <si>
    <t>https://www.genome.jp/entry/R05070</t>
  </si>
  <si>
    <t>C06007</t>
  </si>
  <si>
    <t>C00671|C00001</t>
  </si>
  <si>
    <t>4.3.1.19</t>
  </si>
  <si>
    <t>https://www.genome.jp/entry/4.3.1.19</t>
  </si>
  <si>
    <t>https://www.genome.jp/entry/R00996</t>
  </si>
  <si>
    <t>C00188</t>
  </si>
  <si>
    <t>C00109|C00014</t>
  </si>
  <si>
    <t>https://www.genome.jp/entry/R11098</t>
  </si>
  <si>
    <t>C20905|C00001</t>
  </si>
  <si>
    <t>https://www.genome.jp/entry/R11101</t>
  </si>
  <si>
    <t>C17234</t>
  </si>
  <si>
    <t>C20905</t>
  </si>
  <si>
    <t>3.4.21.88</t>
  </si>
  <si>
    <t>https://www.genome.jp/entry/3.4.21.88</t>
  </si>
  <si>
    <t>5.1.1.7</t>
  </si>
  <si>
    <t>https://www.genome.jp/entry/5.1.1.7</t>
  </si>
  <si>
    <t>https://www.genome.jp/entry/R02735</t>
  </si>
  <si>
    <t>C00666</t>
  </si>
  <si>
    <t>1.11.1.-</t>
  </si>
  <si>
    <t>6.3.5.3</t>
  </si>
  <si>
    <t>https://www.genome.jp/entry/6.3.5.3</t>
  </si>
  <si>
    <t>https://www.genome.jp/entry/R04463</t>
  </si>
  <si>
    <t>C00002|C04376|C00064|C00001</t>
  </si>
  <si>
    <t>C00008|C00009|C04640|C00025</t>
  </si>
  <si>
    <t>5.4.2.11</t>
  </si>
  <si>
    <t>https://www.genome.jp/entry/5.4.2.11</t>
  </si>
  <si>
    <t>https://www.genome.jp/entry/R01516</t>
  </si>
  <si>
    <t>C01159|C00615</t>
  </si>
  <si>
    <t>C00197|C04262</t>
  </si>
  <si>
    <t>3.2.2.31</t>
  </si>
  <si>
    <t>https://www.genome.jp/entry/3.2.2.31</t>
  </si>
  <si>
    <t>2.7.1.22</t>
  </si>
  <si>
    <t>https://www.genome.jp/entry/2.7.1.22</t>
  </si>
  <si>
    <t>https://www.genome.jp/entry/R02324</t>
  </si>
  <si>
    <t>C00002|C03150</t>
  </si>
  <si>
    <t>C00008|C00455</t>
  </si>
  <si>
    <t>2.7.7.1</t>
  </si>
  <si>
    <t>https://www.genome.jp/entry/2.7.7.1</t>
  </si>
  <si>
    <t>https://www.genome.jp/entry/R00137</t>
  </si>
  <si>
    <t>C00002|C00455</t>
  </si>
  <si>
    <t>C00013|C00003</t>
  </si>
  <si>
    <t>https://www.genome.jp/entry/R03005</t>
  </si>
  <si>
    <t>C00002|C01185</t>
  </si>
  <si>
    <t>C00013|C00857</t>
  </si>
  <si>
    <t>4.1.99.12</t>
  </si>
  <si>
    <t>https://www.genome.jp/entry/4.1.99.12</t>
  </si>
  <si>
    <t>https://www.genome.jp/entry/R07281</t>
  </si>
  <si>
    <t>C15556|C00058</t>
  </si>
  <si>
    <t>2.1.1.207</t>
  </si>
  <si>
    <t>https://www.genome.jp/entry/2.1.1.207</t>
  </si>
  <si>
    <t>2.1.1.171</t>
  </si>
  <si>
    <t>https://www.genome.jp/entry/2.1.1.171</t>
  </si>
  <si>
    <t>1.1.1.267</t>
  </si>
  <si>
    <t>https://www.genome.jp/entry/1.1.1.267</t>
  </si>
  <si>
    <t>https://www.genome.jp/entry/R05688</t>
  </si>
  <si>
    <t>C11434|C00006</t>
  </si>
  <si>
    <t>C11437|C00005|C00080</t>
  </si>
  <si>
    <t>4.1.1.49</t>
  </si>
  <si>
    <t>https://www.genome.jp/entry/4.1.1.49</t>
  </si>
  <si>
    <t>https://www.genome.jp/entry/R00341</t>
  </si>
  <si>
    <t>C00002|C00036</t>
  </si>
  <si>
    <t>C00008|C00074|C00011</t>
  </si>
  <si>
    <t>4.3.2.1</t>
  </si>
  <si>
    <t>https://www.genome.jp/entry/4.3.2.1</t>
  </si>
  <si>
    <t>https://www.genome.jp/entry/R01086</t>
  </si>
  <si>
    <t>C03406</t>
  </si>
  <si>
    <t>C00122|C00062</t>
  </si>
  <si>
    <t>2.7.7.9</t>
  </si>
  <si>
    <t>https://www.genome.jp/entry/2.7.7.9</t>
  </si>
  <si>
    <t>https://www.genome.jp/entry/R00289</t>
  </si>
  <si>
    <t>C00075|C00103</t>
  </si>
  <si>
    <t>C00013|C00029</t>
  </si>
  <si>
    <t>6.1.1.7</t>
  </si>
  <si>
    <t>https://www.genome.jp/entry/6.1.1.7</t>
  </si>
  <si>
    <t>https://www.genome.jp/entry/R03038</t>
  </si>
  <si>
    <t>C00002|C00041|C01635</t>
  </si>
  <si>
    <t>C00020|C00013|C00886</t>
  </si>
  <si>
    <t>3.4.11.9</t>
  </si>
  <si>
    <t>https://www.genome.jp/entry/3.4.11.9</t>
  </si>
  <si>
    <t>2.7.1.6</t>
  </si>
  <si>
    <t>https://www.genome.jp/entry/2.7.1.6</t>
  </si>
  <si>
    <t>https://www.genome.jp/entry/R01092</t>
  </si>
  <si>
    <t>C00002|C00984</t>
  </si>
  <si>
    <t>C00008|C00446</t>
  </si>
  <si>
    <t>3.1.2.20</t>
  </si>
  <si>
    <t>https://www.genome.jp/entry/3.1.2.20</t>
  </si>
  <si>
    <t>https://www.genome.jp/entry/R00383</t>
  </si>
  <si>
    <t>C00040|C00001</t>
  </si>
  <si>
    <t>C00010|C00060</t>
  </si>
  <si>
    <t>2.4.1.129</t>
  </si>
  <si>
    <t>https://www.genome.jp/entry/2.4.1.129</t>
  </si>
  <si>
    <t>1.3.5.4</t>
  </si>
  <si>
    <t>https://www.genome.jp/entry/1.3.5.4</t>
  </si>
  <si>
    <t>6.3.1.-</t>
  </si>
  <si>
    <t>2.7.7.77</t>
  </si>
  <si>
    <t>https://www.genome.jp/entry/2.7.7.77</t>
  </si>
  <si>
    <t>https://www.genome.jp/entry/R11581</t>
  </si>
  <si>
    <t>C18237|C00044</t>
  </si>
  <si>
    <t>C19871|C00013</t>
  </si>
  <si>
    <t>2.1.1.35</t>
  </si>
  <si>
    <t>https://www.genome.jp/entry/2.1.1.35</t>
  </si>
  <si>
    <t>https://www.genome.jp/entry/R00594</t>
  </si>
  <si>
    <t>C00019|C01764</t>
  </si>
  <si>
    <t>C00021|C03446</t>
  </si>
  <si>
    <t>1.14.14.18</t>
  </si>
  <si>
    <t>https://www.genome.jp/entry/1.14.14.18</t>
  </si>
  <si>
    <t>https://www.genome.jp/entry/R00311</t>
  </si>
  <si>
    <t>C00032|C03024|C00007</t>
  </si>
  <si>
    <t>C00500|C00237|C14818|3 C03161|C00001</t>
  </si>
  <si>
    <t>6.3.3.2</t>
  </si>
  <si>
    <t>https://www.genome.jp/entry/6.3.3.2</t>
  </si>
  <si>
    <t>https://www.genome.jp/entry/R02301</t>
  </si>
  <si>
    <t>C00002|C03479|C00080</t>
  </si>
  <si>
    <t>C00008|C00009|C00445</t>
  </si>
  <si>
    <t>2.1.1.185</t>
  </si>
  <si>
    <t>https://www.genome.jp/entry/2.1.1.185</t>
  </si>
  <si>
    <t>3.1.13.1</t>
  </si>
  <si>
    <t>https://www.genome.jp/entry/3.1.13.1</t>
  </si>
  <si>
    <t>1.4.3.5</t>
  </si>
  <si>
    <t>https://www.genome.jp/entry/1.4.3.5</t>
  </si>
  <si>
    <t>https://www.genome.jp/entry/R00277</t>
  </si>
  <si>
    <t>C00647|C00001|C00007</t>
  </si>
  <si>
    <t>C00018|C00014|C00027</t>
  </si>
  <si>
    <t>https://www.genome.jp/entry/R00278</t>
  </si>
  <si>
    <t>C00627|C00007</t>
  </si>
  <si>
    <t>C00027|C00018</t>
  </si>
  <si>
    <t>https://www.genome.jp/entry/R01710</t>
  </si>
  <si>
    <t>C00534|C00001|C00007</t>
  </si>
  <si>
    <t>C00250|C00014|C00027</t>
  </si>
  <si>
    <t>https://www.genome.jp/entry/R01711</t>
  </si>
  <si>
    <t>C00314|C00007</t>
  </si>
  <si>
    <t>C00250|C00027</t>
  </si>
  <si>
    <t>6.3.1.2</t>
  </si>
  <si>
    <t>https://www.genome.jp/entry/6.3.1.2</t>
  </si>
  <si>
    <t>https://www.genome.jp/entry/R00253</t>
  </si>
  <si>
    <t>C00002|C00025|C00014</t>
  </si>
  <si>
    <t>C00008|C00009|C00064</t>
  </si>
  <si>
    <t>4.2.1.46</t>
  </si>
  <si>
    <t>https://www.genome.jp/entry/4.2.1.46</t>
  </si>
  <si>
    <t>https://www.genome.jp/entry/R06513</t>
  </si>
  <si>
    <t>C11907|C00001</t>
  </si>
  <si>
    <t>3.4.11.23</t>
  </si>
  <si>
    <t>https://www.genome.jp/entry/3.4.11.23</t>
  </si>
  <si>
    <t>https://www.genome.jp/entry/R00899</t>
  </si>
  <si>
    <t>C01419|C00001</t>
  </si>
  <si>
    <t>C00097|C00037</t>
  </si>
  <si>
    <t>https://www.genome.jp/entry/R04951</t>
  </si>
  <si>
    <t>C05729|C00001</t>
  </si>
  <si>
    <t>C05726|C00037</t>
  </si>
  <si>
    <t>2.7.4.6</t>
  </si>
  <si>
    <t>https://www.genome.jp/entry/2.7.4.6</t>
  </si>
  <si>
    <t>https://www.genome.jp/entry/R00331</t>
  </si>
  <si>
    <t>C00002|C00454</t>
  </si>
  <si>
    <t>C00008|C00201</t>
  </si>
  <si>
    <t>https://www.genome.jp/entry/R00124</t>
  </si>
  <si>
    <t>C00002|C00008</t>
  </si>
  <si>
    <t>C00008|C00002</t>
  </si>
  <si>
    <t>https://www.genome.jp/entry/R00139</t>
  </si>
  <si>
    <t>C11038|C00002</t>
  </si>
  <si>
    <t>C11039|C00008</t>
  </si>
  <si>
    <t>https://www.genome.jp/entry/R00156</t>
  </si>
  <si>
    <t>C00002|C00015</t>
  </si>
  <si>
    <t>C00008|C00075</t>
  </si>
  <si>
    <t>https://www.genome.jp/entry/R00330</t>
  </si>
  <si>
    <t>C00002|C00035</t>
  </si>
  <si>
    <t>C00008|C00044</t>
  </si>
  <si>
    <t>https://www.genome.jp/entry/R00570</t>
  </si>
  <si>
    <t>C00002|C00112</t>
  </si>
  <si>
    <t>C00008|C00063</t>
  </si>
  <si>
    <t>https://www.genome.jp/entry/R00722</t>
  </si>
  <si>
    <t>C00002|C00104</t>
  </si>
  <si>
    <t>C00008|C00081</t>
  </si>
  <si>
    <t>https://www.genome.jp/entry/R01137</t>
  </si>
  <si>
    <t>C00002|C00206</t>
  </si>
  <si>
    <t>C00008|C00131</t>
  </si>
  <si>
    <t>https://www.genome.jp/entry/R01857</t>
  </si>
  <si>
    <t>C00002|C00361</t>
  </si>
  <si>
    <t>C00008|C00286</t>
  </si>
  <si>
    <t>https://www.genome.jp/entry/R02093</t>
  </si>
  <si>
    <t>C00002|C00363</t>
  </si>
  <si>
    <t>C00008|C00459</t>
  </si>
  <si>
    <t>https://www.genome.jp/entry/R02326</t>
  </si>
  <si>
    <t>C00002|C00705</t>
  </si>
  <si>
    <t>C00008|C00458</t>
  </si>
  <si>
    <t>https://www.genome.jp/entry/R02331</t>
  </si>
  <si>
    <t>C00002|C01346</t>
  </si>
  <si>
    <t>C00008|C00460</t>
  </si>
  <si>
    <t>https://www.genome.jp/entry/R03530</t>
  </si>
  <si>
    <t>C00002|C01344</t>
  </si>
  <si>
    <t>C00008|C01345</t>
  </si>
  <si>
    <t>https://www.genome.jp/entry/R12853</t>
  </si>
  <si>
    <t>C22442|C00002</t>
  </si>
  <si>
    <t>C22443|C00008</t>
  </si>
  <si>
    <t>https://www.genome.jp/entry/R11894</t>
  </si>
  <si>
    <t>C00002|C21748</t>
  </si>
  <si>
    <t>C00008|C21749</t>
  </si>
  <si>
    <t>https://www.genome.jp/entry/R11895</t>
  </si>
  <si>
    <t>C00002|C21750</t>
  </si>
  <si>
    <t>C00008|C21751</t>
  </si>
  <si>
    <t>2.5.1.90</t>
  </si>
  <si>
    <t>https://www.genome.jp/entry/2.5.1.90</t>
  </si>
  <si>
    <t>https://www.genome.jp/entry/R09248</t>
  </si>
  <si>
    <t>C00448|C00129</t>
  </si>
  <si>
    <t>C04146|C00013</t>
  </si>
  <si>
    <t>2.1.2.3</t>
  </si>
  <si>
    <t>https://www.genome.jp/entry/2.1.2.3</t>
  </si>
  <si>
    <t>https://www.genome.jp/entry/R04560</t>
  </si>
  <si>
    <t>C00234|C04677</t>
  </si>
  <si>
    <t>C00101|C04734</t>
  </si>
  <si>
    <t>3.5.4.10</t>
  </si>
  <si>
    <t>https://www.genome.jp/entry/3.5.4.10</t>
  </si>
  <si>
    <t>https://www.genome.jp/entry/R01127</t>
  </si>
  <si>
    <t>C00130|C00001</t>
  </si>
  <si>
    <t>C04734</t>
  </si>
  <si>
    <t>6.3.4.13</t>
  </si>
  <si>
    <t>https://www.genome.jp/entry/6.3.1.3</t>
  </si>
  <si>
    <t>2.7.1.24</t>
  </si>
  <si>
    <t>https://www.genome.jp/entry/2.7.1.24</t>
  </si>
  <si>
    <t>https://www.genome.jp/entry/R00130</t>
  </si>
  <si>
    <t>C00002|C00882</t>
  </si>
  <si>
    <t>C00008|C00010</t>
  </si>
  <si>
    <t>2.7.2.11</t>
  </si>
  <si>
    <t>https://www.genome.jp/entry/2.7.2.11</t>
  </si>
  <si>
    <t>https://www.genome.jp/entry/R00239</t>
  </si>
  <si>
    <t>C00002|C00025</t>
  </si>
  <si>
    <t>C00008|C03287</t>
  </si>
  <si>
    <t>2.5.1.145</t>
  </si>
  <si>
    <t>https://www.genome.jp/entry/2.5.1.145</t>
  </si>
  <si>
    <t>2.1.1.45</t>
  </si>
  <si>
    <t>https://www.genome.jp/entry/2.1.1.45</t>
  </si>
  <si>
    <t>https://www.genome.jp/entry/R02101</t>
  </si>
  <si>
    <t>C00365|C00143</t>
  </si>
  <si>
    <t>C00415|C00364</t>
  </si>
  <si>
    <t>3.5.4.33</t>
  </si>
  <si>
    <t>2.3.1.191</t>
  </si>
  <si>
    <t>https://www.genome.jp/entry/2.3.1.191</t>
  </si>
  <si>
    <t>https://www.genome.jp/entry/R12803</t>
  </si>
  <si>
    <t>C01271|C22409</t>
  </si>
  <si>
    <t>C22410|C00229</t>
  </si>
  <si>
    <t>https://www.genome.jp/entry/R04550</t>
  </si>
  <si>
    <t>C06022|C04688</t>
  </si>
  <si>
    <t>C04652|C00229</t>
  </si>
  <si>
    <t>2.7.7.41</t>
  </si>
  <si>
    <t>https://www.genome.jp/entry/2.7.7.41</t>
  </si>
  <si>
    <t>https://www.genome.jp/entry/R01799</t>
  </si>
  <si>
    <t>C00063|C00416</t>
  </si>
  <si>
    <t>C00013|C00269</t>
  </si>
  <si>
    <t>2.5.1.31</t>
  </si>
  <si>
    <t>https://www.genome.jp/entry/2.5.1.31</t>
  </si>
  <si>
    <t>https://www.genome.jp/entry/R06447</t>
  </si>
  <si>
    <t>C04574|C00013</t>
  </si>
  <si>
    <t>6.1.1.4</t>
  </si>
  <si>
    <t>https://www.genome.jp/entry/6.1.1.4</t>
  </si>
  <si>
    <t>https://www.genome.jp/entry/R03657</t>
  </si>
  <si>
    <t>C00002|C00123|C01645</t>
  </si>
  <si>
    <t>C00020|C00013|C02047</t>
  </si>
  <si>
    <t>6.1.1.14</t>
  </si>
  <si>
    <t>https://www.genome.jp/entry/6.1.1.14</t>
  </si>
  <si>
    <t>https://www.genome.jp/entry/R03654</t>
  </si>
  <si>
    <t>C00002|C00037|C01642</t>
  </si>
  <si>
    <t>C00020|C00013|C02412</t>
  </si>
  <si>
    <t>4.2.1.11</t>
  </si>
  <si>
    <t>https://www.genome.jp/entry/4.2.1.11</t>
  </si>
  <si>
    <t>https://www.genome.jp/entry/R006588</t>
  </si>
  <si>
    <t>C00631</t>
  </si>
  <si>
    <t>C00074|C00001</t>
  </si>
  <si>
    <t>https://www.genome.jp/entry/R04206</t>
  </si>
  <si>
    <t>C03356</t>
  </si>
  <si>
    <t>C04309|C00001</t>
  </si>
  <si>
    <t>3.1.3.25</t>
  </si>
  <si>
    <t>https://www.genome.jp/entry/3.1.3.25</t>
  </si>
  <si>
    <t>https://www.genome.jp/entry/R07343</t>
  </si>
  <si>
    <t>C15585|C00001</t>
  </si>
  <si>
    <t>C00137|C00009</t>
  </si>
  <si>
    <t>https://www.genome.jp/entry/R01185</t>
  </si>
  <si>
    <t>C01177|C00001</t>
  </si>
  <si>
    <t>https://www.genome.jp/entry/R01186</t>
  </si>
  <si>
    <t>C03546|C00001</t>
  </si>
  <si>
    <t>https://www.genome.jp/entry/R01187</t>
  </si>
  <si>
    <t>C04006|C00001</t>
  </si>
  <si>
    <t>3.1.11.5</t>
  </si>
  <si>
    <t>https://www.genome.jp/entry/3.1.11.5</t>
  </si>
  <si>
    <t>3.2.2.23</t>
  </si>
  <si>
    <t>https://www.genome.jp/entry/3.2.2.23</t>
  </si>
  <si>
    <t>4.1.1.86</t>
  </si>
  <si>
    <t>https://www.genome.jp/entry/4.1.1.86</t>
  </si>
  <si>
    <t>https://www.genome.jp/entry/R07650</t>
  </si>
  <si>
    <t>C03283</t>
  </si>
  <si>
    <t>C00986|C00011</t>
  </si>
  <si>
    <t>2.6.1.76</t>
  </si>
  <si>
    <t>https://www.genome.jp/entry/2.6.1.76</t>
  </si>
  <si>
    <t>https://www.genome.jp/entry/R06977</t>
  </si>
  <si>
    <t>C00025|C00441</t>
  </si>
  <si>
    <t>C00026|C03283</t>
  </si>
  <si>
    <t>4.1.1.36</t>
  </si>
  <si>
    <t>https://www.genome.jp/entry/4.1.1.36</t>
  </si>
  <si>
    <t>https://www.genome.jp/entry/R03269</t>
  </si>
  <si>
    <t>C04352</t>
  </si>
  <si>
    <t>C01134|C00011</t>
  </si>
  <si>
    <t>6.3.2.5</t>
  </si>
  <si>
    <t>https://www.genome.jp/entry/6.3.2.5</t>
  </si>
  <si>
    <t>https://www.genome.jp/entry/R04231</t>
  </si>
  <si>
    <t>C00063|C03492|C00097</t>
  </si>
  <si>
    <t>C00055|C00013|C04352</t>
  </si>
  <si>
    <t>3.6.1.23</t>
  </si>
  <si>
    <t>https://www.genome.jp/entry/3.6.1.23</t>
  </si>
  <si>
    <t>https://www.genome.jp/entry/R02100</t>
  </si>
  <si>
    <t>C00460|C00001</t>
  </si>
  <si>
    <t>C00365|C00013</t>
  </si>
  <si>
    <t>https://www.genome.jp/entry/R11896</t>
  </si>
  <si>
    <t>C21751|C00001</t>
  </si>
  <si>
    <t>C04242|C00013</t>
  </si>
  <si>
    <t>2.1.1.189</t>
  </si>
  <si>
    <t>https://www.genome.jp/entry/2.1.1.189</t>
  </si>
  <si>
    <t>3.2.1.52</t>
  </si>
  <si>
    <t>https://www.genome.jp/entry/3.2.1.52</t>
  </si>
  <si>
    <t>https://www.genome.jp/entry/R00022</t>
  </si>
  <si>
    <t>C01674|C00001</t>
  </si>
  <si>
    <t>C00140</t>
  </si>
  <si>
    <t>https://www.genome.jp/entry/R03492</t>
  </si>
  <si>
    <t>C06135|C00001</t>
  </si>
  <si>
    <t>C01290|C01132</t>
  </si>
  <si>
    <t>https://www.genome.jp/entry/R04184</t>
  </si>
  <si>
    <t>C04737|C01132</t>
  </si>
  <si>
    <t>C03272|C00001</t>
  </si>
  <si>
    <t>https://www.genome.jp/entry/R04586</t>
  </si>
  <si>
    <t>C04884|C00001</t>
  </si>
  <si>
    <t>C04730|C01132</t>
  </si>
  <si>
    <t>https://www.genome.jp/entry/R05963</t>
  </si>
  <si>
    <t>C00001|G00094</t>
  </si>
  <si>
    <t>C01132|G00093</t>
  </si>
  <si>
    <t>https://www.genome.jp/entry/R06001</t>
  </si>
  <si>
    <t>G00123|C00001</t>
  </si>
  <si>
    <t>G00092|C01132</t>
  </si>
  <si>
    <t>https://www.genome.jp/entry/R06004</t>
  </si>
  <si>
    <t>G00109|C00001</t>
  </si>
  <si>
    <t>G00108|C01132</t>
  </si>
  <si>
    <t>https://www.genome.jp/entry/R06141</t>
  </si>
  <si>
    <t>G10336|C00001</t>
  </si>
  <si>
    <t>https://www.genome.jp/entry/R07809</t>
  </si>
  <si>
    <t>G13074|C00001</t>
  </si>
  <si>
    <t>G01391|C00140</t>
  </si>
  <si>
    <t>https://www.genome.jp/entry/R07810</t>
  </si>
  <si>
    <t>G13073|C00001</t>
  </si>
  <si>
    <t>G01391|C04132</t>
  </si>
  <si>
    <t>https://www.genome.jp/entry/R09323</t>
  </si>
  <si>
    <t>G13057|C00001</t>
  </si>
  <si>
    <t>C00140|G13058</t>
  </si>
  <si>
    <t>https://www.genome.jp/entry/R10831</t>
  </si>
  <si>
    <t>G00711|C00001</t>
  </si>
  <si>
    <t>G10008|C00140</t>
  </si>
  <si>
    <t>https://www.genome.jp/entry/R11316</t>
  </si>
  <si>
    <t>G13056|C00001</t>
  </si>
  <si>
    <t>C00140|G10665</t>
  </si>
  <si>
    <t>https://www.genome.jp/entry/R11317</t>
  </si>
  <si>
    <t>G05477|C00001</t>
  </si>
  <si>
    <t>G10920|C00140</t>
  </si>
  <si>
    <t>https://www.genome.jp/entry/R12963</t>
  </si>
  <si>
    <t>C22467|C00001</t>
  </si>
  <si>
    <t>C03405|C01132</t>
  </si>
  <si>
    <t>3.9.1.-</t>
  </si>
  <si>
    <t>6.1.1.5</t>
  </si>
  <si>
    <t>https://www.genome.jp/entry/6.1.1.5</t>
  </si>
  <si>
    <t>https://www.genome.jp/entry/R03656</t>
  </si>
  <si>
    <t>C00002|C00407|C01644</t>
  </si>
  <si>
    <t>C00020|C00013|C03127</t>
  </si>
  <si>
    <t>2.7.1.26</t>
  </si>
  <si>
    <t>https://www.genome.jp/entry/2.7.1.26</t>
  </si>
  <si>
    <t>https://www.genome.jp/entry/R00549</t>
  </si>
  <si>
    <t>C00002|C00255</t>
  </si>
  <si>
    <t>C00008|C00061</t>
  </si>
  <si>
    <t>2.7.7.2</t>
  </si>
  <si>
    <t>https://www.genome.jp/entry/2.7.7.2</t>
  </si>
  <si>
    <t>https://www.genome.jp/entry/R00161</t>
  </si>
  <si>
    <t>C00002|C00061</t>
  </si>
  <si>
    <t>C00013|C00016</t>
  </si>
  <si>
    <t>4.1.3.36</t>
  </si>
  <si>
    <t>https://www.genome.jp/entry/4.1.3.36</t>
  </si>
  <si>
    <t>https://www.genome.jp/entry/R04150</t>
  </si>
  <si>
    <t>C03160</t>
  </si>
  <si>
    <t>C03657|C00010</t>
  </si>
  <si>
    <t>https://www.genome.jp/entry/R07263</t>
  </si>
  <si>
    <t>C15547|C00001</t>
  </si>
  <si>
    <t>4.2.1.113</t>
  </si>
  <si>
    <t>https://www.genome.jp/entry/4.2.1.113</t>
  </si>
  <si>
    <t>https://www.genome.jp/entry/R04031</t>
  </si>
  <si>
    <t>C02730|C00001</t>
  </si>
  <si>
    <t>C05817</t>
  </si>
  <si>
    <t>4.2.1.10</t>
  </si>
  <si>
    <t>https://www.genome.jp/entry/4.2.1.10</t>
  </si>
  <si>
    <t>https://www.genome.jp/entry/R03084</t>
  </si>
  <si>
    <t>C00944</t>
  </si>
  <si>
    <t>C02637|C00001</t>
  </si>
  <si>
    <t>6.4.1.2</t>
  </si>
  <si>
    <t>https://www.genome.jp/entry/6.4.1.2</t>
  </si>
  <si>
    <t>https://www.genome.jp/entry/R00742</t>
  </si>
  <si>
    <t>C00002|C00024|C00288</t>
  </si>
  <si>
    <t>C00008|C00009|C00083</t>
  </si>
  <si>
    <t>6.3.4.14</t>
  </si>
  <si>
    <t>https://www.genome.jp/entry/6.3.4.14</t>
  </si>
  <si>
    <t>https://www.genome.jp/entry/R04385</t>
  </si>
  <si>
    <t>C00002|C06250|C00288</t>
  </si>
  <si>
    <t>C00008|C00009|C04419</t>
  </si>
  <si>
    <t>2.7.1.11</t>
  </si>
  <si>
    <t>https://www.genome.jp/entry/2.7.1.11</t>
  </si>
  <si>
    <t>https://www.genome.jp/entry/R04779</t>
  </si>
  <si>
    <t>C00002|C05345</t>
  </si>
  <si>
    <t>https://www.genome.jp/entry/R00756</t>
  </si>
  <si>
    <t>C00002|C00085</t>
  </si>
  <si>
    <t>https://www.genome.jp/entry/R00767</t>
  </si>
  <si>
    <t>C00063|C00085</t>
  </si>
  <si>
    <t>C00112|C00354</t>
  </si>
  <si>
    <t>https://www.genome.jp/entry/R00769</t>
  </si>
  <si>
    <t>C00075|C00085</t>
  </si>
  <si>
    <t>C00015|C00354</t>
  </si>
  <si>
    <t>https://www.genome.jp/entry/R00770</t>
  </si>
  <si>
    <t>C00081|C00085</t>
  </si>
  <si>
    <t>C00104|C00354</t>
  </si>
  <si>
    <t>https://www.genome.jp/entry/R01843</t>
  </si>
  <si>
    <t>C00002|C05382</t>
  </si>
  <si>
    <t>C00008|C00447</t>
  </si>
  <si>
    <t>https://www.genome.jp/entry/R03237</t>
  </si>
  <si>
    <t>C00063|C01097</t>
  </si>
  <si>
    <t>C00112|C03785</t>
  </si>
  <si>
    <t>https://www.genome.jp/entry/R03238</t>
  </si>
  <si>
    <t>C00075|C01097</t>
  </si>
  <si>
    <t>C00015|C03785</t>
  </si>
  <si>
    <t>https://www.genome.jp/entry/R03239</t>
  </si>
  <si>
    <t>C00081|C01097</t>
  </si>
  <si>
    <t>C00104|C03785</t>
  </si>
  <si>
    <t>2.3.3.13</t>
  </si>
  <si>
    <t>https://www.genome.jp/entry/2.3.3.13</t>
  </si>
  <si>
    <t>https://www.genome.jp/entry/R01213</t>
  </si>
  <si>
    <t>C02504|C00010</t>
  </si>
  <si>
    <t>C00024|C00141|C00001</t>
  </si>
  <si>
    <t>1.1.1.85</t>
  </si>
  <si>
    <t>https://www.genome.jp/entry/1.1.1.85</t>
  </si>
  <si>
    <t>https://www.genome.jp/entry/R01652</t>
  </si>
  <si>
    <t>C00233|C00011</t>
  </si>
  <si>
    <t>C04236</t>
  </si>
  <si>
    <t>https://www.genome.jp/entry/R04426</t>
  </si>
  <si>
    <t>C04411|C00003</t>
  </si>
  <si>
    <t>C04236|C00004|C00080</t>
  </si>
  <si>
    <t>https://www.genome.jp/entry/R10052</t>
  </si>
  <si>
    <t>C00233|C00011|C00004|C00080</t>
  </si>
  <si>
    <t>https://www.genome.jp/entry/R00994</t>
  </si>
  <si>
    <t>C00109|C00011|C00004|C00080</t>
  </si>
  <si>
    <t>C06032|C00003</t>
  </si>
  <si>
    <t>4.2.1.33</t>
  </si>
  <si>
    <t>https://www.genome.jp/entry/4.2.1.33</t>
  </si>
  <si>
    <t>https://www.genome.jp/entry/R03968</t>
  </si>
  <si>
    <t>C02504</t>
  </si>
  <si>
    <t>C02631|C00001</t>
  </si>
  <si>
    <t>https://www.genome.jp/entry/R04001</t>
  </si>
  <si>
    <t>C04411</t>
  </si>
  <si>
    <t>https://www.genome.jp/entry/R10170</t>
  </si>
  <si>
    <t>3.1.26.5</t>
  </si>
  <si>
    <t>https://www.genome.jp/entry/3.1.26.5</t>
  </si>
  <si>
    <t>3.6.-.-</t>
  </si>
  <si>
    <t>3.4.23.36</t>
  </si>
  <si>
    <t>https://www.genome.jp/entry/3.4.23.36</t>
  </si>
  <si>
    <t>1.17.7.4</t>
  </si>
  <si>
    <t>https://www.genome.jp/entry/1.17.7.4</t>
  </si>
  <si>
    <t>https://www.genome.jp/entry/R05884</t>
  </si>
  <si>
    <t>C11811|C00138|C00080</t>
  </si>
  <si>
    <t>C00129|C00139|C00001</t>
  </si>
  <si>
    <t>https://www.genome.jp/entry/R08210</t>
  </si>
  <si>
    <t>C00235|C00139|C00001</t>
  </si>
  <si>
    <t>7.6.2.15</t>
  </si>
  <si>
    <t>https://www.genome.jp/entry/7.6.2.15</t>
  </si>
  <si>
    <t>2.8.1.6</t>
  </si>
  <si>
    <t>https://www.genome.jp/entry/2.8.1.6</t>
  </si>
  <si>
    <t>https://www.genome.jp/entry/R01078</t>
  </si>
  <si>
    <t>C01909|C17023|C00019|C05359|C00080</t>
  </si>
  <si>
    <t>C00120|C00073|C05198</t>
  </si>
  <si>
    <t>2.2.1.1</t>
  </si>
  <si>
    <t>https://www.genome.jp/entry/2.2.1.1</t>
  </si>
  <si>
    <t>https://www.genome.jp/entry/R01641</t>
  </si>
  <si>
    <t>C05382|C00118</t>
  </si>
  <si>
    <t>C00117|C00231</t>
  </si>
  <si>
    <t>https://www.genome.jp/entry/R01067</t>
  </si>
  <si>
    <t>C00085|C00118</t>
  </si>
  <si>
    <t>C00279|C00231</t>
  </si>
  <si>
    <t>https://www.genome.jp/entry/R01830</t>
  </si>
  <si>
    <t>C05345|C00118</t>
  </si>
  <si>
    <t>https://www.genome.jp/entry/R06590</t>
  </si>
  <si>
    <t>C12214|C00117</t>
  </si>
  <si>
    <t>C12215|C05382</t>
  </si>
  <si>
    <t>https://www.genome.jp/entry/R06861</t>
  </si>
  <si>
    <t>C00231|C00068</t>
  </si>
  <si>
    <t>C13378|C00118</t>
  </si>
  <si>
    <t>https://www.genome.jp/entry/R06863</t>
  </si>
  <si>
    <t>C05382|C00068</t>
  </si>
  <si>
    <t>C13378|C00117</t>
  </si>
  <si>
    <t>3.1.3.3</t>
  </si>
  <si>
    <t>https://www.genome.jp/entry/3.1.3.3</t>
  </si>
  <si>
    <t>https://www.genome.jp/entry/R00582</t>
  </si>
  <si>
    <t>C01005|C00001</t>
  </si>
  <si>
    <t>C00065|C00009</t>
  </si>
  <si>
    <t>https://www.genome.jp/entry/R02853</t>
  </si>
  <si>
    <t>C02532|C00001</t>
  </si>
  <si>
    <t>C00740|C00009</t>
  </si>
  <si>
    <t>1.8.5.3</t>
  </si>
  <si>
    <t>https://www.genome.jp/entry/1.8.5.3</t>
  </si>
  <si>
    <t>https://www.genome.jp/entry/R09501</t>
  </si>
  <si>
    <t>C00580|C00828|C00001</t>
  </si>
  <si>
    <t>C11143|C05819</t>
  </si>
  <si>
    <t>2.4.1.182</t>
  </si>
  <si>
    <t>https://www.genome.jp/entry/2.4.1.182</t>
  </si>
  <si>
    <t>https://www.genome.jp/entry/R04606</t>
  </si>
  <si>
    <t>C04652|C04824</t>
  </si>
  <si>
    <t>C00015|C04932</t>
  </si>
  <si>
    <t>2.3.1.129</t>
  </si>
  <si>
    <t>https://www.genome.jp/entry/2.3.1.129</t>
  </si>
  <si>
    <t>https://www.genome.jp/entry/R12920</t>
  </si>
  <si>
    <t>C01271|C00043</t>
  </si>
  <si>
    <t>C00229|C22418</t>
  </si>
  <si>
    <t>https://www.genome.jp/entry/R04567</t>
  </si>
  <si>
    <t>C04688|C00043</t>
  </si>
  <si>
    <t>C00229|C04738</t>
  </si>
  <si>
    <t>4.2.1.59</t>
  </si>
  <si>
    <t>https://www.genome.jp/entry/4.2.1.59</t>
  </si>
  <si>
    <t>https://www.genome.jp/entry/R10208</t>
  </si>
  <si>
    <t>C01271</t>
  </si>
  <si>
    <t>C00693|C00001</t>
  </si>
  <si>
    <t>https://www.genome.jp/entry/R04428</t>
  </si>
  <si>
    <t>C04618</t>
  </si>
  <si>
    <t>C04246|C00001</t>
  </si>
  <si>
    <t>https://www.genome.jp/entry/R04535</t>
  </si>
  <si>
    <t>C04619</t>
  </si>
  <si>
    <t>C05754|C00001</t>
  </si>
  <si>
    <t>https://www.genome.jp/entry/R04537</t>
  </si>
  <si>
    <t>C04620</t>
  </si>
  <si>
    <t>C05751|C00001</t>
  </si>
  <si>
    <t>https://www.genome.jp/entry/R04544</t>
  </si>
  <si>
    <t>C04633</t>
  </si>
  <si>
    <t>C05763|C00001</t>
  </si>
  <si>
    <t>https://www.genome.jp/entry/R04568</t>
  </si>
  <si>
    <t>C04688</t>
  </si>
  <si>
    <t>C05760|C00001</t>
  </si>
  <si>
    <t>https://www.genome.jp/entry/R04954</t>
  </si>
  <si>
    <t>C05747</t>
  </si>
  <si>
    <t>C05748|C00001</t>
  </si>
  <si>
    <t>https://www.genome.jp/entry/R04965</t>
  </si>
  <si>
    <t>C05757</t>
  </si>
  <si>
    <t>C05758|C00001</t>
  </si>
  <si>
    <t>https://www.genome.jp/entry/R10117</t>
  </si>
  <si>
    <t>C20373</t>
  </si>
  <si>
    <t>C20374|C00001</t>
  </si>
  <si>
    <t>https://www.genome.jp/entry/R10121</t>
  </si>
  <si>
    <t>C20377</t>
  </si>
  <si>
    <t>C20378|C00001</t>
  </si>
  <si>
    <t>2.7.4.22</t>
  </si>
  <si>
    <t>https://www.genome.jp/entry/2.7.4.22</t>
  </si>
  <si>
    <t>https://www.genome.jp/entry/R00158</t>
  </si>
  <si>
    <t>C00002|C00105</t>
  </si>
  <si>
    <t>C00008|C00015</t>
  </si>
  <si>
    <t>1.7.2.2</t>
  </si>
  <si>
    <t>https://www.genome.jp/entry/1.7.2.2</t>
  </si>
  <si>
    <t>https://www.genome.jp/entry/R05712</t>
  </si>
  <si>
    <t>C00014|C00001|C00125</t>
  </si>
  <si>
    <t>C00088|C00126|C00080</t>
  </si>
  <si>
    <t>1.10.3.-</t>
  </si>
  <si>
    <t>6.3.4.2</t>
  </si>
  <si>
    <t>https://www.genome.jp/entry/6.3.4.2</t>
  </si>
  <si>
    <t>https://www.genome.jp/entry/R00571</t>
  </si>
  <si>
    <t>C00002|C00075</t>
  </si>
  <si>
    <t>C00008|C00009|C00063</t>
  </si>
  <si>
    <t>https://www.genome.jp/entry/R00573</t>
  </si>
  <si>
    <t>C00002|C00075|C00064|C00001</t>
  </si>
  <si>
    <t>C00008|C00009|C00063|C00025</t>
  </si>
  <si>
    <t>2.5.1.7</t>
  </si>
  <si>
    <t>https://www.genome.jp/entry/2.5.1.7</t>
  </si>
  <si>
    <t>https://www.genome.jp/entry/R00660</t>
  </si>
  <si>
    <t>C00074|C00043</t>
  </si>
  <si>
    <t>C04631|C00009</t>
  </si>
  <si>
    <t>1.15.1.1</t>
  </si>
  <si>
    <t>https://www.genome.jp/entry/1.15.1.1</t>
  </si>
  <si>
    <t>https://www.genome.jp/entry/R00275</t>
  </si>
  <si>
    <t>C00704|C00080</t>
  </si>
  <si>
    <t>C00027|C00007</t>
  </si>
  <si>
    <t>7.6.2.-</t>
  </si>
  <si>
    <t>6.5.1.2</t>
  </si>
  <si>
    <t>https://www.genome.jp/entry/6.5.1.2</t>
  </si>
  <si>
    <t>https://www.genome.jp/entry/R00382</t>
  </si>
  <si>
    <t>C00003|C00039|C02128</t>
  </si>
  <si>
    <t>C00020|C00455|C00039</t>
  </si>
  <si>
    <t>2.5.1.47</t>
  </si>
  <si>
    <t>https://www.genome.jp/entry/2.5.1.47</t>
  </si>
  <si>
    <t>https://www.genome.jp/entry/R00897</t>
  </si>
  <si>
    <t>C00979|C00283</t>
  </si>
  <si>
    <t>C00097|C00033</t>
  </si>
  <si>
    <t>https://www.genome.jp/entry/R03601</t>
  </si>
  <si>
    <t>C00979|C01528</t>
  </si>
  <si>
    <t>C05688|C00033</t>
  </si>
  <si>
    <t>https://www.genome.jp/entry/R04859</t>
  </si>
  <si>
    <t>C00979|C00320|C00342|C00080</t>
  </si>
  <si>
    <t>C00097|C00094|C00343|C00033</t>
  </si>
  <si>
    <t>https://www.genome.jp/entry/R07274</t>
  </si>
  <si>
    <t>C01005|C00283</t>
  </si>
  <si>
    <t>C00097|C00009</t>
  </si>
  <si>
    <t>5.3.1.5</t>
  </si>
  <si>
    <t>https://www.genome.jp/entry/5.3.1.5</t>
  </si>
  <si>
    <t>https://www.genome.jp/entry/R12986</t>
  </si>
  <si>
    <t>C02205</t>
  </si>
  <si>
    <t>C22501</t>
  </si>
  <si>
    <t>https://www.genome.jp/entry/R00307</t>
  </si>
  <si>
    <t>C00267</t>
  </si>
  <si>
    <t>C22502</t>
  </si>
  <si>
    <t>https://www.genome.jp/entry/R00878</t>
  </si>
  <si>
    <t>C00095</t>
  </si>
  <si>
    <t>https://www.genome.jp/entry/R01432</t>
  </si>
  <si>
    <t>C00181</t>
  </si>
  <si>
    <t>C00310</t>
  </si>
  <si>
    <t>2.7.1.17</t>
  </si>
  <si>
    <t>https://www.genome.jp/entry/2.7.1.17</t>
  </si>
  <si>
    <t>https://www.genome.jp/entry/R01639</t>
  </si>
  <si>
    <t>C00002|C00310</t>
  </si>
  <si>
    <t>C00008|C00231</t>
  </si>
  <si>
    <t>5.1.3.20</t>
  </si>
  <si>
    <t>https://www.genome.jp/entry/5.1.3.20</t>
  </si>
  <si>
    <t>https://www.genome.jp/entry/R05176</t>
  </si>
  <si>
    <t>C06397</t>
  </si>
  <si>
    <t>C06398</t>
  </si>
  <si>
    <t>4.1.2.4</t>
  </si>
  <si>
    <t>https://www.genome.jp/entry/4.1.2.4</t>
  </si>
  <si>
    <t>https://www.genome.jp/entry/R01066</t>
  </si>
  <si>
    <t>C00673</t>
  </si>
  <si>
    <t>C00118|C00084</t>
  </si>
  <si>
    <t>7.4.2.-</t>
  </si>
  <si>
    <t>2.2.1.2</t>
  </si>
  <si>
    <t>https://www.genome.jp/entry/2.2.1.2</t>
  </si>
  <si>
    <t>https://www.genome.jp/entry/R08575</t>
  </si>
  <si>
    <t>C00279|C00085</t>
  </si>
  <si>
    <t>https://www.genome.jp/entry/R01827</t>
  </si>
  <si>
    <t>C00279|C05345</t>
  </si>
  <si>
    <t>2.1.1.199</t>
  </si>
  <si>
    <t>https://www.genome.jp/entry/2.1.1.199</t>
  </si>
  <si>
    <t>6.3.2.13</t>
  </si>
  <si>
    <t>https://www.genome.jp/entry/6.3.2.13</t>
  </si>
  <si>
    <t>https://www.genome.jp/entry/R02788</t>
  </si>
  <si>
    <t>C00002|C00692|C00680</t>
  </si>
  <si>
    <t>6.3.2.10</t>
  </si>
  <si>
    <t>https://www.genome.jp/entry/6.3.2.10</t>
  </si>
  <si>
    <t>https://www.genome.jp/entry/R04573</t>
  </si>
  <si>
    <t>C00002|C05892|C00993</t>
  </si>
  <si>
    <t>C00008|C00009|C04702</t>
  </si>
  <si>
    <t>https://www.genome.jp/entry/R04617</t>
  </si>
  <si>
    <t>C00002|C04877|C00993</t>
  </si>
  <si>
    <t>C00008|C00009|C04882</t>
  </si>
  <si>
    <t>2.7.8.13</t>
  </si>
  <si>
    <t>https://www.genome.jp/entry/2.7.8.13</t>
  </si>
  <si>
    <t>https://www.genome.jp/entry/R05629</t>
  </si>
  <si>
    <t>C04702|C17556</t>
  </si>
  <si>
    <t>C00105|C04851</t>
  </si>
  <si>
    <t>https://www.genome.jp/entry/R05630</t>
  </si>
  <si>
    <t>C04882|C17556</t>
  </si>
  <si>
    <t>C00105|C05897</t>
  </si>
  <si>
    <t>6.3.2.9</t>
  </si>
  <si>
    <t>https://www.genome.jp/entry/6.3.2.9</t>
  </si>
  <si>
    <t>https://www.genome.jp/entry/R02783</t>
  </si>
  <si>
    <t>C00002|C01212|C00217</t>
  </si>
  <si>
    <t>C00008|C00009|C00692</t>
  </si>
  <si>
    <t>2.4.1.227</t>
  </si>
  <si>
    <t>https://www.genome.jp/entry/2.4.1.227</t>
  </si>
  <si>
    <t>https://www.genome.jp/entry/R05662</t>
  </si>
  <si>
    <t>C04851|C00043</t>
  </si>
  <si>
    <t>C05893|C00015</t>
  </si>
  <si>
    <t>https://www.genome.jp/entry/R06173</t>
  </si>
  <si>
    <t>G10552|G10610</t>
  </si>
  <si>
    <t>G10553|G10619</t>
  </si>
  <si>
    <t>https://www.genome.jp/entry/R05032</t>
  </si>
  <si>
    <t>C05897|C00043</t>
  </si>
  <si>
    <t>C05898|C00015</t>
  </si>
  <si>
    <t>https://www.genome.jp/entry/R06172</t>
  </si>
  <si>
    <t>G10551|G10610</t>
  </si>
  <si>
    <t>G10550|G10619</t>
  </si>
  <si>
    <t>https://www.genome.jp/entry/R06174</t>
  </si>
  <si>
    <t>G10556|G10610</t>
  </si>
  <si>
    <t>G10555|G10619</t>
  </si>
  <si>
    <t>6.3.2.8</t>
  </si>
  <si>
    <t>https://www.genome.jp/entry/6.3.2.8</t>
  </si>
  <si>
    <t>https://www.genome.jp/entry/R03193</t>
  </si>
  <si>
    <t>C00002|C01050|C00041</t>
  </si>
  <si>
    <t>C00008|C00009|C01212</t>
  </si>
  <si>
    <t>3.5.1.108</t>
  </si>
  <si>
    <t>https://www.genome.jp/entry/3.5.1.108</t>
  </si>
  <si>
    <t>https://www.genome.jp/entry/R12926</t>
  </si>
  <si>
    <t>C22418|C00001</t>
  </si>
  <si>
    <t>C22409|C00033</t>
  </si>
  <si>
    <t>https://www.genome.jp/entry/R04587</t>
  </si>
  <si>
    <t>C04738|C00001</t>
  </si>
  <si>
    <t>4.2.1.51</t>
  </si>
  <si>
    <t>https://www.genome.jp/entry/4.2.1.51</t>
  </si>
  <si>
    <t>https://www.genome.jp/entry/R01373</t>
  </si>
  <si>
    <t>C00254</t>
  </si>
  <si>
    <t>C00166|C00001|C00011</t>
  </si>
  <si>
    <t>https://www.genome.jp/entry/R00691</t>
  </si>
  <si>
    <t>C00826</t>
  </si>
  <si>
    <t>C00079|C00001|C00011</t>
  </si>
  <si>
    <t>2.4.2.8</t>
  </si>
  <si>
    <t>https://www.genome.jp/entry/2.4.2.8</t>
  </si>
  <si>
    <t>https://www.genome.jp/entry/R01132</t>
  </si>
  <si>
    <t>C00130|C00013</t>
  </si>
  <si>
    <t>C00262|C00119</t>
  </si>
  <si>
    <t>1.97.1.-</t>
  </si>
  <si>
    <t>1.8.1.9</t>
  </si>
  <si>
    <t>https://www.genome.jp/entry/1.8.1.9</t>
  </si>
  <si>
    <t>https://www.genome.jp/entry/R02016</t>
  </si>
  <si>
    <t>C00342|C00006</t>
  </si>
  <si>
    <t>C00343 |C00005|C00080</t>
  </si>
  <si>
    <t>https://www.genome.jp/entry/R00900</t>
  </si>
  <si>
    <t>C00097|C00051|C00006</t>
  </si>
  <si>
    <t>C05526|C00005</t>
  </si>
  <si>
    <t>https://www.genome.jp/entry/R03596</t>
  </si>
  <si>
    <t>C01528|C00006|C00001</t>
  </si>
  <si>
    <t>C05684|C00005|C00080</t>
  </si>
  <si>
    <t>https://www.genome.jp/entry/R09372</t>
  </si>
  <si>
    <t>C00005|C00080|C18902</t>
  </si>
  <si>
    <t>C00006|C00001|C05703</t>
  </si>
  <si>
    <t>4.99.1.1</t>
  </si>
  <si>
    <t>https://www.genome.jp/entry/4.99.1.1</t>
  </si>
  <si>
    <t>2.6.1.52</t>
  </si>
  <si>
    <t>https://www.genome.jp/entry/2.6.1.52</t>
  </si>
  <si>
    <t>https://www.genome.jp/entry/R04173</t>
  </si>
  <si>
    <t>C01005|C00026</t>
  </si>
  <si>
    <t>C03232|C00025</t>
  </si>
  <si>
    <t>https://www.genome.jp/entry/R05085</t>
  </si>
  <si>
    <t>C06055|C00026</t>
  </si>
  <si>
    <t>C06054|C00025</t>
  </si>
  <si>
    <t>2.6.1.85</t>
  </si>
  <si>
    <t>https://www.genome.jp/entry/2.6.1.85</t>
  </si>
  <si>
    <t>https://www.genome.jp/entry/R01716</t>
  </si>
  <si>
    <t>C00251|C00064</t>
  </si>
  <si>
    <t>C11355|C00025</t>
  </si>
  <si>
    <t>https://www.genome.jp/entry/R05552</t>
  </si>
  <si>
    <t>C00251|C00014</t>
  </si>
  <si>
    <t>C11355|C00001</t>
  </si>
  <si>
    <t>2.5.1.6</t>
  </si>
  <si>
    <t>https://www.genome.jp/entry/2.5.1.6</t>
  </si>
  <si>
    <t>https://www.genome.jp/entry/R00177</t>
  </si>
  <si>
    <t>C00009|C00013|C00019</t>
  </si>
  <si>
    <t>C00002|C00073|C00001</t>
  </si>
  <si>
    <t>https://www.genome.jp/entry/R04771</t>
  </si>
  <si>
    <t>C00002|C05335|C00001</t>
  </si>
  <si>
    <t>C00009|C00013|C05691</t>
  </si>
  <si>
    <t>7.4.2.1</t>
  </si>
  <si>
    <t>https://www.genome.jp/entry/7.4.2.1</t>
  </si>
  <si>
    <t>5.3.1.28</t>
  </si>
  <si>
    <t>https://www.genome.jp/entry/5.3.1.28</t>
  </si>
  <si>
    <t>https://www.genome.jp/entry/R09768</t>
  </si>
  <si>
    <t>C05382</t>
  </si>
  <si>
    <t>C19882</t>
  </si>
  <si>
    <t>https://www.genome.jp/entry/R05645</t>
  </si>
  <si>
    <t>C07836</t>
  </si>
  <si>
    <t>https://www.genome.jp/entry/R09769</t>
  </si>
  <si>
    <t>C19878</t>
  </si>
  <si>
    <t>6.5.1.1</t>
  </si>
  <si>
    <t>https://www.genome.jp/entry/6.5.1.1</t>
  </si>
  <si>
    <t>https://www.genome.jp/entry/R00381</t>
  </si>
  <si>
    <t>C00002|C00039|C02128</t>
  </si>
  <si>
    <t>C00020|C00013|C00039</t>
  </si>
  <si>
    <t>4.1.2.50</t>
  </si>
  <si>
    <t>https://www.genome.jp/entry/4.1.2.50</t>
  </si>
  <si>
    <t>https://www.genome.jp/entry/R09959</t>
  </si>
  <si>
    <t>C04895|C00001</t>
  </si>
  <si>
    <t>C20239|C00084|C00536</t>
  </si>
  <si>
    <t>6.3.4.20</t>
  </si>
  <si>
    <t>https://www.genome.jp/entry/6.3.4.20</t>
  </si>
  <si>
    <t>https://www.genome.jp/entry/R09978</t>
  </si>
  <si>
    <t>C20248|C00014|C00002</t>
  </si>
  <si>
    <t>C15996|C00008|C00009|C00001</t>
  </si>
  <si>
    <t>2.6.1.42</t>
  </si>
  <si>
    <t>https://www.genome.jp/entry/2.6.1.42</t>
  </si>
  <si>
    <t>https://www.genome.jp/entry/R01090</t>
  </si>
  <si>
    <t>C00123|C00026</t>
  </si>
  <si>
    <t>C00233|C00025</t>
  </si>
  <si>
    <t>https://www.genome.jp/entry/R01214</t>
  </si>
  <si>
    <t>C00183|C00026</t>
  </si>
  <si>
    <t>C00141|C00025</t>
  </si>
  <si>
    <t>https://www.genome.jp/entry/R02199</t>
  </si>
  <si>
    <t>C00407|C00026</t>
  </si>
  <si>
    <t>C00671|C00025</t>
  </si>
  <si>
    <t>https://www.genome.jp/entry/R10991</t>
  </si>
  <si>
    <t>C02356|C00026</t>
  </si>
  <si>
    <t>C00109|C00025</t>
  </si>
  <si>
    <t>2.1.1.186</t>
  </si>
  <si>
    <t>https://www.genome.jp/entry/2.1.1.186</t>
  </si>
  <si>
    <t>6.2.1.5</t>
  </si>
  <si>
    <t>https://www.genome.jp/entry/6.2.1.5</t>
  </si>
  <si>
    <t>https://www.genome.jp/entry/R00405</t>
  </si>
  <si>
    <t>C00002|C00042|C00010</t>
  </si>
  <si>
    <t>C00008|C00009|C00091</t>
  </si>
  <si>
    <t>https://www.genome.jp/entry/R02404</t>
  </si>
  <si>
    <t>C00002|C00490|C00010</t>
  </si>
  <si>
    <t>C00008|C00009|C00531</t>
  </si>
  <si>
    <t>5.4.99.22</t>
  </si>
  <si>
    <t>https://www.genome.jp/entry/5.4.99.22</t>
  </si>
  <si>
    <t>2.1.1.298</t>
  </si>
  <si>
    <t>https://www.genome.jp/entry/2.1.1.298</t>
  </si>
  <si>
    <t>https://www.genome.jp/entry/R10806</t>
  </si>
  <si>
    <t>C02583|C00019</t>
  </si>
  <si>
    <t>C20858|C00021</t>
  </si>
  <si>
    <t>2.3.1.8</t>
  </si>
  <si>
    <t>https://www.genome.jp/entry/2.3.1.8</t>
  </si>
  <si>
    <t>https://www.genome.jp/entry/R00230</t>
  </si>
  <si>
    <t>C00024|C00009</t>
  </si>
  <si>
    <t>C00010|C00227</t>
  </si>
  <si>
    <t>2.4.2.14</t>
  </si>
  <si>
    <t>https://www.genome.jp/entry/2.4.2.14</t>
  </si>
  <si>
    <t>https://www.genome.jp/entry/R01072</t>
  </si>
  <si>
    <t>C03090|C00013|C00025</t>
  </si>
  <si>
    <t>C00064|C00119|C00001</t>
  </si>
  <si>
    <t>1.1.1.37</t>
  </si>
  <si>
    <t>https://www.genome.jp/entry/1.1.1.37</t>
  </si>
  <si>
    <t>https://www.genome.jp/entry/R00342</t>
  </si>
  <si>
    <t>C00149|C00003</t>
  </si>
  <si>
    <t>C00036|C00004|C00080</t>
  </si>
  <si>
    <t>https://www.genome.jp/entry/R07136</t>
  </si>
  <si>
    <t>C11537|C00003</t>
  </si>
  <si>
    <t>C05528|C00004|C00080</t>
  </si>
  <si>
    <t>6.1.1.6</t>
  </si>
  <si>
    <t>https://www.genome.jp/entry/6.1.1.6</t>
  </si>
  <si>
    <t>https://www.genome.jp/entry/R03658</t>
  </si>
  <si>
    <t>C00002|C00047|C01646</t>
  </si>
  <si>
    <t>C00020|C00013|C01931</t>
  </si>
  <si>
    <t>5.3.4.1</t>
  </si>
  <si>
    <t>https://www.genome.jp/entry/5.3.4.1</t>
  </si>
  <si>
    <t>3.2.2.9</t>
  </si>
  <si>
    <t>https://www.genome.jp/entry/3.2.2.9</t>
  </si>
  <si>
    <t>https://www.genome.jp/entry/R00194</t>
  </si>
  <si>
    <t>C00021|C00001</t>
  </si>
  <si>
    <t>C03539|C00147</t>
  </si>
  <si>
    <t>https://www.genome.jp/entry/R01401</t>
  </si>
  <si>
    <t>C00170|C00001</t>
  </si>
  <si>
    <t>C00147|C03089</t>
  </si>
  <si>
    <t>https://www.genome.jp/entry/R12621</t>
  </si>
  <si>
    <t>C05198|C00001</t>
  </si>
  <si>
    <t>C22288|C00147</t>
  </si>
  <si>
    <t>5.4.99.12</t>
  </si>
  <si>
    <t>https://www.genome.jp/entry/5.4.99.12</t>
  </si>
  <si>
    <t>https://www.genome.jp/entry/R03020</t>
  </si>
  <si>
    <t>C00868</t>
  </si>
  <si>
    <t>C02764</t>
  </si>
  <si>
    <t>4.1.1.31</t>
  </si>
  <si>
    <t>https://www.genome.jp/entry/4.1.1.31</t>
  </si>
  <si>
    <t>https://www.genome.jp/entry/R00345</t>
  </si>
  <si>
    <t>C00009|C00036</t>
  </si>
  <si>
    <t>C00001|C00074|C00011</t>
  </si>
  <si>
    <t>2.3.1.117</t>
  </si>
  <si>
    <t>https://www.genome.jp/entry/2.3.1.117</t>
  </si>
  <si>
    <t>https://www.genome.jp/entry/R04365</t>
  </si>
  <si>
    <t>C00091|C03972|C00001</t>
  </si>
  <si>
    <t>C00010|C04462</t>
  </si>
  <si>
    <t>6.3.4.4</t>
  </si>
  <si>
    <t>https://www.genome.jp/entry/6.3.4.4</t>
  </si>
  <si>
    <t>https://www.genome.jp/entry/R01135</t>
  </si>
  <si>
    <t>C00044|C00130|C00049</t>
  </si>
  <si>
    <t>C00035|C00009|C03794</t>
  </si>
  <si>
    <t>6.3.4.18</t>
  </si>
  <si>
    <t>https://www.genome.jp/entry/6.3.4.18</t>
  </si>
  <si>
    <t>https://www.genome.jp/entry/R07404</t>
  </si>
  <si>
    <t>C00002|C03373|C00288</t>
  </si>
  <si>
    <t>C00008|C00009|C15667</t>
  </si>
  <si>
    <t>4.1.1.21</t>
  </si>
  <si>
    <t>https://www.genome.jp/entry/4.1.1.21</t>
  </si>
  <si>
    <t>https://www.genome.jp/entry/R04209</t>
  </si>
  <si>
    <t>C04751</t>
  </si>
  <si>
    <t>C03373|C00011</t>
  </si>
  <si>
    <t>5.4.99.18</t>
  </si>
  <si>
    <t>https://www.genome.jp/entry/5.4.99.18</t>
  </si>
  <si>
    <t>https://www.genome.jp/entry/R07405</t>
  </si>
  <si>
    <t>C15667</t>
  </si>
  <si>
    <t>3.4.11.2</t>
  </si>
  <si>
    <t>https://www.genome.jp/entry/3.4.11.2</t>
  </si>
  <si>
    <t>2.5.1.9</t>
  </si>
  <si>
    <t>https://www.genome.jp/entry/2.5.1.9</t>
  </si>
  <si>
    <t>https://www.genome.jp/entry/R00066</t>
  </si>
  <si>
    <t>C04332</t>
  </si>
  <si>
    <t>C00255|C04732</t>
  </si>
  <si>
    <t>6.1.1.1</t>
  </si>
  <si>
    <t>https://www.genome.jp/entry/6.1.1.1</t>
  </si>
  <si>
    <t>https://www.genome.jp/entry/R02918</t>
  </si>
  <si>
    <t>C00002|C00082|C00787</t>
  </si>
  <si>
    <t>C00020|C00013|C02839</t>
  </si>
  <si>
    <t>2.7.1.148</t>
  </si>
  <si>
    <t>https://www.genome.jp/entry/2.7.1.148</t>
  </si>
  <si>
    <t>https://www.genome.jp/entry/R05634</t>
  </si>
  <si>
    <t>C11435|C00002</t>
  </si>
  <si>
    <t>C11436|C00008</t>
  </si>
  <si>
    <t>2.7.7.72</t>
  </si>
  <si>
    <t>https://www.genome.jp/entry/2.7.7.72</t>
  </si>
  <si>
    <t>https://www.genome.jp/entry/R09382</t>
  </si>
  <si>
    <t>C02211|C00063|C00002</t>
  </si>
  <si>
    <t>C19085|C00013</t>
  </si>
  <si>
    <t>https://www.genome.jp/entry/R09383</t>
  </si>
  <si>
    <t>C02211|C00063</t>
  </si>
  <si>
    <t>C19078|C00013</t>
  </si>
  <si>
    <t>https://www.genome.jp/entry/R09384</t>
  </si>
  <si>
    <t>C19078|C00063</t>
  </si>
  <si>
    <t>C19080|C00013</t>
  </si>
  <si>
    <t>https://www.genome.jp/entry/R09386</t>
  </si>
  <si>
    <t>C19080|C00002</t>
  </si>
  <si>
    <t>3.1.3.-</t>
  </si>
  <si>
    <t>3.1.4.-</t>
  </si>
  <si>
    <t>2.5.1.19</t>
  </si>
  <si>
    <t>https://www.genome.jp/entry/2.5.1.19</t>
  </si>
  <si>
    <t>https://www.genome.jp/entry/R03460</t>
  </si>
  <si>
    <t>C00074|C03175</t>
  </si>
  <si>
    <t>C00009|C01269</t>
  </si>
  <si>
    <t>3.5.1.10</t>
  </si>
  <si>
    <t>https://www.genome.jp/entry/3.5.1.10</t>
  </si>
  <si>
    <t>https://www.genome.jp/entry/R00944</t>
  </si>
  <si>
    <t>C00234|C00001</t>
  </si>
  <si>
    <t>C00058|C00101</t>
  </si>
  <si>
    <t>2.2.1.6</t>
  </si>
  <si>
    <t>https://www.genome.jp/entry/2.2.1.6</t>
  </si>
  <si>
    <t>https://www.genome.jp/entry/R00006</t>
  </si>
  <si>
    <t>C00900|C00011</t>
  </si>
  <si>
    <t>C00022</t>
  </si>
  <si>
    <t>https://www.genome.jp/entry/R00226</t>
  </si>
  <si>
    <t>C06010|C00011</t>
  </si>
  <si>
    <t>https://www.genome.jp/entry/R00014</t>
  </si>
  <si>
    <t>C00022|C00068</t>
  </si>
  <si>
    <t>C05125|C00011</t>
  </si>
  <si>
    <t>https://www.genome.jp/entry/R03050</t>
  </si>
  <si>
    <t>C00900|C00068</t>
  </si>
  <si>
    <t>C05125|C00022</t>
  </si>
  <si>
    <t>https://www.genome.jp/entry/R04672</t>
  </si>
  <si>
    <t>C06010|C00068</t>
  </si>
  <si>
    <t>https://www.genome.jp/entry/R04673</t>
  </si>
  <si>
    <t>C00109|C05125</t>
  </si>
  <si>
    <t>C06006|C00068</t>
  </si>
  <si>
    <t>https://www.genome.jp/entry/R08648</t>
  </si>
  <si>
    <t>C00022|C00109</t>
  </si>
  <si>
    <t>C06006|C00011</t>
  </si>
  <si>
    <t>6.1.1.19</t>
  </si>
  <si>
    <t>https://www.genome.jp/entry/6.1.1.19</t>
  </si>
  <si>
    <t>https://www.genome.jp/entry/R03646</t>
  </si>
  <si>
    <t>C00002|C00062|C01636</t>
  </si>
  <si>
    <t>C00020|C00013|C02163</t>
  </si>
  <si>
    <t>5.3.1.9</t>
  </si>
  <si>
    <t>https://www.genome.jp/entry/5.3.1.9</t>
  </si>
  <si>
    <t>https://www.genome.jp/entry/R02740</t>
  </si>
  <si>
    <t>C00668</t>
  </si>
  <si>
    <t>C05345</t>
  </si>
  <si>
    <t>https://www.genome.jp/entry/R00771</t>
  </si>
  <si>
    <t>C00092</t>
  </si>
  <si>
    <t>C00085</t>
  </si>
  <si>
    <t>https://www.genome.jp/entry/R02739</t>
  </si>
  <si>
    <t>C01172</t>
  </si>
  <si>
    <t>https://www.genome.jp/entry/R03321</t>
  </si>
  <si>
    <t>https://www.genome.jp/entry/R13199</t>
  </si>
  <si>
    <t>5.1.1.1</t>
  </si>
  <si>
    <t>https://www.genome.jp/entry/5.1.1.1</t>
  </si>
  <si>
    <t>https://www.genome.jp/entry/R00401</t>
  </si>
  <si>
    <t>C00041</t>
  </si>
  <si>
    <t>C00133</t>
  </si>
  <si>
    <t>2.7.1.40</t>
  </si>
  <si>
    <t>https://www.genome.jp/entry/2.7.1.40</t>
  </si>
  <si>
    <t>https://www.genome.jp/entry/R00200</t>
  </si>
  <si>
    <t>C00002|C00022</t>
  </si>
  <si>
    <t>C00008|C00074</t>
  </si>
  <si>
    <t>https://www.genome.jp/entry/R00430</t>
  </si>
  <si>
    <t>C00044|C00022</t>
  </si>
  <si>
    <t>C00035|C00074</t>
  </si>
  <si>
    <t>https://www.genome.jp/entry/R00572</t>
  </si>
  <si>
    <t>C00063|C00022</t>
  </si>
  <si>
    <t>C00112|C00074</t>
  </si>
  <si>
    <t>https://www.genome.jp/entry/R00659</t>
  </si>
  <si>
    <t>C00075|C00022</t>
  </si>
  <si>
    <t>C00015|C00074</t>
  </si>
  <si>
    <t>https://www.genome.jp/entry/R00724</t>
  </si>
  <si>
    <t>C00081|C00022</t>
  </si>
  <si>
    <t>C00104|C00074</t>
  </si>
  <si>
    <t>https://www.genome.jp/entry/R01138</t>
  </si>
  <si>
    <t>C00131|C00022</t>
  </si>
  <si>
    <t>C00206|C00074</t>
  </si>
  <si>
    <t>https://www.genome.jp/entry/R01858</t>
  </si>
  <si>
    <t>C00286|C00022</t>
  </si>
  <si>
    <t>C00361|C00074</t>
  </si>
  <si>
    <t>https://www.genome.jp/entry/R02320</t>
  </si>
  <si>
    <t>C00201|C00022</t>
  </si>
  <si>
    <t>C00454|C00074</t>
  </si>
  <si>
    <t>2.5.1.55</t>
  </si>
  <si>
    <t>https://www.genome.jp/entry/2.5.1.55</t>
  </si>
  <si>
    <t>https://www.genome.jp/entry/R03254</t>
  </si>
  <si>
    <t>C04478|C00009</t>
  </si>
  <si>
    <t>C00074|C01112|C00001</t>
  </si>
  <si>
    <t>2.6.1.62</t>
  </si>
  <si>
    <t>https://www.genome.jp/entry/2.6.1.62</t>
  </si>
  <si>
    <t>https://www.genome.jp/entry/R03231</t>
  </si>
  <si>
    <t>C00019|C01092</t>
  </si>
  <si>
    <t>C04425|C01037</t>
  </si>
  <si>
    <t>2.3.1.47</t>
  </si>
  <si>
    <t>https://www.genome.jp/entry/2.3.1.47</t>
  </si>
  <si>
    <t>https://www.genome.jp/entry/R03210</t>
  </si>
  <si>
    <t>C01063|C00041</t>
  </si>
  <si>
    <t>C01092|C00010|C00011</t>
  </si>
  <si>
    <t>https://www.genome.jp/entry/R10124</t>
  </si>
  <si>
    <t>C19845|C00041</t>
  </si>
  <si>
    <t>C01092|C00229|C00011</t>
  </si>
  <si>
    <t>2.1.1.197</t>
  </si>
  <si>
    <t>https://www.genome.jp/entry/2.1.1.197</t>
  </si>
  <si>
    <t>https://www.genome.jp/entry/R09543</t>
  </si>
  <si>
    <t>C00019|C01209</t>
  </si>
  <si>
    <t>C00021|C19673</t>
  </si>
  <si>
    <t>6.3.3.3</t>
  </si>
  <si>
    <t>https://www.genome.jp/entry/6.3.3.3</t>
  </si>
  <si>
    <t>https://www.genome.jp/entry/R03182</t>
  </si>
  <si>
    <t>C00002|C01037|C00011</t>
  </si>
  <si>
    <t>C00008|C00009|C01909</t>
  </si>
  <si>
    <t>https://www.genome.jp/entry/R12933</t>
  </si>
  <si>
    <t>C01037|C00011</t>
  </si>
  <si>
    <t>C22458</t>
  </si>
  <si>
    <t>https://www.genome.jp/entry/R12934</t>
  </si>
  <si>
    <t>C22458|C00002</t>
  </si>
  <si>
    <t>C01909|C00008|C00009</t>
  </si>
  <si>
    <t>2.5.1.54</t>
  </si>
  <si>
    <t>https://www.genome.jp/entry/2.5.1.54</t>
  </si>
  <si>
    <t>https://www.genome.jp/entry/R01826</t>
  </si>
  <si>
    <t>C00074|C00279|C00001</t>
  </si>
  <si>
    <t>C04691|C00009</t>
  </si>
  <si>
    <t>2.7.8.-</t>
  </si>
  <si>
    <t>2.3.1.41</t>
  </si>
  <si>
    <t>https://www.genome.jp/entry/2.3.1.41</t>
  </si>
  <si>
    <t>https://www.genome.jp/entry/R02768</t>
  </si>
  <si>
    <t>C00173|C01209</t>
  </si>
  <si>
    <t>C00685|C00011|C00229</t>
  </si>
  <si>
    <t>https://www.genome.jp/entry/R04355</t>
  </si>
  <si>
    <t>C03939|C01209</t>
  </si>
  <si>
    <t>C05744|C00011|C00229</t>
  </si>
  <si>
    <t>https://www.genome.jp/entry/R04726</t>
  </si>
  <si>
    <t>C05223|C01209</t>
  </si>
  <si>
    <t>C05759|C00011|C00229</t>
  </si>
  <si>
    <t>https://www.genome.jp/entry/R04952</t>
  </si>
  <si>
    <t>C05745|C01209</t>
  </si>
  <si>
    <t>C05746|C00011|C00229</t>
  </si>
  <si>
    <t>https://www.genome.jp/entry/R04957</t>
  </si>
  <si>
    <t>C05749|C01209</t>
  </si>
  <si>
    <t>C05750|C00011|C00229</t>
  </si>
  <si>
    <t>https://www.genome.jp/entry/R04960</t>
  </si>
  <si>
    <t>C05752|C01209</t>
  </si>
  <si>
    <t>C05753|C00011|C00229</t>
  </si>
  <si>
    <t>https://www.genome.jp/entry/R04963</t>
  </si>
  <si>
    <t>C05755|C01209</t>
  </si>
  <si>
    <t>C05756|C00011|C00229</t>
  </si>
  <si>
    <t>https://www.genome.jp/entry/R04968</t>
  </si>
  <si>
    <t>C05761|C01209</t>
  </si>
  <si>
    <t>C05762|C00011|C00229</t>
  </si>
  <si>
    <t>https://www.genome.jp/entry/R07762</t>
  </si>
  <si>
    <t>C05764|C01209</t>
  </si>
  <si>
    <t>C16219|C00229|C00011</t>
  </si>
  <si>
    <t>https://www.genome.jp/entry/R10115</t>
  </si>
  <si>
    <t>C19673|C01209</t>
  </si>
  <si>
    <t>C20372|C00011|C00229</t>
  </si>
  <si>
    <t>https://www.genome.jp/entry/R10119</t>
  </si>
  <si>
    <t>C20375|C01209</t>
  </si>
  <si>
    <t>C20376|C00011|C00229</t>
  </si>
  <si>
    <t>2.7.1.167</t>
  </si>
  <si>
    <t>https://www.genome.jp/entry/2.7.1.167</t>
  </si>
  <si>
    <t>https://www.genome.jp/entry/R05646</t>
  </si>
  <si>
    <t>C00002|C07836</t>
  </si>
  <si>
    <t>C00008|C11472</t>
  </si>
  <si>
    <t>2.7.7.70</t>
  </si>
  <si>
    <t>https://www.genome.jp/entry/2.7.7.70</t>
  </si>
  <si>
    <t>https://www.genome.jp/entry/R05644</t>
  </si>
  <si>
    <t>6.1.1.22</t>
  </si>
  <si>
    <t>https://www.genome.jp/entry/6.1.1.22</t>
  </si>
  <si>
    <t>https://www.genome.jp/entry/R03648</t>
  </si>
  <si>
    <t>C00002|C00152|C01637</t>
  </si>
  <si>
    <t>C00020|C00013|C03402</t>
  </si>
  <si>
    <t>2.5.1.78</t>
  </si>
  <si>
    <t>https://www.genome.jp/entry/2.5.1.78</t>
  </si>
  <si>
    <t>https://www.genome.jp/entry/R04457</t>
  </si>
  <si>
    <t>C04732|C15556</t>
  </si>
  <si>
    <t>C04332|C00001|C00009</t>
  </si>
  <si>
    <t>2.7.4.16</t>
  </si>
  <si>
    <t>https://www.genome.jp/entry/2.7.4.16</t>
  </si>
  <si>
    <t>https://www.genome.jp/entry/R00617</t>
  </si>
  <si>
    <t>C00002|C01081</t>
  </si>
  <si>
    <t>C00008|C00068</t>
  </si>
  <si>
    <t>3.1.3.27</t>
  </si>
  <si>
    <t>https://www.genome.jp/entry/3.1.3.27</t>
  </si>
  <si>
    <t>https://www.genome.jp/entry/R02029</t>
  </si>
  <si>
    <t>C03892|C00001</t>
  </si>
  <si>
    <t>C00344|C00009</t>
  </si>
  <si>
    <t>1.17.1.8</t>
  </si>
  <si>
    <t>https://www.genome.jp/entry/1.17.1.8</t>
  </si>
  <si>
    <t>https://www.genome.jp/entry/R04198</t>
  </si>
  <si>
    <t>C03972|C00003|C00001</t>
  </si>
  <si>
    <t>C20258|C00004|C00080</t>
  </si>
  <si>
    <t>https://www.genome.jp/entry/R04199</t>
  </si>
  <si>
    <t>C03972|C00006|C00001</t>
  </si>
  <si>
    <t>C20258|C00005|C00080</t>
  </si>
  <si>
    <t>6.1.1.20</t>
  </si>
  <si>
    <t>https://www.genome.jp/entry/6.1.1.20</t>
  </si>
  <si>
    <t>https://www.genome.jp/entry/R03660</t>
  </si>
  <si>
    <t>C00002|C00079|C01648</t>
  </si>
  <si>
    <t>C00020|C00013|C03511</t>
  </si>
  <si>
    <t>5.3.3.14</t>
  </si>
  <si>
    <t>https://www.genome.jp/entry/5.3.3.14</t>
  </si>
  <si>
    <t>https://www.genome.jp/entry/R07639</t>
  </si>
  <si>
    <t>C05754</t>
  </si>
  <si>
    <t>C04180</t>
  </si>
  <si>
    <t>3.4.16.4</t>
  </si>
  <si>
    <t>https://www.genome.jp/entry/3.4.16.4</t>
  </si>
  <si>
    <t>2.1.1.166</t>
  </si>
  <si>
    <t>https://www.genome.jp/entry/2.1.1.166</t>
  </si>
  <si>
    <t>2.5.1.15</t>
  </si>
  <si>
    <t>https://www.genome.jp/entry/2.5.1.15</t>
  </si>
  <si>
    <t>https://www.genome.jp/entry/R03067</t>
  </si>
  <si>
    <t>C04807|C00568</t>
  </si>
  <si>
    <t>C00013|C00921</t>
  </si>
  <si>
    <t>https://www.genome.jp/entry/R03066</t>
  </si>
  <si>
    <t>C01300|C00568</t>
  </si>
  <si>
    <t>C00921|C00001</t>
  </si>
  <si>
    <t>5.4.2.10</t>
  </si>
  <si>
    <t>https://www.genome.jp/entry/5.4.2.10</t>
  </si>
  <si>
    <t>https://www.genome.jp/entry/R02060</t>
  </si>
  <si>
    <t>C06156</t>
  </si>
  <si>
    <t>C00352</t>
  </si>
  <si>
    <t>2.7.7.80</t>
  </si>
  <si>
    <t>https://www.genome.jp/entry/2.7.7.80</t>
  </si>
  <si>
    <t>https://www.genome.jp/entry/R07459</t>
  </si>
  <si>
    <t>C15810|C00002</t>
  </si>
  <si>
    <t>C15813|C00013</t>
  </si>
  <si>
    <t>2.10.1.1</t>
  </si>
  <si>
    <t>https://www.genome.jp/entry/2.10.1.1</t>
  </si>
  <si>
    <t>https://www.genome.jp/entry/R09735</t>
  </si>
  <si>
    <t>C19848|C06232</t>
  </si>
  <si>
    <t>C18237|C00020|C00001</t>
  </si>
  <si>
    <t>3.5.4.16</t>
  </si>
  <si>
    <t>https://www.genome.jp/entry/3.5.4.16</t>
  </si>
  <si>
    <t>https://www.genome.jp/entry/R00424</t>
  </si>
  <si>
    <t>C04895|C00058</t>
  </si>
  <si>
    <t>https://www.genome.jp/entry/R00428</t>
  </si>
  <si>
    <t>C05922</t>
  </si>
  <si>
    <t>https://www.genome.jp/entry/R04639</t>
  </si>
  <si>
    <t>C06148</t>
  </si>
  <si>
    <t>https://www.genome.jp/entry/R05046</t>
  </si>
  <si>
    <t>C05922|C00001</t>
  </si>
  <si>
    <t>C05923|C00058</t>
  </si>
  <si>
    <t>https://www.genome.jp/entry/R05048</t>
  </si>
  <si>
    <t>C05923</t>
  </si>
  <si>
    <t>1.5.1.20</t>
  </si>
  <si>
    <t>https://www.genome.jp/entry/1.5.1.20</t>
  </si>
  <si>
    <t>https://www.genome.jp/entry/R01224</t>
  </si>
  <si>
    <t>C00440|C00006</t>
  </si>
  <si>
    <t>C00143|C00005|C00080</t>
  </si>
  <si>
    <t>https://www.genome.jp/entry/R07168</t>
  </si>
  <si>
    <t>C00440|C00003</t>
  </si>
  <si>
    <t>C00143|C00004|C00080</t>
  </si>
  <si>
    <t>2.2.1.7</t>
  </si>
  <si>
    <t>https://www.genome.jp/entry/2.2.1.7</t>
  </si>
  <si>
    <t>https://www.genome.jp/entry/R05636</t>
  </si>
  <si>
    <t>C00022|C00118</t>
  </si>
  <si>
    <t>C11437|C00011</t>
  </si>
  <si>
    <t>2.5.1.10</t>
  </si>
  <si>
    <t>https://www.genome.jp/entry/2.5.1.10</t>
  </si>
  <si>
    <t>https://www.genome.jp/entry/R02003</t>
  </si>
  <si>
    <t>C00341|C00129</t>
  </si>
  <si>
    <t>C00013|C00448</t>
  </si>
  <si>
    <t>2.8.1.4</t>
  </si>
  <si>
    <t>https://www.genome.jp/entry/2.8.1.4</t>
  </si>
  <si>
    <t>https://www.genome.jp/entry/R03923</t>
  </si>
  <si>
    <t>C00097|C02342</t>
  </si>
  <si>
    <t>C00065|C04161</t>
  </si>
  <si>
    <t>https://www.genome.jp/entry/R07461</t>
  </si>
  <si>
    <t>C15812|C15813|C00030</t>
  </si>
  <si>
    <t>C00020|C15814|C15811|C00028</t>
  </si>
  <si>
    <t>5.4.99.26</t>
  </si>
  <si>
    <t>https://www.genome.jp/entry/5.4.99.26</t>
  </si>
  <si>
    <t>4.2.1.20</t>
  </si>
  <si>
    <t>https://www.genome.jp/entry/4.2.1.20</t>
  </si>
  <si>
    <t>https://www.genome.jp/entry/R00674</t>
  </si>
  <si>
    <t>C00065|C00463</t>
  </si>
  <si>
    <t>https://www.genome.jp/entry/R02340</t>
  </si>
  <si>
    <t>C03506</t>
  </si>
  <si>
    <t>C00463 | C00118</t>
  </si>
  <si>
    <t>https://www.genome.jp/entry/R02722</t>
  </si>
  <si>
    <t>C00065|C03506</t>
  </si>
  <si>
    <t>C00078|C00118|C00001</t>
  </si>
  <si>
    <t>C00463|C00118</t>
  </si>
  <si>
    <t>6.3.3.1</t>
  </si>
  <si>
    <t>https://www.genome.jp/entry/6.3.3.1</t>
  </si>
  <si>
    <t>https://www.genome.jp/entry/R04208</t>
  </si>
  <si>
    <t>C00002|C04640</t>
  </si>
  <si>
    <t>C00008|C00009|C03373</t>
  </si>
  <si>
    <t>2.1.2.2</t>
  </si>
  <si>
    <t>https://www.genome.jp/entry/2.1.2.2</t>
  </si>
  <si>
    <t>https://www.genome.jp/entry/R04325</t>
  </si>
  <si>
    <t>C00234|C03838</t>
  </si>
  <si>
    <t>C00101|C04376</t>
  </si>
  <si>
    <t>https://www.genome.jp/entry/R04326</t>
  </si>
  <si>
    <t>C03838|C00445|C00001</t>
  </si>
  <si>
    <t>C04376|C00101</t>
  </si>
  <si>
    <t>1.3.5.2</t>
  </si>
  <si>
    <t>https://www.genome.jp/entry/1.3.5.2</t>
  </si>
  <si>
    <t>https://www.genome.jp/entry/R01868</t>
  </si>
  <si>
    <t>C00337|C15602</t>
  </si>
  <si>
    <t>C00295|C15603</t>
  </si>
  <si>
    <t>4.2.1.2</t>
  </si>
  <si>
    <t>https://www.genome.jp/entry/4.2.1.2</t>
  </si>
  <si>
    <t>https://www.genome.jp/entry/R01082</t>
  </si>
  <si>
    <t>C00149</t>
  </si>
  <si>
    <t>C00122|C00001</t>
  </si>
  <si>
    <t>2.1.1.37</t>
  </si>
  <si>
    <t>https://www.genome.jp/entry/2.1.1.37</t>
  </si>
  <si>
    <t>https://www.genome.jp/entry/R00380</t>
  </si>
  <si>
    <t>C00019|C00039</t>
  </si>
  <si>
    <t>C00021|C02967</t>
  </si>
  <si>
    <t>https://www.genome.jp/entry/R04858</t>
  </si>
  <si>
    <t>C00019|C00856</t>
  </si>
  <si>
    <t>6.1.1.9</t>
  </si>
  <si>
    <t>https://www.genome.jp/entry/6.1.1.9</t>
  </si>
  <si>
    <t>https://www.genome.jp/entry/R03665</t>
  </si>
  <si>
    <t>C00002|C00183|C01653</t>
  </si>
  <si>
    <t>C00020|C00013|C02554</t>
  </si>
  <si>
    <t>4.1.1.48</t>
  </si>
  <si>
    <t>https://www.genome.jp/entry/4.1.1.48</t>
  </si>
  <si>
    <t>https://www.genome.jp/entry/R03508</t>
  </si>
  <si>
    <t>C01302</t>
  </si>
  <si>
    <t>C03506|C00011|C00001</t>
  </si>
  <si>
    <t>5.3.1.24</t>
  </si>
  <si>
    <t>https://www.genome.jp/entry/5.3.1.24</t>
  </si>
  <si>
    <t>https://www.genome.jp/entry/R03509</t>
  </si>
  <si>
    <t>C04302|C01302</t>
  </si>
  <si>
    <t>2.4.2.18</t>
  </si>
  <si>
    <t>https://www.genome.jp/entry/2.4.2.18</t>
  </si>
  <si>
    <t>https://www.genome.jp/entry/R01073</t>
  </si>
  <si>
    <t>4.1.3.27</t>
  </si>
  <si>
    <t>https://www.genome.jp/entry/4.1.3.27</t>
  </si>
  <si>
    <t>https://www.genome.jp/entry/R00986</t>
  </si>
  <si>
    <t>C00108|C00022|C00025</t>
  </si>
  <si>
    <t>https://www.genome.jp/entry/R00985</t>
  </si>
  <si>
    <t>C00108|C00022|C00001</t>
  </si>
  <si>
    <t>1.16.3.2</t>
  </si>
  <si>
    <t>https://www.genome.jp/entry/1.16.3.2</t>
  </si>
  <si>
    <t>https://www.genome.jp/entry/R13250</t>
  </si>
  <si>
    <t>C14818|C00007|C00001</t>
  </si>
  <si>
    <t>C22881|C00080</t>
  </si>
  <si>
    <t>https://www.genome.jp/entry/R13251</t>
  </si>
  <si>
    <t>C22881|C00080|C00027</t>
  </si>
  <si>
    <t>https://www.genome.jp/entry/R13252</t>
  </si>
  <si>
    <t>C14818|C00027|C00001</t>
  </si>
  <si>
    <t>7.3.2.1</t>
  </si>
  <si>
    <t>https://www.genome.jp/entry/7.3.2.1</t>
  </si>
  <si>
    <t>3.1.11.1</t>
  </si>
  <si>
    <t>https://www.genome.jp/entry/3.1.11.1</t>
  </si>
  <si>
    <t>6.1.1.3</t>
  </si>
  <si>
    <t>https://www.genome.jp/entry/6.1.1.3</t>
  </si>
  <si>
    <t>https://www.genome.jp/entry/R03663</t>
  </si>
  <si>
    <t>C00002 | C00188 | C01651</t>
  </si>
  <si>
    <t>C00020 | C00013 | C02992</t>
  </si>
  <si>
    <t>5.6.2.1</t>
  </si>
  <si>
    <t>https://www.genome.jp/entry/5.6.2.1</t>
  </si>
  <si>
    <t>1.6.1.2</t>
  </si>
  <si>
    <t>https://www.genome.jp/entry/1.6.1.2</t>
  </si>
  <si>
    <t>2.4.1.21</t>
  </si>
  <si>
    <t>https://www.genome.jp/entry/2.4.1.21</t>
  </si>
  <si>
    <t>https://www.genome.jp/entry/R02421</t>
  </si>
  <si>
    <t>C00498|C00718</t>
  </si>
  <si>
    <t>C00008|C00718</t>
  </si>
  <si>
    <t>https://www.genome.jp/entry/R06049</t>
  </si>
  <si>
    <t>G10495|G11109</t>
  </si>
  <si>
    <t>G10495|G11113</t>
  </si>
  <si>
    <t>2.7.7.27</t>
  </si>
  <si>
    <t>https://www.genome.jp/entry/2.7.7.27</t>
  </si>
  <si>
    <t>https://www.genome.jp/entry/R00948</t>
  </si>
  <si>
    <t>C00002|C00103</t>
  </si>
  <si>
    <t>C00013|C00498</t>
  </si>
  <si>
    <t>2.4.1.18</t>
  </si>
  <si>
    <t>https://www.genome.jp/entry/2.4.1.18</t>
  </si>
  <si>
    <t>https://www.genome.jp/entry/R02110</t>
  </si>
  <si>
    <t>C00718</t>
  </si>
  <si>
    <t>C00369</t>
  </si>
  <si>
    <t>https://www.genome.jp/entry/R06186</t>
  </si>
  <si>
    <t>G10495</t>
  </si>
  <si>
    <t>G10545</t>
  </si>
  <si>
    <t>2.4.1.25</t>
  </si>
  <si>
    <t>6.1.1.18</t>
  </si>
  <si>
    <t>https://www.genome.jp/entry/6.1.1.18</t>
  </si>
  <si>
    <t>https://www.genome.jp/entry/R03652</t>
  </si>
  <si>
    <t>C00002|C00064|C01640</t>
  </si>
  <si>
    <t>C00020|C00013|C02282</t>
  </si>
  <si>
    <t>3.1.26.-</t>
  </si>
  <si>
    <t>2.5.1.-</t>
  </si>
  <si>
    <t>3.5.4.5</t>
  </si>
  <si>
    <t>https://www.genome.jp/entry/3.5.4.5</t>
  </si>
  <si>
    <t>https://www.genome.jp/entry/R01878</t>
  </si>
  <si>
    <t>C00475|C00001</t>
  </si>
  <si>
    <t>C00299|C00014</t>
  </si>
  <si>
    <t>https://www.genome.jp/entry/R02485</t>
  </si>
  <si>
    <t>C00881|C00001</t>
  </si>
  <si>
    <t>C00526|C00014</t>
  </si>
  <si>
    <t>https://www.genome.jp/entry/R08221</t>
  </si>
  <si>
    <t>C16635|C00001</t>
  </si>
  <si>
    <t>C12739|C00014</t>
  </si>
  <si>
    <t>3.4.11.4</t>
  </si>
  <si>
    <t>https://www.genome.jp/entry/3.4.11.4</t>
  </si>
  <si>
    <t>1.7.1.13</t>
  </si>
  <si>
    <t>https://www.genome.jp/entry/1.7.1.13</t>
  </si>
  <si>
    <t>https://www.genome.jp/entry/R07605</t>
  </si>
  <si>
    <t>C16675|C00006</t>
  </si>
  <si>
    <t>C15996|C00005|C00080</t>
  </si>
  <si>
    <t>1.3.1.12</t>
  </si>
  <si>
    <t>https://www.genome.jp/entry/1.3.1.12</t>
  </si>
  <si>
    <t>https://www.genome.jp/entry/R01728</t>
  </si>
  <si>
    <t>C00254|C00003</t>
  </si>
  <si>
    <t>C01179|C00011|C00004|C00080</t>
  </si>
  <si>
    <t>5.4.99.5</t>
  </si>
  <si>
    <t>https://www.genome.jp/entry/5.4.99.5</t>
  </si>
  <si>
    <t>https://www.genome.jp/entry/R01715</t>
  </si>
  <si>
    <t>C00251</t>
  </si>
  <si>
    <t>5.4.99.25</t>
  </si>
  <si>
    <t>https://www.genome.jp/entry/5.4.99.25</t>
  </si>
  <si>
    <t>6.1.1.10</t>
  </si>
  <si>
    <t>https://www.genome.jp/entry/6.1.1.10</t>
  </si>
  <si>
    <t>https://www.genome.jp/entry/R03659</t>
  </si>
  <si>
    <t>C00002|C00073 |C01647</t>
  </si>
  <si>
    <t>C00020|C00013|C02430</t>
  </si>
  <si>
    <t>https://www.genome.jp/entry/R04773</t>
  </si>
  <si>
    <t>C00002|C05335|C01647</t>
  </si>
  <si>
    <t>C00020|C00013|C05336</t>
  </si>
  <si>
    <t>3.1.2.6</t>
  </si>
  <si>
    <t>https://www.genome.jp/entry/3.1.2.6</t>
  </si>
  <si>
    <t>https://www.genome.jp/entry/R04090</t>
  </si>
  <si>
    <t>C03899|C00001</t>
  </si>
  <si>
    <t>C00051|C02929</t>
  </si>
  <si>
    <t>https://www.genome.jp/entry/R01736</t>
  </si>
  <si>
    <t>C03451|C00001</t>
  </si>
  <si>
    <t>C00051|C00256</t>
  </si>
  <si>
    <t>2.3.1.31</t>
  </si>
  <si>
    <t>https://www.genome.jp/entry/2.3.1.31</t>
  </si>
  <si>
    <t>https://www.genome.jp/entry/R01776</t>
  </si>
  <si>
    <t>6.3.2.12</t>
  </si>
  <si>
    <t>https://www.genome.jp/entry/6.3.2.12</t>
  </si>
  <si>
    <t>https://www.genome.jp/entry/R02237</t>
  </si>
  <si>
    <t>C00002|C00921|C00025</t>
  </si>
  <si>
    <t>C00008|C00009|C00415</t>
  </si>
  <si>
    <t>https://www.genome.jp/entry/R01654</t>
  </si>
  <si>
    <t>C00002|C00234|C00025</t>
  </si>
  <si>
    <t>C00008|C00009|C05928</t>
  </si>
  <si>
    <t>6.3.2.17</t>
  </si>
  <si>
    <t>https://www.genome.jp/entry/6.3.2.17</t>
  </si>
  <si>
    <t>https://www.genome.jp/entry/R04241</t>
  </si>
  <si>
    <t>C00002|C03541|C00025</t>
  </si>
  <si>
    <t>C00008|C00009|C03541</t>
  </si>
  <si>
    <t>https://www.genome.jp/entry/R00942</t>
  </si>
  <si>
    <t>C00002|C00101|C00025</t>
  </si>
  <si>
    <t>C00008|C00009|C09332</t>
  </si>
  <si>
    <t>https://www.genome.jp/entry/R05197</t>
  </si>
  <si>
    <t>C00002|C05928|C00025</t>
  </si>
  <si>
    <t>C00008|C00009|C05929</t>
  </si>
  <si>
    <t>2.3.1.-</t>
  </si>
  <si>
    <t>5.4.99.19</t>
  </si>
  <si>
    <t>https://www.genome.jp/entry/5.4.99.19</t>
  </si>
  <si>
    <t>1.2.1.41</t>
  </si>
  <si>
    <t>https://www.genome.jp/entry/1.2.1.41</t>
  </si>
  <si>
    <t>https://www.genome.jp/entry/R03313</t>
  </si>
  <si>
    <t>C01165|C00009|C00006</t>
  </si>
  <si>
    <t>C03287|C00005|C00080</t>
  </si>
  <si>
    <t>1.8.4.-</t>
  </si>
  <si>
    <t>4.2.3.3</t>
  </si>
  <si>
    <t>https://www.genome.jp/entry/4.2.3.3</t>
  </si>
  <si>
    <t>https://www.genome.jp/entry/R01016</t>
  </si>
  <si>
    <t>C00546|C00009</t>
  </si>
  <si>
    <t>1.2.4.1</t>
  </si>
  <si>
    <t>https://www.genome.jp/entry/1.2.4.1</t>
  </si>
  <si>
    <t>https://www.genome.jp/entry/R01699</t>
  </si>
  <si>
    <t>C00022 | C15972</t>
  </si>
  <si>
    <t>C16255 | C00011</t>
  </si>
  <si>
    <t>https://www.genome.jp/entry/R03270</t>
  </si>
  <si>
    <t>C05125|C15972</t>
  </si>
  <si>
    <t>C16255|C00068</t>
  </si>
  <si>
    <t>2.3.1.12</t>
  </si>
  <si>
    <t>https://www.genome.jp/entry/2.3.1.12</t>
  </si>
  <si>
    <t>https://www.genome.jp/entry/R02569</t>
  </si>
  <si>
    <t>C00024|C15973</t>
  </si>
  <si>
    <t>C00010|C16255</t>
  </si>
  <si>
    <t>1.8.1.4</t>
  </si>
  <si>
    <t>https://www.genome.jp/entry/1.8.1.4</t>
  </si>
  <si>
    <t>https://www.genome.jp/entry/R08550</t>
  </si>
  <si>
    <t>C16832|C00003</t>
  </si>
  <si>
    <t>C16237|C00004|C00080</t>
  </si>
  <si>
    <t>https://www.genome.jp/entry/R03815</t>
  </si>
  <si>
    <t>C02972|C00003</t>
  </si>
  <si>
    <t>C02051|C00004|C00080</t>
  </si>
  <si>
    <t>https://www.genome.jp/entry/R07618</t>
  </si>
  <si>
    <t>C15973|C00003</t>
  </si>
  <si>
    <t>C15972|C00004|C00080</t>
  </si>
  <si>
    <t>https://www.genome.jp/entry/R01698</t>
  </si>
  <si>
    <t>C00579|C00003</t>
  </si>
  <si>
    <t>C00248|C00004|C00080</t>
  </si>
  <si>
    <t>2.4.2.7</t>
  </si>
  <si>
    <t>https://www.genome.jp/entry/2.4.2.7</t>
  </si>
  <si>
    <t>https://www.genome.jp/entry/R00190</t>
  </si>
  <si>
    <t>C00147|C00119</t>
  </si>
  <si>
    <t>https://www.genome.jp/entry/R04378</t>
  </si>
  <si>
    <t>C04677|C00013</t>
  </si>
  <si>
    <t>C04051|C00119</t>
  </si>
  <si>
    <t>4.1.1.23</t>
  </si>
  <si>
    <t>https://www.genome.jp/entry/4.1.1.23</t>
  </si>
  <si>
    <t>https://www.genome.jp/entry/R00965</t>
  </si>
  <si>
    <t>C01103</t>
  </si>
  <si>
    <t>C00105|C00011</t>
  </si>
  <si>
    <t>2.7.4.25</t>
  </si>
  <si>
    <t>https://www.genome.jp/entry/2.7.4.25</t>
  </si>
  <si>
    <t>https://www.genome.jp/entry/R00512</t>
  </si>
  <si>
    <t>C00002|C00055</t>
  </si>
  <si>
    <t>C00008|C00112</t>
  </si>
  <si>
    <t>https://www.genome.jp/entry/R01665</t>
  </si>
  <si>
    <t>C00002|C00239</t>
  </si>
  <si>
    <t>C00008|C00705</t>
  </si>
  <si>
    <t>3.5.1.2</t>
  </si>
  <si>
    <t>https://www.genome.jp/entry/3.5.1.2</t>
  </si>
  <si>
    <t>https://www.genome.jp/entry/R01579</t>
  </si>
  <si>
    <t>C00819|C00001</t>
  </si>
  <si>
    <t>C00217|C00014</t>
  </si>
  <si>
    <t>4.3.3.6</t>
  </si>
  <si>
    <t>https://www.genome.jp/entry/4.3.3.6</t>
  </si>
  <si>
    <t>https://www.genome.jp/entry/R10088</t>
  </si>
  <si>
    <t>C00117|C00118|C00014</t>
  </si>
  <si>
    <t>C00018|C00001|C00009</t>
  </si>
  <si>
    <t>https://www.genome.jp/entry/R10089</t>
  </si>
  <si>
    <t>C00117|C00118|C00064</t>
  </si>
  <si>
    <t>C00018|C00025|C00001|C00009</t>
  </si>
  <si>
    <t>https://www.genome.jp/entry/R07456</t>
  </si>
  <si>
    <t>C00118|C00199|C00064</t>
  </si>
  <si>
    <t>C00018|C00025|C00009|C00001</t>
  </si>
  <si>
    <t>1.1.1.28</t>
  </si>
  <si>
    <t>https://www.genome.jp/entry/1.1.1.28</t>
  </si>
  <si>
    <t>https://www.genome.jp/entry/R00704</t>
  </si>
  <si>
    <t>C00256|C00003</t>
  </si>
  <si>
    <t>C00022|C00004|C00080</t>
  </si>
  <si>
    <t>2.1.1.198</t>
  </si>
  <si>
    <t>https://www.genome.jp/entry/2.1.1.198</t>
  </si>
  <si>
    <t>1.17.4.1</t>
  </si>
  <si>
    <t>https://www.genome.jp/entry/1.17.4.1</t>
  </si>
  <si>
    <t>https://www.genome.jp/entry/R04294</t>
  </si>
  <si>
    <t>C04232|C00343|C00001</t>
  </si>
  <si>
    <t>C03723|C00342</t>
  </si>
  <si>
    <t>https://www.genome.jp/entry/R02017</t>
  </si>
  <si>
    <t>C00206|C00343|C00001</t>
  </si>
  <si>
    <t>C00342|C00008</t>
  </si>
  <si>
    <t>https://www.genome.jp/entry/R02018</t>
  </si>
  <si>
    <t>C01346|C00343|C00001</t>
  </si>
  <si>
    <t>C00342|C00015</t>
  </si>
  <si>
    <t>https://www.genome.jp/entry/R02019</t>
  </si>
  <si>
    <t>C00361|C00343|C00001</t>
  </si>
  <si>
    <t>C00035|C00342</t>
  </si>
  <si>
    <t>https://www.genome.jp/entry/R02024</t>
  </si>
  <si>
    <t>C00705|C00343|C00001</t>
  </si>
  <si>
    <t>C00342|C00112</t>
  </si>
  <si>
    <t>https://www.genome.jp/entry/R08363</t>
  </si>
  <si>
    <t>C04232|C16664|C00001</t>
  </si>
  <si>
    <t>C03723 | C16663</t>
  </si>
  <si>
    <t>https://www.genome.jp/entry/R08364</t>
  </si>
  <si>
    <t>C04232|C03170|C00001</t>
  </si>
  <si>
    <t>C03723|C02090</t>
  </si>
  <si>
    <t>https://www.genome.jp/entry/R11893</t>
  </si>
  <si>
    <t>C21750|C00343|C00001</t>
  </si>
  <si>
    <t>C21748|C00342</t>
  </si>
  <si>
    <t>2.3.1.61</t>
  </si>
  <si>
    <t>https://www.genome.jp/entry/2.3.1.61</t>
  </si>
  <si>
    <t>https://www.genome.jp/entry/R02570</t>
  </si>
  <si>
    <t>C00091|C15973</t>
  </si>
  <si>
    <t>C00010|C16254</t>
  </si>
  <si>
    <t>https://www.genome.jp/entry/R02571</t>
  </si>
  <si>
    <t>C00527|C15973</t>
  </si>
  <si>
    <t>C00010|C06157</t>
  </si>
  <si>
    <t>1.2.4.2</t>
  </si>
  <si>
    <t>https://www.genome.jp/entry/1.2.4.2</t>
  </si>
  <si>
    <t>https://www.genome.jp/entry/R01700</t>
  </si>
  <si>
    <t>C00026|C15972</t>
  </si>
  <si>
    <t>C16254|C00011</t>
  </si>
  <si>
    <t>https://www.genome.jp/entry/R00621</t>
  </si>
  <si>
    <t>C00026|C00068</t>
  </si>
  <si>
    <t>C05381|C0001</t>
  </si>
  <si>
    <t>https://www.genome.jp/entry/R03316</t>
  </si>
  <si>
    <t>C05381|C15972</t>
  </si>
  <si>
    <t>C16254|C00068</t>
  </si>
  <si>
    <t>3.4.21.102</t>
  </si>
  <si>
    <t>https://www.genome.jp/entry/3.4.21.102</t>
  </si>
  <si>
    <t>2.8.1.12</t>
  </si>
  <si>
    <t>https://www.genome.jp/entry/2.8.1.12</t>
  </si>
  <si>
    <t>https://www.genome.jp/entry/R09395</t>
  </si>
  <si>
    <t>C18239|C15814</t>
  </si>
  <si>
    <t>C05924|C15810</t>
  </si>
  <si>
    <t>4.6.1.17</t>
  </si>
  <si>
    <t>https://www.genome.jp/entry/4.6.1.17</t>
  </si>
  <si>
    <t>https://www.genome.jp/entry/R11372</t>
  </si>
  <si>
    <t>C21310|C00001</t>
  </si>
  <si>
    <t>C18239|C00013</t>
  </si>
  <si>
    <t>4.1.99.22</t>
  </si>
  <si>
    <t>https://www.genome.jp/entry/4.1.99.22</t>
  </si>
  <si>
    <t>https://www.genome.jp/entry/R09394</t>
  </si>
  <si>
    <t>C00044|C00019|C00030</t>
  </si>
  <si>
    <t>C21310|C05198|C00073|C00028</t>
  </si>
  <si>
    <t>4.2.99.18</t>
  </si>
  <si>
    <t>https://www.genome.jp/entry/4.2.99.18</t>
  </si>
  <si>
    <t>7.3.2.5</t>
  </si>
  <si>
    <t>https://www.genome.jp/entry/7.3.2.5</t>
  </si>
  <si>
    <t>7.3.2.-</t>
  </si>
  <si>
    <t>2.4.99.6</t>
  </si>
  <si>
    <t>https://www.genome.jp/entry/2.4.99.6</t>
  </si>
  <si>
    <t>"</t>
  </si>
  <si>
    <t>2.1.1.14</t>
  </si>
  <si>
    <t>https://www.genome.jp/entry/2.1.1.14</t>
  </si>
  <si>
    <t>https://www.genome.jp/entry/R04405</t>
  </si>
  <si>
    <t>C04489|C00155</t>
  </si>
  <si>
    <t>C04144|C00073</t>
  </si>
  <si>
    <t>https://www.genome.jp/entry/R09365</t>
  </si>
  <si>
    <t>C05698|C04489</t>
  </si>
  <si>
    <t>C05335|C04144</t>
  </si>
  <si>
    <t>3.4.11.1</t>
  </si>
  <si>
    <t>https://www.genome.jp/entry/3.4.11.1</t>
  </si>
  <si>
    <t>2.7.1.199</t>
  </si>
  <si>
    <t>https://www.genome.jp/entry/2.7.1.199</t>
  </si>
  <si>
    <t>https://www.genome.jp/entry/R02738</t>
  </si>
  <si>
    <t>C04261|C00031</t>
  </si>
  <si>
    <t>C00615|C00668</t>
  </si>
  <si>
    <t>2.7.3.9</t>
  </si>
  <si>
    <t>https://www.genome.jp/entry/2.7.3.9</t>
  </si>
  <si>
    <t>https://www.genome.jp/entry/R02628</t>
  </si>
  <si>
    <t>C00074|C00615</t>
  </si>
  <si>
    <t>C00022|C04261</t>
  </si>
  <si>
    <t>3.1.-.-</t>
  </si>
  <si>
    <t>3.4.11.18</t>
  </si>
  <si>
    <t>https://www.genome.jp/entry/3.4.11.18</t>
  </si>
  <si>
    <t>6.3.2.6</t>
  </si>
  <si>
    <t>https://www.genome.jp/entry/6.3.2.6</t>
  </si>
  <si>
    <t>https://www.genome.jp/entry/R04591</t>
  </si>
  <si>
    <t>C00002|C04751|C00049</t>
  </si>
  <si>
    <t>C00008|C00009|C04823</t>
  </si>
  <si>
    <t>6.3.4.5</t>
  </si>
  <si>
    <t>https://www.genome.jp/entry/6.3.4.5</t>
  </si>
  <si>
    <t>https://www.genome.jp/entry/R01954</t>
  </si>
  <si>
    <t>C00002|C00327|C00049</t>
  </si>
  <si>
    <t>C00020|C00013|C03406</t>
  </si>
  <si>
    <t>3.5.2.9</t>
  </si>
  <si>
    <t>https://www.genome.jp/entry/3.5.2.9</t>
  </si>
  <si>
    <t>https://www.genome.jp/entry/R00251</t>
  </si>
  <si>
    <t>C00002|C01879|C00001</t>
  </si>
  <si>
    <t>C00008|C00009|C00025</t>
  </si>
  <si>
    <t>https://www.genome.jp/entry/3.5.2.99</t>
  </si>
  <si>
    <t>5.1.1.3</t>
  </si>
  <si>
    <t>https://www.genome.jp/entry/5.1.1.3</t>
  </si>
  <si>
    <t>https://www.genome.jp/entry/R00260</t>
  </si>
  <si>
    <t>C00025</t>
  </si>
  <si>
    <t>C00217</t>
  </si>
  <si>
    <t>3.1.7.2</t>
  </si>
  <si>
    <t>https://www.genome.jp/entry/3.1.7.2</t>
  </si>
  <si>
    <t>https://www.genome.jp/entry/R00336</t>
  </si>
  <si>
    <t>C01228|C00001</t>
  </si>
  <si>
    <t>C00035|C00013</t>
  </si>
  <si>
    <t>C00063 | C00046</t>
  </si>
  <si>
    <t>C00075 | C00046</t>
  </si>
  <si>
    <t>1.17.5.3</t>
  </si>
  <si>
    <t>https://www.genome.jp/entry/1.17.5.3</t>
  </si>
  <si>
    <t>https://www.genome.jp/entry/R09494</t>
  </si>
  <si>
    <t>C00058|C15602</t>
  </si>
  <si>
    <t>C00011|C15603</t>
  </si>
  <si>
    <t>1.17.1.9</t>
  </si>
  <si>
    <t>https://www.genome.jp/entry/1.17.1.9</t>
  </si>
  <si>
    <t>https://www.genome.jp/entry/R00519</t>
  </si>
  <si>
    <t>C00058|C00003</t>
  </si>
  <si>
    <t>C00080|C00011|C00004</t>
  </si>
  <si>
    <t>2.3.1.266</t>
  </si>
  <si>
    <t>https://www.genome.jp/entry/2.3.1.266</t>
  </si>
  <si>
    <t>https://www.genome.jp/entry/R04316</t>
  </si>
  <si>
    <t>C00024|C03803</t>
  </si>
  <si>
    <t>C00010|C04341</t>
  </si>
  <si>
    <t>2.1.1.172</t>
  </si>
  <si>
    <t>https://www.genome.jp/entry/2.1.1.172</t>
  </si>
  <si>
    <t>3.1.26.3</t>
  </si>
  <si>
    <t>https://www.genome.jp/entry/3.1.26.3</t>
  </si>
  <si>
    <t>3.4.21.89</t>
  </si>
  <si>
    <t>https://www.genome.jp/entry/3.4.21.89</t>
  </si>
  <si>
    <t>3.6.5.n1</t>
  </si>
  <si>
    <t>https://www.genome.jp/entry/3.2.2.27</t>
  </si>
  <si>
    <t>3.2.2.27</t>
  </si>
  <si>
    <t>2.8.4.3</t>
  </si>
  <si>
    <t>2.4.2.52</t>
  </si>
  <si>
    <t>https://www.genome.jp/entry/2.4.2.52</t>
  </si>
  <si>
    <t>https://www.genome.jp/entry/R09675</t>
  </si>
  <si>
    <t>C19771|C00147</t>
  </si>
  <si>
    <t>2.8.3.10</t>
  </si>
  <si>
    <t>https://www.genome.jp/entry/2.8.3.10</t>
  </si>
  <si>
    <t>https://www.genome.jp/entry/R01323</t>
  </si>
  <si>
    <t>C00024|C00158</t>
  </si>
  <si>
    <t>C00033|C00566</t>
  </si>
  <si>
    <t>4.1.3.6</t>
  </si>
  <si>
    <t>https://www.genome.jp/entry/4.1.3.6</t>
  </si>
  <si>
    <t>https://www.genome.jp/entry/R00362</t>
  </si>
  <si>
    <t>C00158</t>
  </si>
  <si>
    <t>C00033|C00036</t>
  </si>
  <si>
    <t>4.1.3.34</t>
  </si>
  <si>
    <t>https://www.genome.jp/entry/4.1.3.34</t>
  </si>
  <si>
    <t>https://www.genome.jp/entry/R00354</t>
  </si>
  <si>
    <t>C00566</t>
  </si>
  <si>
    <t>C00024|C00036</t>
  </si>
  <si>
    <t>6.2.1.22</t>
  </si>
  <si>
    <t>https://www.genome.jp/entry/6.2.1.22</t>
  </si>
  <si>
    <t>https://www.genome.jp/entry/R04449</t>
  </si>
  <si>
    <t>C00002|C00033|C04298</t>
  </si>
  <si>
    <t>C00020|C00013|C04334</t>
  </si>
  <si>
    <t>2.8.1.8</t>
  </si>
  <si>
    <t>https://www.genome.jp/entry/2.8.1.8</t>
  </si>
  <si>
    <t>https://www.genome.jp/entry/R07767</t>
  </si>
  <si>
    <t>C16236|C22154|C00019|C22150|C00080</t>
  </si>
  <si>
    <t>C16832|C22155|C00283|C14818|C00073|C05198|C22151</t>
  </si>
  <si>
    <t>https://www.genome.jp/entry/R12423</t>
  </si>
  <si>
    <t>C22160|C22154|C00019|C22150|C00080</t>
  </si>
  <si>
    <t>C15973|C22155|C00283|C14818|C00073| C05198|C22151</t>
  </si>
  <si>
    <t>https://www.genome.jp/entry/R12424</t>
  </si>
  <si>
    <t>C22159|C22154|C00019|C22150|C00080</t>
  </si>
  <si>
    <t>C02972|C22155|C00283| C14818|C00073|C05198|C22151</t>
  </si>
  <si>
    <t>2.3.1.181</t>
  </si>
  <si>
    <t>https://www.genome.jp/entry/2.3.1.181</t>
  </si>
  <si>
    <t>https://www.genome.jp/entry/R07766</t>
  </si>
  <si>
    <t>C05752|C16240</t>
  </si>
  <si>
    <t>C16236|C00229</t>
  </si>
  <si>
    <t>https://www.genome.jp/entry/R12427</t>
  </si>
  <si>
    <t>C05752|C22158</t>
  </si>
  <si>
    <t>C22160|C00229</t>
  </si>
  <si>
    <t>https://www.genome.jp/entry/R12428</t>
  </si>
  <si>
    <t>C05752|C22157</t>
  </si>
  <si>
    <t>C22159|C00229</t>
  </si>
  <si>
    <t>https://www.genome.jp/entry/R07769</t>
  </si>
  <si>
    <t>C16239|C16240</t>
  </si>
  <si>
    <t>C16237|C00229</t>
  </si>
  <si>
    <t>2.1.1.177</t>
  </si>
  <si>
    <t>https://www.genome.jp/entry/2.1.1.177</t>
  </si>
  <si>
    <t>3.1.11.2</t>
  </si>
  <si>
    <t>https://www.genome.jp/entry/3.1.11.2</t>
  </si>
  <si>
    <t>5.3.1.12</t>
  </si>
  <si>
    <t>https://www.genome.jp/entry/5.3.1.12</t>
  </si>
  <si>
    <t>https://www.genome.jp/entry/R01482</t>
  </si>
  <si>
    <t>C00191</t>
  </si>
  <si>
    <t>C00905</t>
  </si>
  <si>
    <t>https://www.genome.jp/entry/R01983</t>
  </si>
  <si>
    <t>C00333</t>
  </si>
  <si>
    <t>C00558</t>
  </si>
  <si>
    <t>Metabolites</t>
  </si>
  <si>
    <t>Initial Concentration (mM)</t>
  </si>
  <si>
    <t>Object</t>
  </si>
  <si>
    <t>C00001</t>
  </si>
  <si>
    <t>Water</t>
  </si>
  <si>
    <t>ATP</t>
  </si>
  <si>
    <t>C00002:1000</t>
  </si>
  <si>
    <t>C00002 : ATP</t>
  </si>
  <si>
    <t>C00003</t>
  </si>
  <si>
    <t>NAD+</t>
  </si>
  <si>
    <t>C00003:1000</t>
  </si>
  <si>
    <t>C00003 : NAD+</t>
  </si>
  <si>
    <t>C00004</t>
  </si>
  <si>
    <t>NADH</t>
  </si>
  <si>
    <t>C00004:1000</t>
  </si>
  <si>
    <t>C00004 : NADH</t>
  </si>
  <si>
    <t>C00005</t>
  </si>
  <si>
    <t>NADPH</t>
  </si>
  <si>
    <t>C00005:1000</t>
  </si>
  <si>
    <t>C00005 : NADPH</t>
  </si>
  <si>
    <t>C00006</t>
  </si>
  <si>
    <t>NADP+</t>
  </si>
  <si>
    <t>C00006:1000</t>
  </si>
  <si>
    <t>C00006 : NADP+</t>
  </si>
  <si>
    <t>C00007</t>
  </si>
  <si>
    <t>Oxygen</t>
  </si>
  <si>
    <t>C00007:1000</t>
  </si>
  <si>
    <t>C00007 : Oxygen</t>
  </si>
  <si>
    <t>ADP</t>
  </si>
  <si>
    <t>C00008:1</t>
  </si>
  <si>
    <t>C00008 : ADP</t>
  </si>
  <si>
    <t>C00009</t>
  </si>
  <si>
    <t>Phosphoric Acid</t>
  </si>
  <si>
    <t>C00009:1</t>
  </si>
  <si>
    <t>C00009 : Phosphoric Acid</t>
  </si>
  <si>
    <t>C00010</t>
  </si>
  <si>
    <t>CoA</t>
  </si>
  <si>
    <t>C00010:1</t>
  </si>
  <si>
    <t>C00010 : CoA</t>
  </si>
  <si>
    <t>C00011</t>
  </si>
  <si>
    <t>Carbon Dioxide</t>
  </si>
  <si>
    <t>C00011:1000</t>
  </si>
  <si>
    <t>C00011 : Carbon Dioxide</t>
  </si>
  <si>
    <t>C00013</t>
  </si>
  <si>
    <t>Diphosphoric Acid</t>
  </si>
  <si>
    <t>C00013:1</t>
  </si>
  <si>
    <t>C00013 : Diphosphoric Acid</t>
  </si>
  <si>
    <t>C00014</t>
  </si>
  <si>
    <t>Ammonia</t>
  </si>
  <si>
    <t>C00014:1000</t>
  </si>
  <si>
    <t>C00014 : Ammonia</t>
  </si>
  <si>
    <t>C00015</t>
  </si>
  <si>
    <t>UDP</t>
  </si>
  <si>
    <t>C00015:1</t>
  </si>
  <si>
    <t>C00015 : UDP</t>
  </si>
  <si>
    <t>C00016</t>
  </si>
  <si>
    <t>FAD</t>
  </si>
  <si>
    <t>C00016:1</t>
  </si>
  <si>
    <t>C00016 : FAD</t>
  </si>
  <si>
    <t>C00018</t>
  </si>
  <si>
    <t>Pyridoxal Phosphate(PLP)</t>
  </si>
  <si>
    <t>C00018:1</t>
  </si>
  <si>
    <t>C00018 : Pyridoxal Phosphate(PLP)</t>
  </si>
  <si>
    <t>C00019</t>
  </si>
  <si>
    <t>SAM</t>
  </si>
  <si>
    <t>C00019:1</t>
  </si>
  <si>
    <t>C00019 : SAM</t>
  </si>
  <si>
    <t>AMP</t>
  </si>
  <si>
    <t>C00020:1</t>
  </si>
  <si>
    <t>C00020 : AMP</t>
  </si>
  <si>
    <t>C00021</t>
  </si>
  <si>
    <t>S-Adenosyl-L-Homocysteine(SAH)</t>
  </si>
  <si>
    <t>C00021:1</t>
  </si>
  <si>
    <t>C00021 : S-Adenosyl-L-Homocysteine(SAH)</t>
  </si>
  <si>
    <t>Pyruvate</t>
  </si>
  <si>
    <t>C00022:1</t>
  </si>
  <si>
    <t>C00022 : Pyruvate</t>
  </si>
  <si>
    <t>C00024</t>
  </si>
  <si>
    <t>Acetyl-CoA</t>
  </si>
  <si>
    <t>C00024:1</t>
  </si>
  <si>
    <t>C00024 : Acetyl-CoA</t>
  </si>
  <si>
    <t>L-Glutamate</t>
  </si>
  <si>
    <t>C00025:1000</t>
  </si>
  <si>
    <t>C00025 : L-Glutamate</t>
  </si>
  <si>
    <t>C00026</t>
  </si>
  <si>
    <t>2-Oxoglutarate</t>
  </si>
  <si>
    <t>C00026:1</t>
  </si>
  <si>
    <t>C00026 : 2-Oxoglutarate</t>
  </si>
  <si>
    <t>C00027</t>
  </si>
  <si>
    <t>Hydrogen Peroxide</t>
  </si>
  <si>
    <t>C00027:1</t>
  </si>
  <si>
    <t>C00027 : Hydrogen Peroxide</t>
  </si>
  <si>
    <t>C00028</t>
  </si>
  <si>
    <t>Acceptor</t>
  </si>
  <si>
    <t>C00028:1</t>
  </si>
  <si>
    <t>C00028 : Acceptor</t>
  </si>
  <si>
    <t>UDP-glucose</t>
  </si>
  <si>
    <t>C00029:1</t>
  </si>
  <si>
    <t>C00029 : UDP-glucose</t>
  </si>
  <si>
    <t>C00030</t>
  </si>
  <si>
    <t>Reduced Acceptor</t>
  </si>
  <si>
    <t>C00030:1</t>
  </si>
  <si>
    <t>C00030 : Reduced Acceptor</t>
  </si>
  <si>
    <t>C00031</t>
  </si>
  <si>
    <t>D-Glucose</t>
  </si>
  <si>
    <t>C00031:1000</t>
  </si>
  <si>
    <t>C00031 : D-Glucose</t>
  </si>
  <si>
    <t>C00032</t>
  </si>
  <si>
    <t>Heme</t>
  </si>
  <si>
    <t>C00032:1</t>
  </si>
  <si>
    <t>C00032: Heme</t>
  </si>
  <si>
    <t>C00033</t>
  </si>
  <si>
    <t>Acetate</t>
  </si>
  <si>
    <t>C00033:1</t>
  </si>
  <si>
    <t>C00033 : Acetate</t>
  </si>
  <si>
    <t>C00035</t>
  </si>
  <si>
    <t>GDP</t>
  </si>
  <si>
    <t>C00035:1</t>
  </si>
  <si>
    <t>C00035 : GDP</t>
  </si>
  <si>
    <t>C00036</t>
  </si>
  <si>
    <t>Oxaloacetate</t>
  </si>
  <si>
    <t>C00036:1</t>
  </si>
  <si>
    <t>C00036 : Oxaloacetate</t>
  </si>
  <si>
    <t>C00037</t>
  </si>
  <si>
    <t>Glycine</t>
  </si>
  <si>
    <t>C00037:1000</t>
  </si>
  <si>
    <t>C00037 : Glycine</t>
  </si>
  <si>
    <t>C00039</t>
  </si>
  <si>
    <t>DNA</t>
  </si>
  <si>
    <t>C00039:1</t>
  </si>
  <si>
    <t>C00039 : DNA</t>
  </si>
  <si>
    <t>C00040</t>
  </si>
  <si>
    <t>Acyl-CoA</t>
  </si>
  <si>
    <t>C00040:1</t>
  </si>
  <si>
    <t>C00040 : Acyl-CoA</t>
  </si>
  <si>
    <t>L-Alanine</t>
  </si>
  <si>
    <t>C00041:1000</t>
  </si>
  <si>
    <t>C00041 : L-Alanine</t>
  </si>
  <si>
    <t>C00042</t>
  </si>
  <si>
    <t>Succinate</t>
  </si>
  <si>
    <t>C00042: 1</t>
  </si>
  <si>
    <t>C00042:Succinate</t>
  </si>
  <si>
    <t>UDP-N-Acetyl-Alpha-D-Glucosamine</t>
  </si>
  <si>
    <t>C00043:1</t>
  </si>
  <si>
    <t>C00043 : UDP-N-Acetyl-Alpha-D-Glucosamine</t>
  </si>
  <si>
    <t>GTP</t>
  </si>
  <si>
    <t>C00044:1</t>
  </si>
  <si>
    <t>C00044 : GTP</t>
  </si>
  <si>
    <t>C00046</t>
  </si>
  <si>
    <t>RNA</t>
  </si>
  <si>
    <t>C00046:1</t>
  </si>
  <si>
    <t>C00046 : RNA</t>
  </si>
  <si>
    <t>C00047</t>
  </si>
  <si>
    <t>L-Lysine</t>
  </si>
  <si>
    <t>C00047:1000</t>
  </si>
  <si>
    <t>C00047 : L-Lysine</t>
  </si>
  <si>
    <t>L-Aspartate</t>
  </si>
  <si>
    <t>C00049:1000</t>
  </si>
  <si>
    <t>C00049 : L-Aspartate</t>
  </si>
  <si>
    <t>C00051</t>
  </si>
  <si>
    <t>Glutathione</t>
  </si>
  <si>
    <t>C00051:1</t>
  </si>
  <si>
    <t>C00051 : Glutathione</t>
  </si>
  <si>
    <t>UDP-D-Galactose</t>
  </si>
  <si>
    <t>C00052:1</t>
  </si>
  <si>
    <t>C00052 : UDP-D-Galactose</t>
  </si>
  <si>
    <t>C00053</t>
  </si>
  <si>
    <t>3'-Phosphoadenylyl Sulfate/PAPS</t>
  </si>
  <si>
    <t>C00053:1</t>
  </si>
  <si>
    <t>C00053 : 3'-Phosphoadenylyl Sulfate/PAPS</t>
  </si>
  <si>
    <t>C00054</t>
  </si>
  <si>
    <t>Adenosine 3',5'-bisphosphate</t>
  </si>
  <si>
    <t>C00054:1</t>
  </si>
  <si>
    <t>C00054 : Adenosine 3',5'-bisphosphate</t>
  </si>
  <si>
    <t>C00055</t>
  </si>
  <si>
    <t>Cytidine-5'-monophosphate/CMP</t>
  </si>
  <si>
    <t>C00055:1</t>
  </si>
  <si>
    <t>C00055 : Cytidine-5'-monophosphate/CMP</t>
  </si>
  <si>
    <t>C00058</t>
  </si>
  <si>
    <t>Formate</t>
  </si>
  <si>
    <t>C00058:1</t>
  </si>
  <si>
    <t>C00058 : Formate</t>
  </si>
  <si>
    <t>C00060</t>
  </si>
  <si>
    <t>Carboxylate</t>
  </si>
  <si>
    <t>C00060:1</t>
  </si>
  <si>
    <t>C00060 : Carboxylate</t>
  </si>
  <si>
    <t>C00061</t>
  </si>
  <si>
    <t>Flavin Mononucleotide/FMN</t>
  </si>
  <si>
    <t>C00061:1</t>
  </si>
  <si>
    <t>C00061 : Flavin Mononucleotide/FMN</t>
  </si>
  <si>
    <t>C00062</t>
  </si>
  <si>
    <t>L-Arginine</t>
  </si>
  <si>
    <t>C00062:1</t>
  </si>
  <si>
    <t>C00062 : L-Arginine</t>
  </si>
  <si>
    <t>C00063</t>
  </si>
  <si>
    <t>CTP</t>
  </si>
  <si>
    <t>C00063:1</t>
  </si>
  <si>
    <t>C00063 : CTP</t>
  </si>
  <si>
    <t>C00064</t>
  </si>
  <si>
    <t>L-Glutamine</t>
  </si>
  <si>
    <t>C00064:1000</t>
  </si>
  <si>
    <t>C00064 : L-Glutamine</t>
  </si>
  <si>
    <t>L-Serine</t>
  </si>
  <si>
    <t>C00065:1000</t>
  </si>
  <si>
    <t>C00065 : L-Serine</t>
  </si>
  <si>
    <t>C00066</t>
  </si>
  <si>
    <t>C00066:1</t>
  </si>
  <si>
    <t>C00066 : tRNA</t>
  </si>
  <si>
    <t>C00068</t>
  </si>
  <si>
    <t>Thiamin Diphosphate</t>
  </si>
  <si>
    <t>C00068:1</t>
  </si>
  <si>
    <t>C00068 : Thiamin Diphosphate</t>
  </si>
  <si>
    <t>C00069</t>
  </si>
  <si>
    <t>Alcohol</t>
  </si>
  <si>
    <t>C00069:1</t>
  </si>
  <si>
    <t>C00069:Alcohol</t>
  </si>
  <si>
    <t>C00073</t>
  </si>
  <si>
    <t>L-Methionine</t>
  </si>
  <si>
    <t>C00073:1000</t>
  </si>
  <si>
    <t>C00073 : L-Methionine</t>
  </si>
  <si>
    <t>C00074</t>
  </si>
  <si>
    <t>Phosphoenolpyruvate</t>
  </si>
  <si>
    <t>C00074:1</t>
  </si>
  <si>
    <t>C00074 : Phosphoenolpyruvate</t>
  </si>
  <si>
    <t>C00075</t>
  </si>
  <si>
    <t>UTP</t>
  </si>
  <si>
    <t>C00075:1</t>
  </si>
  <si>
    <t>C00075 : UTP</t>
  </si>
  <si>
    <t>C00077</t>
  </si>
  <si>
    <t>L-Ornithine</t>
  </si>
  <si>
    <t>C00077:1</t>
  </si>
  <si>
    <t>C00077: L-Ornithine</t>
  </si>
  <si>
    <t>L-Tryptophan</t>
  </si>
  <si>
    <t>C00078:1</t>
  </si>
  <si>
    <t>C00078 : L-Tryptophan</t>
  </si>
  <si>
    <t>C00079</t>
  </si>
  <si>
    <t>L-Phenylalanine</t>
  </si>
  <si>
    <t>C00079:1</t>
  </si>
  <si>
    <t>C00079 : L-Phenylalanine</t>
  </si>
  <si>
    <t>C00080</t>
  </si>
  <si>
    <t>H+</t>
  </si>
  <si>
    <t>C00080:1</t>
  </si>
  <si>
    <t>C00080 : H+</t>
  </si>
  <si>
    <t>C00081</t>
  </si>
  <si>
    <t>ITP</t>
  </si>
  <si>
    <t>C00081:1</t>
  </si>
  <si>
    <t>C00081 : ITP</t>
  </si>
  <si>
    <t>C00082</t>
  </si>
  <si>
    <t>L-Tyrosine</t>
  </si>
  <si>
    <t>C00082:1</t>
  </si>
  <si>
    <t>C00082 : L-Tyrosine</t>
  </si>
  <si>
    <t>C00083</t>
  </si>
  <si>
    <t>Malonyl-CoA</t>
  </si>
  <si>
    <t>C00083:1</t>
  </si>
  <si>
    <t>C00083:Malonyl-CoA</t>
  </si>
  <si>
    <t>C00084</t>
  </si>
  <si>
    <t>Acetaldehyde</t>
  </si>
  <si>
    <t>C00084:1</t>
  </si>
  <si>
    <t>C00084 : Acetaldehyde</t>
  </si>
  <si>
    <t>D-Fructose</t>
  </si>
  <si>
    <t>C00085:1</t>
  </si>
  <si>
    <t>C00085 : D-Fructose</t>
  </si>
  <si>
    <t>C00086</t>
  </si>
  <si>
    <t>Urea</t>
  </si>
  <si>
    <t>C00086:1</t>
  </si>
  <si>
    <t>C00086:Urea</t>
  </si>
  <si>
    <t>C00088</t>
  </si>
  <si>
    <t>Nitrite</t>
  </si>
  <si>
    <t>C00088:1</t>
  </si>
  <si>
    <t>C00088:Nitrite</t>
  </si>
  <si>
    <t>C00091</t>
  </si>
  <si>
    <t>Succinyl-CoA</t>
  </si>
  <si>
    <t>C00091:1</t>
  </si>
  <si>
    <t>C00091:Succinyl-CoA</t>
  </si>
  <si>
    <t>C00092:1</t>
  </si>
  <si>
    <t>C00092 : D-Glucose</t>
  </si>
  <si>
    <t>C00093</t>
  </si>
  <si>
    <t>sn-Glycerol 3-Phosphate</t>
  </si>
  <si>
    <t>C00093:1</t>
  </si>
  <si>
    <t>C00093 : sn-Glycerol 3-Phosphate</t>
  </si>
  <si>
    <t>C00094</t>
  </si>
  <si>
    <t>Sulfite</t>
  </si>
  <si>
    <t>C00094:1</t>
  </si>
  <si>
    <t>C00094 : Sulfite</t>
  </si>
  <si>
    <t>C00095:1</t>
  </si>
  <si>
    <t>C00095 : D-Fructose</t>
  </si>
  <si>
    <t>C00097</t>
  </si>
  <si>
    <t>L-Cysteine</t>
  </si>
  <si>
    <t>C00097:1000</t>
  </si>
  <si>
    <t>C00097 : L-Cysteine</t>
  </si>
  <si>
    <t>C00100</t>
  </si>
  <si>
    <t>Propanoyl-CoA</t>
  </si>
  <si>
    <t>C00100:1</t>
  </si>
  <si>
    <t>C00100 : Propanoyl-CoA</t>
  </si>
  <si>
    <t>C00101</t>
  </si>
  <si>
    <t>Tetrahydrofolate</t>
  </si>
  <si>
    <t>C00101:1</t>
  </si>
  <si>
    <t>C00101 : Tetrahydrofolate</t>
  </si>
  <si>
    <t>C00103</t>
  </si>
  <si>
    <t>Glucose 1-Phosphate</t>
  </si>
  <si>
    <t>C00103:1</t>
  </si>
  <si>
    <t>C00103 : Glucose 1-Phosphate</t>
  </si>
  <si>
    <t>C00104</t>
  </si>
  <si>
    <t>IDP</t>
  </si>
  <si>
    <t>C00104:1</t>
  </si>
  <si>
    <t>C00104 : IDP</t>
  </si>
  <si>
    <t>C00105</t>
  </si>
  <si>
    <t>UMP</t>
  </si>
  <si>
    <t>C00105:1</t>
  </si>
  <si>
    <t>C00105 : UMP</t>
  </si>
  <si>
    <t>C00106</t>
  </si>
  <si>
    <t>Uracil</t>
  </si>
  <si>
    <t>C00106:1</t>
  </si>
  <si>
    <t>C00106 : Uracil</t>
  </si>
  <si>
    <t>C00108</t>
  </si>
  <si>
    <t>Anthranilate</t>
  </si>
  <si>
    <t>C00108:1</t>
  </si>
  <si>
    <t>C00108: Anthranilate</t>
  </si>
  <si>
    <t>C00109</t>
  </si>
  <si>
    <t>2-Oxobutanoate</t>
  </si>
  <si>
    <t>C00109:1</t>
  </si>
  <si>
    <t>C00109 : 2-Oxobutanoate</t>
  </si>
  <si>
    <t>Glycerone Phosphate</t>
  </si>
  <si>
    <t>C00111:1</t>
  </si>
  <si>
    <t>C00111 : Glycerone Phosphate</t>
  </si>
  <si>
    <t>C00112</t>
  </si>
  <si>
    <t>CDP</t>
  </si>
  <si>
    <t>C00112:1</t>
  </si>
  <si>
    <t>C00112 : CDP</t>
  </si>
  <si>
    <t>C00114</t>
  </si>
  <si>
    <t>Choline</t>
  </si>
  <si>
    <t>C00114:1</t>
  </si>
  <si>
    <t>C00114 : Choline</t>
  </si>
  <si>
    <t>C00116</t>
  </si>
  <si>
    <t>Glycerol</t>
  </si>
  <si>
    <t>C00116:1</t>
  </si>
  <si>
    <t>C00116 : Glycerol</t>
  </si>
  <si>
    <t>D-Ribose 5-Phosphate</t>
  </si>
  <si>
    <t>C00117:1</t>
  </si>
  <si>
    <t>C00117 : D-Ribose 5-Phosphate</t>
  </si>
  <si>
    <t>D-Glyceraldehyde 3-Phosphate</t>
  </si>
  <si>
    <t>C00118:1</t>
  </si>
  <si>
    <t>C00118 : D-Glyceraldehyde 3-Phosphate</t>
  </si>
  <si>
    <t>C00119</t>
  </si>
  <si>
    <t>5-Phospho-alpha-D-ribose 1-diphosphate</t>
  </si>
  <si>
    <t>C00119:1</t>
  </si>
  <si>
    <t>C00119 : 5-Phospho-alpha-D-ribose 1-diphosphate</t>
  </si>
  <si>
    <t>C00120</t>
  </si>
  <si>
    <t>Biotin</t>
  </si>
  <si>
    <t>C00120:1</t>
  </si>
  <si>
    <t>C00120:Biotin</t>
  </si>
  <si>
    <t>C00121</t>
  </si>
  <si>
    <t>D-Ribose</t>
  </si>
  <si>
    <t>C00121:1</t>
  </si>
  <si>
    <t>C00121 : D-Ribose</t>
  </si>
  <si>
    <t>C00122</t>
  </si>
  <si>
    <t>Fumarate</t>
  </si>
  <si>
    <t>C00122:1</t>
  </si>
  <si>
    <t>C00122 : Fumarate</t>
  </si>
  <si>
    <t>C00123</t>
  </si>
  <si>
    <t>L-Leucine</t>
  </si>
  <si>
    <t>C00123:1</t>
  </si>
  <si>
    <t>C00123 : L-Leucine</t>
  </si>
  <si>
    <t>C00125</t>
  </si>
  <si>
    <t>Ferricytochrome c</t>
  </si>
  <si>
    <t>C00125:1</t>
  </si>
  <si>
    <t>C00125:Ferricytochrome c</t>
  </si>
  <si>
    <t>C00126</t>
  </si>
  <si>
    <t>Ferrocytochrome c</t>
  </si>
  <si>
    <t>C00126:1</t>
  </si>
  <si>
    <t>C00126:Ferrocytochrome c</t>
  </si>
  <si>
    <t>C00127</t>
  </si>
  <si>
    <t>Glutathione disulfide</t>
  </si>
  <si>
    <t>C00127:1</t>
  </si>
  <si>
    <t>C00127:Glutathione disulfide</t>
  </si>
  <si>
    <t>C00129</t>
  </si>
  <si>
    <t>Isopentenyl Diphosphate</t>
  </si>
  <si>
    <t>C00129:1</t>
  </si>
  <si>
    <t>C00129 : Isopentenyl Diphosphate</t>
  </si>
  <si>
    <t>C00130</t>
  </si>
  <si>
    <t>IMP</t>
  </si>
  <si>
    <t>C00130:1</t>
  </si>
  <si>
    <t>C00130 : IMP</t>
  </si>
  <si>
    <t>C00131</t>
  </si>
  <si>
    <t>dATP</t>
  </si>
  <si>
    <t>C00131:1</t>
  </si>
  <si>
    <t>C00131 : dATP</t>
  </si>
  <si>
    <t>D-Alanine</t>
  </si>
  <si>
    <t>C00133:1</t>
  </si>
  <si>
    <t>C00133:D-Alanine</t>
  </si>
  <si>
    <t>C00135</t>
  </si>
  <si>
    <t>L-Histidine</t>
  </si>
  <si>
    <t>C00135:1</t>
  </si>
  <si>
    <t>C00135:L-Histidine</t>
  </si>
  <si>
    <t>C00137</t>
  </si>
  <si>
    <t>myo-Inositol</t>
  </si>
  <si>
    <t>C00137:1</t>
  </si>
  <si>
    <t>C00137:myo-Inositol</t>
  </si>
  <si>
    <t>C00138</t>
  </si>
  <si>
    <t>Reduced ferredoxin</t>
  </si>
  <si>
    <t>C00138:1</t>
  </si>
  <si>
    <t>C00138:Reduced ferredoxin</t>
  </si>
  <si>
    <t>C00139</t>
  </si>
  <si>
    <t>Oxidized ferredoxin</t>
  </si>
  <si>
    <t>C00139:1</t>
  </si>
  <si>
    <t>C00139:Oxidized ferredoxin</t>
  </si>
  <si>
    <t>N-Acetyl-D-glucosamine</t>
  </si>
  <si>
    <t>C00140:1</t>
  </si>
  <si>
    <t>C00140:N-Acetyl-D-glucosamine</t>
  </si>
  <si>
    <t>C00141</t>
  </si>
  <si>
    <t>3-Methyl-2-oxobutanoic acid</t>
  </si>
  <si>
    <t>C00141:1</t>
  </si>
  <si>
    <t>C00141 : 3-Methyl-2-oxobutanoic acid</t>
  </si>
  <si>
    <t>C00143</t>
  </si>
  <si>
    <t>5,10-Methylenetetrahydrofolate</t>
  </si>
  <si>
    <t>C00143:1</t>
  </si>
  <si>
    <t>C00143 : 5,10-Methylenetetrahydrofolate</t>
  </si>
  <si>
    <t>C00144</t>
  </si>
  <si>
    <t>GMP</t>
  </si>
  <si>
    <t>C00144:1</t>
  </si>
  <si>
    <t>C00144 : GMP</t>
  </si>
  <si>
    <t>C00147</t>
  </si>
  <si>
    <t>Adenine</t>
  </si>
  <si>
    <t>C00147:1</t>
  </si>
  <si>
    <t>C00147 : Adenine</t>
  </si>
  <si>
    <t>C00148</t>
  </si>
  <si>
    <t>L-Proline</t>
  </si>
  <si>
    <t>C00148:1000</t>
  </si>
  <si>
    <t>C00148 : L-Proline</t>
  </si>
  <si>
    <t>(S)-Malate</t>
  </si>
  <si>
    <t>C00149:1</t>
  </si>
  <si>
    <t>C00149 : (S)-Malate</t>
  </si>
  <si>
    <t>C00152</t>
  </si>
  <si>
    <t>L-Asparagine</t>
  </si>
  <si>
    <t>C00152:1</t>
  </si>
  <si>
    <t>C00152 : L-Asparagine</t>
  </si>
  <si>
    <t>C00153</t>
  </si>
  <si>
    <t>Nicotinamide</t>
  </si>
  <si>
    <t>C00153:1</t>
  </si>
  <si>
    <t>C00153 : Nicotinamide</t>
  </si>
  <si>
    <t>C00155</t>
  </si>
  <si>
    <t>L-Homocysteine</t>
  </si>
  <si>
    <t>C00155:1</t>
  </si>
  <si>
    <t>C00155 : L-Homocysteine</t>
  </si>
  <si>
    <t>Citrate</t>
  </si>
  <si>
    <t>C00158:1</t>
  </si>
  <si>
    <t>C00158 : Citrate</t>
  </si>
  <si>
    <t>C00160</t>
  </si>
  <si>
    <t>Glycolate</t>
  </si>
  <si>
    <t>C00160:1</t>
  </si>
  <si>
    <t>C00160 : Glycolate</t>
  </si>
  <si>
    <t>C00161</t>
  </si>
  <si>
    <t>2-Oxo acid</t>
  </si>
  <si>
    <t>C00161:1</t>
  </si>
  <si>
    <t>C00161 : 2-Oxo acid</t>
  </si>
  <si>
    <t>C00166</t>
  </si>
  <si>
    <t>Phenylpyruvate</t>
  </si>
  <si>
    <t>C00166:1</t>
  </si>
  <si>
    <t>C00166 : Phenylpyruvate</t>
  </si>
  <si>
    <t>C00169</t>
  </si>
  <si>
    <t>Carbamoyl Phosphate</t>
  </si>
  <si>
    <t>C00169:1</t>
  </si>
  <si>
    <t>C00169 : Carbamoyl Phosphate</t>
  </si>
  <si>
    <t>C00170</t>
  </si>
  <si>
    <t>5'-Methylthioadenosine</t>
  </si>
  <si>
    <t>C00170:1</t>
  </si>
  <si>
    <t>C00170 : 5'-Methylthioadenosine</t>
  </si>
  <si>
    <t>C00173</t>
  </si>
  <si>
    <t>Acyl-[acyl-carrier protein]</t>
  </si>
  <si>
    <t>C00173:1</t>
  </si>
  <si>
    <t>C00173 : Acyl-[acyl-carrier protein]</t>
  </si>
  <si>
    <t>C00177</t>
  </si>
  <si>
    <t>Cyanide ion</t>
  </si>
  <si>
    <t>C00177: 1</t>
  </si>
  <si>
    <t>C00177:Cyanide ion</t>
  </si>
  <si>
    <t>D-Xylose</t>
  </si>
  <si>
    <t>C00181:1</t>
  </si>
  <si>
    <t>C00181:D-Xylose</t>
  </si>
  <si>
    <t>C00183</t>
  </si>
  <si>
    <t>L-Valine</t>
  </si>
  <si>
    <t>C00183:1</t>
  </si>
  <si>
    <t>C00183 : L-Valine</t>
  </si>
  <si>
    <t>C00184</t>
  </si>
  <si>
    <t>Glycerone</t>
  </si>
  <si>
    <t>C00184:1</t>
  </si>
  <si>
    <t>C00184 : Glycerone</t>
  </si>
  <si>
    <t>L-Threonine</t>
  </si>
  <si>
    <t>C00188:1</t>
  </si>
  <si>
    <t>C00188 : L-Threonine</t>
  </si>
  <si>
    <t>C00189</t>
  </si>
  <si>
    <t>Ethanolamine</t>
  </si>
  <si>
    <t>C00189:1</t>
  </si>
  <si>
    <t>C00189 : Ethanolamine</t>
  </si>
  <si>
    <t>D-Glucuronate</t>
  </si>
  <si>
    <t>C00191:1</t>
  </si>
  <si>
    <t>C00191:D-Glucuronate</t>
  </si>
  <si>
    <t>C00197</t>
  </si>
  <si>
    <t>3-Phospho-D-glycerate</t>
  </si>
  <si>
    <t>C00197:1</t>
  </si>
  <si>
    <t>C00197 : 3-Phospho-D-glycerate</t>
  </si>
  <si>
    <t>D-Ribulose 5-phosphate</t>
  </si>
  <si>
    <t>C00199:1</t>
  </si>
  <si>
    <t>C00199 : D-Ribulose 5-phosphate</t>
  </si>
  <si>
    <t>NTP</t>
  </si>
  <si>
    <t>C00201:1</t>
  </si>
  <si>
    <t>C00201 : NTP</t>
  </si>
  <si>
    <t>UDP-N-acetyl-D-galactosamine</t>
  </si>
  <si>
    <t>C00203:1</t>
  </si>
  <si>
    <t>C00203 : UDP-N-acetyl-D-galactosamine</t>
  </si>
  <si>
    <t>C00204</t>
  </si>
  <si>
    <t>2-Dehydro-3-deoxy-D-gluconate</t>
  </si>
  <si>
    <t>C00204:1</t>
  </si>
  <si>
    <t>C00204:2-Dehydro-3-deoxy-D-gluconate</t>
  </si>
  <si>
    <t>C00206</t>
  </si>
  <si>
    <t>dADP</t>
  </si>
  <si>
    <t>C00206:1</t>
  </si>
  <si>
    <t>C00206 : dADP</t>
  </si>
  <si>
    <t>C00212</t>
  </si>
  <si>
    <t>Adenosine</t>
  </si>
  <si>
    <t>C00212:1</t>
  </si>
  <si>
    <t>C00212 : Adenosine</t>
  </si>
  <si>
    <t>C00214</t>
  </si>
  <si>
    <t>Thymidine</t>
  </si>
  <si>
    <t>C00214:1</t>
  </si>
  <si>
    <t>C00214 : Thymidine</t>
  </si>
  <si>
    <t>C00215</t>
  </si>
  <si>
    <t>Nucleotide</t>
  </si>
  <si>
    <t>C00215:1</t>
  </si>
  <si>
    <t>C00215:Nucleotide</t>
  </si>
  <si>
    <t>D-Glutamate</t>
  </si>
  <si>
    <t>C00217:1</t>
  </si>
  <si>
    <t>C00217 : D-Glutamate</t>
  </si>
  <si>
    <t>C00224</t>
  </si>
  <si>
    <t>Adenylyl Sulfate</t>
  </si>
  <si>
    <t>C00224:1</t>
  </si>
  <si>
    <t>C00224 : Adenylyl Sulfate</t>
  </si>
  <si>
    <t>C00227</t>
  </si>
  <si>
    <t>Acetyl Phosphate</t>
  </si>
  <si>
    <t>C00227:1</t>
  </si>
  <si>
    <t>C00227 : Acetyl Phosphate</t>
  </si>
  <si>
    <t>C00229</t>
  </si>
  <si>
    <t>Acyl-carrier protein</t>
  </si>
  <si>
    <t>C00229:1</t>
  </si>
  <si>
    <t>C00229 : Acyl-carrier protein</t>
  </si>
  <si>
    <t>D-Xylulose 5-Phosphate</t>
  </si>
  <si>
    <t>C00231:1</t>
  </si>
  <si>
    <t>C00231 : D-Xylulose 5-Phosphate</t>
  </si>
  <si>
    <t>C00233</t>
  </si>
  <si>
    <t>4-Methyl-2-oxopentanoate</t>
  </si>
  <si>
    <t>C00233:1</t>
  </si>
  <si>
    <t>C00233 : 4-Methyl-2-oxopentanoate</t>
  </si>
  <si>
    <t>C00234</t>
  </si>
  <si>
    <t>10-Formyltetrahydrofolate</t>
  </si>
  <si>
    <t>C00234:1</t>
  </si>
  <si>
    <t>C00234 : 10-Formyltetrahydrofolate</t>
  </si>
  <si>
    <t>C00235</t>
  </si>
  <si>
    <t>Dimethylallyl diphosphate</t>
  </si>
  <si>
    <t>C00235:1</t>
  </si>
  <si>
    <t>C00235 : Dimethylallyl diphosphate</t>
  </si>
  <si>
    <t>C00236</t>
  </si>
  <si>
    <t>3-Phospho-D-glyceroyl phosphate</t>
  </si>
  <si>
    <t>C00236:1</t>
  </si>
  <si>
    <t>C00236 : 3-Phospho-D-glyceroyl phosphate</t>
  </si>
  <si>
    <t>C00237</t>
  </si>
  <si>
    <t>Carbon monoxide</t>
  </si>
  <si>
    <t>C00237:1</t>
  </si>
  <si>
    <t>C00237:Carbon monoxide</t>
  </si>
  <si>
    <t>C00239</t>
  </si>
  <si>
    <t>dCMP</t>
  </si>
  <si>
    <t>C00239:1</t>
  </si>
  <si>
    <t>C00239 : dCMP</t>
  </si>
  <si>
    <t>C00240</t>
  </si>
  <si>
    <t>C00240:1</t>
  </si>
  <si>
    <t>C00240 : rRNA</t>
  </si>
  <si>
    <t>C00241</t>
  </si>
  <si>
    <t>Amide</t>
  </si>
  <si>
    <t>C00241:1</t>
  </si>
  <si>
    <t>C00241 : Amide</t>
  </si>
  <si>
    <t>C00242</t>
  </si>
  <si>
    <t>Guanine</t>
  </si>
  <si>
    <t>C00242:1</t>
  </si>
  <si>
    <t>C00242 : Guanine</t>
  </si>
  <si>
    <t>C00248</t>
  </si>
  <si>
    <t>Lipoamide</t>
  </si>
  <si>
    <t>C00248:1</t>
  </si>
  <si>
    <t>C00248:Lipoamide</t>
  </si>
  <si>
    <t>C00250</t>
  </si>
  <si>
    <t>Pyridoxal</t>
  </si>
  <si>
    <t>C00250:1</t>
  </si>
  <si>
    <t>C00250 : Pyridoxal</t>
  </si>
  <si>
    <t>Chorismate</t>
  </si>
  <si>
    <t>C00251:1</t>
  </si>
  <si>
    <t>C00251:Chorismate</t>
  </si>
  <si>
    <t>C00253</t>
  </si>
  <si>
    <t>Nicotinate</t>
  </si>
  <si>
    <t>C00253:1</t>
  </si>
  <si>
    <t>C00253 : Nicotinate</t>
  </si>
  <si>
    <t>Prephenate</t>
  </si>
  <si>
    <t>C00254:1</t>
  </si>
  <si>
    <t>C00254: Prephenate</t>
  </si>
  <si>
    <t>C00255</t>
  </si>
  <si>
    <t>Riboflavin</t>
  </si>
  <si>
    <t>C00255:1</t>
  </si>
  <si>
    <t>C00255 : Riboflavin</t>
  </si>
  <si>
    <t>C00256</t>
  </si>
  <si>
    <t>(R)-Lactate</t>
  </si>
  <si>
    <t>C00256:1</t>
  </si>
  <si>
    <t>C00256 : (R)-Lactate</t>
  </si>
  <si>
    <t>C00262</t>
  </si>
  <si>
    <t>Hypoxanthine</t>
  </si>
  <si>
    <t>C00262:1</t>
  </si>
  <si>
    <t>C00262 : Hypoxanthine</t>
  </si>
  <si>
    <t>C00263</t>
  </si>
  <si>
    <t>L-Homoserine</t>
  </si>
  <si>
    <t>C00263:1</t>
  </si>
  <si>
    <t>C00263 : L-Homoserine</t>
  </si>
  <si>
    <t>C00266</t>
  </si>
  <si>
    <t>Glycolaldehyde</t>
  </si>
  <si>
    <t>C00266:1</t>
  </si>
  <si>
    <t>C00266:Glycolaldehyde</t>
  </si>
  <si>
    <t>alpha-D-Glucose</t>
  </si>
  <si>
    <t>C00267:1</t>
  </si>
  <si>
    <t>C00267 : alpha-D-Glucose</t>
  </si>
  <si>
    <t>C00269</t>
  </si>
  <si>
    <t>CDP-diacylglycerol</t>
  </si>
  <si>
    <t>C00269:1</t>
  </si>
  <si>
    <t>C00269 : CDP-diacylglycerol</t>
  </si>
  <si>
    <t>N-Acetylneuraminate</t>
  </si>
  <si>
    <t>C00270:1</t>
  </si>
  <si>
    <t>C00270: N-Acetylneuraminate</t>
  </si>
  <si>
    <t>C00279</t>
  </si>
  <si>
    <t>D-Erythrose 4-phosphate</t>
  </si>
  <si>
    <t>C00279:1</t>
  </si>
  <si>
    <t>C00279: D-Erythrose 4-phosphate</t>
  </si>
  <si>
    <t>C00283</t>
  </si>
  <si>
    <t>Hydrogen Sulfide</t>
  </si>
  <si>
    <t>C00283:1</t>
  </si>
  <si>
    <t>C00283 : Hydrogen Sulfide</t>
  </si>
  <si>
    <t>C00286</t>
  </si>
  <si>
    <t>dGTP</t>
  </si>
  <si>
    <t>C00286:1</t>
  </si>
  <si>
    <t>C00286 : dGTP</t>
  </si>
  <si>
    <t>C00288</t>
  </si>
  <si>
    <t>HCO3-</t>
  </si>
  <si>
    <t>C00288:1</t>
  </si>
  <si>
    <t>C00288 : HCO3-</t>
  </si>
  <si>
    <t>C00294</t>
  </si>
  <si>
    <t>Inosine</t>
  </si>
  <si>
    <t>C00294:1</t>
  </si>
  <si>
    <t>C00294 : Inosine</t>
  </si>
  <si>
    <t>C00295</t>
  </si>
  <si>
    <t>Orotate</t>
  </si>
  <si>
    <t>C00295:1</t>
  </si>
  <si>
    <t>C00295 : Orotate</t>
  </si>
  <si>
    <t>C00299</t>
  </si>
  <si>
    <t>Uridine</t>
  </si>
  <si>
    <t>C00299:1</t>
  </si>
  <si>
    <t>C00299 : Uridine</t>
  </si>
  <si>
    <t>C00301</t>
  </si>
  <si>
    <t>ADP-ribose</t>
  </si>
  <si>
    <t>C00301:1</t>
  </si>
  <si>
    <t>C00301 : ADP-ribose</t>
  </si>
  <si>
    <t>C00309</t>
  </si>
  <si>
    <t>D-Ribulose</t>
  </si>
  <si>
    <t>C00309:1</t>
  </si>
  <si>
    <t>C00309:D-Ribulose</t>
  </si>
  <si>
    <t>D-Xylulose</t>
  </si>
  <si>
    <t>C00310:1</t>
  </si>
  <si>
    <t>C00310:D-Xylulose</t>
  </si>
  <si>
    <t>C00314</t>
  </si>
  <si>
    <t>Pyridoxine</t>
  </si>
  <si>
    <t>C00314:1</t>
  </si>
  <si>
    <t>C00314:Pyridoxine</t>
  </si>
  <si>
    <t>C00320</t>
  </si>
  <si>
    <t>Thiosulfate</t>
  </si>
  <si>
    <t>C00320:1</t>
  </si>
  <si>
    <t>C00320 : Thiosulfate</t>
  </si>
  <si>
    <t>C00327</t>
  </si>
  <si>
    <t>L-Citrulline</t>
  </si>
  <si>
    <t>C00327:1</t>
  </si>
  <si>
    <t>C00327:L-Citrulline</t>
  </si>
  <si>
    <t>C00330</t>
  </si>
  <si>
    <t>Deoxyguanosine</t>
  </si>
  <si>
    <t>C00330:1</t>
  </si>
  <si>
    <t>C00330 : Deoxyguanosine</t>
  </si>
  <si>
    <t>D-Galacturonate</t>
  </si>
  <si>
    <t>C00333:1</t>
  </si>
  <si>
    <t>C00333:D-Galacturonate</t>
  </si>
  <si>
    <t>C00337</t>
  </si>
  <si>
    <t>(S)-Dihydroorotate</t>
  </si>
  <si>
    <t>C00337:1</t>
  </si>
  <si>
    <t>C00337 : (S)-Dihydroorotate</t>
  </si>
  <si>
    <t>C00341</t>
  </si>
  <si>
    <t>Geranyl diphosphate</t>
  </si>
  <si>
    <t>C00341:1</t>
  </si>
  <si>
    <t>C00337:Geranyl diphosphate</t>
  </si>
  <si>
    <t>C00342</t>
  </si>
  <si>
    <t>Thioredoxin</t>
  </si>
  <si>
    <t>C00342:1</t>
  </si>
  <si>
    <t>C00342 : Thioredoxin</t>
  </si>
  <si>
    <t>C00343</t>
  </si>
  <si>
    <t>Thioredoxin disulfide</t>
  </si>
  <si>
    <t>C00343:1</t>
  </si>
  <si>
    <t>C00343 : Thioredoxin disulfide</t>
  </si>
  <si>
    <t>C00344</t>
  </si>
  <si>
    <t>Phosphatidylglycerol</t>
  </si>
  <si>
    <t>C00344:1</t>
  </si>
  <si>
    <t>C00344:Phosphatidylglycerol</t>
  </si>
  <si>
    <t>6-Phospho-D-gluconate</t>
  </si>
  <si>
    <t>C00345:1</t>
  </si>
  <si>
    <t>C00345 : 6-Phospho-D-gluconate</t>
  </si>
  <si>
    <t>C00350</t>
  </si>
  <si>
    <t>Phosphatidylethanolamine</t>
  </si>
  <si>
    <t>C00350:1</t>
  </si>
  <si>
    <t>C00350 : Phosphatidylethanolamine</t>
  </si>
  <si>
    <t>D-Glucosamine 6-phosphate</t>
  </si>
  <si>
    <t>C00352:1</t>
  </si>
  <si>
    <t>C00352 : D-Glucosamine 6-phosphate</t>
  </si>
  <si>
    <t>D-Fructose 1,6-bisphosphate</t>
  </si>
  <si>
    <t>C00354:1</t>
  </si>
  <si>
    <t>C00354 : D-Fructose 1,6-bisphosphate</t>
  </si>
  <si>
    <t>C00357</t>
  </si>
  <si>
    <t>N-Acetyl-D-glucosamine 6-phosphate</t>
  </si>
  <si>
    <t>C00357:1</t>
  </si>
  <si>
    <t>C00357 : N-Acetyl-D-glucosamine 6-phosphate</t>
  </si>
  <si>
    <t>C00360</t>
  </si>
  <si>
    <t>dAMP</t>
  </si>
  <si>
    <t>C00360:1</t>
  </si>
  <si>
    <t>C00360 : dAMP</t>
  </si>
  <si>
    <t>C00361</t>
  </si>
  <si>
    <t>dGDP</t>
  </si>
  <si>
    <t>C00361:1</t>
  </si>
  <si>
    <t>C00361 : dGDP</t>
  </si>
  <si>
    <t>C00363</t>
  </si>
  <si>
    <t>dTDP</t>
  </si>
  <si>
    <t>C00363:1</t>
  </si>
  <si>
    <t>C00363: dTDP</t>
  </si>
  <si>
    <t>C00364</t>
  </si>
  <si>
    <t>dTMP</t>
  </si>
  <si>
    <t>C00364:1</t>
  </si>
  <si>
    <t>C00364 : dTMP</t>
  </si>
  <si>
    <t>C00365</t>
  </si>
  <si>
    <t>dUMP</t>
  </si>
  <si>
    <t>C00365:1</t>
  </si>
  <si>
    <t>C00365 : dUMP</t>
  </si>
  <si>
    <t>Starch</t>
  </si>
  <si>
    <t>C00369:1</t>
  </si>
  <si>
    <t>C00369 : Starch</t>
  </si>
  <si>
    <t>C00378</t>
  </si>
  <si>
    <t>Thiamine</t>
  </si>
  <si>
    <t>C00378:1</t>
  </si>
  <si>
    <t>C00378 : Thiamine</t>
  </si>
  <si>
    <t>C00385</t>
  </si>
  <si>
    <t>Xanthine</t>
  </si>
  <si>
    <t>C00385:1</t>
  </si>
  <si>
    <t>C00385 : Xanthine</t>
  </si>
  <si>
    <t>C00387</t>
  </si>
  <si>
    <t>Guanosine</t>
  </si>
  <si>
    <t>C00387:1</t>
  </si>
  <si>
    <t>C00387 : Guanosine</t>
  </si>
  <si>
    <t>C00390</t>
  </si>
  <si>
    <t>Ubiquinol</t>
  </si>
  <si>
    <t>C00390:1</t>
  </si>
  <si>
    <t>C00390: Ubiquinol</t>
  </si>
  <si>
    <t>C00399</t>
  </si>
  <si>
    <t>Ubiquinone</t>
  </si>
  <si>
    <t>C00399:1</t>
  </si>
  <si>
    <t>C00399: Ubiquinone</t>
  </si>
  <si>
    <t>C00407</t>
  </si>
  <si>
    <t>L-Isoleucine</t>
  </si>
  <si>
    <t>C00407:1</t>
  </si>
  <si>
    <t>C00407 : L-Isoleucine</t>
  </si>
  <si>
    <t>C00415</t>
  </si>
  <si>
    <t>Dihydrofolate</t>
  </si>
  <si>
    <t>C00415:1</t>
  </si>
  <si>
    <t>C00415 : Dihydrofolate</t>
  </si>
  <si>
    <t>C00416</t>
  </si>
  <si>
    <t>Phosphatidate</t>
  </si>
  <si>
    <t>C00416:1</t>
  </si>
  <si>
    <t>C00416 : Phosphatidate</t>
  </si>
  <si>
    <t>C00424</t>
  </si>
  <si>
    <t>L-Lactaldehyde</t>
  </si>
  <si>
    <t>C00424:1</t>
  </si>
  <si>
    <t>C00424:L-Lactaldehyde</t>
  </si>
  <si>
    <t>C00440</t>
  </si>
  <si>
    <t>5-Methyltetrahydrofolate</t>
  </si>
  <si>
    <t>C00440:1</t>
  </si>
  <si>
    <t>C00440: 5-Methyltetrahydrofolate</t>
  </si>
  <si>
    <t>C00441</t>
  </si>
  <si>
    <t>L-Aspartate 4-semialdehyde</t>
  </si>
  <si>
    <t>C00441:1</t>
  </si>
  <si>
    <t>C00441 : L-Aspartate 4-semialdehyde</t>
  </si>
  <si>
    <t>C00445</t>
  </si>
  <si>
    <t>5,10-Methenyltetrahydrofolate</t>
  </si>
  <si>
    <t>C00445:1</t>
  </si>
  <si>
    <t>C00445 : 5,10-Methenyltetrahydrofolate</t>
  </si>
  <si>
    <t>C00446</t>
  </si>
  <si>
    <t>alpha-D-Galactose 1-phosphate</t>
  </si>
  <si>
    <t>C00446:1</t>
  </si>
  <si>
    <t>C00446 : alpha-D-Galactose 1-phosphate</t>
  </si>
  <si>
    <t>Sedoheptulose 1,7-bisphosphate</t>
  </si>
  <si>
    <t>C00447:1</t>
  </si>
  <si>
    <t>C00447 : Sedoheptulose 1,7-bisphosphate</t>
  </si>
  <si>
    <t>C00448</t>
  </si>
  <si>
    <t>Farnesyl diphosphate</t>
  </si>
  <si>
    <t>C00448:1</t>
  </si>
  <si>
    <t>C00448: Farnesyl diphosphate</t>
  </si>
  <si>
    <t>C00454</t>
  </si>
  <si>
    <t>NDP</t>
  </si>
  <si>
    <t>C00454:1</t>
  </si>
  <si>
    <t>C00454 : NDP</t>
  </si>
  <si>
    <t>C00455</t>
  </si>
  <si>
    <t>Nicotinamide-D-ribonucleotide</t>
  </si>
  <si>
    <t>C00455:1</t>
  </si>
  <si>
    <t>C00455 : Nicotinamide-D-ribonucleotide</t>
  </si>
  <si>
    <t>C00458</t>
  </si>
  <si>
    <t>dCTP</t>
  </si>
  <si>
    <t>C00458:1</t>
  </si>
  <si>
    <t>C00458 : dCTP</t>
  </si>
  <si>
    <t>C00459</t>
  </si>
  <si>
    <t>dTTP</t>
  </si>
  <si>
    <t>C00459:1</t>
  </si>
  <si>
    <t>C00459 : dTTP</t>
  </si>
  <si>
    <t>C00460</t>
  </si>
  <si>
    <t>dUTP</t>
  </si>
  <si>
    <t>C00460:1</t>
  </si>
  <si>
    <t>C00460 : dUTP</t>
  </si>
  <si>
    <t>C00463</t>
  </si>
  <si>
    <t>2,3-Benzopyrrole</t>
  </si>
  <si>
    <t>C00463:1</t>
  </si>
  <si>
    <t>C00463: 2,3-Benzopyrrole</t>
  </si>
  <si>
    <t>C00475</t>
  </si>
  <si>
    <t>Cytidine</t>
  </si>
  <si>
    <t>C00475:1</t>
  </si>
  <si>
    <t>C00475 : Cytidine</t>
  </si>
  <si>
    <t>C00490</t>
  </si>
  <si>
    <t>Itaconate</t>
  </si>
  <si>
    <t>C00490:1</t>
  </si>
  <si>
    <t>C00490:Itaconate</t>
  </si>
  <si>
    <t>C00493</t>
  </si>
  <si>
    <t>Shikimate</t>
  </si>
  <si>
    <t>C00493:1</t>
  </si>
  <si>
    <t>C00493:Shikimate</t>
  </si>
  <si>
    <t>C00498</t>
  </si>
  <si>
    <t>ADP-glucose</t>
  </si>
  <si>
    <t>C00498:1</t>
  </si>
  <si>
    <t>C00498 : ADP-glucose</t>
  </si>
  <si>
    <t>C00500</t>
  </si>
  <si>
    <t>Biliverdin</t>
  </si>
  <si>
    <t>C00500:1</t>
  </si>
  <si>
    <t>C00500: Biliverdin</t>
  </si>
  <si>
    <t>D-Mannonate</t>
  </si>
  <si>
    <t>C00514:1</t>
  </si>
  <si>
    <t>C00514: D-Mannonate</t>
  </si>
  <si>
    <t>C00526</t>
  </si>
  <si>
    <t>Deoxyuridine</t>
  </si>
  <si>
    <t>C00526:1</t>
  </si>
  <si>
    <t>C00526 : Deoxyuridine</t>
  </si>
  <si>
    <t>C00527</t>
  </si>
  <si>
    <t>Glutaryl-CoA</t>
  </si>
  <si>
    <t>C00527:1</t>
  </si>
  <si>
    <t>C00527:Glutaryl-CoA</t>
  </si>
  <si>
    <t>C00531</t>
  </si>
  <si>
    <t>Itaconyl-CoA</t>
  </si>
  <si>
    <t>C00531:1</t>
  </si>
  <si>
    <t>C00531: Itaconyl-CoA</t>
  </si>
  <si>
    <t>C00534</t>
  </si>
  <si>
    <t>Pyridoxamine</t>
  </si>
  <si>
    <t>C00534:1</t>
  </si>
  <si>
    <t>C00534 : Pyridoxamine</t>
  </si>
  <si>
    <t>C00536</t>
  </si>
  <si>
    <t>Triphosphate</t>
  </si>
  <si>
    <t>C00536:1000</t>
  </si>
  <si>
    <t>C00536: Triphosphate</t>
  </si>
  <si>
    <t>C00546</t>
  </si>
  <si>
    <t>Methylglyoxal</t>
  </si>
  <si>
    <t>C00546:1</t>
  </si>
  <si>
    <t>C00546:Methylglyoxal</t>
  </si>
  <si>
    <t>D-Tagaturonate</t>
  </si>
  <si>
    <t>C00558:1</t>
  </si>
  <si>
    <t>C00558:D-Tagaturonate</t>
  </si>
  <si>
    <t>C00559</t>
  </si>
  <si>
    <t>Deoxyadenosine</t>
  </si>
  <si>
    <t>C00559:1</t>
  </si>
  <si>
    <t>C00559 : Deoxyadenosine</t>
  </si>
  <si>
    <t>C00565</t>
  </si>
  <si>
    <t>Trimethylamine</t>
  </si>
  <si>
    <t>C00565:1</t>
  </si>
  <si>
    <t>C00565:Trimethylamine</t>
  </si>
  <si>
    <t>(3S)-Citryl-CoA</t>
  </si>
  <si>
    <t>C00566:1</t>
  </si>
  <si>
    <t>C00566 : (3S)-Citryl-CoA</t>
  </si>
  <si>
    <t>C00568</t>
  </si>
  <si>
    <t>4-Aminobenzoate</t>
  </si>
  <si>
    <t>C00568:1</t>
  </si>
  <si>
    <t>C00568: 4-Aminobenzoate</t>
  </si>
  <si>
    <t>C00575</t>
  </si>
  <si>
    <t>3',5'-Cyclic AMP</t>
  </si>
  <si>
    <t>C00575:1</t>
  </si>
  <si>
    <t>C00575: 3',5'-Cyclic AMP</t>
  </si>
  <si>
    <t>C00577</t>
  </si>
  <si>
    <t>D-Glyceraldehyde</t>
  </si>
  <si>
    <t>C00577:1</t>
  </si>
  <si>
    <t>C00577:D-Glyceraldehyde</t>
  </si>
  <si>
    <t>C00579</t>
  </si>
  <si>
    <t>Dihydrolipoamide</t>
  </si>
  <si>
    <t>C00579:1</t>
  </si>
  <si>
    <t>C00579: Dihydrolipoamide</t>
  </si>
  <si>
    <t>C00580</t>
  </si>
  <si>
    <t>Dimethyl sulfide</t>
  </si>
  <si>
    <t>C00580:1</t>
  </si>
  <si>
    <t>C00580: Dimethyl sulfide</t>
  </si>
  <si>
    <t>C00605</t>
  </si>
  <si>
    <t>2,3-Dehydroacyl-CoA</t>
  </si>
  <si>
    <t>C00605:1</t>
  </si>
  <si>
    <t>C00605 : 2,3-Dehydroacyl-CoA</t>
  </si>
  <si>
    <t>C00615</t>
  </si>
  <si>
    <t>Protein histidine</t>
  </si>
  <si>
    <t>C00615:1</t>
  </si>
  <si>
    <t>C00615 : Protein histidine</t>
  </si>
  <si>
    <t>C00620</t>
  </si>
  <si>
    <t>alpha-D-Ribose 1-phosphate</t>
  </si>
  <si>
    <t>C00620:1</t>
  </si>
  <si>
    <t>C00620: alpha-D-Ribose 1-phosphate</t>
  </si>
  <si>
    <t>C00627</t>
  </si>
  <si>
    <t>Pyridoxine phosphate</t>
  </si>
  <si>
    <t>C00627:1</t>
  </si>
  <si>
    <t>C00627 : Pyridoxine phosphate</t>
  </si>
  <si>
    <t>2-Phospho-D-glycerate</t>
  </si>
  <si>
    <t>C00631:1</t>
  </si>
  <si>
    <t>C00631 : 2-Phospho-D-glycerate</t>
  </si>
  <si>
    <t>C00638</t>
  </si>
  <si>
    <t>Long-chain fatty acid</t>
  </si>
  <si>
    <t>C00638:1</t>
  </si>
  <si>
    <t>C00638: Long-chain fatty acid</t>
  </si>
  <si>
    <t>C00645</t>
  </si>
  <si>
    <t>N-Acetyl-D-mannosamine</t>
  </si>
  <si>
    <t>C00645:1</t>
  </si>
  <si>
    <t>C00645 : N-Acetyl-D-mannosamine</t>
  </si>
  <si>
    <t>C00647</t>
  </si>
  <si>
    <t>Pyridoxamine phosphate</t>
  </si>
  <si>
    <t>C00647:1</t>
  </si>
  <si>
    <t>C00647 : Pyridoxamine phosphate</t>
  </si>
  <si>
    <t>C00655</t>
  </si>
  <si>
    <t>Xanthosine 5'-phosphate</t>
  </si>
  <si>
    <t>C00655:1</t>
  </si>
  <si>
    <t>C00655 : Xanthosine 5'-phosphate</t>
  </si>
  <si>
    <t>LL-2,6-Diaminoheptanedioate</t>
  </si>
  <si>
    <t>C00666:1</t>
  </si>
  <si>
    <t>C00666 : LL-2,6-Diaminoheptanedioate</t>
  </si>
  <si>
    <t>alpha-D-Glucose 6-phosphate</t>
  </si>
  <si>
    <t>C00668:1</t>
  </si>
  <si>
    <t>C00668 : alpha-D-Glucose 6-phosphate</t>
  </si>
  <si>
    <t>C00670</t>
  </si>
  <si>
    <t>sn-Glycero-3-phosphocholine</t>
  </si>
  <si>
    <t>C00670:1</t>
  </si>
  <si>
    <t>C00670: sn-Glycero-3-phosphocholine</t>
  </si>
  <si>
    <t>C00671</t>
  </si>
  <si>
    <t>(S)-3-Methyl-2-oxopentanoic acid</t>
  </si>
  <si>
    <t>C00671:1</t>
  </si>
  <si>
    <t>C00671 : (S)-3-Methyl-2-oxopentanoic acid</t>
  </si>
  <si>
    <t>C00672</t>
  </si>
  <si>
    <t>2-Deoxy-D-ribose 1-phosphate</t>
  </si>
  <si>
    <t>C00672:1</t>
  </si>
  <si>
    <t>C00672: 2-Deoxy-D-ribose 1-phosphate</t>
  </si>
  <si>
    <t>2-Deoxy-D-ribose 5-phosphate</t>
  </si>
  <si>
    <t>C00673:1</t>
  </si>
  <si>
    <t>C00673 : 2-Deoxy-D-ribose 5-phosphate</t>
  </si>
  <si>
    <t>C00677</t>
  </si>
  <si>
    <t>Deoxynucleoside triphosphate</t>
  </si>
  <si>
    <t>C00677:1</t>
  </si>
  <si>
    <t>C00677 : Deoxynucleoside triphosphate</t>
  </si>
  <si>
    <t>meso-2,6-Diaminoheptanedioate</t>
  </si>
  <si>
    <t>C00680:1</t>
  </si>
  <si>
    <t>C00680 : meso-2,6-Diaminoheptanedioate</t>
  </si>
  <si>
    <t>C00681</t>
  </si>
  <si>
    <t>1-Acyl-sn-glycerol 3-phosphate</t>
  </si>
  <si>
    <t>C00681:1</t>
  </si>
  <si>
    <t>C00681 : 1-Acyl-sn-glycerol 3-phosphate</t>
  </si>
  <si>
    <t>C00685</t>
  </si>
  <si>
    <t>3-Oxoacyl-[acyl-carrier protein]</t>
  </si>
  <si>
    <t>C00685:1</t>
  </si>
  <si>
    <t>C00685: 3-Oxoacyl-[acyl-carrier protein]</t>
  </si>
  <si>
    <t>C00692</t>
  </si>
  <si>
    <t>UDP-N-acetylmuramoyl-L-alanyl-D-glutamate</t>
  </si>
  <si>
    <t>C00692:1</t>
  </si>
  <si>
    <t>C00692 : UDP-N-acetylmuramoyl-L-alanyl-D-glutamate</t>
  </si>
  <si>
    <t>C00693</t>
  </si>
  <si>
    <t>trans-2,3-Dehydroacyl-[acyl-carrier protein]</t>
  </si>
  <si>
    <t>C00693:1</t>
  </si>
  <si>
    <t>C00693: trans-2,3-Dehydroacyl-[acyl-carrier protein]</t>
  </si>
  <si>
    <t>C00704</t>
  </si>
  <si>
    <t>Superoxide</t>
  </si>
  <si>
    <t>C00704:1000</t>
  </si>
  <si>
    <t>C00704: Superoxide</t>
  </si>
  <si>
    <t>C00705</t>
  </si>
  <si>
    <t>dCDP</t>
  </si>
  <si>
    <t>C00705:1</t>
  </si>
  <si>
    <t>C00705 : dCDP</t>
  </si>
  <si>
    <t>Amylose</t>
  </si>
  <si>
    <t>C00718:1</t>
  </si>
  <si>
    <t>C00718 : Amylose</t>
  </si>
  <si>
    <t>C00740</t>
  </si>
  <si>
    <t>D-Serine</t>
  </si>
  <si>
    <t>C00740:1</t>
  </si>
  <si>
    <t>C00740: D-Serine</t>
  </si>
  <si>
    <t>C00787</t>
  </si>
  <si>
    <t>tRNA(Tyr)</t>
  </si>
  <si>
    <t>C00787:1</t>
  </si>
  <si>
    <t>C00787 : tRNA(Tyr)</t>
  </si>
  <si>
    <t>C00819</t>
  </si>
  <si>
    <t>D-Glutamine</t>
  </si>
  <si>
    <t>C00819:1</t>
  </si>
  <si>
    <t>C00819 : D-Glutamine</t>
  </si>
  <si>
    <t>C00821</t>
  </si>
  <si>
    <t>DNA adenine</t>
  </si>
  <si>
    <t>C00821:1</t>
  </si>
  <si>
    <t>C00821:DNA adenine</t>
  </si>
  <si>
    <t>L-Arogenate</t>
  </si>
  <si>
    <t>C00826:1</t>
  </si>
  <si>
    <t>C00826: L-Arogenate</t>
  </si>
  <si>
    <t>C00828</t>
  </si>
  <si>
    <t>Menaquinone</t>
  </si>
  <si>
    <t>C00828:1</t>
  </si>
  <si>
    <t>C00828: Menaquinone</t>
  </si>
  <si>
    <t>dTDP-glucose</t>
  </si>
  <si>
    <t>C00842:1</t>
  </si>
  <si>
    <t>C00842 : dTDP-glucose</t>
  </si>
  <si>
    <t>C00856</t>
  </si>
  <si>
    <t>DNA cytosine</t>
  </si>
  <si>
    <t>C00856:1</t>
  </si>
  <si>
    <t>C00856: DNA cytosine</t>
  </si>
  <si>
    <t>C00857</t>
  </si>
  <si>
    <t>Deamino-NAD+</t>
  </si>
  <si>
    <t>C00857:1</t>
  </si>
  <si>
    <t>C00857 : Deamino-NAD+</t>
  </si>
  <si>
    <t>C00860</t>
  </si>
  <si>
    <t>L-Histidinol</t>
  </si>
  <si>
    <t>C00860:1</t>
  </si>
  <si>
    <t>C00860: L-Histidinol</t>
  </si>
  <si>
    <t>C00864</t>
  </si>
  <si>
    <t>Pantothenate</t>
  </si>
  <si>
    <t>C00864:1</t>
  </si>
  <si>
    <t>C00864 : Pantothenate</t>
  </si>
  <si>
    <t>tRNA uridine</t>
  </si>
  <si>
    <t>C00868:1</t>
  </si>
  <si>
    <t>C00868 : tRNA uridine</t>
  </si>
  <si>
    <t>C00870</t>
  </si>
  <si>
    <t>4-Nitrophenol</t>
  </si>
  <si>
    <t>C00870:1</t>
  </si>
  <si>
    <t>C00870: 4-Nitrophenol</t>
  </si>
  <si>
    <t>C00881</t>
  </si>
  <si>
    <t>Deoxycytidine</t>
  </si>
  <si>
    <t>C00881:1</t>
  </si>
  <si>
    <t>C00881 : Deoxycytidine</t>
  </si>
  <si>
    <t>C00882</t>
  </si>
  <si>
    <t>Dephospho-CoA</t>
  </si>
  <si>
    <t>C00882:1</t>
  </si>
  <si>
    <t>C00882 : Dephospho-CoA</t>
  </si>
  <si>
    <t>C00885</t>
  </si>
  <si>
    <t>Isochorismate</t>
  </si>
  <si>
    <t>C00885:1</t>
  </si>
  <si>
    <t>C00885: Isochorismate</t>
  </si>
  <si>
    <t>C00886</t>
  </si>
  <si>
    <t>L-Alanyl-tRNA</t>
  </si>
  <si>
    <t>C00886:1</t>
  </si>
  <si>
    <t>C00886 : L-Alanyl-tRNA</t>
  </si>
  <si>
    <t>C00900</t>
  </si>
  <si>
    <t>2-Acetolactate</t>
  </si>
  <si>
    <t>C00900:1</t>
  </si>
  <si>
    <t>C00900: 2-Acetolactate</t>
  </si>
  <si>
    <t>D-Fructuronate</t>
  </si>
  <si>
    <t>C00905:1</t>
  </si>
  <si>
    <t>C00905: D-Fructuronate</t>
  </si>
  <si>
    <t>C00911</t>
  </si>
  <si>
    <t>Ribonucleoside</t>
  </si>
  <si>
    <t>C00911:1</t>
  </si>
  <si>
    <t>C00911 : Ribonucleoside</t>
  </si>
  <si>
    <t>C00921</t>
  </si>
  <si>
    <t>Dihydropteroate</t>
  </si>
  <si>
    <t>C00921:1</t>
  </si>
  <si>
    <t>C00921:Dihydropteroate</t>
  </si>
  <si>
    <t>C00942</t>
  </si>
  <si>
    <t>3',5'-Cyclic GMP</t>
  </si>
  <si>
    <t>C00942:1</t>
  </si>
  <si>
    <t>C00942: 3',5'-Cyclic GMP</t>
  </si>
  <si>
    <t>3-Dehydroquinate</t>
  </si>
  <si>
    <t>C00944:1</t>
  </si>
  <si>
    <t>C00944: 3-Dehydroquinate</t>
  </si>
  <si>
    <t>C00979</t>
  </si>
  <si>
    <t>O-Acetyl-L-serine</t>
  </si>
  <si>
    <t>C00979:1</t>
  </si>
  <si>
    <t>C00979 : O-Acetyl-L-serine</t>
  </si>
  <si>
    <t>C00984</t>
  </si>
  <si>
    <t>alpha-D-Galactose</t>
  </si>
  <si>
    <t>C00984:1</t>
  </si>
  <si>
    <t>C00984 : alpha-D-Galactose</t>
  </si>
  <si>
    <t>C00986</t>
  </si>
  <si>
    <t>1,3-Diaminopropane</t>
  </si>
  <si>
    <t>C00986:1</t>
  </si>
  <si>
    <t>C00986: 1,3-Diaminopropane</t>
  </si>
  <si>
    <t>C00988</t>
  </si>
  <si>
    <t>2-Phosphoglycolate</t>
  </si>
  <si>
    <t>C00988:1</t>
  </si>
  <si>
    <t>C00988: 2-Phosphoglycolate</t>
  </si>
  <si>
    <t>C00993</t>
  </si>
  <si>
    <t>D-Alanyl-D-alanine</t>
  </si>
  <si>
    <t>C00993:1</t>
  </si>
  <si>
    <t>C00993 : D-Alanyl-D-alanine</t>
  </si>
  <si>
    <t>C01005</t>
  </si>
  <si>
    <t>O-Phospho-L-serine</t>
  </si>
  <si>
    <t>C01005:1</t>
  </si>
  <si>
    <t>C01005 : O-Phospho-L-serine</t>
  </si>
  <si>
    <t>L-Fucose</t>
  </si>
  <si>
    <t>C01019:1</t>
  </si>
  <si>
    <t>C01019: L-Fucose</t>
  </si>
  <si>
    <t>C01031</t>
  </si>
  <si>
    <t>S-Formylglutathione</t>
  </si>
  <si>
    <t>C01031:1</t>
  </si>
  <si>
    <t>C01031: S-Formylglutathione</t>
  </si>
  <si>
    <t>C01037</t>
  </si>
  <si>
    <t>7,8-Diaminononanoate</t>
  </si>
  <si>
    <t>C01037:1</t>
  </si>
  <si>
    <t>C01037: 7,8-Diaminononanoate</t>
  </si>
  <si>
    <t>C01050</t>
  </si>
  <si>
    <t>UDP-N-acetylmuramate</t>
  </si>
  <si>
    <t>C01050:1</t>
  </si>
  <si>
    <t>C01050 : UDP-N-acetylmuramate</t>
  </si>
  <si>
    <t>C01063</t>
  </si>
  <si>
    <t>Pimeloyl-CoA</t>
  </si>
  <si>
    <t>C01063:1</t>
  </si>
  <si>
    <t>C01063: Pimeloyl-CoA</t>
  </si>
  <si>
    <t>C01081</t>
  </si>
  <si>
    <t>Thiamin monophosphate</t>
  </si>
  <si>
    <t>C01081:1</t>
  </si>
  <si>
    <t>C01081: Thiamin monophosphate</t>
  </si>
  <si>
    <t>C01092</t>
  </si>
  <si>
    <t>8-Amino-7-oxononanoate</t>
  </si>
  <si>
    <t>C01092:1</t>
  </si>
  <si>
    <t>C01092: 8-Amino-7-oxononanoate</t>
  </si>
  <si>
    <t>D-Fructose 1-phosphate</t>
  </si>
  <si>
    <t>C01094:1</t>
  </si>
  <si>
    <t>C01094 : D-Fructose 1-phosphate</t>
  </si>
  <si>
    <t>C01097</t>
  </si>
  <si>
    <t>D-Tagatose 6-phosphate</t>
  </si>
  <si>
    <t>C01097:1</t>
  </si>
  <si>
    <t>C01097 : D-Tagatose 6-phosphate</t>
  </si>
  <si>
    <t>L-Fuculose 1-phosphate</t>
  </si>
  <si>
    <t>C01099:1</t>
  </si>
  <si>
    <t>C01099: L-Fuculose 1-phosphate</t>
  </si>
  <si>
    <t>C01100</t>
  </si>
  <si>
    <t>L-Histidinol phosphate</t>
  </si>
  <si>
    <t>C01100:1</t>
  </si>
  <si>
    <t>C01100: L-Histidinol phosphate</t>
  </si>
  <si>
    <t>C01102</t>
  </si>
  <si>
    <t>O-Phospho-L-homoserine</t>
  </si>
  <si>
    <t>C01102:1</t>
  </si>
  <si>
    <t>C01102 : O-Phospho-L-homoserine</t>
  </si>
  <si>
    <t>Orotidine 5'-phosphate</t>
  </si>
  <si>
    <t>C01103:1</t>
  </si>
  <si>
    <t>C01103 : Orotidine 5'-phosphate</t>
  </si>
  <si>
    <t>C01104</t>
  </si>
  <si>
    <t>Trimethylamine N-oxide</t>
  </si>
  <si>
    <t>C01104:1</t>
  </si>
  <si>
    <t>C01104: Trimethylamine N-oxide</t>
  </si>
  <si>
    <t>C01112</t>
  </si>
  <si>
    <t>D-Arabinose 5-phosphate</t>
  </si>
  <si>
    <t>C01112:1</t>
  </si>
  <si>
    <t>C01112: D-Arabinose 5-phosphate</t>
  </si>
  <si>
    <t>C01132</t>
  </si>
  <si>
    <t>N-Acetyl-D-galactosamine</t>
  </si>
  <si>
    <t>C01132:1</t>
  </si>
  <si>
    <t>C01132: N-Acetyl-D-galactosamine</t>
  </si>
  <si>
    <t>C01134</t>
  </si>
  <si>
    <t>Pantetheine 4'-phosphate</t>
  </si>
  <si>
    <t>C01134:1</t>
  </si>
  <si>
    <t>C01134 : Pantetheine 4'-phosphate</t>
  </si>
  <si>
    <t>C01153</t>
  </si>
  <si>
    <t>Orthophosphoric monoester</t>
  </si>
  <si>
    <t>C01153:1000</t>
  </si>
  <si>
    <t>C01153: Orthophosphoric monoester</t>
  </si>
  <si>
    <t>C01157</t>
  </si>
  <si>
    <t>Hydroxyproline</t>
  </si>
  <si>
    <t>C01157:1</t>
  </si>
  <si>
    <t>C01157: Hydroxyproline</t>
  </si>
  <si>
    <t>C01159</t>
  </si>
  <si>
    <t>2,3-Bisphospho-D-glycerate</t>
  </si>
  <si>
    <t>C01159:1</t>
  </si>
  <si>
    <t>C01159: 2,3-Bisphospho-D-glycerate</t>
  </si>
  <si>
    <t>C01165</t>
  </si>
  <si>
    <t>L-Glutamate 5-semialdehyde</t>
  </si>
  <si>
    <t>C01165:1</t>
  </si>
  <si>
    <t>C01165: L-Glutamate 5-semialdehyde</t>
  </si>
  <si>
    <t>beta-D-Glucose 6-phosphate</t>
  </si>
  <si>
    <t>C01172:1</t>
  </si>
  <si>
    <t>C01172 : beta-D-Glucose 6-phosphate</t>
  </si>
  <si>
    <t>C01177</t>
  </si>
  <si>
    <t>Inositol 1-phosphate</t>
  </si>
  <si>
    <t>C01177:1</t>
  </si>
  <si>
    <t>C01177: Inositol 1-phosphate</t>
  </si>
  <si>
    <t>C01179</t>
  </si>
  <si>
    <t>3-(4-Hydroxyphenyl)pyruvate</t>
  </si>
  <si>
    <t>C01179:1</t>
  </si>
  <si>
    <t>C01179 : 3-(4-Hydroxyphenyl)pyruvate</t>
  </si>
  <si>
    <t>C01185</t>
  </si>
  <si>
    <t>Nicotinate D-ribonucleotide</t>
  </si>
  <si>
    <t>C01185:1</t>
  </si>
  <si>
    <t>C01185 : Nicotinate D-ribonucleotide</t>
  </si>
  <si>
    <t>C01187</t>
  </si>
  <si>
    <t>3-Deoxy-D-manno-octulosonate</t>
  </si>
  <si>
    <t>C01187:1</t>
  </si>
  <si>
    <t>C01187: 3-Deoxy-D-manno-octulosonate</t>
  </si>
  <si>
    <t>C01209</t>
  </si>
  <si>
    <t>Malonyl-[acyl-carrier protein]</t>
  </si>
  <si>
    <t>C01209:1</t>
  </si>
  <si>
    <t>C01209: Malonyl-[acyl-carrier protein]</t>
  </si>
  <si>
    <t>C01212</t>
  </si>
  <si>
    <t>UDP-N-acetylmuramoyl-L-alanine</t>
  </si>
  <si>
    <t>C01212:1</t>
  </si>
  <si>
    <t>C01212 : UDP-N-acetylmuramoyl-L-alanine</t>
  </si>
  <si>
    <t>C01228</t>
  </si>
  <si>
    <t>Guanosine 3',5'-bis(diphosphate)</t>
  </si>
  <si>
    <t>C01228:1</t>
  </si>
  <si>
    <t>C01228: Guanosine 3',5'-bis(diphosphate)</t>
  </si>
  <si>
    <t>C01233</t>
  </si>
  <si>
    <t>sn-Glycero-3-phosphoethanolamine</t>
  </si>
  <si>
    <t>C01233:1</t>
  </si>
  <si>
    <t>C01233: sn-Glycero-3-phosphoethanolamine</t>
  </si>
  <si>
    <t>C01236</t>
  </si>
  <si>
    <t>D-Glucono-1,5-lactone 6-phosphate</t>
  </si>
  <si>
    <t>C01236:1</t>
  </si>
  <si>
    <t>C01236 : D-Glucono-1,5-lactone 6-phosphate</t>
  </si>
  <si>
    <t>C01240</t>
  </si>
  <si>
    <t>2',3'-Cyclic nucleotide</t>
  </si>
  <si>
    <t>C01240:1</t>
  </si>
  <si>
    <t>C01240: 2',3'-Cyclic nucleotide</t>
  </si>
  <si>
    <t>C01260</t>
  </si>
  <si>
    <t>P1,P4-Bis(5'-adenosyl)tetraphosphate</t>
  </si>
  <si>
    <t>C01260:1</t>
  </si>
  <si>
    <t>C01260 : P1,P4-Bis(5'-adenosyl)tetraphosphate</t>
  </si>
  <si>
    <t>C01267</t>
  </si>
  <si>
    <t>3-(Imidazol-4-yl)-2-oxopropyl phosphate</t>
  </si>
  <si>
    <t>C01267:1</t>
  </si>
  <si>
    <t>C01267:3-(Imidazol-4-yl)-2-oxopropyl phosphate</t>
  </si>
  <si>
    <t>5-O-(1-Carboxyvinyl)-3-phosphoshikimate</t>
  </si>
  <si>
    <t>C01269:1</t>
  </si>
  <si>
    <t>C01269: 5-O-(1-Carboxyvinyl)-3-phosphoshikimate</t>
  </si>
  <si>
    <t>(3R)-3-Hydroxyacyl-[acyl-carrier protein]</t>
  </si>
  <si>
    <t>C01271:1</t>
  </si>
  <si>
    <t>C01271: (3R)-3-Hydroxyacyl-[acyl-carrier protein]</t>
  </si>
  <si>
    <t>C01279</t>
  </si>
  <si>
    <t>4-Amino-5-hydroxymethyl-2-methylpyrimidine</t>
  </si>
  <si>
    <t>C01279:1</t>
  </si>
  <si>
    <t>C01279 : 4-Amino-5-hydroxymethyl-2-methylpyrimidine</t>
  </si>
  <si>
    <t>C01281</t>
  </si>
  <si>
    <t>[L-Glutamate:ammonia ligase (ADP-forming)]</t>
  </si>
  <si>
    <t>C01281:1</t>
  </si>
  <si>
    <t>C01281:[L-Glutamate:ammonia ligase (ADP-forming)]</t>
  </si>
  <si>
    <t>C01290</t>
  </si>
  <si>
    <t>Lactosylceramide</t>
  </si>
  <si>
    <t>C01290:1</t>
  </si>
  <si>
    <t>C01290:Lactosylceramide</t>
  </si>
  <si>
    <t>C01299</t>
  </si>
  <si>
    <t>Adenylyl-[L-glutamate:ammonia ligase (ADP-forming)]</t>
  </si>
  <si>
    <t>C01299:1</t>
  </si>
  <si>
    <t>C01299:Adenylyl-[L-glutamate:ammonia ligase (ADP-forming)]</t>
  </si>
  <si>
    <t>C01300</t>
  </si>
  <si>
    <t>6-(Hydroxymethyl)-7,8-dihydropterin</t>
  </si>
  <si>
    <t>C01300:1</t>
  </si>
  <si>
    <t>C01300:6-(Hydroxymethyl)-7,8-dihydropterin</t>
  </si>
  <si>
    <t>1-(2-Carboxyphenylamino)-1-deoxy-D-ribulose 5-phosphate</t>
  </si>
  <si>
    <t>C01302:1</t>
  </si>
  <si>
    <t>C01302: 1-(2-Carboxyphenylamino)-1-deoxy-D-ribulose 5-phosphate</t>
  </si>
  <si>
    <t>C01304</t>
  </si>
  <si>
    <t>2,5-Diamino-6-(5-phospho-D-ribosylamino)pyrimidin-4(3H)-one</t>
  </si>
  <si>
    <t>C01304:1</t>
  </si>
  <si>
    <t>C01304: 2,5-Diamino-6-(5-phospho-D-ribosylamino)pyrimidin-4(3H)-one</t>
  </si>
  <si>
    <t>C01335</t>
  </si>
  <si>
    <t>ROH</t>
  </si>
  <si>
    <t>C01335:1</t>
  </si>
  <si>
    <t>C01335:ROH</t>
  </si>
  <si>
    <t>C01344</t>
  </si>
  <si>
    <t>dIDP</t>
  </si>
  <si>
    <t>C01344:1</t>
  </si>
  <si>
    <t>C01344:dIDP</t>
  </si>
  <si>
    <t>C01345</t>
  </si>
  <si>
    <t>dITP</t>
  </si>
  <si>
    <t>C01345:1</t>
  </si>
  <si>
    <t>C01345: dITP</t>
  </si>
  <si>
    <t>C01346</t>
  </si>
  <si>
    <t>dUDP</t>
  </si>
  <si>
    <t>C01346:1</t>
  </si>
  <si>
    <t>C01346 : dUDP</t>
  </si>
  <si>
    <t>C01352</t>
  </si>
  <si>
    <t>FADH2</t>
  </si>
  <si>
    <t>C01352:1</t>
  </si>
  <si>
    <t>C01352: FADH2</t>
  </si>
  <si>
    <t>3'-AMP</t>
  </si>
  <si>
    <t>C01367:1</t>
  </si>
  <si>
    <t>C01367:3'-AMP</t>
  </si>
  <si>
    <t>3'-UMP</t>
  </si>
  <si>
    <t>C01368:1</t>
  </si>
  <si>
    <t>C01368: 3'-UMP</t>
  </si>
  <si>
    <t>C01419</t>
  </si>
  <si>
    <t>Cys-Gly</t>
  </si>
  <si>
    <t>C01419:1</t>
  </si>
  <si>
    <t>C01419: Cys-Gly</t>
  </si>
  <si>
    <t>C01528</t>
  </si>
  <si>
    <t>Hydrogen Selenide</t>
  </si>
  <si>
    <t>C01528:1</t>
  </si>
  <si>
    <t>C01528 : Hydrogen Selenide</t>
  </si>
  <si>
    <t>C01563</t>
  </si>
  <si>
    <t>Carbamate</t>
  </si>
  <si>
    <t>C01563:1</t>
  </si>
  <si>
    <t>C01563 : Carbamate</t>
  </si>
  <si>
    <t>C01635</t>
  </si>
  <si>
    <t>tRNA(Ala)</t>
  </si>
  <si>
    <t>C01635:1</t>
  </si>
  <si>
    <t>C01635 : tRNA(Ala)</t>
  </si>
  <si>
    <t>C01636</t>
  </si>
  <si>
    <t>tRNA(Arg)</t>
  </si>
  <si>
    <t>C01636:1</t>
  </si>
  <si>
    <t>C01636 : tRNA(Arg)</t>
  </si>
  <si>
    <t>C01637</t>
  </si>
  <si>
    <t>tRNA(Asn)</t>
  </si>
  <si>
    <t>C01637:1</t>
  </si>
  <si>
    <t>C01637: tRNA(Asn)</t>
  </si>
  <si>
    <t>C01638</t>
  </si>
  <si>
    <t>tRNA(Asp)</t>
  </si>
  <si>
    <t>C01638:1</t>
  </si>
  <si>
    <t>C01638 : tRNA(Asp)</t>
  </si>
  <si>
    <t>C01639</t>
  </si>
  <si>
    <t>tRNA(Cys)</t>
  </si>
  <si>
    <t>C01639:1</t>
  </si>
  <si>
    <t>C01639 : tRNA(Cys)</t>
  </si>
  <si>
    <t>C01640</t>
  </si>
  <si>
    <t>tRNA(Gln)</t>
  </si>
  <si>
    <t>C01640:1</t>
  </si>
  <si>
    <t>C01640: tRNA(Gln)</t>
  </si>
  <si>
    <t>C01641</t>
  </si>
  <si>
    <t>tRNA(Glu)</t>
  </si>
  <si>
    <t>C01641:1</t>
  </si>
  <si>
    <t>C01641 : tRNA(Glu)</t>
  </si>
  <si>
    <t>C01642</t>
  </si>
  <si>
    <t>tRNA(Gly)</t>
  </si>
  <si>
    <t>C01642:1</t>
  </si>
  <si>
    <t>C01642 : tRNA(Gly)</t>
  </si>
  <si>
    <t>C01643</t>
  </si>
  <si>
    <t>tRNA(His)</t>
  </si>
  <si>
    <t>C01643:1</t>
  </si>
  <si>
    <t>C01643: tRNA(His)</t>
  </si>
  <si>
    <t>C01644</t>
  </si>
  <si>
    <t>tRNA(Ile)</t>
  </si>
  <si>
    <t>C01644:1</t>
  </si>
  <si>
    <t>C01644 : tRNA(Ile)</t>
  </si>
  <si>
    <t>C01645</t>
  </si>
  <si>
    <t>tRNA(Leu)</t>
  </si>
  <si>
    <t>C01645:1</t>
  </si>
  <si>
    <t>C01645 : tRNA(Leu)</t>
  </si>
  <si>
    <t>C01646</t>
  </si>
  <si>
    <t>tRNA(Lys)</t>
  </si>
  <si>
    <t>C01646:1</t>
  </si>
  <si>
    <t>C01646 : tRNA(Lys)</t>
  </si>
  <si>
    <t>C01647</t>
  </si>
  <si>
    <t>tRNA(Met)</t>
  </si>
  <si>
    <t>C01647:1</t>
  </si>
  <si>
    <t>C01647 : tRNA(Met)</t>
  </si>
  <si>
    <t>C01648</t>
  </si>
  <si>
    <t>tRNA(Phe)</t>
  </si>
  <si>
    <t>C01648:1</t>
  </si>
  <si>
    <t>C01648 : tRNA(Phe)</t>
  </si>
  <si>
    <t>C01649</t>
  </si>
  <si>
    <t>tRNA(Pro)</t>
  </si>
  <si>
    <t>C01649:1</t>
  </si>
  <si>
    <t>C01649: tRNA(Pro)</t>
  </si>
  <si>
    <t>C01650</t>
  </si>
  <si>
    <t>tRNA(Ser)</t>
  </si>
  <si>
    <t>C01650:1</t>
  </si>
  <si>
    <t>C01650 : tRNA(Ser)</t>
  </si>
  <si>
    <t>C01651</t>
  </si>
  <si>
    <t>tRNA(Thr)</t>
  </si>
  <si>
    <t>C01651:1</t>
  </si>
  <si>
    <t>C01651 : tRNA(Thr)</t>
  </si>
  <si>
    <t>C01652</t>
  </si>
  <si>
    <t>tRNA(Trp)</t>
  </si>
  <si>
    <t>C01652:1</t>
  </si>
  <si>
    <t>C01652 : tRNA(Trp)</t>
  </si>
  <si>
    <t>C01653</t>
  </si>
  <si>
    <t>tRNA(Val)</t>
  </si>
  <si>
    <t>C01653:1</t>
  </si>
  <si>
    <t>C01653 : tRNA(Val)</t>
  </si>
  <si>
    <t>C01674</t>
  </si>
  <si>
    <t>Chitobiose</t>
  </si>
  <si>
    <t>C01674:1</t>
  </si>
  <si>
    <t>C01674 : Chitobiose</t>
  </si>
  <si>
    <t>L-Fuculose</t>
  </si>
  <si>
    <t>C01721:1</t>
  </si>
  <si>
    <t>C01721 : L-Fuculose</t>
  </si>
  <si>
    <t>C01755</t>
  </si>
  <si>
    <t>Thiocyanate</t>
  </si>
  <si>
    <t>C01755:1</t>
  </si>
  <si>
    <t>C01755 : Thiocyanate</t>
  </si>
  <si>
    <t>C01762</t>
  </si>
  <si>
    <t>Xanthosine</t>
  </si>
  <si>
    <t>C01762:1</t>
  </si>
  <si>
    <t>C01762 :Xanthosine</t>
  </si>
  <si>
    <t>C01764</t>
  </si>
  <si>
    <t>tRNA UpsiC</t>
  </si>
  <si>
    <t>C01764:1</t>
  </si>
  <si>
    <t>C01764: tRNA UpsiC</t>
  </si>
  <si>
    <t>C01801</t>
  </si>
  <si>
    <t>Deoxyribose</t>
  </si>
  <si>
    <t>C01801:1</t>
  </si>
  <si>
    <t>C01801 : Deoxyribose</t>
  </si>
  <si>
    <t>C01879</t>
  </si>
  <si>
    <t>5-Oxoproline</t>
  </si>
  <si>
    <t>C01879:1</t>
  </si>
  <si>
    <t>C01879 : 5-Oxoproline</t>
  </si>
  <si>
    <t>C01885</t>
  </si>
  <si>
    <t>1-Acylglycerol</t>
  </si>
  <si>
    <t>C01885:1</t>
  </si>
  <si>
    <t>C01885 : 1-Acylglycerol</t>
  </si>
  <si>
    <t>C01909</t>
  </si>
  <si>
    <t>Dethiobiotin</t>
  </si>
  <si>
    <t>C01909:1</t>
  </si>
  <si>
    <t>C01909:Dethiobiotin</t>
  </si>
  <si>
    <t>C01929</t>
  </si>
  <si>
    <t>L-Histidinal</t>
  </si>
  <si>
    <t>C01929:1</t>
  </si>
  <si>
    <t>C01929 :L-Histidinal</t>
  </si>
  <si>
    <t>C01931</t>
  </si>
  <si>
    <t>L-Lysyl-tRNA</t>
  </si>
  <si>
    <t>C01931:1</t>
  </si>
  <si>
    <t>C01931 : L-Lysyl-tRNA</t>
  </si>
  <si>
    <t>C01977</t>
  </si>
  <si>
    <t>tRNA guanine</t>
  </si>
  <si>
    <t>C01977:1</t>
  </si>
  <si>
    <t>C01977 : tRNA guanine</t>
  </si>
  <si>
    <t>C02047</t>
  </si>
  <si>
    <t>L-Leucyl-tRNA</t>
  </si>
  <si>
    <t>C02047:1</t>
  </si>
  <si>
    <t>C02047 : L-Leucyl-tRNA</t>
  </si>
  <si>
    <t>C02051</t>
  </si>
  <si>
    <t>Lipoylprotein</t>
  </si>
  <si>
    <t>C02051:1000</t>
  </si>
  <si>
    <t>C02051: Lipoylprotein</t>
  </si>
  <si>
    <t>C02090</t>
  </si>
  <si>
    <t>Trypanothione</t>
  </si>
  <si>
    <t>C02090:1</t>
  </si>
  <si>
    <t>C02090 : Trypanothione</t>
  </si>
  <si>
    <t>dTDP-galactose</t>
  </si>
  <si>
    <t>C02097:1</t>
  </si>
  <si>
    <t>C02097 : dTDP-galactose</t>
  </si>
  <si>
    <t>C02128</t>
  </si>
  <si>
    <t>5'-Phospho-DNA</t>
  </si>
  <si>
    <t>C02128:1</t>
  </si>
  <si>
    <t>C02128 : 5'-Phospho-DNA</t>
  </si>
  <si>
    <t>C02163</t>
  </si>
  <si>
    <t>L-Arginyl-tRNA(Arg)</t>
  </si>
  <si>
    <t>C02163:1</t>
  </si>
  <si>
    <t>C02163 : L-Arginyl-tRNA(Arg)</t>
  </si>
  <si>
    <t>alpha-D-Xylose</t>
  </si>
  <si>
    <t>C02205:1</t>
  </si>
  <si>
    <t>C02205: alpha-D-Xylose</t>
  </si>
  <si>
    <t>C02211</t>
  </si>
  <si>
    <t>tRNA precursor</t>
  </si>
  <si>
    <t>C02211:1</t>
  </si>
  <si>
    <t>C02211 : tRNA precursor</t>
  </si>
  <si>
    <t>Dehydroalanine</t>
  </si>
  <si>
    <t>C02218:1</t>
  </si>
  <si>
    <t>C02218 : Dehydroalanine</t>
  </si>
  <si>
    <t>C02282</t>
  </si>
  <si>
    <t>Glutaminyl-tRNA</t>
  </si>
  <si>
    <t>C02282:1</t>
  </si>
  <si>
    <t>C02282 :Glutaminyl-tRNA</t>
  </si>
  <si>
    <t>C02342</t>
  </si>
  <si>
    <t xml:space="preserve"> 'Activated'  tRNA</t>
  </si>
  <si>
    <t>C02342:1</t>
  </si>
  <si>
    <t>C02342 :  'Activated'  tRNA</t>
  </si>
  <si>
    <t>C02353</t>
  </si>
  <si>
    <t>2',3'-Cyclic AMP</t>
  </si>
  <si>
    <t>C02353:1</t>
  </si>
  <si>
    <t>C02353 : 2',3'-Cyclic AMP</t>
  </si>
  <si>
    <t>C02354</t>
  </si>
  <si>
    <t>2',3'-Cyclic CMP</t>
  </si>
  <si>
    <t>C02354:1</t>
  </si>
  <si>
    <t>C02354 : 2',3'-Cyclic CMP</t>
  </si>
  <si>
    <t>C02355</t>
  </si>
  <si>
    <t>2',3'-Cyclic UMP</t>
  </si>
  <si>
    <t>C02355:1</t>
  </si>
  <si>
    <t>C02356</t>
  </si>
  <si>
    <t>(S)-2-Aminobutanoate</t>
  </si>
  <si>
    <t>C02356:1</t>
  </si>
  <si>
    <t>C02356 : (S)-2-Aminobutanoate</t>
  </si>
  <si>
    <t>C02412</t>
  </si>
  <si>
    <t>Glycyl-tRNA(Gly)</t>
  </si>
  <si>
    <t>C02412:1</t>
  </si>
  <si>
    <t>C02412 : Glycyl-tRNA(Gly)</t>
  </si>
  <si>
    <t>C02430</t>
  </si>
  <si>
    <t>L-Methionyl-tRNA</t>
  </si>
  <si>
    <t>C02430:1</t>
  </si>
  <si>
    <t>C02430 :L-Methionyl-tRNA</t>
  </si>
  <si>
    <t>alpha-Isopropylmalate</t>
  </si>
  <si>
    <t>C02504:1</t>
  </si>
  <si>
    <t>C02504: alpha-Isopropylmalate</t>
  </si>
  <si>
    <t>C02508</t>
  </si>
  <si>
    <t>3'-Ribonucleotide</t>
  </si>
  <si>
    <t>C02508:1</t>
  </si>
  <si>
    <t>C02508: 3'-Ribonucleotide</t>
  </si>
  <si>
    <t>C02532</t>
  </si>
  <si>
    <t>O-Phospho-D-serine</t>
  </si>
  <si>
    <t>C02532:1</t>
  </si>
  <si>
    <t>C02532 : O-Phospho-D-serine</t>
  </si>
  <si>
    <t>C02553</t>
  </si>
  <si>
    <t>L-Seryl-tRNA(Ser)</t>
  </si>
  <si>
    <t>C02553:1</t>
  </si>
  <si>
    <t>C02553 : L-Seryl-tRNA(Ser)</t>
  </si>
  <si>
    <t>C02554</t>
  </si>
  <si>
    <t>L-Valyl-tRNA(Val)</t>
  </si>
  <si>
    <t>C02554:1</t>
  </si>
  <si>
    <t>C02554 : L-Valyl-tRNA(Val)</t>
  </si>
  <si>
    <t>C02583</t>
  </si>
  <si>
    <t>Protein glutamine</t>
  </si>
  <si>
    <t>C02583:1</t>
  </si>
  <si>
    <t>C02583 : Protein glutamine</t>
  </si>
  <si>
    <t>C02630</t>
  </si>
  <si>
    <t>2-Hydroxyglutarate</t>
  </si>
  <si>
    <t>C02630:1</t>
  </si>
  <si>
    <t>C02630 :2-Hydroxyglutarate</t>
  </si>
  <si>
    <t>C02631</t>
  </si>
  <si>
    <t>2-Isopropylmaleate</t>
  </si>
  <si>
    <t>C02631:1</t>
  </si>
  <si>
    <t>C02631: 2-Isopropylmaleate</t>
  </si>
  <si>
    <t>C02637</t>
  </si>
  <si>
    <t>3-Dehydroshikimate</t>
  </si>
  <si>
    <t>C02637:1</t>
  </si>
  <si>
    <t>C02637 : 3-Dehydroshikimate</t>
  </si>
  <si>
    <t>C02702</t>
  </si>
  <si>
    <t>L-Prolyl-tRNA(Pro)</t>
  </si>
  <si>
    <t>C02702:1</t>
  </si>
  <si>
    <t>C02702 : L-Prolyl-tRNA(Pro)</t>
  </si>
  <si>
    <t>C02713</t>
  </si>
  <si>
    <t>N-Acetylmuramate</t>
  </si>
  <si>
    <t>C02713:1</t>
  </si>
  <si>
    <t>C02713 : N-Acetylmuramate</t>
  </si>
  <si>
    <t>C02730</t>
  </si>
  <si>
    <t>2-Succinylbenzoate</t>
  </si>
  <si>
    <t>C02730:1</t>
  </si>
  <si>
    <t>C02730 :2-Succinylbenzoate</t>
  </si>
  <si>
    <t>Phosphatidylserine</t>
  </si>
  <si>
    <t>C02737:1</t>
  </si>
  <si>
    <t>C02737: Phosphatidylserine</t>
  </si>
  <si>
    <t>C02739</t>
  </si>
  <si>
    <t>1-(5-Phospho-D-ribosyl)-ATP</t>
  </si>
  <si>
    <t>C02739:1</t>
  </si>
  <si>
    <t>C02739 :1-(5-Phospho-D-ribosyl)-ATP</t>
  </si>
  <si>
    <t>C02741</t>
  </si>
  <si>
    <t>Phosphoribosyl-AMP</t>
  </si>
  <si>
    <t>C02741:1</t>
  </si>
  <si>
    <t>C02741: Phosphoribosyl-AMP</t>
  </si>
  <si>
    <t>C02743</t>
  </si>
  <si>
    <t>[Protein]-L-cysteine</t>
  </si>
  <si>
    <t>C02743:1</t>
  </si>
  <si>
    <t>C02743 : [Protein]-L-cysteine</t>
  </si>
  <si>
    <t>tRNA pseudouridine</t>
  </si>
  <si>
    <t>C02764:1</t>
  </si>
  <si>
    <t>C02764 : tRNA pseudouridine</t>
  </si>
  <si>
    <t>C02839</t>
  </si>
  <si>
    <t>L-Tyrosyl-tRNA(Tyr)</t>
  </si>
  <si>
    <t>C02839:1</t>
  </si>
  <si>
    <t>C02839 : L-Tyrosyl-tRNA(Tyr)</t>
  </si>
  <si>
    <t>C02843</t>
  </si>
  <si>
    <t>Long-chain acyl-CoA</t>
  </si>
  <si>
    <t>C02843:1</t>
  </si>
  <si>
    <t>C02843 :Long-chain acyl-CoA</t>
  </si>
  <si>
    <t>C02929</t>
  </si>
  <si>
    <t>2-Hydroxy carboxylate</t>
  </si>
  <si>
    <t>C02929:1</t>
  </si>
  <si>
    <t>C02929 :2-Hydroxy carboxylate</t>
  </si>
  <si>
    <t>D-Allose 6-phosphate</t>
  </si>
  <si>
    <t>C02962:1</t>
  </si>
  <si>
    <t>C02962 : D-Allose 6-phosphate</t>
  </si>
  <si>
    <t>C02967</t>
  </si>
  <si>
    <t>5-Methylcytosine in DNA</t>
  </si>
  <si>
    <t>C02967:1</t>
  </si>
  <si>
    <t>C02967 :5-Methylcytosine in DNA</t>
  </si>
  <si>
    <t>C02972</t>
  </si>
  <si>
    <t>Dihydrolipoylprotein</t>
  </si>
  <si>
    <t>C02972:1</t>
  </si>
  <si>
    <t>C02972 :Dihydrolipoylprotein</t>
  </si>
  <si>
    <t>C02984</t>
  </si>
  <si>
    <t>L-Aspartyl-tRNA(Asp)</t>
  </si>
  <si>
    <t>C02984:1</t>
  </si>
  <si>
    <t>C02984 : L-Aspartyl-tRNA(Asp)</t>
  </si>
  <si>
    <t>C02987</t>
  </si>
  <si>
    <t>L-Glutamyl-tRNA(Glu)</t>
  </si>
  <si>
    <t>C02987:1</t>
  </si>
  <si>
    <t>C02987 : L-Glutamyl-tRNA(Glu)</t>
  </si>
  <si>
    <t>C02988</t>
  </si>
  <si>
    <t>L-Histidyl-tRNA(His)</t>
  </si>
  <si>
    <t>C02988:1</t>
  </si>
  <si>
    <t>C02988 :L-Histidyl-tRNA(His)</t>
  </si>
  <si>
    <t>C02992</t>
  </si>
  <si>
    <t>L-Threonyl-tRNA(Thr)</t>
  </si>
  <si>
    <t>C02992:1</t>
  </si>
  <si>
    <t>C02992 : L-Threonyl-tRNA(Thr)</t>
  </si>
  <si>
    <t>C02999</t>
  </si>
  <si>
    <t>N-Acetylmuramoyl-Ala</t>
  </si>
  <si>
    <t>C02999:1</t>
  </si>
  <si>
    <t>C02999 : N-Acetylmuramoyl-Ala</t>
  </si>
  <si>
    <t>C03024</t>
  </si>
  <si>
    <t>[Reduced NADPH---hemoprotein reductase]</t>
  </si>
  <si>
    <t>C03024:1</t>
  </si>
  <si>
    <t>C03024 :[Reduced NADPH---hemoprotein reductase]</t>
  </si>
  <si>
    <t>C03028</t>
  </si>
  <si>
    <t>Thiamine Triphosphate</t>
  </si>
  <si>
    <t>C03028:1</t>
  </si>
  <si>
    <t>C03028 : Thiamine Triphosphate</t>
  </si>
  <si>
    <t>C03082</t>
  </si>
  <si>
    <t>4-Phospho-L-aspartate</t>
  </si>
  <si>
    <t>C03082:1</t>
  </si>
  <si>
    <t>C03082 : 4-Phospho-L-aspartate</t>
  </si>
  <si>
    <t>C03089</t>
  </si>
  <si>
    <t>5-Methylthio-D-ribose</t>
  </si>
  <si>
    <t>C03089:1</t>
  </si>
  <si>
    <t>C03089 : 5-Methylthio-D-ribose</t>
  </si>
  <si>
    <t>C03090</t>
  </si>
  <si>
    <t>5-Phosphoribosylamine</t>
  </si>
  <si>
    <t>C03090:1</t>
  </si>
  <si>
    <t>C03090 : 5-Phosphoribosylamine</t>
  </si>
  <si>
    <t>C03120</t>
  </si>
  <si>
    <t>Glycerophosphodiester</t>
  </si>
  <si>
    <t>C03120:1</t>
  </si>
  <si>
    <t>C03120 : Glycerophosphodiester</t>
  </si>
  <si>
    <t>C03125</t>
  </si>
  <si>
    <t>L-Cysteinyl-tRNA(Cys)</t>
  </si>
  <si>
    <t>C03125:1</t>
  </si>
  <si>
    <t>C03125 : L-Cysteinyl-tRNA(Cys)</t>
  </si>
  <si>
    <t>C03127</t>
  </si>
  <si>
    <t>L-Isoleucyl-tRNA(Ile)</t>
  </si>
  <si>
    <t>C03127:1</t>
  </si>
  <si>
    <t>C03127 : L-Isoleucyl-tRNA(Ile)</t>
  </si>
  <si>
    <t>C03150</t>
  </si>
  <si>
    <t>Nicotinamide-beta-riboside</t>
  </si>
  <si>
    <t>C03150:1</t>
  </si>
  <si>
    <t>C03150 : Nicotinamide-beta-riboside</t>
  </si>
  <si>
    <t>2-Succinylbenzoyl-CoA</t>
  </si>
  <si>
    <t>C03160:1</t>
  </si>
  <si>
    <t>C03160 : 2-Succinylbenzoyl-CoA</t>
  </si>
  <si>
    <t>C03161</t>
  </si>
  <si>
    <t>[Oxidized NADPH---hemoprotein reductase]</t>
  </si>
  <si>
    <t>C03161:1</t>
  </si>
  <si>
    <t>C03161: [Oxidized NADPH---hemoprotein reductase]</t>
  </si>
  <si>
    <t>C03170</t>
  </si>
  <si>
    <t>Trypanothione disulfide</t>
  </si>
  <si>
    <t>C03170:1</t>
  </si>
  <si>
    <t>C03170 : Trypanothione disulfide</t>
  </si>
  <si>
    <t>C03175</t>
  </si>
  <si>
    <t>Shikimate 3-phosphate</t>
  </si>
  <si>
    <t>C03175:1</t>
  </si>
  <si>
    <t>C03175 :Shikimate 3-phosphate</t>
  </si>
  <si>
    <t>C03232</t>
  </si>
  <si>
    <t>3-Phosphonooxypyruvate</t>
  </si>
  <si>
    <t>C03232:1</t>
  </si>
  <si>
    <t>C03232: 3-Phosphonooxypyruvate</t>
  </si>
  <si>
    <t>C03272</t>
  </si>
  <si>
    <t>Globoside</t>
  </si>
  <si>
    <t>C03272:1</t>
  </si>
  <si>
    <t>C03272 : Globoside</t>
  </si>
  <si>
    <t>L-2,4-Diaminobutanoate</t>
  </si>
  <si>
    <t>C03283:1</t>
  </si>
  <si>
    <t>C03283 : L-2,4-Diaminobutanoate</t>
  </si>
  <si>
    <t>C03287</t>
  </si>
  <si>
    <t>L-Glutamyl 5-phosphate</t>
  </si>
  <si>
    <t>C03287:1</t>
  </si>
  <si>
    <t>C03287: L-Glutamyl 5-phosphate</t>
  </si>
  <si>
    <t>C03294</t>
  </si>
  <si>
    <t>N-Formylmethionyl-tRNA</t>
  </si>
  <si>
    <t>C03294:1</t>
  </si>
  <si>
    <t>C03294 : N-Formylmethionyl-tRNA</t>
  </si>
  <si>
    <t>3-Phospho-D-erythronate</t>
  </si>
  <si>
    <t>C03356:1</t>
  </si>
  <si>
    <t>C03356 : 3-Phospho-D-erythronate</t>
  </si>
  <si>
    <t>C03360</t>
  </si>
  <si>
    <t>4-Nitrophenyl phosphate</t>
  </si>
  <si>
    <t>C03360:1</t>
  </si>
  <si>
    <t>C03360: 4-Nitrophenyl phosphate</t>
  </si>
  <si>
    <t>C03373</t>
  </si>
  <si>
    <t>Aminoimidazole Ribotide</t>
  </si>
  <si>
    <t>C03373:1</t>
  </si>
  <si>
    <t>C03373 : Aminoimidazole Ribotide</t>
  </si>
  <si>
    <t>C03391</t>
  </si>
  <si>
    <t>DNA 6-methylaminopurine</t>
  </si>
  <si>
    <t>C03391:1</t>
  </si>
  <si>
    <t>C03391:DNA 6-methylaminopurine</t>
  </si>
  <si>
    <t>C03402</t>
  </si>
  <si>
    <t>L-Asparaginyl-tRNA(Asn)</t>
  </si>
  <si>
    <t>C03402:1</t>
  </si>
  <si>
    <t>C03402:L-Asparaginyl-tRNA(Asn)</t>
  </si>
  <si>
    <t>C03405</t>
  </si>
  <si>
    <t>Lactosylceramide sulfate</t>
  </si>
  <si>
    <t>C03405:1</t>
  </si>
  <si>
    <t>C03405:Lactosylceramide sulfate</t>
  </si>
  <si>
    <t>N-(L-Arginino)succinate</t>
  </si>
  <si>
    <t>C03406:1</t>
  </si>
  <si>
    <t>C03406:N-(L-Arginino)succinate</t>
  </si>
  <si>
    <t>Nucleoside 3'-phosphate</t>
  </si>
  <si>
    <t>C03419:1</t>
  </si>
  <si>
    <t>C03419:Nucleoside 3'-phosphate</t>
  </si>
  <si>
    <t>C03446</t>
  </si>
  <si>
    <t>tRNA TpsiC</t>
  </si>
  <si>
    <t>C03446:1</t>
  </si>
  <si>
    <t>C03446:tRNA TpsiC</t>
  </si>
  <si>
    <t>(R)-S-Lactoylglutathione</t>
  </si>
  <si>
    <t>C03451:1</t>
  </si>
  <si>
    <t>C03451:(R)-S-Lactoylglutathione</t>
  </si>
  <si>
    <t>C03479</t>
  </si>
  <si>
    <t>Folinic Acid</t>
  </si>
  <si>
    <t>C03479:1</t>
  </si>
  <si>
    <t>C03479 : Folinic Acid</t>
  </si>
  <si>
    <t>C03492</t>
  </si>
  <si>
    <t>D-4'-Phosphopantothenate</t>
  </si>
  <si>
    <t>C03492:1</t>
  </si>
  <si>
    <t>C03492 : D-4'-Phosphopantothenate</t>
  </si>
  <si>
    <t>Indoleglycerol phosphate</t>
  </si>
  <si>
    <t>C03506:1</t>
  </si>
  <si>
    <t>C03506: Indoleglycerol phosphate</t>
  </si>
  <si>
    <t>C03511</t>
  </si>
  <si>
    <t>L-Phenylalanyl-tRNA(Phe)</t>
  </si>
  <si>
    <t>C03511:1</t>
  </si>
  <si>
    <t>C03511 : L-Phenylalanyl-tRNA(Phe)</t>
  </si>
  <si>
    <t>C03512</t>
  </si>
  <si>
    <t>L-Tryptophanyl-tRNA(Trp)</t>
  </si>
  <si>
    <t>C03512:1</t>
  </si>
  <si>
    <t>C03512 : L-Tryptophanyl-tRNA(Trp)</t>
  </si>
  <si>
    <t>C03523</t>
  </si>
  <si>
    <t>N-Substituted amino acid</t>
  </si>
  <si>
    <t>C03523:1</t>
  </si>
  <si>
    <t>C03523 : N-Substituted amino acid</t>
  </si>
  <si>
    <t>S-Ribosyl-L-homocysteine</t>
  </si>
  <si>
    <t>C03539:1</t>
  </si>
  <si>
    <t>C03539 : S-Ribosyl-L-homocysteine</t>
  </si>
  <si>
    <t>C03541</t>
  </si>
  <si>
    <t>THF-polyglutamate</t>
  </si>
  <si>
    <t>C03541:1</t>
  </si>
  <si>
    <t>C03541:THF-polyglutamate</t>
  </si>
  <si>
    <t>C03546</t>
  </si>
  <si>
    <t>myo-Inositol 4-phosphate</t>
  </si>
  <si>
    <t>C03546:1</t>
  </si>
  <si>
    <t>C03546::myo-Inositol 4-phosphate</t>
  </si>
  <si>
    <t>C03617</t>
  </si>
  <si>
    <t>L-Methionylaminoacyl-tRNA</t>
  </si>
  <si>
    <t>C03617:1</t>
  </si>
  <si>
    <t>C03617 : L-Methionylaminoacyl-tRNA</t>
  </si>
  <si>
    <t>Peptidylproline (omega=0)</t>
  </si>
  <si>
    <t>C03633:1</t>
  </si>
  <si>
    <t>C03633 : Peptidylproline (omega=0)</t>
  </si>
  <si>
    <t>C03657</t>
  </si>
  <si>
    <t>1,4-Dihydroxy-2-naphthoate</t>
  </si>
  <si>
    <t>C03657:1</t>
  </si>
  <si>
    <t>C03657: 1,4-Dihydroxy-2-naphthoate</t>
  </si>
  <si>
    <t>C03723</t>
  </si>
  <si>
    <t>Ribonucleoside diphosphate</t>
  </si>
  <si>
    <t>C03723:1</t>
  </si>
  <si>
    <t>C03723 : Ribonucleoside diphosphate</t>
  </si>
  <si>
    <t>C03785</t>
  </si>
  <si>
    <t>D-Tagatose 1,6-bisphosphate</t>
  </si>
  <si>
    <t>C03785:1</t>
  </si>
  <si>
    <t>C03785 : D-Tagatose 1,6-bisphosphate</t>
  </si>
  <si>
    <t>N6-(1,2-Dicarboxyethyl)-AMP</t>
  </si>
  <si>
    <t>C03794:1</t>
  </si>
  <si>
    <t>C03794 : N6-(1,2-Dicarboxyethyl)-AMP</t>
  </si>
  <si>
    <t>Peptidylproline (omega=180)</t>
  </si>
  <si>
    <t>C03798:1</t>
  </si>
  <si>
    <t>C03798 : Peptidylproline (omega=180)</t>
  </si>
  <si>
    <t>C03802</t>
  </si>
  <si>
    <t>Ribonucleoside triphosphate</t>
  </si>
  <si>
    <t>C03802:1</t>
  </si>
  <si>
    <t>C03802 : Ribonucleoside triphosphate</t>
  </si>
  <si>
    <t>C03803</t>
  </si>
  <si>
    <t>Ribosomal-protein L-alanine</t>
  </si>
  <si>
    <t>C03803:1</t>
  </si>
  <si>
    <t>C03803 : Ribosomal-protein L-alanine</t>
  </si>
  <si>
    <t>C03838</t>
  </si>
  <si>
    <t>5'-Phosphoribosylglycinamide</t>
  </si>
  <si>
    <t>C03838:1</t>
  </si>
  <si>
    <t>C03838 : 5'-Phosphoribosylglycinamide</t>
  </si>
  <si>
    <t>C03880</t>
  </si>
  <si>
    <t>N-Substituted aminoacyl-tRNA</t>
  </si>
  <si>
    <t>C03880:1</t>
  </si>
  <si>
    <t>C03880 : N-Substituted aminoacyl-tRNA</t>
  </si>
  <si>
    <t>C03892</t>
  </si>
  <si>
    <t>Phosphatidylglycerophosphate</t>
  </si>
  <si>
    <t>C03892:1</t>
  </si>
  <si>
    <t>C03892 : Phosphatidylglycerophosphate</t>
  </si>
  <si>
    <t>C03899</t>
  </si>
  <si>
    <t>S-(2-Hydroxyacyl)glutathione</t>
  </si>
  <si>
    <t>C03899:1</t>
  </si>
  <si>
    <t>C03899:S-(2-Hydroxyacyl)glutathione</t>
  </si>
  <si>
    <t>C03912</t>
  </si>
  <si>
    <t>(S)-1-Pyrroline-5-carboxylate</t>
  </si>
  <si>
    <t>C03912:1</t>
  </si>
  <si>
    <t>C03912:(S)-1-Pyrroline-5-carboxylate</t>
  </si>
  <si>
    <t>C03939</t>
  </si>
  <si>
    <t>Acetyl-[acyl-carrier protein]</t>
  </si>
  <si>
    <t>C03939:1</t>
  </si>
  <si>
    <t>C03939 :Acetyl-[acyl-carrier protein]</t>
  </si>
  <si>
    <t>C03972</t>
  </si>
  <si>
    <t>2,3,4,5-Tetrahydrodipicolinate</t>
  </si>
  <si>
    <t>C03972:1</t>
  </si>
  <si>
    <t>C03972 : 2,3,4,5-Tetrahydrodipicolinate</t>
  </si>
  <si>
    <t>C04006</t>
  </si>
  <si>
    <t>1D-myo-Inositol 3-phosphate</t>
  </si>
  <si>
    <t>C04006:1</t>
  </si>
  <si>
    <t>C04006 : 1D-myo-Inositol 3-phosphate</t>
  </si>
  <si>
    <t>2,3-Dihydroxy-3-methylbutanoate</t>
  </si>
  <si>
    <t>C04039:1</t>
  </si>
  <si>
    <t>C04039: 2,3-Dihydroxy-3-methylbutanoate</t>
  </si>
  <si>
    <t>C04051</t>
  </si>
  <si>
    <t>5-Amino-4-imidazolecarboxyamide</t>
  </si>
  <si>
    <t>C04051:1</t>
  </si>
  <si>
    <t>C04051 : 5-Amino-4-imidazolecarboxyamide</t>
  </si>
  <si>
    <t>C04121</t>
  </si>
  <si>
    <t>CMP-3-deoxy-D-manno-octulosonate</t>
  </si>
  <si>
    <t>C04121:1</t>
  </si>
  <si>
    <t>C04121:CMP-3-deoxy-D-manno-octulosonate</t>
  </si>
  <si>
    <t>C04132</t>
  </si>
  <si>
    <t>N-Acetyl-D-glucosamine 6-sulfate</t>
  </si>
  <si>
    <t>C04132:1</t>
  </si>
  <si>
    <t>C04132:N-Acetyl-D-glucosamine 6-sulfate</t>
  </si>
  <si>
    <t>C04144</t>
  </si>
  <si>
    <t>Tetrahydropteroyltri-L-glutamate</t>
  </si>
  <si>
    <t>C04144:1</t>
  </si>
  <si>
    <t>C04144 : Tetrahydropteroyltri-L-glutamate</t>
  </si>
  <si>
    <t>C04146</t>
  </si>
  <si>
    <t>all-trans-Octaprenyl diphosphate</t>
  </si>
  <si>
    <t>C04146:1</t>
  </si>
  <si>
    <t>C04146: all-trans-Octaprenyl diphosphate</t>
  </si>
  <si>
    <t>C04153</t>
  </si>
  <si>
    <t>rRNA containing N2-methylguanine</t>
  </si>
  <si>
    <t>C04153:1</t>
  </si>
  <si>
    <t>C04153 : rRNA containing N2-methylguanine</t>
  </si>
  <si>
    <t>C04157</t>
  </si>
  <si>
    <t>tRNA containing N1-methylguanine</t>
  </si>
  <si>
    <t>C04157:1</t>
  </si>
  <si>
    <t>C04157 : tRNA containing N1-methylguanine</t>
  </si>
  <si>
    <t>C04160</t>
  </si>
  <si>
    <t>tRNA containing N7-methylguanine</t>
  </si>
  <si>
    <t>C04160:1</t>
  </si>
  <si>
    <t>C04160 : tRNA containing N7-methylguanine</t>
  </si>
  <si>
    <t>C04161</t>
  </si>
  <si>
    <t>tRNA containing a thionucleotide</t>
  </si>
  <si>
    <t>C04161:1</t>
  </si>
  <si>
    <t>C04161 : tRNA containing a thionucleotide</t>
  </si>
  <si>
    <t>cis-Dec-3-enoyl-[acp]</t>
  </si>
  <si>
    <t>C04180:1</t>
  </si>
  <si>
    <t>C04180: cis-Dec-3-enoyl-[acp]</t>
  </si>
  <si>
    <t>3-Hydroxy-3-methyl-2-oxobutanoic acid</t>
  </si>
  <si>
    <t>C04181:1</t>
  </si>
  <si>
    <t>C04181 : 3-Hydroxy-3-methyl-2-oxobutanoic acid</t>
  </si>
  <si>
    <t>C04232</t>
  </si>
  <si>
    <t>2'-Deoxyribonucleoside diphosphate</t>
  </si>
  <si>
    <t>C04232:1</t>
  </si>
  <si>
    <t>C04232 : 2'-Deoxyribonucleoside diphosphate</t>
  </si>
  <si>
    <t>(2S)-2-Isopropyl-3-oxosuccinate</t>
  </si>
  <si>
    <t>C04236:1</t>
  </si>
  <si>
    <t>C04236: (2S)-2-Isopropyl-3-oxosuccinate</t>
  </si>
  <si>
    <t>C04242</t>
  </si>
  <si>
    <t>5-Fluorodeoxyuridine monophosphate</t>
  </si>
  <si>
    <t>C04242:1</t>
  </si>
  <si>
    <t>C04242 : 5-Fluorodeoxyuridine monophosphate</t>
  </si>
  <si>
    <t>C04246</t>
  </si>
  <si>
    <t>But-2-enoyl-[acyl-carrier protein]</t>
  </si>
  <si>
    <t>C04246:1</t>
  </si>
  <si>
    <t>C04246: But-2-enoyl-[acyl-carrier protein]</t>
  </si>
  <si>
    <t>C04258</t>
  </si>
  <si>
    <t>N-Formyl-L-methionylaminoacyl-tRNA</t>
  </si>
  <si>
    <t>C04258:1</t>
  </si>
  <si>
    <t>C04258 : N-Formyl-L-methionylaminoacyl-tRNA</t>
  </si>
  <si>
    <t>C04261</t>
  </si>
  <si>
    <t>Protein N(pi)-phospho-L-histidine</t>
  </si>
  <si>
    <t>C04261:1</t>
  </si>
  <si>
    <t>C04261 : Protein N(pi)-phospho-L-histidine</t>
  </si>
  <si>
    <t>C04262</t>
  </si>
  <si>
    <t>C04262:1</t>
  </si>
  <si>
    <t>C04262:But-2-enoyl-[acyl-carrier protein]</t>
  </si>
  <si>
    <t>(R)-2,3-Dihydroxy-3-methylbutanoate</t>
  </si>
  <si>
    <t>C04272:1</t>
  </si>
  <si>
    <t>C04272:(R)-2,3-Dihydroxy-3-methylbutanoate</t>
  </si>
  <si>
    <t>C04281</t>
  </si>
  <si>
    <t>L-1-Pyrroline-3-hydroxy-5-carboxylate</t>
  </si>
  <si>
    <t>C04281:1</t>
  </si>
  <si>
    <t>C04281:L-1-Pyrroline-3-hydroxy-5-carboxylate</t>
  </si>
  <si>
    <t>C04294</t>
  </si>
  <si>
    <t>5-(2-Hydroxyethyl)-4-methylthiazole</t>
  </si>
  <si>
    <t>C04294:1</t>
  </si>
  <si>
    <t>C04294:5-(2-Hydroxyethyl)-4-methylthiazole</t>
  </si>
  <si>
    <t>C04298</t>
  </si>
  <si>
    <t>Holo-[citrate (pro-3S)-lyase]</t>
  </si>
  <si>
    <t>C04298:1</t>
  </si>
  <si>
    <t>C04298 : Holo-[citrate (pro-3S)-lyase]</t>
  </si>
  <si>
    <t>C04309</t>
  </si>
  <si>
    <t>Phosphoenol-4-deoxy-3-tetrulosonate</t>
  </si>
  <si>
    <t>C04309:1</t>
  </si>
  <si>
    <t>C04309 : Phosphoenol-4-deoxy-3-tetrulosonate</t>
  </si>
  <si>
    <t>C04327</t>
  </si>
  <si>
    <t>4-Methyl-5-(2-phosphooxyethyl)thiazole</t>
  </si>
  <si>
    <t>C04327:1</t>
  </si>
  <si>
    <t>C04327: 4-Methyl-5-(2-phosphooxyethyl)thiazole</t>
  </si>
  <si>
    <t>6,7-Dimethyl-8-(D-ribityl)lumazine</t>
  </si>
  <si>
    <t>C04332:1</t>
  </si>
  <si>
    <t>C04332: 6,7-Dimethyl-8-(D-ribityl)lumazine</t>
  </si>
  <si>
    <t>C04334</t>
  </si>
  <si>
    <t>Acetyl-[citrate (pro-3S)-lyase]</t>
  </si>
  <si>
    <t>C04334:1</t>
  </si>
  <si>
    <t>C04334 : Acetyl-[citrate (pro-3S)-lyase]</t>
  </si>
  <si>
    <t>C04341</t>
  </si>
  <si>
    <t>Ribosomal-protein N-acetyl-L-alanine</t>
  </si>
  <si>
    <t>C04341:1</t>
  </si>
  <si>
    <t>C04341 : Ribosomal-protein N-acetyl-L-alanine</t>
  </si>
  <si>
    <t>(R)-4'-Phosphopantothenoyl-L-cysteine</t>
  </si>
  <si>
    <t>C04352:1</t>
  </si>
  <si>
    <t>C04352: (R)-4'-Phosphopantothenoyl-L-cysteine</t>
  </si>
  <si>
    <t>C04376</t>
  </si>
  <si>
    <t>5'-Phosphoribosyl-N-formylglycinamide</t>
  </si>
  <si>
    <t>C04376:1</t>
  </si>
  <si>
    <t>C04376 : 5'-Phosphoribosyl-N-formylglycinamide</t>
  </si>
  <si>
    <t>(2R,3S)-3-Isopropylmalate</t>
  </si>
  <si>
    <t>C04411:1</t>
  </si>
  <si>
    <t>C04411:(2R,3S)-3-Isopropylmalate</t>
  </si>
  <si>
    <t>C04419</t>
  </si>
  <si>
    <t>Carboxybiotin-carboxyl-carrier protein</t>
  </si>
  <si>
    <t>C04419:1</t>
  </si>
  <si>
    <t>C04419:Carboxybiotin-carboxyl-carrier protein</t>
  </si>
  <si>
    <t>C04421</t>
  </si>
  <si>
    <t>N-Succinyl-LL-2,6-diaminoheptanedioate</t>
  </si>
  <si>
    <t>C04421:1</t>
  </si>
  <si>
    <t>C04421:N-Succinyl-LL-2,6-diaminoheptanedioate</t>
  </si>
  <si>
    <t>C04425</t>
  </si>
  <si>
    <t>S-Adenosyl-4-methylthio-2-oxobutanoate</t>
  </si>
  <si>
    <t>C04425:1</t>
  </si>
  <si>
    <t>C04425:S-Adenosyl-4-methylthio-2-oxobutanoate</t>
  </si>
  <si>
    <t>C04432</t>
  </si>
  <si>
    <t>tRNA containing 6-isopentenyladenosine</t>
  </si>
  <si>
    <t>C04432:1</t>
  </si>
  <si>
    <t>C04432 : tRNA containing 6-isopentenyladenosine</t>
  </si>
  <si>
    <t>C04462</t>
  </si>
  <si>
    <t>N-Succinyl-2-L-amino-6-oxoheptanedioate</t>
  </si>
  <si>
    <t>C04462:1</t>
  </si>
  <si>
    <t>C04462:N-Succinyl-2-L-amino-6-oxoheptanedioate</t>
  </si>
  <si>
    <t>C04478</t>
  </si>
  <si>
    <t>3-Deoxy-D-manno-octulosonate 8-phosphate</t>
  </si>
  <si>
    <t>C04478:1</t>
  </si>
  <si>
    <t>C04478:3-Deoxy-D-manno-octulosonate 8-phosphate</t>
  </si>
  <si>
    <t>C04489</t>
  </si>
  <si>
    <t>5-Methyltetrahydropteroyltri-L-glutamate</t>
  </si>
  <si>
    <t>C04489:1</t>
  </si>
  <si>
    <t>C04489 : 5-Methyltetrahydropteroyltri-L-glutamate</t>
  </si>
  <si>
    <t>C04494</t>
  </si>
  <si>
    <t>Guanosine 3'-diphosphate 5'-triphosphate</t>
  </si>
  <si>
    <t>C04494:1</t>
  </si>
  <si>
    <t>C04494: Guanosine 3'-diphosphate 5'-triphosphate</t>
  </si>
  <si>
    <t>C04556</t>
  </si>
  <si>
    <t>4-Amino-2-methyl-5-(phosphooxymethyl)pyrimidine</t>
  </si>
  <si>
    <t>C04556:1</t>
  </si>
  <si>
    <t>C04556 : 4-Amino-2-methyl-5-(phosphooxymethyl)pyrimidine</t>
  </si>
  <si>
    <t>C04574</t>
  </si>
  <si>
    <t>di-trans,poly-cis-Undecaprenyl diphosphate</t>
  </si>
  <si>
    <t>C04574:1</t>
  </si>
  <si>
    <t>C04574 : di-trans,poly-cis-Undecaprenyl diphosphate</t>
  </si>
  <si>
    <t>(3R)-3-Hydroxybutanoyl-[acyl-carrier protein]</t>
  </si>
  <si>
    <t>C04618:1</t>
  </si>
  <si>
    <t>C04618:(3R)-3-Hydroxybutanoyl-[acyl-carrier protein]</t>
  </si>
  <si>
    <t>(3R)-3-Hydroxydecanoyl-[acyl-carrier protein]</t>
  </si>
  <si>
    <t>C04619:1</t>
  </si>
  <si>
    <t>C04619:(3R)-3-Hydroxydecanoyl-[acyl-carrier protein]</t>
  </si>
  <si>
    <t>(3R)-3-Hydroxyoctanoyl-[acyl-carrier protein]</t>
  </si>
  <si>
    <t>C04620:1</t>
  </si>
  <si>
    <t>C04620:(3R)-3-Hydroxyoctanoyl-[acyl-carrier protein]</t>
  </si>
  <si>
    <t>C04631</t>
  </si>
  <si>
    <t>UDP-N-acetyl-3-(1-carboxyvinyl)-D-glucosamine</t>
  </si>
  <si>
    <t>C04631:1</t>
  </si>
  <si>
    <t>C04631 : UDP-N-acetyl-3-(1-carboxyvinyl)-D-glucosamine</t>
  </si>
  <si>
    <t>(3R)-3-Hydroxypalmitoyl-[acyl-carrier protein]</t>
  </si>
  <si>
    <t>C04633:1</t>
  </si>
  <si>
    <t>C04633: (3R)-3-Hydroxypalmitoyl-[acyl-carrier protein]</t>
  </si>
  <si>
    <t>C04640</t>
  </si>
  <si>
    <t>2-(Formamido)-N1-(5'-phosphoribosyl)acetamidine</t>
  </si>
  <si>
    <t>C04640:1</t>
  </si>
  <si>
    <t>C04640 : 2-(Formamido)-N1-(5'-phosphoribosyl)acetamidine</t>
  </si>
  <si>
    <t>C04646</t>
  </si>
  <si>
    <t>6-Thioinosine-5'-monophosphate</t>
  </si>
  <si>
    <t>C04646:1</t>
  </si>
  <si>
    <t>C04646 : 6-Thioinosine-5'-monophosphate</t>
  </si>
  <si>
    <t>C04652</t>
  </si>
  <si>
    <t>UDP-2,3-bis(3-hydroxytetradecanoyl)glucosamine</t>
  </si>
  <si>
    <t>C04652:1</t>
  </si>
  <si>
    <t>C04652: UDP-2,3-bis(3-hydroxytetradecanoyl)glucosamine</t>
  </si>
  <si>
    <t>D-erythro-1-(Imidazol-4-yl)glycerol 3-phosphate</t>
  </si>
  <si>
    <t>C04666:1</t>
  </si>
  <si>
    <t>C04666:D-erythro-1-(Imidazol-4-yl)glycerol 3-phosphate</t>
  </si>
  <si>
    <t>C04677</t>
  </si>
  <si>
    <t>1-(5'-Phosphoribosyl)-5-amino-4-imidazolecarboxamide</t>
  </si>
  <si>
    <t>C04677:1</t>
  </si>
  <si>
    <t>C04677:1-(5'-Phosphoribosyl)-5-amino-4-imidazolecarboxamide</t>
  </si>
  <si>
    <t>C04681</t>
  </si>
  <si>
    <t>[Acetyl-CoA:carbon-dioxide ligase (ADP-forming)]</t>
  </si>
  <si>
    <t>C04681:1</t>
  </si>
  <si>
    <t>C04681: [Acetyl-CoA:carbon-dioxide ligase (ADP-forming)]</t>
  </si>
  <si>
    <t>(3R)-3-Hydroxytetradecanoyl-[acyl-carrier protein]</t>
  </si>
  <si>
    <t>C04688:1</t>
  </si>
  <si>
    <t>C04688:(3R)-3-Hydroxytetradecanoyl-[acyl-carrier protein]</t>
  </si>
  <si>
    <t>2-Dehydro-3-deoxy-D-arabino-heptonate 7-phosphate</t>
  </si>
  <si>
    <t>C04691:1</t>
  </si>
  <si>
    <t>C04691:2-Dehydro-3-deoxy-D-arabino-heptonate 7-phosphate</t>
  </si>
  <si>
    <t>C04702</t>
  </si>
  <si>
    <t>UDPMurNAc(oyl-L-Ala-D-gamma-Glu-L-Lys-D-Ala-D-Ala)</t>
  </si>
  <si>
    <t>C04702:1</t>
  </si>
  <si>
    <t>C04702 : UDPMurNAc(oyl-L-Ala-D-gamma-Glu-L-Lys-D-Ala-D-Ala)</t>
  </si>
  <si>
    <t>C04730</t>
  </si>
  <si>
    <t>GM3</t>
  </si>
  <si>
    <t>C04730:1</t>
  </si>
  <si>
    <t>C04730:GM3</t>
  </si>
  <si>
    <t>C04732</t>
  </si>
  <si>
    <t>5-Amino-6-(1-D-ribitylamino)uracil</t>
  </si>
  <si>
    <t>C04732:1</t>
  </si>
  <si>
    <t>C04732:5-Amino-6-(1-D-ribitylamino)uracil</t>
  </si>
  <si>
    <t>1-(5'-Phosphoribosyl)-5-formamido-4-imidazolecarboxamide</t>
  </si>
  <si>
    <t>C04734:1</t>
  </si>
  <si>
    <t>C04734 : 1-(5'-Phosphoribosyl)-5-formamido-4-imidazolecarboxamide</t>
  </si>
  <si>
    <t>C04735</t>
  </si>
  <si>
    <t>Apo-[acetyl-CoA:carbon-dioxide ligase (ADP-forming)</t>
  </si>
  <si>
    <t>C04735:1</t>
  </si>
  <si>
    <t>C04735:Apo-[acetyl-CoA:carbon-dioxide ligase (ADP-forming)</t>
  </si>
  <si>
    <t>C04737</t>
  </si>
  <si>
    <t>alpha-D-Galactosyl-(1-&gt;4)-beta-D-galactosyl-(1-&gt;4)-beta-D-glucosyl-(1&lt;-&gt;1)-ceramide</t>
  </si>
  <si>
    <t>C04737:1</t>
  </si>
  <si>
    <t>C04737:alpha-D-Galactosyl-(1-&gt;4)-beta-D-galactosyl-(1-&gt;4)-beta-D-glucosyl-(1&lt;-&gt;1)-ceramide</t>
  </si>
  <si>
    <t>C04738</t>
  </si>
  <si>
    <t>UDP-3-O-(3-hydroxytetradecanoyl)-N-acetylglucosamine</t>
  </si>
  <si>
    <t>C04738:1</t>
  </si>
  <si>
    <t>C04738:UDP-3-O-(3-hydroxytetradecanoyl)-N-acetylglucosamine</t>
  </si>
  <si>
    <t>1-(5-Phospho-D-ribosyl)-5-amino-4-imidazolecarboxylate</t>
  </si>
  <si>
    <t>C04751:1</t>
  </si>
  <si>
    <t>C04751 : 1-(5-Phospho-D-ribosyl)-5-amino-4-imidazolecarboxylate</t>
  </si>
  <si>
    <t>C04752</t>
  </si>
  <si>
    <t>4-Amino-5-hydroxymethyl-2-methylpyrimidine diphosphate</t>
  </si>
  <si>
    <t>C04752:1</t>
  </si>
  <si>
    <t>C04752 : 4-Amino-5-hydroxymethyl-2-methylpyrimidine diphosphate</t>
  </si>
  <si>
    <t>C04807</t>
  </si>
  <si>
    <t>6-Hydroxymethyl-7,8-dihydropterin diphosphate</t>
  </si>
  <si>
    <t>C04807:1</t>
  </si>
  <si>
    <t>C04807:6-Hydroxymethyl-7,8-dihydropterin diphosphate</t>
  </si>
  <si>
    <t>1-(5'-Phosphoribosyl)-5-amino-4-(N-succinocarboxamide)-imidazole</t>
  </si>
  <si>
    <t>C04823:1</t>
  </si>
  <si>
    <t>C04823 : 1-(5'-Phosphoribosyl)-5-amino-4-(N-succinocarboxamide)-imidazole</t>
  </si>
  <si>
    <t>C04824</t>
  </si>
  <si>
    <t>Lipid X</t>
  </si>
  <si>
    <t>C04824:1</t>
  </si>
  <si>
    <t>C04824:Lipid X</t>
  </si>
  <si>
    <t>C04851</t>
  </si>
  <si>
    <t>MurAc(oyl-L-Ala-D-gamma-Glu-L-Lys-D-Ala-D-Ala)-diphospho-undecaprenol</t>
  </si>
  <si>
    <t>C04851:1</t>
  </si>
  <si>
    <t>C04851 : MurAc(oyl-L-Ala-D-gamma-Glu-L-Lys-D-Ala-D-Ala)-diphospho-undecaprenol</t>
  </si>
  <si>
    <t>7,8-Dihydroneopterin</t>
  </si>
  <si>
    <t>C04874:1</t>
  </si>
  <si>
    <t>C04874:7,8-Dihydroneopterin</t>
  </si>
  <si>
    <t>C04877</t>
  </si>
  <si>
    <t>UDP-N-acetylmuramoyl-L-alanyl-gamma-D-glutamyl-meso-2,6-diaminopimelate</t>
  </si>
  <si>
    <t>C04877:1</t>
  </si>
  <si>
    <t>C04877:UDP-N-acetylmuramoyl-L-alanyl-gamma-D-glutamyl-meso-2,6-diaminopimelate</t>
  </si>
  <si>
    <t>C04882</t>
  </si>
  <si>
    <t>UDP-N-acetylmuramoyl-L-alanyl-D-glutamyl-6-carboxyl-L-lysyl-D-alanyl-D-alanine</t>
  </si>
  <si>
    <t>C04882:1</t>
  </si>
  <si>
    <t>C04882 : UDP-N-acetylmuramoyl-L-alanyl-D-glutamyl-6-carboxyl-L-lysyl-D-alanyl-D-alanine</t>
  </si>
  <si>
    <t>C04884</t>
  </si>
  <si>
    <t>N-Acetyl-D-galactosaminyl-(N-acetylneuraminyl)-D-galactosyl-D-glucosylceramide</t>
  </si>
  <si>
    <t>C04884:1</t>
  </si>
  <si>
    <t>C04884:N-Acetyl-D-galactosaminyl-(N-acetylneuraminyl)-D-galactosyl-D-glucosylceramide</t>
  </si>
  <si>
    <t>C04895</t>
  </si>
  <si>
    <t>7,8-Dihydroneopterin 3'-triphosphate</t>
  </si>
  <si>
    <t>C04895:1</t>
  </si>
  <si>
    <t>C04895:7,8-Dihydroneopterin 3'-triphosphate</t>
  </si>
  <si>
    <t>5-(5-Phospho-D-ribosylaminoformimino)-1-(5-phosphoribosyl)-imidazole-4-carboxamide</t>
  </si>
  <si>
    <t>C04896:1</t>
  </si>
  <si>
    <t>C04896:5-(5-Phospho-D-ribosylaminoformimino)-1-(5-phosphoribosyl)-imidazole-4-carboxamide</t>
  </si>
  <si>
    <t>N-(5'-Phospho-D-1'-ribulosylformimino)-5-amino-1-(5''-phospho-D-ribosyl)-4-imidazolecarboxamide</t>
  </si>
  <si>
    <t>C04916:1</t>
  </si>
  <si>
    <t>C04916:N-(5'-Phospho-D-1'-ribulosylformimino)-5-amino-1-(5''-phospho-D-ribosyl)-4-imidazolecarboxamide</t>
  </si>
  <si>
    <t>C04919</t>
  </si>
  <si>
    <t>2,3,2'3'-Tetrakis(3-hydroxytetradecanoyl)-D-glucosaminyl-1,6-beta-D-glucosamine 1,4'-bisphosphate</t>
  </si>
  <si>
    <t>C04919:1</t>
  </si>
  <si>
    <t>C04919:2,3,2'3'-Tetrakis(3-hydroxytetradecanoyl)-D-glucosaminyl-1,6-beta-D-glucosamine 1,4'-bisphosphate</t>
  </si>
  <si>
    <t>C04932</t>
  </si>
  <si>
    <t>Lipid A disaccharide</t>
  </si>
  <si>
    <t>C04932:1</t>
  </si>
  <si>
    <t>C04932:Lipid A disaccharide</t>
  </si>
  <si>
    <t>C05125</t>
  </si>
  <si>
    <t>2-(alpha-Hydroxyethyl)thiamine diphosphate</t>
  </si>
  <si>
    <t>C05125:1</t>
  </si>
  <si>
    <t>C05125:2-(alpha-Hydroxyethyl)thiamine diphosphate</t>
  </si>
  <si>
    <t>alpha-Amino acid</t>
  </si>
  <si>
    <t>C05167:1</t>
  </si>
  <si>
    <t>C05167:alpha-Amino acid</t>
  </si>
  <si>
    <t>C05172</t>
  </si>
  <si>
    <t>Selenophosphoric acid</t>
  </si>
  <si>
    <t>C05172:1</t>
  </si>
  <si>
    <t>C05172:Selenophosphoric acid</t>
  </si>
  <si>
    <t>C05196</t>
  </si>
  <si>
    <t>Dihydroflavodoxin</t>
  </si>
  <si>
    <t>C05196:1</t>
  </si>
  <si>
    <t>C05196:Dihydroflavodoxin</t>
  </si>
  <si>
    <t>C05197</t>
  </si>
  <si>
    <t>Protein glycine</t>
  </si>
  <si>
    <t>C05197:1</t>
  </si>
  <si>
    <t>C05197:Protein glycine</t>
  </si>
  <si>
    <t>C05198</t>
  </si>
  <si>
    <t>5'-Deoxyadenosine</t>
  </si>
  <si>
    <t>C05198:1</t>
  </si>
  <si>
    <t>C05198 : 5'-Deoxyadenosine</t>
  </si>
  <si>
    <t>C05199</t>
  </si>
  <si>
    <t>Flavodoxin semiquinone</t>
  </si>
  <si>
    <t>C05199:1</t>
  </si>
  <si>
    <t>C05199:Flavodoxin semiquinone</t>
  </si>
  <si>
    <t>C05223</t>
  </si>
  <si>
    <t>Dodecanoyl-[acyl-carrier protein]</t>
  </si>
  <si>
    <t>C05223:1</t>
  </si>
  <si>
    <t>C05223:Dodecanoyl-[acyl-carrier protein]</t>
  </si>
  <si>
    <t>C05312</t>
  </si>
  <si>
    <t>Protein glycin-2-yl radical</t>
  </si>
  <si>
    <t>C05312:1</t>
  </si>
  <si>
    <t>C05312:Protein glycin-2-yl radical</t>
  </si>
  <si>
    <t>C05335</t>
  </si>
  <si>
    <t>L-Selenomethionine</t>
  </si>
  <si>
    <t>C05335:1</t>
  </si>
  <si>
    <t>C05335 : L-Selenomethionine</t>
  </si>
  <si>
    <t>C05336</t>
  </si>
  <si>
    <t>Selenomethionyl-tRNA(Met)</t>
  </si>
  <si>
    <t>C05336:1</t>
  </si>
  <si>
    <t>C05336 : Selenomethionyl-tRNA(Met)</t>
  </si>
  <si>
    <t>beta-D-Fructose 6-phosphate</t>
  </si>
  <si>
    <t>C05345:1</t>
  </si>
  <si>
    <t>C05345 : beta-D-Fructose 6-phosphate</t>
  </si>
  <si>
    <t>C05359</t>
  </si>
  <si>
    <t>Electron</t>
  </si>
  <si>
    <t>C05359:1</t>
  </si>
  <si>
    <t>C05359:Electron</t>
  </si>
  <si>
    <t>beta-D-Fructose 1,6-bisphosphate</t>
  </si>
  <si>
    <t>C05378:1</t>
  </si>
  <si>
    <t>C05378 : beta-D-Fructose 1,6-bisphosphate</t>
  </si>
  <si>
    <t>C05381</t>
  </si>
  <si>
    <t>3-Carboxy-1-hydroxypropyl-ThPP</t>
  </si>
  <si>
    <t>C05381:1</t>
  </si>
  <si>
    <t>C05381:3-Carboxy-1-hydroxypropyl-ThPP</t>
  </si>
  <si>
    <t>Sedoheptulose 7-phosphate</t>
  </si>
  <si>
    <t>C05382:1</t>
  </si>
  <si>
    <t>C05382 : Sedoheptulose 7-phosphate</t>
  </si>
  <si>
    <t>C05512</t>
  </si>
  <si>
    <t>Deoxyinosine</t>
  </si>
  <si>
    <t>C05512:1</t>
  </si>
  <si>
    <t>C05512 : Deoxyinosine</t>
  </si>
  <si>
    <t>C05526</t>
  </si>
  <si>
    <t>S-Glutathionyl-L-cysteine</t>
  </si>
  <si>
    <t>C05526:1</t>
  </si>
  <si>
    <t>C05526 : S-Glutathionyl-L-cysteine</t>
  </si>
  <si>
    <t>C05528</t>
  </si>
  <si>
    <t>3-Sulfopyruvate</t>
  </si>
  <si>
    <t>C05528:1</t>
  </si>
  <si>
    <t>C05528 : 3-Sulfopyruvate</t>
  </si>
  <si>
    <t>C05684</t>
  </si>
  <si>
    <t>Selenite</t>
  </si>
  <si>
    <t>C05684:1</t>
  </si>
  <si>
    <t>C05684 : Selenite</t>
  </si>
  <si>
    <t>C05688</t>
  </si>
  <si>
    <t>L-Selenocysteine</t>
  </si>
  <si>
    <t>C05688:1</t>
  </si>
  <si>
    <t>C05688 : L-Selenocysteine</t>
  </si>
  <si>
    <t>C05691</t>
  </si>
  <si>
    <t>Se-Adenosylselenomethionine</t>
  </si>
  <si>
    <t>C05691:1</t>
  </si>
  <si>
    <t>C05691 : Se-Adenosylselenomethionine</t>
  </si>
  <si>
    <t>C05698</t>
  </si>
  <si>
    <t>Selenohomocysteine</t>
  </si>
  <si>
    <t>C05698:1</t>
  </si>
  <si>
    <t>C05698 : Selenohomocysteine</t>
  </si>
  <si>
    <t>C05703</t>
  </si>
  <si>
    <t>Methaneselenol</t>
  </si>
  <si>
    <t>C05703:1</t>
  </si>
  <si>
    <t>C05703 : Methaneselenol</t>
  </si>
  <si>
    <t>C05726</t>
  </si>
  <si>
    <t>S-Substituted L-cysteine</t>
  </si>
  <si>
    <t>C05726:1</t>
  </si>
  <si>
    <t>C05726:S-Substituted L-cysteine</t>
  </si>
  <si>
    <t>C05729</t>
  </si>
  <si>
    <t>R-S-Cysteinylglycine</t>
  </si>
  <si>
    <t>C05729:1</t>
  </si>
  <si>
    <t>C05729:R-S-Cysteinylglycine</t>
  </si>
  <si>
    <t>C05744</t>
  </si>
  <si>
    <t>Acetoacetyl-[acp]</t>
  </si>
  <si>
    <t>C05744:1</t>
  </si>
  <si>
    <t>C05744:Acetoacetyl-[acp]</t>
  </si>
  <si>
    <t>C05745</t>
  </si>
  <si>
    <t>Butyryl-[acp]</t>
  </si>
  <si>
    <t>C05745:1</t>
  </si>
  <si>
    <t>C05745:Butyryl-[acp]</t>
  </si>
  <si>
    <t>C05746</t>
  </si>
  <si>
    <t>3-Oxohexanoyl-[acp]</t>
  </si>
  <si>
    <t>C05746:1</t>
  </si>
  <si>
    <t>C05746:3-Oxohexanoyl-[acp]</t>
  </si>
  <si>
    <t>(3R)-3-Hydroxyhexanoyl-[acyl-carrier protein]</t>
  </si>
  <si>
    <t>C05747:1</t>
  </si>
  <si>
    <t>C05747:(3R)-3-Hydroxyhexanoyl-[acyl-carrier protein]</t>
  </si>
  <si>
    <t>C05748</t>
  </si>
  <si>
    <t>trans-Hex-2-enoyl-[acp]</t>
  </si>
  <si>
    <t>C05748:1</t>
  </si>
  <si>
    <t>C05748:trans-Hex-2-enoyl-[acp]</t>
  </si>
  <si>
    <t>C05749</t>
  </si>
  <si>
    <t>Hexanoyl-[acp]</t>
  </si>
  <si>
    <t>C05749:1</t>
  </si>
  <si>
    <t>C05749:Hexanoyl-[acp]</t>
  </si>
  <si>
    <t>C05750</t>
  </si>
  <si>
    <t>3-Oxooctanoyl-[acp]</t>
  </si>
  <si>
    <t>C05750:1</t>
  </si>
  <si>
    <t>C05750:3-Oxooctanoyl-[acp]</t>
  </si>
  <si>
    <t>C05751</t>
  </si>
  <si>
    <t>trans-Oct-2-enoyl-[acp]</t>
  </si>
  <si>
    <t>C05751:1</t>
  </si>
  <si>
    <t>C05751:trans-Oct-2-enoyl-[acp]</t>
  </si>
  <si>
    <t>C05752</t>
  </si>
  <si>
    <t>Octanoyl-[acp]</t>
  </si>
  <si>
    <t>C05752:1</t>
  </si>
  <si>
    <t>C05752:Octanoyl-[acp]</t>
  </si>
  <si>
    <t>C05753</t>
  </si>
  <si>
    <t>3-Oxodecanoyl-[acp]</t>
  </si>
  <si>
    <t>C05753:1</t>
  </si>
  <si>
    <t>C05753:3-Oxodecanoyl-[acp]</t>
  </si>
  <si>
    <t>trans-Dec-2-enoyl-[acp]</t>
  </si>
  <si>
    <t>C05754:1</t>
  </si>
  <si>
    <t>C05754:trans-Dec-2-enoyl-[acp]</t>
  </si>
  <si>
    <t>C05755</t>
  </si>
  <si>
    <t>Decanoyl-[acp]</t>
  </si>
  <si>
    <t>C05755:1</t>
  </si>
  <si>
    <t>C05755:Decanoyl-[acp]</t>
  </si>
  <si>
    <t>C05756</t>
  </si>
  <si>
    <t>3-Oxododecanoyl-[acp]</t>
  </si>
  <si>
    <t>C05756:1</t>
  </si>
  <si>
    <t>C05756:3-Oxododecanoyl-[acp]</t>
  </si>
  <si>
    <t>(3R)-3-Hydroxydodecanoyl-[acyl-carrier protein]</t>
  </si>
  <si>
    <t>C05757:1</t>
  </si>
  <si>
    <t>C05757:(3R)-3-Hydroxydodecanoyl-[acyl-carrier protein]</t>
  </si>
  <si>
    <t>C05758</t>
  </si>
  <si>
    <t>trans-Dodec-2-enoyl-[acp]</t>
  </si>
  <si>
    <t>C05758:1</t>
  </si>
  <si>
    <t>C05758:trans-Dodec-2-enoyl-[acp]</t>
  </si>
  <si>
    <t>C05759</t>
  </si>
  <si>
    <t>3-Oxotetradecanoyl-[acp]</t>
  </si>
  <si>
    <t>C05759:1</t>
  </si>
  <si>
    <t>C05759:3-Oxotetradecanoyl-[acp]</t>
  </si>
  <si>
    <t>C05760</t>
  </si>
  <si>
    <t>trans-Tetradec-2-enoyl-[acp]</t>
  </si>
  <si>
    <t>C05760:1</t>
  </si>
  <si>
    <t>C05760:trans-Tetradec-2-enoyl-[acp]</t>
  </si>
  <si>
    <t>C05761</t>
  </si>
  <si>
    <t>Tetradecanoyl-[acp]</t>
  </si>
  <si>
    <t>C05761:1</t>
  </si>
  <si>
    <t>C05761:Tetradecanoyl-[acp]</t>
  </si>
  <si>
    <t>C05762</t>
  </si>
  <si>
    <t>3-Oxohexadecanoyl-[acp]</t>
  </si>
  <si>
    <t>C05762:1</t>
  </si>
  <si>
    <t>C05762:3-Oxohexadecanoyl-[acp]</t>
  </si>
  <si>
    <t>C05763</t>
  </si>
  <si>
    <t>trans-Hexadec-2-enoyl-[acp]</t>
  </si>
  <si>
    <t>C05763:1</t>
  </si>
  <si>
    <t>C05763:trans-Hexadec-2-enoyl-[acp]</t>
  </si>
  <si>
    <t>C05764</t>
  </si>
  <si>
    <t>Hexadecanoyl-[acp]</t>
  </si>
  <si>
    <t>C05764:1</t>
  </si>
  <si>
    <t>C05764:Hexadecanoyl-[acp]</t>
  </si>
  <si>
    <t>(1R,6R)-6-Hydroxy-2-succinylcyclohexa-2,4-diene-1-carboxylate</t>
  </si>
  <si>
    <t>C05817:1</t>
  </si>
  <si>
    <t>C05817:(1R,6R)-6-Hydroxy-2-succinylcyclohexa-2,4-diene-1-carboxylate</t>
  </si>
  <si>
    <t>C05819</t>
  </si>
  <si>
    <t>Menaquinol</t>
  </si>
  <si>
    <t>C05819:1</t>
  </si>
  <si>
    <t>C05819:Menaquinol</t>
  </si>
  <si>
    <t>3'-CMP</t>
  </si>
  <si>
    <t>C05822:1</t>
  </si>
  <si>
    <t>C05822:3'-CMP</t>
  </si>
  <si>
    <t>C05841</t>
  </si>
  <si>
    <t>Nicotinate D-ribonucleoside</t>
  </si>
  <si>
    <t>C05841:1</t>
  </si>
  <si>
    <t>C05841 : Nicotinate D-ribonucleoside</t>
  </si>
  <si>
    <t>C05892</t>
  </si>
  <si>
    <t>UDP-N-acetylmuramoyl-L-alanyl-gamma-D-glutamyl-L-lysine</t>
  </si>
  <si>
    <t>C05892:1</t>
  </si>
  <si>
    <t>C05892 : UDP-N-acetylmuramoyl-L-alanyl-gamma-D-glutamyl-L-lysine</t>
  </si>
  <si>
    <t>C05893</t>
  </si>
  <si>
    <t>Undecaprenyl-diphospho-N-acetylmuramoyl-(N-acetylglucosamine)-L-alanyl-gamma-D-glutamyl-L-lysyl-D-alanyl-D-alanine</t>
  </si>
  <si>
    <t>C05893:1</t>
  </si>
  <si>
    <t>C05893 : Undecaprenyl-diphospho-N-acetylmuramoyl-(N-acetylglucosamine)-L-alanyl-gamma-D-glutamyl-L-lysyl-D-alanyl-D-alanine</t>
  </si>
  <si>
    <t>C05897</t>
  </si>
  <si>
    <t>Undecaprenyl-diphospho-N-acetylmuramoyl-L-alanyl-D-glutamyl-meso-2,6-diaminopimeloyl-D-alanyl-D-alanine</t>
  </si>
  <si>
    <t>C05897:1</t>
  </si>
  <si>
    <t>C05897 : Undecaprenyl-diphospho-N-acetylmuramoyl-L-alanyl-D-glutamyl-meso-2,6-diaminopimeloyl-D-alanyl-D-alanine</t>
  </si>
  <si>
    <t>C05898</t>
  </si>
  <si>
    <t>Undecaprenyl-diphospho-N-acetylmuramoyl-(N-acetylglucosamine)-L-alanyl-D-glutamyl-meso-2,6-diaminopimeloyl-D-alanyl-D-alanine</t>
  </si>
  <si>
    <t>C05898:1</t>
  </si>
  <si>
    <t>C05898 : Undecaprenyl-diphospho-N-acetylmuramoyl-(N-acetylglucosamine)-L-alanyl-D-glutamyl-meso-2,6-diaminopimeloyl-D-alanyl-D-alanine</t>
  </si>
  <si>
    <t>C05921</t>
  </si>
  <si>
    <t>Biotinyl-5'-AMP</t>
  </si>
  <si>
    <t>C05921:1</t>
  </si>
  <si>
    <t>C05921:Biotinyl-5'-AMP</t>
  </si>
  <si>
    <t>Formamidopyrimidine nucleoside triphosphate</t>
  </si>
  <si>
    <t>C05922:1</t>
  </si>
  <si>
    <t>C05922:Formamidopyrimidine nucleoside triphosphate</t>
  </si>
  <si>
    <t>2,5-Diaminopyrimidine nucleoside triphosphate</t>
  </si>
  <si>
    <t>C05923:1</t>
  </si>
  <si>
    <t>C05923:2,5-Diaminopyrimidine nucleoside triphosphate</t>
  </si>
  <si>
    <t>C05924</t>
  </si>
  <si>
    <t>Molybdopterin</t>
  </si>
  <si>
    <t>C05924:1</t>
  </si>
  <si>
    <t>C05924:Molybdopterin</t>
  </si>
  <si>
    <t>C05928</t>
  </si>
  <si>
    <t>(6R)-10-Formyltetrahydropteroyldiglutamate</t>
  </si>
  <si>
    <t>C05928:1</t>
  </si>
  <si>
    <t>C05928:(6R)-10-Formyltetrahydropteroyldiglutamate</t>
  </si>
  <si>
    <t>C05929</t>
  </si>
  <si>
    <t>10-Formyltetrahydrofolylpolyglutamate</t>
  </si>
  <si>
    <t>C05929:1</t>
  </si>
  <si>
    <t>C05929:10-Formyltetrahydrofolylpolyglutamate</t>
  </si>
  <si>
    <t>(S)-2-Aceto-2-hydroxybutanoate</t>
  </si>
  <si>
    <t>C06006:1</t>
  </si>
  <si>
    <t>C06006:(S)-2-Aceto-2-hydroxybutanoate</t>
  </si>
  <si>
    <t>(R)-2,3-Dihydroxy-3-methylpentanoate</t>
  </si>
  <si>
    <t>C06007:1</t>
  </si>
  <si>
    <t>C06007:(R)-2,3-Dihydroxy-3-methylpentanoate</t>
  </si>
  <si>
    <t>(S)-2-Acetolactate</t>
  </si>
  <si>
    <t>C06010:1</t>
  </si>
  <si>
    <t>C06010:(S)-2-Acetolactate</t>
  </si>
  <si>
    <t>C06022</t>
  </si>
  <si>
    <t>UDP-3-O-(3-hydroxytetradecanoyl)-D-glucosamine</t>
  </si>
  <si>
    <t>C06022:1</t>
  </si>
  <si>
    <t>C06022:UDP-3-O-(3-hydroxytetradecanoyl)-D-glucosamine</t>
  </si>
  <si>
    <t>C06024</t>
  </si>
  <si>
    <t>3-Deoxy-D-manno-octulosonyl-lipid IV(A)</t>
  </si>
  <si>
    <t>C06024:1</t>
  </si>
  <si>
    <t>C06024:3-Deoxy-D-manno-octulosonyl-lipid IV(A)</t>
  </si>
  <si>
    <t>C06026</t>
  </si>
  <si>
    <t>KDO2-lipid A</t>
  </si>
  <si>
    <t>C06026:1</t>
  </si>
  <si>
    <t>C06026:KDO2-lipid A</t>
  </si>
  <si>
    <t>C06032</t>
  </si>
  <si>
    <t>D-erythro-3-Methylmalate</t>
  </si>
  <si>
    <t>C06032:1</t>
  </si>
  <si>
    <t>C06032:D-erythro-3-Methylmalate</t>
  </si>
  <si>
    <t>C06054</t>
  </si>
  <si>
    <t>2-Oxo-3-hydroxy-4-phosphobutanoate</t>
  </si>
  <si>
    <t>C06054:1</t>
  </si>
  <si>
    <t>C06054:2-Oxo-3-hydroxy-4-phosphobutanoate</t>
  </si>
  <si>
    <t>C06055</t>
  </si>
  <si>
    <t>O-Phospho-4-hydroxy-L-threonine</t>
  </si>
  <si>
    <t>C06055:1</t>
  </si>
  <si>
    <t>C06055 : O-Phospho-4-hydroxy-L-threonine</t>
  </si>
  <si>
    <t>C06056</t>
  </si>
  <si>
    <t>4-Hydroxy-L-threonine</t>
  </si>
  <si>
    <t>C06056:1</t>
  </si>
  <si>
    <t>C06056 : 4-Hydroxy-L-threonine</t>
  </si>
  <si>
    <t>C06135</t>
  </si>
  <si>
    <t>GA2</t>
  </si>
  <si>
    <t>C06135:1</t>
  </si>
  <si>
    <t>C06135:GA2</t>
  </si>
  <si>
    <t>2,5-Diamino-6-(5'-triphosphoryl-3',4'-trihydroxy-2'-oxopentyl)-amino-4-oxopyrimidine</t>
  </si>
  <si>
    <t>C06148:1</t>
  </si>
  <si>
    <t>C06148:2,5-Diamino-6-(5'-triphosphoryl-3',4'-trihydroxy-2'-oxopentyl)-amino-4-oxopyrimidine</t>
  </si>
  <si>
    <t>alpha-D-Glucosamine 1-phosphate</t>
  </si>
  <si>
    <t>C06156:1</t>
  </si>
  <si>
    <t>C06156 : alpha-D-Glucosamine 1-phosphate</t>
  </si>
  <si>
    <t>C06157</t>
  </si>
  <si>
    <t>[Dihydrolipoyllysine-residue succinyltransferase] S-glutaryldihydrolipoyllysine</t>
  </si>
  <si>
    <t>C06157:1</t>
  </si>
  <si>
    <t>C06157:[Dihydrolipoyllysine-residue succinyltransferase] S-glutaryldihydrolipoyllysine</t>
  </si>
  <si>
    <t>Guanosine 3'-phosphate</t>
  </si>
  <si>
    <t>C06193:1</t>
  </si>
  <si>
    <t>C06193:Guanosine 3'-phosphate</t>
  </si>
  <si>
    <t>C06194</t>
  </si>
  <si>
    <t>2',3'-Cyclic GMP</t>
  </si>
  <si>
    <t>C06194:1</t>
  </si>
  <si>
    <t>C06194:2',3'-Cyclic GMP</t>
  </si>
  <si>
    <t>C06232</t>
  </si>
  <si>
    <t>Molybdate</t>
  </si>
  <si>
    <t>C06232:1</t>
  </si>
  <si>
    <t>C06232:Molybdate</t>
  </si>
  <si>
    <t>C06249</t>
  </si>
  <si>
    <t>Apo-[carboxylase]</t>
  </si>
  <si>
    <t>C06249:1</t>
  </si>
  <si>
    <t>C06249:Apo-[carboxylase]</t>
  </si>
  <si>
    <t>C06250</t>
  </si>
  <si>
    <t>Holo-[carboxylase]</t>
  </si>
  <si>
    <t>C06250:1</t>
  </si>
  <si>
    <t>C06250:Holo-[carboxylase]</t>
  </si>
  <si>
    <t>C06251</t>
  </si>
  <si>
    <t>Lauroyl-KDO2-lipid IV(A)</t>
  </si>
  <si>
    <t>C06251:1</t>
  </si>
  <si>
    <t>C06251:Lauroyl-KDO2-lipid IV(A)</t>
  </si>
  <si>
    <t>ADP-D-glycero-beta-D-manno-heptose</t>
  </si>
  <si>
    <t>C06397:1</t>
  </si>
  <si>
    <t>C06397:ADP-D-glycero-beta-D-manno-heptose</t>
  </si>
  <si>
    <t>ADP-L-glycero-beta-D-manno-heptose</t>
  </si>
  <si>
    <t>C06398:1</t>
  </si>
  <si>
    <t>C06398:ADP-L-glycero-beta-D-manno-heptose</t>
  </si>
  <si>
    <t>C06481</t>
  </si>
  <si>
    <t>L-Seryl-tRNA(Sec)</t>
  </si>
  <si>
    <t>C06481:1</t>
  </si>
  <si>
    <t>C06481 : L-Seryl-tRNA(Sec)</t>
  </si>
  <si>
    <t>C06482</t>
  </si>
  <si>
    <t>L-Selenocysteinyl-tRNA(Sec)</t>
  </si>
  <si>
    <t>C06482:1</t>
  </si>
  <si>
    <t>C06482:L-Selenocysteinyl-tRNA(Sec)</t>
  </si>
  <si>
    <t>C06697</t>
  </si>
  <si>
    <t>Arsenite</t>
  </si>
  <si>
    <t>C06697:1</t>
  </si>
  <si>
    <t>C06697:Arsenite</t>
  </si>
  <si>
    <t>C07292</t>
  </si>
  <si>
    <t>Glutaredoxin</t>
  </si>
  <si>
    <t>C07292:1</t>
  </si>
  <si>
    <t>C07292:Glutaredoxin</t>
  </si>
  <si>
    <t>C07293</t>
  </si>
  <si>
    <t>Glutaredoxin disulfide</t>
  </si>
  <si>
    <t>C07293:1</t>
  </si>
  <si>
    <t>C07293:Glutaredoxin disulfide</t>
  </si>
  <si>
    <t>C07649</t>
  </si>
  <si>
    <t>5-FU</t>
  </si>
  <si>
    <t>C07649:1</t>
  </si>
  <si>
    <t>C07649:5-FU</t>
  </si>
  <si>
    <t>D-glycero-beta-D-manno-Heptose 7-phosphate</t>
  </si>
  <si>
    <t>C07836:1</t>
  </si>
  <si>
    <t>C07836:D-glycero-beta-D-manno-Heptose 7-phosphate</t>
  </si>
  <si>
    <t>C07838</t>
  </si>
  <si>
    <t>D-glycero-beta-D-manno-Heptose 1-phosphate</t>
  </si>
  <si>
    <t>C07838:1</t>
  </si>
  <si>
    <t>C07838:D-glycero-beta-D-manno-Heptose 1-phosphate</t>
  </si>
  <si>
    <t>beta-D-Ribopyranose</t>
  </si>
  <si>
    <t>C08353:1</t>
  </si>
  <si>
    <t>C08353 : beta-D-Ribopyranose</t>
  </si>
  <si>
    <t>C09332</t>
  </si>
  <si>
    <t>THF-L-glutamate</t>
  </si>
  <si>
    <t>C09332:1</t>
  </si>
  <si>
    <t>C09332:THF-L-glutamate</t>
  </si>
  <si>
    <t>C11038</t>
  </si>
  <si>
    <t>2'-Deoxy-5-hydroxymethylcytidine-5'-diphosphate</t>
  </si>
  <si>
    <t>C11038:1</t>
  </si>
  <si>
    <t>C11038:2'-Deoxy-5-hydroxymethylcytidine-5'-diphosphate</t>
  </si>
  <si>
    <t>2'-Deoxy-5-hydroxymethylcytidine-5'-triphosphate</t>
  </si>
  <si>
    <t>C11039:1</t>
  </si>
  <si>
    <t>C11039 : 2'-Deoxy-5-hydroxymethylcytidine-5'-triphosphate</t>
  </si>
  <si>
    <t>C11143</t>
  </si>
  <si>
    <t>Dimethyl sulfoxide</t>
  </si>
  <si>
    <t>C11143:1000</t>
  </si>
  <si>
    <t>C11143:Dimethyl sulfoxide</t>
  </si>
  <si>
    <t>C11215</t>
  </si>
  <si>
    <t>Arsenate ion</t>
  </si>
  <si>
    <t>C11215:1</t>
  </si>
  <si>
    <t>C11215:Arsenate ion</t>
  </si>
  <si>
    <t>C11355</t>
  </si>
  <si>
    <t>4-Amino-4-deoxychorismate</t>
  </si>
  <si>
    <t>C11355:1</t>
  </si>
  <si>
    <t>C11355:4-Amino-4-deoxychorismate</t>
  </si>
  <si>
    <t>C11434</t>
  </si>
  <si>
    <t>2-C-Methyl-D-erythritol 4-phosphate</t>
  </si>
  <si>
    <t>C11434:1</t>
  </si>
  <si>
    <t>C11434:2-C-Methyl-D-erythritol 4-phosphate</t>
  </si>
  <si>
    <t>C11435</t>
  </si>
  <si>
    <t>4-(Cytidine 5'-diphospho)-2-C-methyl-D-erythritol</t>
  </si>
  <si>
    <t>C11435:1</t>
  </si>
  <si>
    <t>C11435:4-(Cytidine 5'-diphospho)-2-C-methyl-D-erythritol</t>
  </si>
  <si>
    <t>2-Phospho-4-(cytidine 5'-diphospho)-2-C-methyl-D-erythritol</t>
  </si>
  <si>
    <t>C11436:1</t>
  </si>
  <si>
    <t>C11436:2-Phospho-4-(cytidine 5'-diphospho)-2-C-methyl-D-erythritol</t>
  </si>
  <si>
    <t>C11437</t>
  </si>
  <si>
    <t>1-Deoxy-D-xylulose 5-phosphate</t>
  </si>
  <si>
    <t>C11437:1</t>
  </si>
  <si>
    <t>C11437 : 1-Deoxy-D-xylulose 5-phosphate</t>
  </si>
  <si>
    <t>C11439</t>
  </si>
  <si>
    <t>Formyl-L-methionyl peptide</t>
  </si>
  <si>
    <t>C11439:1</t>
  </si>
  <si>
    <t>C11439 : Formyl-L-methionyl peptide</t>
  </si>
  <si>
    <t>C11440</t>
  </si>
  <si>
    <t>Methionyl peptide</t>
  </si>
  <si>
    <t>C11440:1</t>
  </si>
  <si>
    <t>C11440 : Methionyl peptide</t>
  </si>
  <si>
    <t>C11453</t>
  </si>
  <si>
    <t>2-C-Methyl-D-erythritol 2,4-cyclodiphosphate</t>
  </si>
  <si>
    <t>C11453:1</t>
  </si>
  <si>
    <t>C11453:2-C-Methyl-D-erythritol 2,4-cyclodiphosphate</t>
  </si>
  <si>
    <t>C11472</t>
  </si>
  <si>
    <t>D-glycero-beta-D-manno-Heptose 1,7-bisphosphate</t>
  </si>
  <si>
    <t>C11472:1</t>
  </si>
  <si>
    <t>C11472:D-glycero-beta-D-manno-Heptose 1,7-bisphosphate</t>
  </si>
  <si>
    <t>C11537</t>
  </si>
  <si>
    <t>(2R)-3-Sulfolactate</t>
  </si>
  <si>
    <t>C11537:1</t>
  </si>
  <si>
    <t>C11537:(2R)-3-Sulfolactate</t>
  </si>
  <si>
    <t>C11736</t>
  </si>
  <si>
    <t>5-Fluorodeoxyuridine</t>
  </si>
  <si>
    <t>C11736:1</t>
  </si>
  <si>
    <t>C11736 : 5-Fluorodeoxyuridine</t>
  </si>
  <si>
    <t>C11811</t>
  </si>
  <si>
    <t>1-Hydroxy-2-methyl-2-butenyl 4-diphosphate</t>
  </si>
  <si>
    <t>C11811:1</t>
  </si>
  <si>
    <t>C11811:1-Hydroxy-2-methyl-2-butenyl 4-diphosphate</t>
  </si>
  <si>
    <t>C11838</t>
  </si>
  <si>
    <t>(S)-4,5-Dihydroxypentane-2,3-dione</t>
  </si>
  <si>
    <t>C11838:1</t>
  </si>
  <si>
    <t>C11838 : (S)-4,5-Dihydroxypentane-2,3-dione</t>
  </si>
  <si>
    <t>C11907</t>
  </si>
  <si>
    <t>dTDP-4-oxo-6-deoxy-D-glucose</t>
  </si>
  <si>
    <t>C11907:1</t>
  </si>
  <si>
    <t>C11907:dTDP-4-oxo-6-deoxy-D-glucose</t>
  </si>
  <si>
    <t>C12214</t>
  </si>
  <si>
    <t>Aminofructose 6-phosphate</t>
  </si>
  <si>
    <t>C12214:1</t>
  </si>
  <si>
    <t>C12214:Aminofructose 6-phosphate</t>
  </si>
  <si>
    <t>C12215</t>
  </si>
  <si>
    <t>Iminoerythrose 4-phosphate</t>
  </si>
  <si>
    <t>C12215:1</t>
  </si>
  <si>
    <t>C12215:Iminoerythrose 4-phosphate</t>
  </si>
  <si>
    <t>C12739</t>
  </si>
  <si>
    <t>5'-Deoxy-5-fluorouridine</t>
  </si>
  <si>
    <t>C12739:1</t>
  </si>
  <si>
    <t>C12739:5'-Deoxy-5-fluorouridine</t>
  </si>
  <si>
    <t>C13378</t>
  </si>
  <si>
    <t>alpha,beta-Dihydroxyethyl-TPP</t>
  </si>
  <si>
    <t>C13378:1000</t>
  </si>
  <si>
    <t>C13378:alpha,beta-Dihydroxyethyl-TPP</t>
  </si>
  <si>
    <t>(R)-3-Hydroxy-3-methyl-2-oxopentanoate</t>
  </si>
  <si>
    <t>C14463:1</t>
  </si>
  <si>
    <t>C14463:(R)-3-Hydroxy-3-methyl-2-oxopentanoate</t>
  </si>
  <si>
    <t>C14818</t>
  </si>
  <si>
    <t>Fe2+</t>
  </si>
  <si>
    <t>C14818:1000</t>
  </si>
  <si>
    <t>C14818:Fe2+</t>
  </si>
  <si>
    <t>C15498</t>
  </si>
  <si>
    <t>ROOH</t>
  </si>
  <si>
    <t>C15498:1</t>
  </si>
  <si>
    <t>C15498:ROOH</t>
  </si>
  <si>
    <t>C15547</t>
  </si>
  <si>
    <t>1,4-Dihydroxy-2-naphthoyl-CoA</t>
  </si>
  <si>
    <t>C15547:1</t>
  </si>
  <si>
    <t>C15547:1,4-Dihydroxy-2-naphthoyl-CoA</t>
  </si>
  <si>
    <t>C15556</t>
  </si>
  <si>
    <t>L-3,4-Dihydroxybutan-2-one 4-phosphate</t>
  </si>
  <si>
    <t>C15556:1</t>
  </si>
  <si>
    <t>C15556:L-3,4-Dihydroxybutan-2-one 4-phosphate</t>
  </si>
  <si>
    <t>C15585</t>
  </si>
  <si>
    <t>myo-Inositol phosphate</t>
  </si>
  <si>
    <t>C15585:1</t>
  </si>
  <si>
    <t>C15585:myo-Inositol phosphate</t>
  </si>
  <si>
    <t>C15586</t>
  </si>
  <si>
    <t>N-D-Ribosylpurine</t>
  </si>
  <si>
    <t>C15586:1</t>
  </si>
  <si>
    <t>C15586:N-D-Ribosylpurine</t>
  </si>
  <si>
    <t>C15587</t>
  </si>
  <si>
    <t>Purine</t>
  </si>
  <si>
    <t>C15587:1</t>
  </si>
  <si>
    <t>C15587:Purine</t>
  </si>
  <si>
    <t>C15602</t>
  </si>
  <si>
    <t>Quinone</t>
  </si>
  <si>
    <t>C15602:1000</t>
  </si>
  <si>
    <t>C15602:Quinone</t>
  </si>
  <si>
    <t>C15603</t>
  </si>
  <si>
    <t>Hydroquinone</t>
  </si>
  <si>
    <t>C15603:1000</t>
  </si>
  <si>
    <t>C15603:Hydroquinone</t>
  </si>
  <si>
    <t>5-Carboxyamino-1-(5-phospho-D-ribosyl)imidazole</t>
  </si>
  <si>
    <t>C15667:1</t>
  </si>
  <si>
    <t>C15667 : 5-Carboxyamino-1-(5-phospho-D-ribosyl)imidazole</t>
  </si>
  <si>
    <t>C15810</t>
  </si>
  <si>
    <t>Sulfur-carrier protein</t>
  </si>
  <si>
    <t>C15810:1000</t>
  </si>
  <si>
    <t>C15810:Sulfur-carrier protein</t>
  </si>
  <si>
    <t>C15811</t>
  </si>
  <si>
    <t>[Enzyme]-cysteine</t>
  </si>
  <si>
    <t>C15811:1</t>
  </si>
  <si>
    <t>C15811 : [Enzyme]-cysteine</t>
  </si>
  <si>
    <t>C15812</t>
  </si>
  <si>
    <t>[Enzyme]-S-sulfanylcysteine</t>
  </si>
  <si>
    <t>C15812:1</t>
  </si>
  <si>
    <t>C15812 : [Enzyme]-S-sulfanylcysteine</t>
  </si>
  <si>
    <t>C15813</t>
  </si>
  <si>
    <t>Adenylyl-[sulfur-carrier protein]</t>
  </si>
  <si>
    <t>C15813:1</t>
  </si>
  <si>
    <t>C15813 : Adenylyl-[sulfur-carrier protein]</t>
  </si>
  <si>
    <t>C15814</t>
  </si>
  <si>
    <t>Thiocarboxy-[sulfur-carrier protein]</t>
  </si>
  <si>
    <t>C15814:1</t>
  </si>
  <si>
    <t>C15814 : Thiocarboxy-[sulfur-carrier protein]</t>
  </si>
  <si>
    <t>C15972</t>
  </si>
  <si>
    <t>Enzyme N6-(lipoyl)lysine</t>
  </si>
  <si>
    <t>C15972:1000</t>
  </si>
  <si>
    <t>C15972:Enzyme N6-(lipoyl)lysine</t>
  </si>
  <si>
    <t>C15973</t>
  </si>
  <si>
    <t>Enzyme N6-(dihydrolipoyl)lysine</t>
  </si>
  <si>
    <t>C15973:1000</t>
  </si>
  <si>
    <t>C15973:Enzyme N6-(dihydrolipoyl)lysine</t>
  </si>
  <si>
    <t>C15996</t>
  </si>
  <si>
    <t>7-Cyano-7-carbaguanine</t>
  </si>
  <si>
    <t>C15996:1</t>
  </si>
  <si>
    <t>C15996:7-Cyano-7-carbaguanine</t>
  </si>
  <si>
    <t>C16219</t>
  </si>
  <si>
    <t>3-Oxostearoyl-[acp]</t>
  </si>
  <si>
    <t>C16219:1</t>
  </si>
  <si>
    <t>C16219:3-Oxostearoyl-[acp]</t>
  </si>
  <si>
    <t>C16220</t>
  </si>
  <si>
    <t>(3R)-3-Hydroxyoctadecanoyl-[acyl-carrier protein]</t>
  </si>
  <si>
    <t>C16220:1</t>
  </si>
  <si>
    <t>C16220:(3R)-3-Hydroxyoctadecanoyl-[acyl-carrier protein]</t>
  </si>
  <si>
    <t>C16236</t>
  </si>
  <si>
    <t>[Protein]-N6-(octanoyl)-L-lysine</t>
  </si>
  <si>
    <t>C16236:1000</t>
  </si>
  <si>
    <t>C16236:[Protein]-N6-(octanoyl)-L-lysine</t>
  </si>
  <si>
    <t>C16237</t>
  </si>
  <si>
    <t>Protein N6-(lipoyl)lysine</t>
  </si>
  <si>
    <t>C16237:1000</t>
  </si>
  <si>
    <t>C16237:Protein N6-(lipoyl)lysine</t>
  </si>
  <si>
    <t>C16239</t>
  </si>
  <si>
    <t>Lipoyl-[acp]</t>
  </si>
  <si>
    <t>C16239:1</t>
  </si>
  <si>
    <t>C16239:Lipoyl-[acp]</t>
  </si>
  <si>
    <t>C16240</t>
  </si>
  <si>
    <t>[Lipoyl-carrier protein]-L-lysine</t>
  </si>
  <si>
    <t>C16240:1000</t>
  </si>
  <si>
    <t>C16240:[Lipoyl-carrier protein]-L-lysine</t>
  </si>
  <si>
    <t>C16254</t>
  </si>
  <si>
    <t>[Dihydrolipoyllysine-residue succinyltransferase] S-succinyldihydrolipoyllysine</t>
  </si>
  <si>
    <t>C16254:1000</t>
  </si>
  <si>
    <t>C16254:[Dihydrolipoyllysine-residue succinyltransferase] S-succinyldihydrolipoyllysine</t>
  </si>
  <si>
    <t>C16255</t>
  </si>
  <si>
    <t>[Dihydrolipoyllysine-residue acetyltransferase] S-acetyldihydrolipoyllysine</t>
  </si>
  <si>
    <t>C16255:1000</t>
  </si>
  <si>
    <t>C16255:[Dihydrolipoyllysine-residue acetyltransferase] S-acetyldihydrolipoyllysine</t>
  </si>
  <si>
    <t>2-Succinyl-5-enolpyruvyl-6-hydroxy-3-cyclohexene-1-carboxylate</t>
  </si>
  <si>
    <t>C16519:1</t>
  </si>
  <si>
    <t>C16519:2-Succinyl-5-enolpyruvyl-6-hydroxy-3-cyclohexene-1-carboxylate</t>
  </si>
  <si>
    <t>C16618</t>
  </si>
  <si>
    <t>6-Thioxanthine 5'-monophosphate</t>
  </si>
  <si>
    <t>C16618:1</t>
  </si>
  <si>
    <t>C16618 : 6-Thioxanthine 5'-monophosphate</t>
  </si>
  <si>
    <t>C16619</t>
  </si>
  <si>
    <t>6-Thioguanosine monophosphate</t>
  </si>
  <si>
    <t>C16619:1</t>
  </si>
  <si>
    <t>C16619 : 6-Thioguanosine monophosphate</t>
  </si>
  <si>
    <t>C16633</t>
  </si>
  <si>
    <t>5-Fluorouridine</t>
  </si>
  <si>
    <t>C16633:1</t>
  </si>
  <si>
    <t>C16633 : 5-Fluorouridine</t>
  </si>
  <si>
    <t>C16634</t>
  </si>
  <si>
    <t>5-Fluorouridine monophosphate</t>
  </si>
  <si>
    <t>C16634:1</t>
  </si>
  <si>
    <t>C16634 : 5-Fluorouridine monophosphate</t>
  </si>
  <si>
    <t>C16635</t>
  </si>
  <si>
    <t>5'-Deoxy-5-fluorocytidine</t>
  </si>
  <si>
    <t>C16635:1</t>
  </si>
  <si>
    <t>C16635:5'-Deoxy-5-fluorocytidine</t>
  </si>
  <si>
    <t>C16636</t>
  </si>
  <si>
    <t>tRNA(Sec)</t>
  </si>
  <si>
    <t>C16636:1</t>
  </si>
  <si>
    <t>C16636 : tRNA(Sec)</t>
  </si>
  <si>
    <t>beta-D-Ribofuranose</t>
  </si>
  <si>
    <t>C16639:1</t>
  </si>
  <si>
    <t>C16639 : beta-D-Ribofuranose</t>
  </si>
  <si>
    <t>C16663</t>
  </si>
  <si>
    <t>Tryparedoxin</t>
  </si>
  <si>
    <t>C16663:1</t>
  </si>
  <si>
    <t>C16663 : Tryparedoxin</t>
  </si>
  <si>
    <t>C16664</t>
  </si>
  <si>
    <t>Tryparedoxin disulfide</t>
  </si>
  <si>
    <t>C16664:1</t>
  </si>
  <si>
    <t>C16664 : Tryparedoxin disulfide</t>
  </si>
  <si>
    <t>C16675</t>
  </si>
  <si>
    <t>7-Aminomethyl-7-carbaguanine</t>
  </si>
  <si>
    <t>C16675:1</t>
  </si>
  <si>
    <t>C16675:7-Aminomethyl-7-carbaguanine</t>
  </si>
  <si>
    <t>C16832</t>
  </si>
  <si>
    <t>[Protein]-N6-[(R)-dihydrolipoyl]-L-lysine</t>
  </si>
  <si>
    <t>C16832:1000</t>
  </si>
  <si>
    <t>C16832:[Protein]-N6-[(R)-dihydrolipoyl]-L-lysine</t>
  </si>
  <si>
    <t>C17023</t>
  </si>
  <si>
    <t>Sulfur donor</t>
  </si>
  <si>
    <t>C17023:1000</t>
  </si>
  <si>
    <t>C17023:Sulfur donor</t>
  </si>
  <si>
    <t>2-Aminobut-2-enoate</t>
  </si>
  <si>
    <t>C17234:1</t>
  </si>
  <si>
    <t>C17234:2-Aminobut-2-enoate</t>
  </si>
  <si>
    <t>C17322</t>
  </si>
  <si>
    <t>tRNA containing 2-thiouridine</t>
  </si>
  <si>
    <t>C17322:1000</t>
  </si>
  <si>
    <t>C17322:tRNA containing 2-thiouridine</t>
  </si>
  <si>
    <t>C17324</t>
  </si>
  <si>
    <t>tRNA adenine</t>
  </si>
  <si>
    <t>C17324:1000</t>
  </si>
  <si>
    <t>C17324:tRNA adenine</t>
  </si>
  <si>
    <t>C17556</t>
  </si>
  <si>
    <t>di-trans,poly-cis-Undecaprenyl phosphate</t>
  </si>
  <si>
    <t>C17556:1</t>
  </si>
  <si>
    <t>C17556 : di-trans,poly-cis-Undecaprenyl phosphate</t>
  </si>
  <si>
    <t>D-Allulose 6-phosphate</t>
  </si>
  <si>
    <t>C18096:1</t>
  </si>
  <si>
    <t>C18096 : D-Allulose 6-phosphate</t>
  </si>
  <si>
    <t>C18237</t>
  </si>
  <si>
    <t>Molybdoenzyme molybdenum cofactor</t>
  </si>
  <si>
    <t>C18237:1000</t>
  </si>
  <si>
    <t>C18237:Molybdoenzyme molybdenum cofactor</t>
  </si>
  <si>
    <t>C18239</t>
  </si>
  <si>
    <t>Precursor Z</t>
  </si>
  <si>
    <t>C18239:1</t>
  </si>
  <si>
    <t>C18239:Precursor Z</t>
  </si>
  <si>
    <t>C18902</t>
  </si>
  <si>
    <t>Methylselenic acid</t>
  </si>
  <si>
    <t>C18902:1</t>
  </si>
  <si>
    <t>C18902 : Methylselenic acid</t>
  </si>
  <si>
    <t>C19078</t>
  </si>
  <si>
    <t>tRNA with a 3' cytidine</t>
  </si>
  <si>
    <t>C19078:1</t>
  </si>
  <si>
    <t>C19078 : tRNA with a 3' cytidine</t>
  </si>
  <si>
    <t>C19080</t>
  </si>
  <si>
    <t>tRNA with a 3' CC end</t>
  </si>
  <si>
    <t>C19080:1</t>
  </si>
  <si>
    <t>C19080 : tRNA with a 3' CC end</t>
  </si>
  <si>
    <t>C19085</t>
  </si>
  <si>
    <t>tRNA with a 3' CCA end</t>
  </si>
  <si>
    <t>C19085:1</t>
  </si>
  <si>
    <t>C19085 : tRNA with a 3' CCA end</t>
  </si>
  <si>
    <t>C19647</t>
  </si>
  <si>
    <t>Epoxyqueuosine in tRNA</t>
  </si>
  <si>
    <t>C19647:1000</t>
  </si>
  <si>
    <t>C19647:Epoxyqueuosine in tRNA</t>
  </si>
  <si>
    <t>C19673</t>
  </si>
  <si>
    <t>Malonyl-[acp] methyl ester</t>
  </si>
  <si>
    <t>C19673:1</t>
  </si>
  <si>
    <t>C19673:Malonyl-[acp] methyl ester</t>
  </si>
  <si>
    <t>C19722</t>
  </si>
  <si>
    <t>[tRNA(Ile2)]-cytidine34</t>
  </si>
  <si>
    <t>C19722:1</t>
  </si>
  <si>
    <t>C19722 : [tRNA(Ile2)]-cytidine34</t>
  </si>
  <si>
    <t>C19723</t>
  </si>
  <si>
    <t>[tRNA(Ile2)]-lysidine34</t>
  </si>
  <si>
    <t>C19723:1</t>
  </si>
  <si>
    <t>C19723 : [tRNA(Ile2)]-lysidine34</t>
  </si>
  <si>
    <t>C19771</t>
  </si>
  <si>
    <t>2'-(5-Triphosphoribosyl)-3'-dephospho-CoA</t>
  </si>
  <si>
    <t>C19771:1</t>
  </si>
  <si>
    <t>C19771 : 2'-(5-Triphosphoribosyl)-3'-dephospho-CoA</t>
  </si>
  <si>
    <t>C19845</t>
  </si>
  <si>
    <t>Pimeloyl-[acyl-carrier protein]</t>
  </si>
  <si>
    <t>C19845:1</t>
  </si>
  <si>
    <t>C19845:Pimeloyl-[acyl-carrier protein]</t>
  </si>
  <si>
    <t>C19848</t>
  </si>
  <si>
    <t>Adenylated molybdopterin</t>
  </si>
  <si>
    <t>C19848:1000</t>
  </si>
  <si>
    <t>C19848:Adenylated molybdopterin</t>
  </si>
  <si>
    <t>C19871</t>
  </si>
  <si>
    <t>Guanylyl molybdenum cofactor</t>
  </si>
  <si>
    <t>C19871:1000</t>
  </si>
  <si>
    <t>C19871:Guanylyl molybdenum cofactor</t>
  </si>
  <si>
    <t>C19877</t>
  </si>
  <si>
    <t>4-O-Phospho-alpha-Kdo-(2-&gt;6)-lipid IVA</t>
  </si>
  <si>
    <t>C19877:1</t>
  </si>
  <si>
    <t>C19877:4-O-Phospho-alpha-Kdo-(2-&gt;6)-lipid IVA</t>
  </si>
  <si>
    <t>D-glycero-alpha-D-manno-Heptose 7-phosphate</t>
  </si>
  <si>
    <t>C19878:1</t>
  </si>
  <si>
    <t>C19878:D-glycero-alpha-D-manno-Heptose 7-phosphate</t>
  </si>
  <si>
    <t>D-glycero-D-manno-Heptose 7-phosphate</t>
  </si>
  <si>
    <t>C19882:1</t>
  </si>
  <si>
    <t>C19882:D-glycero-D-manno-Heptose 7-phosphate</t>
  </si>
  <si>
    <t>C20239</t>
  </si>
  <si>
    <t>6-Carboxy-5,6,7,8-tetrahydropterin</t>
  </si>
  <si>
    <t>C20239:1</t>
  </si>
  <si>
    <t>C20239:6-Carboxy-5,6,7,8-tetrahydropterin</t>
  </si>
  <si>
    <t>C20248</t>
  </si>
  <si>
    <t>7-Carboxy-7-carbaguanine</t>
  </si>
  <si>
    <t>C20248:1</t>
  </si>
  <si>
    <t>C20248:7-Carboxy-7-carbaguanine</t>
  </si>
  <si>
    <t>C20258</t>
  </si>
  <si>
    <t>(2S,4S)-4-Hydroxy-2,3,4,5-tetrahydrodipicolinate</t>
  </si>
  <si>
    <t>C20258:1</t>
  </si>
  <si>
    <t>C20258 : (2S,4S)-4-Hydroxy-2,3,4,5-tetrahydrodipicolinate</t>
  </si>
  <si>
    <t>C20372</t>
  </si>
  <si>
    <t>3-Ketoglutaryl-[acp] methyl ester</t>
  </si>
  <si>
    <t>C20372:1</t>
  </si>
  <si>
    <t>C20372:3-Ketoglutaryl-[acp] methyl ester</t>
  </si>
  <si>
    <t>3-Hydroxyglutaryl-[acp] methyl ester</t>
  </si>
  <si>
    <t>C20373:1</t>
  </si>
  <si>
    <t>C20373:3-Hydroxyglutaryl-[acp] methyl ester</t>
  </si>
  <si>
    <t>C20374</t>
  </si>
  <si>
    <t>Enoylglutaryl-[acp] methyl ester</t>
  </si>
  <si>
    <t>C20374:1</t>
  </si>
  <si>
    <t>C20374:Enoylglutaryl-[acp] methyl ester</t>
  </si>
  <si>
    <t>C20375</t>
  </si>
  <si>
    <t>Glutaryl-[acp] methyl ester</t>
  </si>
  <si>
    <t>C20375:1</t>
  </si>
  <si>
    <t>C20375:Glutaryl-[acp] methyl ester</t>
  </si>
  <si>
    <t>C20376</t>
  </si>
  <si>
    <t>3-Ketopimeloyl-[acp] methyl ester</t>
  </si>
  <si>
    <t>C20376:1</t>
  </si>
  <si>
    <t>C20376:3-Ketopimeloyl-[acp] methyl ester</t>
  </si>
  <si>
    <t>3-Hydroxypimeloyl-[acp] methyl ester</t>
  </si>
  <si>
    <t>C20377:1</t>
  </si>
  <si>
    <t>C20377:3-Hydroxypimeloyl-[acp] methyl ester</t>
  </si>
  <si>
    <t>C20378</t>
  </si>
  <si>
    <t>Enoylpimeloyl-[acp] methyl ester</t>
  </si>
  <si>
    <t>C20378:1</t>
  </si>
  <si>
    <t>C20378:Enoylpimeloyl-[acp] methyl ester</t>
  </si>
  <si>
    <t>C20446</t>
  </si>
  <si>
    <t>tRNA 7-aminomethyl-7-carbaguanine</t>
  </si>
  <si>
    <t>C20446:1000</t>
  </si>
  <si>
    <t>C20446:tRNA 7-aminomethyl-7-carbaguanine</t>
  </si>
  <si>
    <t>C20463</t>
  </si>
  <si>
    <t>Purine deoxyribonucleoside</t>
  </si>
  <si>
    <t>C20463:1</t>
  </si>
  <si>
    <t>C20463:Purine deoxyribonucleoside</t>
  </si>
  <si>
    <t>C20641</t>
  </si>
  <si>
    <t>L-Threonylcarbamoyladenylate</t>
  </si>
  <si>
    <t>C20641:1</t>
  </si>
  <si>
    <t>C20641 : L-Threonylcarbamoyladenylate</t>
  </si>
  <si>
    <t>C20648</t>
  </si>
  <si>
    <t>Adenine in rRNA</t>
  </si>
  <si>
    <t>C20648:1</t>
  </si>
  <si>
    <t>C20648 : Adenine in rRNA</t>
  </si>
  <si>
    <t>C20751</t>
  </si>
  <si>
    <t>N6-L-Threonylcarbamoyladenine in tRNA</t>
  </si>
  <si>
    <t>C20751:1</t>
  </si>
  <si>
    <t>C20751 : N6-L-Threonylcarbamoyladenine in tRNA</t>
  </si>
  <si>
    <t>C20796</t>
  </si>
  <si>
    <t>N6-Dimethyladenine in rRNA</t>
  </si>
  <si>
    <t>C20796:1</t>
  </si>
  <si>
    <t>C20796 : N6-Dimethyladenine in rRNA</t>
  </si>
  <si>
    <t>alpha-L-Fucopyranose</t>
  </si>
  <si>
    <t>C20835:1</t>
  </si>
  <si>
    <t>C20835:alpha-L-Fucopyranose</t>
  </si>
  <si>
    <t>beta-L-Fucopyranose</t>
  </si>
  <si>
    <t>C20836:1</t>
  </si>
  <si>
    <t>C20836:beta-L-Fucopyranose</t>
  </si>
  <si>
    <t>C20858</t>
  </si>
  <si>
    <t>Protein N5-methyl-L-glutamine</t>
  </si>
  <si>
    <t>C20858:1000</t>
  </si>
  <si>
    <t>C20858:Protein N5-methyl-L-glutamine</t>
  </si>
  <si>
    <t>C20864</t>
  </si>
  <si>
    <t>5'-Triphospho-[mRNA]</t>
  </si>
  <si>
    <t>C20864:1000</t>
  </si>
  <si>
    <t>C20864:5'-Triphospho-[mRNA]</t>
  </si>
  <si>
    <t>2-Iminopropanoate</t>
  </si>
  <si>
    <t>C20904:1</t>
  </si>
  <si>
    <t>C20904:2-Iminopropanoate</t>
  </si>
  <si>
    <t>2-Iminobutanoate</t>
  </si>
  <si>
    <t>C20905:1</t>
  </si>
  <si>
    <t>C20905:2-Iminobutanoate</t>
  </si>
  <si>
    <t>C20925</t>
  </si>
  <si>
    <t>L-Alanyl-gamma-D-glutamyl-meso-2,6-diaminoheptanedioate</t>
  </si>
  <si>
    <t>C20925:1</t>
  </si>
  <si>
    <t>C20925:L-Alanyl-gamma-D-glutamyl-meso-2,6-diaminoheptanedioate</t>
  </si>
  <si>
    <t>C20933</t>
  </si>
  <si>
    <t>(9Z)-Hexadec-9-enoyl-KDO2-lipid IV(A)</t>
  </si>
  <si>
    <t>C20933:1</t>
  </si>
  <si>
    <t>C20933:(9Z)-Hexadec-9-enoyl-KDO2-lipid IV(A)</t>
  </si>
  <si>
    <t>5-Hydroxymethylcytosine in DNA</t>
  </si>
  <si>
    <t>C21031:1</t>
  </si>
  <si>
    <t>C21031 : 5-Hydroxymethylcytosine in DNA</t>
  </si>
  <si>
    <t>C21113</t>
  </si>
  <si>
    <t>NMNH</t>
  </si>
  <si>
    <t>C21113:1</t>
  </si>
  <si>
    <t>C21113:NMNH</t>
  </si>
  <si>
    <t>C21310</t>
  </si>
  <si>
    <t>(8S)-3',8-Cyclo-7,8-dihydroguanosine 5'-triphosphate</t>
  </si>
  <si>
    <t>C21310:1</t>
  </si>
  <si>
    <t>C21310:(8S)-3',8-Cyclo-7,8-dihydroguanosine 5'-triphosphate</t>
  </si>
  <si>
    <t>C21440</t>
  </si>
  <si>
    <t>[Protein]-S-sulfanyl-L-cysteine</t>
  </si>
  <si>
    <t>C21440:1000</t>
  </si>
  <si>
    <t>C21440:[Protein]-S-sulfanyl-L-cysteine</t>
  </si>
  <si>
    <t>C21748</t>
  </si>
  <si>
    <t>5-Fluorouridine diphosphate</t>
  </si>
  <si>
    <t>C21748:1</t>
  </si>
  <si>
    <t>C21748 : 5-Fluorouridine diphosphate</t>
  </si>
  <si>
    <t>C21749</t>
  </si>
  <si>
    <t>5-Fluorouridine triphosphate</t>
  </si>
  <si>
    <t>C21749:1</t>
  </si>
  <si>
    <t>C21749:5-Fluorouridine triphosphate</t>
  </si>
  <si>
    <t>C21750</t>
  </si>
  <si>
    <t>5-Fluorodeoxyuridine diphosphate</t>
  </si>
  <si>
    <t>C21750:1</t>
  </si>
  <si>
    <t>C21750 : 5-Fluorodeoxyuridine diphosphate</t>
  </si>
  <si>
    <t>C21751</t>
  </si>
  <si>
    <t>5-Fluorodeoxyuridine triphosphate</t>
  </si>
  <si>
    <t>C21751:1</t>
  </si>
  <si>
    <t>C21751:5-Fluorodeoxyuridine triphosphate</t>
  </si>
  <si>
    <t>C21991</t>
  </si>
  <si>
    <t>Palmitoleoyl-myristoyl-KDO2-lipid A</t>
  </si>
  <si>
    <t>C21991:1</t>
  </si>
  <si>
    <t>C21991:Palmitoleoyl-myristoyl-KDO2-lipid A</t>
  </si>
  <si>
    <t>C22150</t>
  </si>
  <si>
    <t>Reduced [2Fe-2S] ferredoxin</t>
  </si>
  <si>
    <t>C22150:1000</t>
  </si>
  <si>
    <t>C22150:Reduced [2Fe-2S] ferredoxin</t>
  </si>
  <si>
    <t>C22151</t>
  </si>
  <si>
    <t>Oxidized [2Fe-2S] ferredoxin</t>
  </si>
  <si>
    <t>C22151:1000</t>
  </si>
  <si>
    <t>C22151:Oxidized [2Fe-2S] ferredoxin</t>
  </si>
  <si>
    <t>C22154</t>
  </si>
  <si>
    <t>[Fe-S] cluster scaffold protein carrying a [4Fe-4S]2+ cluster</t>
  </si>
  <si>
    <t>C22154:1000</t>
  </si>
  <si>
    <t>C22154:[Fe-S] cluster scaffold protein carrying a [4Fe-4S]2+ cluster</t>
  </si>
  <si>
    <t>C22155</t>
  </si>
  <si>
    <t>[Fe-S] cluster scaffold protein</t>
  </si>
  <si>
    <t>C22155:1000</t>
  </si>
  <si>
    <t>C22155:[Fe-S] cluster scaffold protein</t>
  </si>
  <si>
    <t>C22157</t>
  </si>
  <si>
    <t>Glycine cleavage system H</t>
  </si>
  <si>
    <t>C22157:1000</t>
  </si>
  <si>
    <t>C22157:Glycine cleavage system H</t>
  </si>
  <si>
    <t>C22158</t>
  </si>
  <si>
    <t>Lipoyl-carrier protein E2</t>
  </si>
  <si>
    <t>C22158:1000</t>
  </si>
  <si>
    <t>C22158:Lipoyl-carrier protein E2</t>
  </si>
  <si>
    <t>C22159</t>
  </si>
  <si>
    <t>[Glycine cleavage system H]-N6-octanoyl-L-lysine</t>
  </si>
  <si>
    <t>C22159:1000</t>
  </si>
  <si>
    <t>C22159:[Glycine cleavage system H]-N6-octanoyl-L-lysine</t>
  </si>
  <si>
    <t>C22160</t>
  </si>
  <si>
    <t>[Lipoyl-carrier protein E2]-N6-octanoyl-L-lysine</t>
  </si>
  <si>
    <t>C22160:1000</t>
  </si>
  <si>
    <t>C22160:[Lipoyl-carrier protein E2]-N6-octanoyl-L-lysine</t>
  </si>
  <si>
    <t>C22288</t>
  </si>
  <si>
    <t>5-Deoxy-D-ribose</t>
  </si>
  <si>
    <t>C22288:1</t>
  </si>
  <si>
    <t>C22288 : 5-Deoxy-D-ribose</t>
  </si>
  <si>
    <t>D-Ribulose 1-phosphate</t>
  </si>
  <si>
    <t>C22337:1</t>
  </si>
  <si>
    <t>C22337:D-Ribulose 1-phosphate</t>
  </si>
  <si>
    <t>Aceneuramate</t>
  </si>
  <si>
    <t>C22382:1</t>
  </si>
  <si>
    <t>C22382:Aceneuramate</t>
  </si>
  <si>
    <t>N6-Succino-2-amino-2'-deoxyadenylate</t>
  </si>
  <si>
    <t>C22395:1</t>
  </si>
  <si>
    <t>C22395:N6-Succino-2-amino-2'-deoxyadenylate</t>
  </si>
  <si>
    <t>C22409</t>
  </si>
  <si>
    <t>UDP-3-O-[(3R)-3-hydroxyacyl]-alpha-D-glucosamine</t>
  </si>
  <si>
    <t>C22409:1</t>
  </si>
  <si>
    <t>C22409:UDP-3-O-[(3R)-3-hydroxyacyl]-alpha-D-glucosamine</t>
  </si>
  <si>
    <t>C22410</t>
  </si>
  <si>
    <t>UDP-2-N,3-O-bis[(3R)-3-hydroxyacyl]-alpha-D-glucosamine</t>
  </si>
  <si>
    <t>C22410:1</t>
  </si>
  <si>
    <t>C22410:UDP-2-N,3-O-bis[(3R)-3-hydroxyacyl]-alpha-D-glucosamine</t>
  </si>
  <si>
    <t>C22418</t>
  </si>
  <si>
    <t>UDP-3-O-[(3R)-3-hydroxyacyl]-N-acetyl-alpha-D-glucosamine</t>
  </si>
  <si>
    <t>C22418:1</t>
  </si>
  <si>
    <t>C22418:UDP-3-O-[(3R)-3-hydroxyacyl]-N-acetyl-alpha-D-glucosamine</t>
  </si>
  <si>
    <t>C22438</t>
  </si>
  <si>
    <t>3,5-Dehydroshikimate</t>
  </si>
  <si>
    <t>C22438:1</t>
  </si>
  <si>
    <t>C22438:3,5-Dehydroshikimate</t>
  </si>
  <si>
    <t>C22441</t>
  </si>
  <si>
    <t>dZMP</t>
  </si>
  <si>
    <t>C22441:1</t>
  </si>
  <si>
    <t>C22441 : dZMP</t>
  </si>
  <si>
    <t>C22442</t>
  </si>
  <si>
    <t>dZDP</t>
  </si>
  <si>
    <t>C22442:1</t>
  </si>
  <si>
    <t>C22442 : dZDP</t>
  </si>
  <si>
    <t>C22443</t>
  </si>
  <si>
    <t>dZTP</t>
  </si>
  <si>
    <t>C22443:1</t>
  </si>
  <si>
    <t>C22443:dZTP</t>
  </si>
  <si>
    <t>8-Amino-7-(carboxyamino)nonanoate</t>
  </si>
  <si>
    <t>C22458:1</t>
  </si>
  <si>
    <t>C22458:8-Amino-7-(carboxyamino)nonanoate</t>
  </si>
  <si>
    <t>C22467</t>
  </si>
  <si>
    <t>Gangliotriaosylceramide-II3 sulfate</t>
  </si>
  <si>
    <t>C22467:1</t>
  </si>
  <si>
    <t>C22467:Gangliotriaosylceramide-II3 sulfate</t>
  </si>
  <si>
    <t>alpha-D-Xylulofuranose</t>
  </si>
  <si>
    <t>C22501:1</t>
  </si>
  <si>
    <t>C22501:alpha-D-Xylulofuranose</t>
  </si>
  <si>
    <t>alpha-D-Fructofuranose</t>
  </si>
  <si>
    <t>C22502:1</t>
  </si>
  <si>
    <t>C22502:alpha-D-Fructofuranose</t>
  </si>
  <si>
    <t>C22881</t>
  </si>
  <si>
    <t>Iron(III) oxide-hydroxide</t>
  </si>
  <si>
    <t>C22881:1000</t>
  </si>
  <si>
    <t>C22881:Iron(III) oxide-hydroxide</t>
  </si>
  <si>
    <t>G00092</t>
  </si>
  <si>
    <t>G00092:1</t>
  </si>
  <si>
    <t>G00092:Lactosylceramide</t>
  </si>
  <si>
    <t>G00093</t>
  </si>
  <si>
    <t>Globotriaosylceramide</t>
  </si>
  <si>
    <t>G00093:1</t>
  </si>
  <si>
    <t>G00093:Globotriaosylceramide</t>
  </si>
  <si>
    <t>G00094</t>
  </si>
  <si>
    <t>G00094:1</t>
  </si>
  <si>
    <t>G00094:Globoside</t>
  </si>
  <si>
    <t>G00108</t>
  </si>
  <si>
    <t>G00108:1</t>
  </si>
  <si>
    <t>G00108:GM3</t>
  </si>
  <si>
    <t>G00109</t>
  </si>
  <si>
    <t>GM2</t>
  </si>
  <si>
    <t>G00109:1</t>
  </si>
  <si>
    <t>G00109: GM2</t>
  </si>
  <si>
    <t>G00123</t>
  </si>
  <si>
    <t>G00123:1</t>
  </si>
  <si>
    <t>G00123:GA2</t>
  </si>
  <si>
    <t>G00711</t>
  </si>
  <si>
    <t>(GlcA)1 (GlcNAc)2</t>
  </si>
  <si>
    <t>G00711:1</t>
  </si>
  <si>
    <t>G00711:(GlcA)1 (GlcNAc)2</t>
  </si>
  <si>
    <t>G01391</t>
  </si>
  <si>
    <t>(Gal)1 (GlcNAc)1 (S)1</t>
  </si>
  <si>
    <t>G01391:1</t>
  </si>
  <si>
    <t>G01391:(Gal)1 (GlcNAc)1 (S)1</t>
  </si>
  <si>
    <t>G05477</t>
  </si>
  <si>
    <t>(GlcNAc)3 (LFuc)2 (Man)3</t>
  </si>
  <si>
    <t>G05477:1</t>
  </si>
  <si>
    <t>G05477:(GlcNAc)3 (LFuc)2 (Man)3</t>
  </si>
  <si>
    <t>G10008</t>
  </si>
  <si>
    <t>(GlcA)1 (GlcNAc)1</t>
  </si>
  <si>
    <t>G10008:1</t>
  </si>
  <si>
    <t>G10008:(GlcA)1 (GlcNAc)1</t>
  </si>
  <si>
    <t>G10336</t>
  </si>
  <si>
    <t>G10336:1</t>
  </si>
  <si>
    <t>G10336:Chitobiose</t>
  </si>
  <si>
    <t>1,4-alpha-D-Glucan</t>
  </si>
  <si>
    <t>G10495:1</t>
  </si>
  <si>
    <t>G10495:1,4-alpha-D-Glucan</t>
  </si>
  <si>
    <t>G10545:1</t>
  </si>
  <si>
    <t>G10545 : Starch</t>
  </si>
  <si>
    <t>G10550</t>
  </si>
  <si>
    <t>(GlcNAc)1 (MurNAc)1 (D-Ala-D-Ala-Lys-D-Glu-Ala)1 (PP-Und)1</t>
  </si>
  <si>
    <t>G10550:1</t>
  </si>
  <si>
    <t>G10550 : (GlcNAc)1 (MurNAc)1 (D-Ala-D-Ala-Lys-D-Glu-Ala)1 (PP-Und)1</t>
  </si>
  <si>
    <t>G10551</t>
  </si>
  <si>
    <t>(MurNAc)1 (D-Ala-D-Ala-Lys-D-Glu-Ala)1 (PP-Und)1</t>
  </si>
  <si>
    <t>G10551:1</t>
  </si>
  <si>
    <t>G10551 : (MurNAc)1 (D-Ala-D-Ala-Lys-D-Glu-Ala)1 (PP-Und)1</t>
  </si>
  <si>
    <t>G10552</t>
  </si>
  <si>
    <t>(MurNAc)1 (D-Ala-D-Ala-Lys-gamma-D-Glu-Ala)1 (PP-Und)1</t>
  </si>
  <si>
    <t>G10552:1</t>
  </si>
  <si>
    <t>G10552 : (MurNAc)1 (D-Ala-D-Ala-Lys-gamma-D-Glu-Ala)1 (PP-Und)1</t>
  </si>
  <si>
    <t>G10553</t>
  </si>
  <si>
    <t>(GlcNAc)1 (MurNAc)1 (D-Ala-D-Ala-Lys-gamma-D-Glu-Ala)1 (PP-Und)1</t>
  </si>
  <si>
    <t>G10553:1</t>
  </si>
  <si>
    <t>G10553 : (GlcNAc)1 (MurNAc)1 (D-Ala-D-Ala-Lys-gamma-D-Glu-Ala)1 (PP-Und)1</t>
  </si>
  <si>
    <t>G10555</t>
  </si>
  <si>
    <t>(GlcNAc)1 (MurNAc)1 (D-Ala-D-Ala-A2pm-gamma-D-Glu-Ala)1 (PP-Und)1</t>
  </si>
  <si>
    <t>G10555:1</t>
  </si>
  <si>
    <t>G10555 : (GlcNAc)1 (MurNAc)1 (D-Ala-D-Ala-A2pm-gamma-D-Glu-Ala)1 (PP-Und)1</t>
  </si>
  <si>
    <t>G10556</t>
  </si>
  <si>
    <t>(MurNAc)1 (D-Ala-D-Ala-A2pm-gamma-D-Glu-Ala)1 (PP-Und)1</t>
  </si>
  <si>
    <t>G10556:1</t>
  </si>
  <si>
    <t>G10556 : (MurNAc)1 (D-Ala-D-Ala-A2pm-gamma-D-Glu-Ala)1 (PP-Und)1</t>
  </si>
  <si>
    <t>G10610</t>
  </si>
  <si>
    <t>UDP-N-acetyl-D-glucosamine</t>
  </si>
  <si>
    <t>G10610:1</t>
  </si>
  <si>
    <t>G10610 : UDP-N-acetyl-D-glucosamine</t>
  </si>
  <si>
    <t>G10619</t>
  </si>
  <si>
    <t>G10619:1</t>
  </si>
  <si>
    <t>G10619 : UDP</t>
  </si>
  <si>
    <t>G10665</t>
  </si>
  <si>
    <t>(GlcNAc)2 (LFuc)1 (Man)3 (Xyl)1 (Asn)1</t>
  </si>
  <si>
    <t>G10665:1</t>
  </si>
  <si>
    <t>G10665:(GlcNAc)2 (LFuc)1 (Man)3 (Xyl)1 (Asn)1</t>
  </si>
  <si>
    <t>G10920</t>
  </si>
  <si>
    <t>(GlcNAc)2 (LFuc)2 (Man)3 (Asn)1</t>
  </si>
  <si>
    <t>G10920:1</t>
  </si>
  <si>
    <t>G10920:(GlcNAc)2 (LFuc)2 (Man)3 (Asn)1</t>
  </si>
  <si>
    <t>G11109</t>
  </si>
  <si>
    <t>G11109:1</t>
  </si>
  <si>
    <t>G11109 : ADP-glucose</t>
  </si>
  <si>
    <t>G11113</t>
  </si>
  <si>
    <t>G11113:1000</t>
  </si>
  <si>
    <t>G11113 : ADP</t>
  </si>
  <si>
    <t>G13056</t>
  </si>
  <si>
    <t>(GlcNAc)4 (LFuc)1 (Man)3 (Xyl)1 (Asn)1</t>
  </si>
  <si>
    <t>G13056:1</t>
  </si>
  <si>
    <t>G13056:(GlcNAc)4 (LFuc)1 (Man)3 (Xyl)1 (Asn)1</t>
  </si>
  <si>
    <t>G13057</t>
  </si>
  <si>
    <t>(Gal)1 (GlcNAc)3 (LFuc)1 (Man)3 (Asn)1</t>
  </si>
  <si>
    <t>G13057:1</t>
  </si>
  <si>
    <t>G13057:(Gal)1 (GlcNAc)3 (LFuc)1 (Man)3 (Asn)1</t>
  </si>
  <si>
    <t>G13058</t>
  </si>
  <si>
    <t>(Gal)1 (GlcNAc)2 (LFuc)1 (Man)3 (Asn)1</t>
  </si>
  <si>
    <t>G13058:1</t>
  </si>
  <si>
    <t>G13058:(Gal)1 (GlcNAc)2 (LFuc)1 (Man)3 (Asn)1</t>
  </si>
  <si>
    <t>G13073</t>
  </si>
  <si>
    <t>(Gal)1 (GlcNAc)2 (S)2</t>
  </si>
  <si>
    <t>G13073:1</t>
  </si>
  <si>
    <t>G13073:(Gal)1 (GlcNAc)2 (S)2</t>
  </si>
  <si>
    <t>G13074</t>
  </si>
  <si>
    <t>(Gal)1 (GlcNAc)2 (S)1</t>
  </si>
  <si>
    <t>G13074:1</t>
  </si>
  <si>
    <t>G13074:(Gal)1 (GlcNAc)2 (S)1</t>
  </si>
  <si>
    <t>No.</t>
  </si>
  <si>
    <t>EC_number</t>
  </si>
  <si>
    <t>Enzyme mRNA</t>
  </si>
  <si>
    <t>Enzymes</t>
  </si>
  <si>
    <t>Enzyme Turnover (/s)</t>
  </si>
  <si>
    <t>Enzyme Km (mM)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</si>
  <si>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</si>
  <si>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</si>
  <si>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</si>
  <si>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</si>
  <si>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</si>
  <si>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</si>
  <si>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Transcription Equation</t>
  </si>
  <si>
    <t>Translation Equation</t>
  </si>
  <si>
    <t>Reactants (Addition)</t>
  </si>
  <si>
    <t>Reactants (Multiplication)</t>
  </si>
  <si>
    <t>Products (Addition)</t>
  </si>
  <si>
    <t>Products (Multiplication)</t>
  </si>
  <si>
    <t>Rate Law</t>
  </si>
  <si>
    <t>Equation</t>
  </si>
  <si>
    <t>C00204+C00001</t>
  </si>
  <si>
    <t>C00204*C00001</t>
  </si>
  <si>
    <t>C00063+C01187</t>
  </si>
  <si>
    <t>C00063*C01187</t>
  </si>
  <si>
    <t>C00013+C04121</t>
  </si>
  <si>
    <t>C00013*C04121</t>
  </si>
  <si>
    <t>C00002+C04932</t>
  </si>
  <si>
    <t>C00002*C04932</t>
  </si>
  <si>
    <t>C00008+C04919</t>
  </si>
  <si>
    <t>C00008*C04919</t>
  </si>
  <si>
    <t>C00002+C00046</t>
  </si>
  <si>
    <t>C00002*C00046</t>
  </si>
  <si>
    <t>C00013+C00046</t>
  </si>
  <si>
    <t>C00013*C00046</t>
  </si>
  <si>
    <t>C00002+C01300</t>
  </si>
  <si>
    <t>C00002*C01300</t>
  </si>
  <si>
    <t>C00020+C04807</t>
  </si>
  <si>
    <t>C00020*C04807</t>
  </si>
  <si>
    <t>C00235+C17324</t>
  </si>
  <si>
    <t>C00235*C17324</t>
  </si>
  <si>
    <t>C00013+C04432</t>
  </si>
  <si>
    <t>C00013*C04432</t>
  </si>
  <si>
    <t>C00002+C01281</t>
  </si>
  <si>
    <t>C00002*C01281</t>
  </si>
  <si>
    <t>C00013+C01299</t>
  </si>
  <si>
    <t>C00013*C01299</t>
  </si>
  <si>
    <t>C01299+C00009</t>
  </si>
  <si>
    <t>C01299*C00009</t>
  </si>
  <si>
    <t>C00008+C01281</t>
  </si>
  <si>
    <t>C00008*C01281</t>
  </si>
  <si>
    <t>C00677+C00343+C00001</t>
  </si>
  <si>
    <t>C00677*C00343*C00001</t>
  </si>
  <si>
    <t>C03802+C00342</t>
  </si>
  <si>
    <t>C03802*C00342</t>
  </si>
  <si>
    <t>C00131+C00343+C00001</t>
  </si>
  <si>
    <t>C00131*C00343*C00001</t>
  </si>
  <si>
    <t>C00002+C00342</t>
  </si>
  <si>
    <t>C00002*C00342</t>
  </si>
  <si>
    <t>C00286+C00343+C00001</t>
  </si>
  <si>
    <t>C00286*C00343*C00001</t>
  </si>
  <si>
    <t>C00044+C00342</t>
  </si>
  <si>
    <t>C00044*C00342</t>
  </si>
  <si>
    <t>C00458+C00343+C00001</t>
  </si>
  <si>
    <t>C00458*C00343*C00001</t>
  </si>
  <si>
    <t>C00063+C00342</t>
  </si>
  <si>
    <t>C00063*C00342</t>
  </si>
  <si>
    <t>C00460+C00343+C00001</t>
  </si>
  <si>
    <t>C00460*C00343*C00001</t>
  </si>
  <si>
    <t>C00075+C00342</t>
  </si>
  <si>
    <t>C00075*C00342</t>
  </si>
  <si>
    <t>C00002+C00097+C01639</t>
  </si>
  <si>
    <t>C00002*C00097*C01639</t>
  </si>
  <si>
    <t>C00020+C00013+C03125</t>
  </si>
  <si>
    <t>C00020*C00013*C03125</t>
  </si>
  <si>
    <t>C01102+C00001</t>
  </si>
  <si>
    <t>C01102*C00001</t>
  </si>
  <si>
    <t>C00188+C00009</t>
  </si>
  <si>
    <t>C00188*C00009</t>
  </si>
  <si>
    <t>C06055+C00001</t>
  </si>
  <si>
    <t>C06055*C00001</t>
  </si>
  <si>
    <t>C06056+C00009</t>
  </si>
  <si>
    <t>C06056*C00009</t>
  </si>
  <si>
    <t>C00002+C00263</t>
  </si>
  <si>
    <t>C00002*C00263</t>
  </si>
  <si>
    <t>C00008+C01102</t>
  </si>
  <si>
    <t>C00008*C01102</t>
  </si>
  <si>
    <t>C00263+C00003</t>
  </si>
  <si>
    <t>C00263*C00003</t>
  </si>
  <si>
    <t>C00441+C00004+C00080</t>
  </si>
  <si>
    <t>C00441*C00004*C00080</t>
  </si>
  <si>
    <t>C00263+C00006</t>
  </si>
  <si>
    <t>C00263*C00006</t>
  </si>
  <si>
    <t>C00441+C00005+C00080</t>
  </si>
  <si>
    <t>C00441*C00005*C00080</t>
  </si>
  <si>
    <t>C00002+C00049</t>
  </si>
  <si>
    <t>C00002*C00049</t>
  </si>
  <si>
    <t>C00008+C03082</t>
  </si>
  <si>
    <t>C00008*C03082</t>
  </si>
  <si>
    <t>C04421+C00001</t>
  </si>
  <si>
    <t>C04421*C00001</t>
  </si>
  <si>
    <t>C00042+C00666</t>
  </si>
  <si>
    <t>C00042*C00666</t>
  </si>
  <si>
    <t>C00002+C00065+C01650</t>
  </si>
  <si>
    <t>C00002*C00065*C01650</t>
  </si>
  <si>
    <t>C00020+C00013+C02553</t>
  </si>
  <si>
    <t>C00020*C00013*C02553</t>
  </si>
  <si>
    <t>C00002+C00065+C16636</t>
  </si>
  <si>
    <t>C00002*C00065*C16636</t>
  </si>
  <si>
    <t>C00020+C00013+C06481</t>
  </si>
  <si>
    <t>C00020*C00013*C06481</t>
  </si>
  <si>
    <t>C00019+C00240</t>
  </si>
  <si>
    <t>C00019*C00240</t>
  </si>
  <si>
    <t>C00021+C04153</t>
  </si>
  <si>
    <t>C00021*C04153</t>
  </si>
  <si>
    <t>C00002+C01050+C20925</t>
  </si>
  <si>
    <t>C00002*C01050*C20925</t>
  </si>
  <si>
    <t>C00008+C00009+C04877</t>
  </si>
  <si>
    <t>C00008*C00009*C04877</t>
  </si>
  <si>
    <t>C00342+C15498</t>
  </si>
  <si>
    <t>C00342*C15498</t>
  </si>
  <si>
    <t>C00343+C00001+C01335</t>
  </si>
  <si>
    <t>C00343*C00001*C01335</t>
  </si>
  <si>
    <t>C00269+C00093</t>
  </si>
  <si>
    <t>C00269*C00093</t>
  </si>
  <si>
    <t>C00055+C03892</t>
  </si>
  <si>
    <t>C00055*C03892</t>
  </si>
  <si>
    <t>C00002+C00475</t>
  </si>
  <si>
    <t>C00002*C00475</t>
  </si>
  <si>
    <t>C00008+C00055</t>
  </si>
  <si>
    <t>C00008*C00055</t>
  </si>
  <si>
    <t>C00002+C00299</t>
  </si>
  <si>
    <t>C00002*C00299</t>
  </si>
  <si>
    <t>C00008+C00105</t>
  </si>
  <si>
    <t>C00008*C00105</t>
  </si>
  <si>
    <t>C00044+C00475</t>
  </si>
  <si>
    <t>C00044*C00475</t>
  </si>
  <si>
    <t>C00035+C00055</t>
  </si>
  <si>
    <t>C00035*C00055</t>
  </si>
  <si>
    <t>C00044+C00299</t>
  </si>
  <si>
    <t>C00044*C00299</t>
  </si>
  <si>
    <t>C00035+C00105</t>
  </si>
  <si>
    <t>C00035*C00105</t>
  </si>
  <si>
    <t>C16633+C00002</t>
  </si>
  <si>
    <t>C16633*C00002</t>
  </si>
  <si>
    <t>C16634+C00008</t>
  </si>
  <si>
    <t>C16634*C00008</t>
  </si>
  <si>
    <t>C00458+C00001</t>
  </si>
  <si>
    <t>C00458*C00001</t>
  </si>
  <si>
    <t>C00460+C00014</t>
  </si>
  <si>
    <t>C00460*C00014</t>
  </si>
  <si>
    <t>C00677+C00039</t>
  </si>
  <si>
    <t>C00677*C00039</t>
  </si>
  <si>
    <t>C00013+C00039</t>
  </si>
  <si>
    <t>C00013*C00039</t>
  </si>
  <si>
    <t>C00131+C00039</t>
  </si>
  <si>
    <t>C00131*C00039</t>
  </si>
  <si>
    <t>C00286+C00039</t>
  </si>
  <si>
    <t>C00286*C00039</t>
  </si>
  <si>
    <t>C00458+C00039</t>
  </si>
  <si>
    <t>C00458*C00039</t>
  </si>
  <si>
    <t>C00459+C00039</t>
  </si>
  <si>
    <t>C00459*C00039</t>
  </si>
  <si>
    <t>C00357+C00001</t>
  </si>
  <si>
    <t>C00357*C00001</t>
  </si>
  <si>
    <t>C00352+C00033</t>
  </si>
  <si>
    <t>C00352*C00033</t>
  </si>
  <si>
    <t>C00352+C00001</t>
  </si>
  <si>
    <t>C00352*C00001</t>
  </si>
  <si>
    <t>C00085+C00014</t>
  </si>
  <si>
    <t>C00085*C00014</t>
  </si>
  <si>
    <t>C00645+C00022</t>
  </si>
  <si>
    <t>C00645*C00022</t>
  </si>
  <si>
    <t>C01271+C00006</t>
  </si>
  <si>
    <t>C01271*C00006</t>
  </si>
  <si>
    <t>C00685+C00005+C00080</t>
  </si>
  <si>
    <t>C00685*C00005*C00080</t>
  </si>
  <si>
    <t>C04618+C00006</t>
  </si>
  <si>
    <t>C04618*C00006</t>
  </si>
  <si>
    <t>C05744+C00005+C00080</t>
  </si>
  <si>
    <t>C05744*C00005*C00080</t>
  </si>
  <si>
    <t>C04619+C00006</t>
  </si>
  <si>
    <t>C04619*C00006</t>
  </si>
  <si>
    <t>C05753+C00005</t>
  </si>
  <si>
    <t>C05753*C00005</t>
  </si>
  <si>
    <t>C04620+C00006</t>
  </si>
  <si>
    <t>C04620*C00006</t>
  </si>
  <si>
    <t>C05750+C00005+C00080</t>
  </si>
  <si>
    <t>C05750*C00005*C00080</t>
  </si>
  <si>
    <t>C04633+C00006</t>
  </si>
  <si>
    <t>C04633*C00006</t>
  </si>
  <si>
    <t>C05762+C00005+C00080</t>
  </si>
  <si>
    <t>C05762*C00005*C00080</t>
  </si>
  <si>
    <t>C04688+C00006</t>
  </si>
  <si>
    <t>C04688*C00006</t>
  </si>
  <si>
    <t>C05759+C00005+C00080</t>
  </si>
  <si>
    <t>C05759*C00005*C00080</t>
  </si>
  <si>
    <t>C05747+C00006</t>
  </si>
  <si>
    <t>C05747*C00006</t>
  </si>
  <si>
    <t>C05746+C00005+C00080</t>
  </si>
  <si>
    <t>C05746*C00005*C00080</t>
  </si>
  <si>
    <t>C05757+C00006</t>
  </si>
  <si>
    <t>C05757*C00006</t>
  </si>
  <si>
    <t>C05756+C00005+C00080</t>
  </si>
  <si>
    <t>C05756*C00005*C00080</t>
  </si>
  <si>
    <t>C16219+C00005+C00080</t>
  </si>
  <si>
    <t>C16219*C00005*C00080</t>
  </si>
  <si>
    <t>C16220+C00006</t>
  </si>
  <si>
    <t>C16220*C00006</t>
  </si>
  <si>
    <t>C20372+C00005+C00080</t>
  </si>
  <si>
    <t>C20372*C00005*C00080</t>
  </si>
  <si>
    <t>C20373+C00006</t>
  </si>
  <si>
    <t>C20373*C00006</t>
  </si>
  <si>
    <t>C20376+C00005+C00080</t>
  </si>
  <si>
    <t>C20376*C00005*C00080</t>
  </si>
  <si>
    <t>C20377+C00006</t>
  </si>
  <si>
    <t>C20377*C00006</t>
  </si>
  <si>
    <t>C00083+C00229</t>
  </si>
  <si>
    <t>C00083*C00229</t>
  </si>
  <si>
    <t>C00010+C01209</t>
  </si>
  <si>
    <t>C00010*C01209</t>
  </si>
  <si>
    <t>C00350+C00011</t>
  </si>
  <si>
    <t>C00350*C00011</t>
  </si>
  <si>
    <t>C00051+C00006</t>
  </si>
  <si>
    <t>C00051*C00006</t>
  </si>
  <si>
    <t>C00127+C00005+C00080</t>
  </si>
  <si>
    <t>C00127*C00005*C00080</t>
  </si>
  <si>
    <t>C00051+C00003</t>
  </si>
  <si>
    <t>C00051*C00003</t>
  </si>
  <si>
    <t>C00127+C00004+C00080</t>
  </si>
  <si>
    <t>C00127*C00004*C00080</t>
  </si>
  <si>
    <t>C00868+C15812+C00002</t>
  </si>
  <si>
    <t>C00868*C15812*C00002</t>
  </si>
  <si>
    <t>C17322+C15811+C00020+C00013</t>
  </si>
  <si>
    <t>C17322*C15811*C00020*C00013</t>
  </si>
  <si>
    <t>C00019+C05196+C05197</t>
  </si>
  <si>
    <t>C00019*C05196*C05197</t>
  </si>
  <si>
    <t>C05198+C00073+C05199+C05312</t>
  </si>
  <si>
    <t>C05198*C00073*C05199*C05312</t>
  </si>
  <si>
    <t>C00024+C00058</t>
  </si>
  <si>
    <t>C00024*C00058</t>
  </si>
  <si>
    <t>C00010+C00022</t>
  </si>
  <si>
    <t>C00010*C00022</t>
  </si>
  <si>
    <t>C00109+C00010</t>
  </si>
  <si>
    <t>C00109*C00010</t>
  </si>
  <si>
    <t>C00100+C00058</t>
  </si>
  <si>
    <t>C00100*C00058</t>
  </si>
  <si>
    <t>C00002+C00140</t>
  </si>
  <si>
    <t>C00002*C00140</t>
  </si>
  <si>
    <t>C00008+C00357</t>
  </si>
  <si>
    <t>C00008*C00357</t>
  </si>
  <si>
    <t>C01031+C00001</t>
  </si>
  <si>
    <t>C01031*C00001</t>
  </si>
  <si>
    <t>C00058+C00051</t>
  </si>
  <si>
    <t>C00058*C00051</t>
  </si>
  <si>
    <t>C00025+C00006+C00001</t>
  </si>
  <si>
    <t>C00025*C00006*C00001</t>
  </si>
  <si>
    <t>C00026+C00014+C00005+C00080</t>
  </si>
  <si>
    <t>C00026*C00014*C00005*C00080</t>
  </si>
  <si>
    <t>C05167+C00001+C00003</t>
  </si>
  <si>
    <t>C05167*C00001*C00003</t>
  </si>
  <si>
    <t>C00161+C00014+C00004+C00080</t>
  </si>
  <si>
    <t>C00161*C00014*C00004*C00080</t>
  </si>
  <si>
    <t>C05167+C00001+C00006</t>
  </si>
  <si>
    <t>C05167*C00001*C00006</t>
  </si>
  <si>
    <t>C00161+C00014+C00005+C00080</t>
  </si>
  <si>
    <t>C00161*C00014*C00005*C00080</t>
  </si>
  <si>
    <t>C00002+C02730+C00010</t>
  </si>
  <si>
    <t>C00002*C02730*C00010</t>
  </si>
  <si>
    <t>C00020+C00013+C03160</t>
  </si>
  <si>
    <t>C00020*C00013*C03160</t>
  </si>
  <si>
    <t>C00251+C00009</t>
  </si>
  <si>
    <t>C00251*C00009</t>
  </si>
  <si>
    <t>C05761+C06251</t>
  </si>
  <si>
    <t>C05761*C06251</t>
  </si>
  <si>
    <t>C06026+C00229</t>
  </si>
  <si>
    <t>C06026*C00229</t>
  </si>
  <si>
    <t>C05761+C20933</t>
  </si>
  <si>
    <t>C05761*C20933</t>
  </si>
  <si>
    <t>C21991+C00229</t>
  </si>
  <si>
    <t>C21991*C00229</t>
  </si>
  <si>
    <t>C00002+C01528+C00001</t>
  </si>
  <si>
    <t>C00002*C01528*C00001</t>
  </si>
  <si>
    <t>C00020+C05172+C00009</t>
  </si>
  <si>
    <t>C00020*C05172*C00009</t>
  </si>
  <si>
    <t>C00019+C01977</t>
  </si>
  <si>
    <t>C00019*C01977</t>
  </si>
  <si>
    <t>C00021+C04157</t>
  </si>
  <si>
    <t>C00021*C04157</t>
  </si>
  <si>
    <t>C00002+C00493</t>
  </si>
  <si>
    <t>C00002*C00493</t>
  </si>
  <si>
    <t>C00008+C03175</t>
  </si>
  <si>
    <t>C00008*C03175</t>
  </si>
  <si>
    <t>C00944+C00009</t>
  </si>
  <si>
    <t>C00944*C00009</t>
  </si>
  <si>
    <t>C00019+C00821</t>
  </si>
  <si>
    <t>C00019*C00821</t>
  </si>
  <si>
    <t>C00021+C03391</t>
  </si>
  <si>
    <t>C00021*C03391</t>
  </si>
  <si>
    <t>C00044+C00001</t>
  </si>
  <si>
    <t>C00044*C00001</t>
  </si>
  <si>
    <t>C00058+C01304+C00009</t>
  </si>
  <si>
    <t>C00058*C01304*C00009</t>
  </si>
  <si>
    <t>C00002+C00120+C04735</t>
  </si>
  <si>
    <t>C00002*C00120*C04735</t>
  </si>
  <si>
    <t>C00020+C00013+C04681</t>
  </si>
  <si>
    <t>C00020*C00013*C04681</t>
  </si>
  <si>
    <t>C00002+C00120</t>
  </si>
  <si>
    <t>C00002*C00120</t>
  </si>
  <si>
    <t>C00013+C05921</t>
  </si>
  <si>
    <t>C00013*C05921</t>
  </si>
  <si>
    <t>C05921+C06249</t>
  </si>
  <si>
    <t>C05921*C06249</t>
  </si>
  <si>
    <t>C00020+C06250</t>
  </si>
  <si>
    <t>C00020*C06250</t>
  </si>
  <si>
    <t>C00130+C00003+C00001</t>
  </si>
  <si>
    <t>C00130*C00003*C00001</t>
  </si>
  <si>
    <t>C00655+C00004+C00080</t>
  </si>
  <si>
    <t>C00655*C00004*C00080</t>
  </si>
  <si>
    <t>C04646+C00003+C00001</t>
  </si>
  <si>
    <t>C04646*C00003*C00001</t>
  </si>
  <si>
    <t>C16618+C00004+C00080</t>
  </si>
  <si>
    <t>C16618*C00004*C00080</t>
  </si>
  <si>
    <t>C00025+C00014</t>
  </si>
  <si>
    <t>C00025*C00014</t>
  </si>
  <si>
    <t>C00002+C00655+C00014</t>
  </si>
  <si>
    <t>C00002*C00655*C00014</t>
  </si>
  <si>
    <t>C00020+C00013+C00144</t>
  </si>
  <si>
    <t>C00020*C00013*C00144</t>
  </si>
  <si>
    <t>C00002+C00655+C00064+C00001</t>
  </si>
  <si>
    <t>C00002*C00655*C00064*C00001</t>
  </si>
  <si>
    <t>C00020+C00013+C00144+C00025</t>
  </si>
  <si>
    <t>C00020*C00013*C00144*C00025</t>
  </si>
  <si>
    <t>C16618+C00002+C00064+C00001</t>
  </si>
  <si>
    <t>C16618*C00002*C00064*C00001</t>
  </si>
  <si>
    <t>C16619+C00020+C00013+C00025</t>
  </si>
  <si>
    <t>C16619*C00020*C00013*C00025</t>
  </si>
  <si>
    <t>C00046+C00009</t>
  </si>
  <si>
    <t>C00046*C00009</t>
  </si>
  <si>
    <t>C00046+C00454</t>
  </si>
  <si>
    <t>C00046*C00454</t>
  </si>
  <si>
    <t>C00046+C00008</t>
  </si>
  <si>
    <t>C00046*C00008</t>
  </si>
  <si>
    <t>C00046+C00015</t>
  </si>
  <si>
    <t>C00046*C00015</t>
  </si>
  <si>
    <t>C00046+C00035</t>
  </si>
  <si>
    <t>C00046*C00035</t>
  </si>
  <si>
    <t>C00046+C00112</t>
  </si>
  <si>
    <t>C00046*C00112</t>
  </si>
  <si>
    <t>C11215+C07292</t>
  </si>
  <si>
    <t>C11215*C07292</t>
  </si>
  <si>
    <t>C06697+C07293</t>
  </si>
  <si>
    <t>C06697*C07293</t>
  </si>
  <si>
    <t>C01977+C16675</t>
  </si>
  <si>
    <t>C01977*C16675</t>
  </si>
  <si>
    <t>C20446+C00242</t>
  </si>
  <si>
    <t>C20446*C00242</t>
  </si>
  <si>
    <t>C00019+C20446</t>
  </si>
  <si>
    <t>C00019*C20446</t>
  </si>
  <si>
    <t>C00073+C00147+C19647</t>
  </si>
  <si>
    <t>C00073*C00147*C19647</t>
  </si>
  <si>
    <t>C00441+C00022</t>
  </si>
  <si>
    <t>C00441*C00022</t>
  </si>
  <si>
    <t>C20258+C00001</t>
  </si>
  <si>
    <t>C20258*C00001</t>
  </si>
  <si>
    <t>C06024+C00002</t>
  </si>
  <si>
    <t>C06024*C00002</t>
  </si>
  <si>
    <t>C19877+C00008</t>
  </si>
  <si>
    <t>C19877*C00008</t>
  </si>
  <si>
    <t>C00266+C01300</t>
  </si>
  <si>
    <t>C00266*C01300</t>
  </si>
  <si>
    <t>C00093+C00040</t>
  </si>
  <si>
    <t>C00093*C00040</t>
  </si>
  <si>
    <t>C00681+C00010</t>
  </si>
  <si>
    <t>C00681*C00010</t>
  </si>
  <si>
    <t>C00605+C00093</t>
  </si>
  <si>
    <t>C00605*C00093</t>
  </si>
  <si>
    <t>C00010+C00681</t>
  </si>
  <si>
    <t>C00010*C00681</t>
  </si>
  <si>
    <t>C00173+C00093</t>
  </si>
  <si>
    <t>C00173*C00093</t>
  </si>
  <si>
    <t>C00681+C00229</t>
  </si>
  <si>
    <t>C00681*C00229</t>
  </si>
  <si>
    <t>C01050+C00006</t>
  </si>
  <si>
    <t>C01050*C00006</t>
  </si>
  <si>
    <t>C04631+C00005+C00080</t>
  </si>
  <si>
    <t>C04631*C00005*C00080</t>
  </si>
  <si>
    <t>C01050+C00003</t>
  </si>
  <si>
    <t>C01050*C00003</t>
  </si>
  <si>
    <t>C04631+C00004+C00080</t>
  </si>
  <si>
    <t>C04631*C00004*C00080</t>
  </si>
  <si>
    <t>C01103+C00013</t>
  </si>
  <si>
    <t>C01103*C00013</t>
  </si>
  <si>
    <t>C00295+C00119</t>
  </si>
  <si>
    <t>C00295*C00119</t>
  </si>
  <si>
    <t>C07649+C00119</t>
  </si>
  <si>
    <t>C07649*C00119</t>
  </si>
  <si>
    <t>C16634+C00013</t>
  </si>
  <si>
    <t>C16634*C00013</t>
  </si>
  <si>
    <t>C01641+C00025+C00002</t>
  </si>
  <si>
    <t>C01641*C00025*C00002</t>
  </si>
  <si>
    <t>C02987+C00013+C00020</t>
  </si>
  <si>
    <t>C02987*C00013*C00020</t>
  </si>
  <si>
    <t>C00299+C00009</t>
  </si>
  <si>
    <t>C00299*C00009</t>
  </si>
  <si>
    <t>C00106+C00620</t>
  </si>
  <si>
    <t>C00106*C00620</t>
  </si>
  <si>
    <t>C00526+C00009</t>
  </si>
  <si>
    <t>C00526*C00009</t>
  </si>
  <si>
    <t>C00106+C00672</t>
  </si>
  <si>
    <t>C00106*C00672</t>
  </si>
  <si>
    <t>C07649+C00620</t>
  </si>
  <si>
    <t>C07649*C00620</t>
  </si>
  <si>
    <t>C16633+C00009</t>
  </si>
  <si>
    <t>C16633*C00009</t>
  </si>
  <si>
    <t>C05817+C00022</t>
  </si>
  <si>
    <t>C05817*C00022</t>
  </si>
  <si>
    <t>C00885+C00026</t>
  </si>
  <si>
    <t>C00885*C00026</t>
  </si>
  <si>
    <t>C16519+C00011</t>
  </si>
  <si>
    <t>C16519*C00011</t>
  </si>
  <si>
    <t>C00022+C00014</t>
  </si>
  <si>
    <t>C00022*C00014</t>
  </si>
  <si>
    <t>C02218+C00001</t>
  </si>
  <si>
    <t>C02218*C00001</t>
  </si>
  <si>
    <t>C20904+C00001</t>
  </si>
  <si>
    <t>C20904*C00001</t>
  </si>
  <si>
    <t>C00161+C00014</t>
  </si>
  <si>
    <t>C00161*C00014</t>
  </si>
  <si>
    <t>C02999+C00001</t>
  </si>
  <si>
    <t>C02999*C00001</t>
  </si>
  <si>
    <t>C02713+C00041</t>
  </si>
  <si>
    <t>C02713*C00041</t>
  </si>
  <si>
    <t>C00148+C00003</t>
  </si>
  <si>
    <t>C00148*C00003</t>
  </si>
  <si>
    <t>C03912+C00004+C00080</t>
  </si>
  <si>
    <t>C03912*C00004*C00080</t>
  </si>
  <si>
    <t>C00148+C00006</t>
  </si>
  <si>
    <t>C00148*C00006</t>
  </si>
  <si>
    <t>C03912+C00005+C00080</t>
  </si>
  <si>
    <t>C03912*C00005*C00080</t>
  </si>
  <si>
    <t>C01157+C00003</t>
  </si>
  <si>
    <t>C01157*C00003</t>
  </si>
  <si>
    <t>C04281+C00004+C00080</t>
  </si>
  <si>
    <t>C04281*C00004*C00080</t>
  </si>
  <si>
    <t>C01157+C00006</t>
  </si>
  <si>
    <t>C01157*C00006</t>
  </si>
  <si>
    <t>C04281+C00005+C00080</t>
  </si>
  <si>
    <t>C04281*C00005*C00080</t>
  </si>
  <si>
    <t>C01638+C00049+C00002</t>
  </si>
  <si>
    <t>C01638*C00049*C00002</t>
  </si>
  <si>
    <t>C02984+C00013+C00020</t>
  </si>
  <si>
    <t>C02984*C00013*C00020</t>
  </si>
  <si>
    <t>C00051+C00546</t>
  </si>
  <si>
    <t>C00051*C00546</t>
  </si>
  <si>
    <t>C00002+C00044</t>
  </si>
  <si>
    <t>C00002*C00044</t>
  </si>
  <si>
    <t>C00020+C04494</t>
  </si>
  <si>
    <t>C00020*C04494</t>
  </si>
  <si>
    <t>C00002+C05924</t>
  </si>
  <si>
    <t>C00002*C05924</t>
  </si>
  <si>
    <t>C00013+C19848</t>
  </si>
  <si>
    <t>C00013*C19848</t>
  </si>
  <si>
    <t>C00021+C04160</t>
  </si>
  <si>
    <t>C00021*C04160</t>
  </si>
  <si>
    <t>C00002+C00020</t>
  </si>
  <si>
    <t>C00002*C00020</t>
  </si>
  <si>
    <t>C00002+C00360</t>
  </si>
  <si>
    <t>C00002*C00360</t>
  </si>
  <si>
    <t>C00008+C00206</t>
  </si>
  <si>
    <t>C00008*C00206</t>
  </si>
  <si>
    <t>C00068+C00008</t>
  </si>
  <si>
    <t>C00068*C00008</t>
  </si>
  <si>
    <t>C03028+C00020</t>
  </si>
  <si>
    <t>C03028*C00020</t>
  </si>
  <si>
    <t>C11453+C00138</t>
  </si>
  <si>
    <t>C11453*C00138</t>
  </si>
  <si>
    <t>C11811+C00001+C00139</t>
  </si>
  <si>
    <t>C11811*C00001*C00139</t>
  </si>
  <si>
    <t>C00002+C00135+C01643</t>
  </si>
  <si>
    <t>C00002*C00135*C01643</t>
  </si>
  <si>
    <t>C00020+C00013+C02988</t>
  </si>
  <si>
    <t>C00020*C00013*C02988</t>
  </si>
  <si>
    <t>C15811+C00097</t>
  </si>
  <si>
    <t>C15811*C00097</t>
  </si>
  <si>
    <t>C15812+C00041</t>
  </si>
  <si>
    <t>C15812*C00041</t>
  </si>
  <si>
    <t>C00097+C02743</t>
  </si>
  <si>
    <t>C00097*C02743</t>
  </si>
  <si>
    <t>C00041+C21440</t>
  </si>
  <si>
    <t>C00041*C21440</t>
  </si>
  <si>
    <t>C15812+C02743</t>
  </si>
  <si>
    <t>C15812*C02743</t>
  </si>
  <si>
    <t>C15811+C21440</t>
  </si>
  <si>
    <t>C15811*C21440</t>
  </si>
  <si>
    <t>C20641+C17324</t>
  </si>
  <si>
    <t>C20641*C17324</t>
  </si>
  <si>
    <t>C00020+C20751</t>
  </si>
  <si>
    <t>C00020*C20751</t>
  </si>
  <si>
    <t>C00002+C00638+C00010</t>
  </si>
  <si>
    <t>C00002*C00638*C00010</t>
  </si>
  <si>
    <t>C00020+C00013+C02843</t>
  </si>
  <si>
    <t>C00020*C00013*C02843</t>
  </si>
  <si>
    <t>C03880+C00001</t>
  </si>
  <si>
    <t>C03880*C00001</t>
  </si>
  <si>
    <t>C03523+C00066</t>
  </si>
  <si>
    <t>C03523*C00066</t>
  </si>
  <si>
    <t>C00301+C00001</t>
  </si>
  <si>
    <t>C00301*C00001</t>
  </si>
  <si>
    <t>C00020+C00117</t>
  </si>
  <si>
    <t>C00020*C00117</t>
  </si>
  <si>
    <t>C00575+C00001</t>
  </si>
  <si>
    <t>C00575*C00001</t>
  </si>
  <si>
    <t>C19722+C00047+C00002</t>
  </si>
  <si>
    <t>C19722*C00047*C00002</t>
  </si>
  <si>
    <t>C19723+C00020+C00013+C00001</t>
  </si>
  <si>
    <t>C19723*C00020*C00013*C00001</t>
  </si>
  <si>
    <t>C00002+C04294</t>
  </si>
  <si>
    <t>C00002*C04294</t>
  </si>
  <si>
    <t>C00008+C04327</t>
  </si>
  <si>
    <t>C00008*C04327</t>
  </si>
  <si>
    <t>C00002+C01279</t>
  </si>
  <si>
    <t>C00002*C01279</t>
  </si>
  <si>
    <t>C00008+C04556</t>
  </si>
  <si>
    <t>C00008*C04556</t>
  </si>
  <si>
    <t>C00002+C04556</t>
  </si>
  <si>
    <t>C00002*C04556</t>
  </si>
  <si>
    <t>C00008+C04752</t>
  </si>
  <si>
    <t>C00008*C04752</t>
  </si>
  <si>
    <t>C00269+C00065</t>
  </si>
  <si>
    <t>C00269*C00065</t>
  </si>
  <si>
    <t>C00055+C02737</t>
  </si>
  <si>
    <t>C00055*C02737</t>
  </si>
  <si>
    <t>C00064+C00085</t>
  </si>
  <si>
    <t>C00064*C00085</t>
  </si>
  <si>
    <t>C00025+C00352</t>
  </si>
  <si>
    <t>C00025*C00352</t>
  </si>
  <si>
    <t>C00003+C00001</t>
  </si>
  <si>
    <t>C00003*C00001</t>
  </si>
  <si>
    <t>C00020+C00455</t>
  </si>
  <si>
    <t>C00020*C00455</t>
  </si>
  <si>
    <t>C00004+C00001</t>
  </si>
  <si>
    <t>C00004*C00001</t>
  </si>
  <si>
    <t>C00020+C21113</t>
  </si>
  <si>
    <t>C00020*C21113</t>
  </si>
  <si>
    <t>C00857+C00001</t>
  </si>
  <si>
    <t>C00857*C00001</t>
  </si>
  <si>
    <t>C00020+C01185</t>
  </si>
  <si>
    <t>C00020*C01185</t>
  </si>
  <si>
    <t>C00002+C01094</t>
  </si>
  <si>
    <t>C00002*C01094</t>
  </si>
  <si>
    <t>C00008+C00354</t>
  </si>
  <si>
    <t>C00008*C00354</t>
  </si>
  <si>
    <t>C00008+C05378</t>
  </si>
  <si>
    <t>C00008*C05378</t>
  </si>
  <si>
    <t>C01097+C00002</t>
  </si>
  <si>
    <t>C01097*C00002</t>
  </si>
  <si>
    <t>C03785+C00008</t>
  </si>
  <si>
    <t>C03785*C00008</t>
  </si>
  <si>
    <t>C00002+C00364</t>
  </si>
  <si>
    <t>C00002*C00364</t>
  </si>
  <si>
    <t>C00008+C00363</t>
  </si>
  <si>
    <t>C00008*C00363</t>
  </si>
  <si>
    <t>C00002+C00365</t>
  </si>
  <si>
    <t>C00002*C00365</t>
  </si>
  <si>
    <t>C00008+C01346</t>
  </si>
  <si>
    <t>C00008*C01346</t>
  </si>
  <si>
    <t>C00105+C00013</t>
  </si>
  <si>
    <t>C00105*C00013</t>
  </si>
  <si>
    <t>C00106+C00119</t>
  </si>
  <si>
    <t>C00106*C00119</t>
  </si>
  <si>
    <t>C00201+C00001</t>
  </si>
  <si>
    <t>C00201*C00001</t>
  </si>
  <si>
    <t>C00215+C00013</t>
  </si>
  <si>
    <t>C00215*C00013</t>
  </si>
  <si>
    <t>C00002+C00001</t>
  </si>
  <si>
    <t>C00002*C00001</t>
  </si>
  <si>
    <t>C00020+C00013</t>
  </si>
  <si>
    <t>C00020*C00013</t>
  </si>
  <si>
    <t>C00144+C00013</t>
  </si>
  <si>
    <t>C00144*C00013</t>
  </si>
  <si>
    <t>C00063+C00001</t>
  </si>
  <si>
    <t>C00063*C00001</t>
  </si>
  <si>
    <t>C00055+C00013</t>
  </si>
  <si>
    <t>C00055*C00013</t>
  </si>
  <si>
    <t>C00075+C00001</t>
  </si>
  <si>
    <t>C00075*C00001</t>
  </si>
  <si>
    <t>C00459+C00001</t>
  </si>
  <si>
    <t>C00459*C00001</t>
  </si>
  <si>
    <t>C00364+C00013</t>
  </si>
  <si>
    <t>C00364*C00013</t>
  </si>
  <si>
    <t>C00016+C00001</t>
  </si>
  <si>
    <t>C00016*C00001</t>
  </si>
  <si>
    <t>C00020+C00061</t>
  </si>
  <si>
    <t>C00020*C00061</t>
  </si>
  <si>
    <t>C00029+C00001</t>
  </si>
  <si>
    <t>C00029*C00001</t>
  </si>
  <si>
    <t>C00105+C00103</t>
  </si>
  <si>
    <t>C00105*C00103</t>
  </si>
  <si>
    <t>C00882+C00001</t>
  </si>
  <si>
    <t>C00882*C00001</t>
  </si>
  <si>
    <t>C01134+C00020</t>
  </si>
  <si>
    <t>C01134*C00020</t>
  </si>
  <si>
    <t>C00197+C00003</t>
  </si>
  <si>
    <t>C00197*C00003</t>
  </si>
  <si>
    <t>C03232+C00004+C00080</t>
  </si>
  <si>
    <t>C03232*C00004*C00080</t>
  </si>
  <si>
    <t>C02630+C00003</t>
  </si>
  <si>
    <t>C02630*C00003</t>
  </si>
  <si>
    <t>C00026+C00004+C00080</t>
  </si>
  <si>
    <t>C00026*C00004*C00080</t>
  </si>
  <si>
    <t>C02739+C00013</t>
  </si>
  <si>
    <t>C02739*C00013</t>
  </si>
  <si>
    <t>C00002+C00119</t>
  </si>
  <si>
    <t>C00002*C00119</t>
  </si>
  <si>
    <t>C00860+C00003+C00001</t>
  </si>
  <si>
    <t>C00860*C00003*C00001</t>
  </si>
  <si>
    <t>C00135+C00004+C00080</t>
  </si>
  <si>
    <t>C00135*C00004*C00080</t>
  </si>
  <si>
    <t>C01929+C00001+C00003</t>
  </si>
  <si>
    <t>C01929*C00001*C00003</t>
  </si>
  <si>
    <t>C00860+C00003</t>
  </si>
  <si>
    <t>C00860*C00003</t>
  </si>
  <si>
    <t>C01929+C00004+C00080</t>
  </si>
  <si>
    <t>C01929*C00004*C00080</t>
  </si>
  <si>
    <t>C01100+C00026</t>
  </si>
  <si>
    <t>C01100*C00026</t>
  </si>
  <si>
    <t>C01267+C00025</t>
  </si>
  <si>
    <t>C01267*C00025</t>
  </si>
  <si>
    <t>C00079+C00026</t>
  </si>
  <si>
    <t>C00079*C00026</t>
  </si>
  <si>
    <t>C00166+C00025</t>
  </si>
  <si>
    <t>C00166*C00025</t>
  </si>
  <si>
    <t>C00082+C00026</t>
  </si>
  <si>
    <t>C00082*C00026</t>
  </si>
  <si>
    <t>C01179+C00025</t>
  </si>
  <si>
    <t>C01179*C00025</t>
  </si>
  <si>
    <t>C01100+C00001</t>
  </si>
  <si>
    <t>C01100*C00001</t>
  </si>
  <si>
    <t>C00860+C00009</t>
  </si>
  <si>
    <t>C00860*C00009</t>
  </si>
  <si>
    <t>C01267+C00001</t>
  </si>
  <si>
    <t>C01267*C00001</t>
  </si>
  <si>
    <t>C00064+C00001</t>
  </si>
  <si>
    <t>C00064*C00001</t>
  </si>
  <si>
    <t>C04916+C00064</t>
  </si>
  <si>
    <t>C04916*C00064</t>
  </si>
  <si>
    <t>C04666+C04677+C00025</t>
  </si>
  <si>
    <t>C04666*C04677*C00025</t>
  </si>
  <si>
    <t>C04916+C00014</t>
  </si>
  <si>
    <t>C04916*C00014</t>
  </si>
  <si>
    <t>C04677+C04666+C00001</t>
  </si>
  <si>
    <t>C04677*C04666*C00001</t>
  </si>
  <si>
    <t>C02741+C00001</t>
  </si>
  <si>
    <t>C02741*C00001</t>
  </si>
  <si>
    <t>C02739+C00001</t>
  </si>
  <si>
    <t>C02739*C00001</t>
  </si>
  <si>
    <t>C02741+C00013</t>
  </si>
  <si>
    <t>C02741*C00013</t>
  </si>
  <si>
    <t>C11838+C00155</t>
  </si>
  <si>
    <t>C11838*C00155</t>
  </si>
  <si>
    <t>C01153+C00001</t>
  </si>
  <si>
    <t>C01153*C00001</t>
  </si>
  <si>
    <t>C00069+C00009</t>
  </si>
  <si>
    <t>C00069*C00009</t>
  </si>
  <si>
    <t>C00061+C00001</t>
  </si>
  <si>
    <t>C00061*C00001</t>
  </si>
  <si>
    <t>C00255+C00009</t>
  </si>
  <si>
    <t>C00255*C00009</t>
  </si>
  <si>
    <t>C01081+C00001</t>
  </si>
  <si>
    <t>C01081*C00001</t>
  </si>
  <si>
    <t>C00378+C00009</t>
  </si>
  <si>
    <t>C00378*C00009</t>
  </si>
  <si>
    <t>C03360+C00001</t>
  </si>
  <si>
    <t>C03360*C00001</t>
  </si>
  <si>
    <t>C00870+C00009</t>
  </si>
  <si>
    <t>C00870*C00009</t>
  </si>
  <si>
    <t>C00681+C00001</t>
  </si>
  <si>
    <t>C00681*C00001</t>
  </si>
  <si>
    <t>C01885+C00009</t>
  </si>
  <si>
    <t>C01885*C00009</t>
  </si>
  <si>
    <t>C00111+C00001</t>
  </si>
  <si>
    <t>C00111*C00001</t>
  </si>
  <si>
    <t>C00184+C00009</t>
  </si>
  <si>
    <t>C00184*C00009</t>
  </si>
  <si>
    <t>C00002+C00121</t>
  </si>
  <si>
    <t>C00002*C00121</t>
  </si>
  <si>
    <t>C00008+C00117</t>
  </si>
  <si>
    <t>C00008*C00117</t>
  </si>
  <si>
    <t>C00673+C00008</t>
  </si>
  <si>
    <t>C00673*C00008</t>
  </si>
  <si>
    <t>C01801+C00002</t>
  </si>
  <si>
    <t>C01801*C00002</t>
  </si>
  <si>
    <t>C00201+C00046</t>
  </si>
  <si>
    <t>C00201*C00046</t>
  </si>
  <si>
    <t>C00044+C00046</t>
  </si>
  <si>
    <t>C00044*C00046</t>
  </si>
  <si>
    <t>C00063+C00046</t>
  </si>
  <si>
    <t>C00063*C00046</t>
  </si>
  <si>
    <t>C00075+C00046</t>
  </si>
  <si>
    <t>C00075*C00046</t>
  </si>
  <si>
    <t>C20864+C00013</t>
  </si>
  <si>
    <t>C20864*C00013</t>
  </si>
  <si>
    <t>C15586+C00009</t>
  </si>
  <si>
    <t>C15586*C00009</t>
  </si>
  <si>
    <t>C15587+C00620</t>
  </si>
  <si>
    <t>C15587*C00620</t>
  </si>
  <si>
    <t>C00212+C00009</t>
  </si>
  <si>
    <t>C00212*C00009</t>
  </si>
  <si>
    <t>C00147+C00620</t>
  </si>
  <si>
    <t>C00147*C00620</t>
  </si>
  <si>
    <t>C00294+C00009</t>
  </si>
  <si>
    <t>C00294*C00009</t>
  </si>
  <si>
    <t>C00262+C00620</t>
  </si>
  <si>
    <t>C00262*C00620</t>
  </si>
  <si>
    <t>C00387+C00009</t>
  </si>
  <si>
    <t>C00387*C00009</t>
  </si>
  <si>
    <t>C00242+C00620</t>
  </si>
  <si>
    <t>C00242*C00620</t>
  </si>
  <si>
    <t>C01762+C00009</t>
  </si>
  <si>
    <t>C01762*C00009</t>
  </si>
  <si>
    <t>C00385+C00620</t>
  </si>
  <si>
    <t>C00385*C00620</t>
  </si>
  <si>
    <t>C20463+C00009</t>
  </si>
  <si>
    <t>C20463*C00009</t>
  </si>
  <si>
    <t>C15587+C00672</t>
  </si>
  <si>
    <t>C15587*C00672</t>
  </si>
  <si>
    <t>C00330+C00009</t>
  </si>
  <si>
    <t>C00330*C00009</t>
  </si>
  <si>
    <t>C00242+C00672</t>
  </si>
  <si>
    <t>C00242*C00672</t>
  </si>
  <si>
    <t>C00559+C00009</t>
  </si>
  <si>
    <t>C00559*C00009</t>
  </si>
  <si>
    <t>C00147+C00672</t>
  </si>
  <si>
    <t>C00147*C00672</t>
  </si>
  <si>
    <t>C05512+C00009</t>
  </si>
  <si>
    <t>C05512*C00009</t>
  </si>
  <si>
    <t>C00262+C00672</t>
  </si>
  <si>
    <t>C00262*C00672</t>
  </si>
  <si>
    <t>C03150+C00009</t>
  </si>
  <si>
    <t>C03150*C00009</t>
  </si>
  <si>
    <t>C00153+C00620</t>
  </si>
  <si>
    <t>C00153*C00620</t>
  </si>
  <si>
    <t>C05841+C00009</t>
  </si>
  <si>
    <t>C05841*C00009</t>
  </si>
  <si>
    <t>C00253+C00620+C00080</t>
  </si>
  <si>
    <t>C00253*C00620*C00080</t>
  </si>
  <si>
    <t>C00111+C00118</t>
  </si>
  <si>
    <t>C00111*C00118</t>
  </si>
  <si>
    <t>C00111+C00279</t>
  </si>
  <si>
    <t>C00111*C00279</t>
  </si>
  <si>
    <t>C00111+C00577</t>
  </si>
  <si>
    <t>C00111*C00577</t>
  </si>
  <si>
    <t>C00002+C00197</t>
  </si>
  <si>
    <t>C00002*C00197</t>
  </si>
  <si>
    <t>C00008+C00236</t>
  </si>
  <si>
    <t>C00008*C00236</t>
  </si>
  <si>
    <t>C00002+C00214</t>
  </si>
  <si>
    <t>C00002*C00214</t>
  </si>
  <si>
    <t>C00008+C00364</t>
  </si>
  <si>
    <t>C00008*C00364</t>
  </si>
  <si>
    <t>C00002+C00526</t>
  </si>
  <si>
    <t>C00002*C00526</t>
  </si>
  <si>
    <t>C00008+C00365</t>
  </si>
  <si>
    <t>C00008*C00365</t>
  </si>
  <si>
    <t>C11736+C00002</t>
  </si>
  <si>
    <t>C11736*C00002</t>
  </si>
  <si>
    <t>C04242+C00008</t>
  </si>
  <si>
    <t>C04242*C00008</t>
  </si>
  <si>
    <t>C00122+C00014</t>
  </si>
  <si>
    <t>C00122*C00014</t>
  </si>
  <si>
    <t>C00014+C00288</t>
  </si>
  <si>
    <t>C00014*C00288</t>
  </si>
  <si>
    <t>C01563+C00001</t>
  </si>
  <si>
    <t>C01563*C00001</t>
  </si>
  <si>
    <t>C00086+C00001</t>
  </si>
  <si>
    <t>C00086*C00001</t>
  </si>
  <si>
    <t>C00288+C00014</t>
  </si>
  <si>
    <t>C00288*C00014</t>
  </si>
  <si>
    <t>C01563+C00014</t>
  </si>
  <si>
    <t>C01563*C00014</t>
  </si>
  <si>
    <t>C00011+C00014</t>
  </si>
  <si>
    <t>C00011*C00014</t>
  </si>
  <si>
    <t>C00241+C00001</t>
  </si>
  <si>
    <t>C00241*C00001</t>
  </si>
  <si>
    <t>C00060+C00014</t>
  </si>
  <si>
    <t>C00060*C00014</t>
  </si>
  <si>
    <t>C00019+C20648</t>
  </si>
  <si>
    <t>C00019*C20648</t>
  </si>
  <si>
    <t>C00021+C20796</t>
  </si>
  <si>
    <t>C00021*C20796</t>
  </si>
  <si>
    <t>C01260+C00001</t>
  </si>
  <si>
    <t>C01260*C00001</t>
  </si>
  <si>
    <t>C00345+C00006</t>
  </si>
  <si>
    <t>C00345*C00006</t>
  </si>
  <si>
    <t>C00199+C00011+C00005+C00080</t>
  </si>
  <si>
    <t>C00199*C00011*C00005*C00080</t>
  </si>
  <si>
    <t>C01236+C00001</t>
  </si>
  <si>
    <t>C01236*C00001</t>
  </si>
  <si>
    <t>C00054+C00001</t>
  </si>
  <si>
    <t>C00054*C00001</t>
  </si>
  <si>
    <t>C00020+C00009</t>
  </si>
  <si>
    <t>C00020*C00009</t>
  </si>
  <si>
    <t>C00053+C00001</t>
  </si>
  <si>
    <t>C00053*C00001</t>
  </si>
  <si>
    <t>C00224+C00009</t>
  </si>
  <si>
    <t>C00224*C00009</t>
  </si>
  <si>
    <t>C00002+C00049+C00014</t>
  </si>
  <si>
    <t>C00002*C00049*C00014</t>
  </si>
  <si>
    <t>C00020+C00013+C00152</t>
  </si>
  <si>
    <t>C00020*C00013*C00152</t>
  </si>
  <si>
    <t>C00988+C00001</t>
  </si>
  <si>
    <t>C00988*C00001</t>
  </si>
  <si>
    <t>C00160+C00009</t>
  </si>
  <si>
    <t>C00160*C00009</t>
  </si>
  <si>
    <t>C00002+C00864</t>
  </si>
  <si>
    <t>C00002*C00864</t>
  </si>
  <si>
    <t>C00008+C03492</t>
  </si>
  <si>
    <t>C00008*C03492</t>
  </si>
  <si>
    <t>C02430+C00234</t>
  </si>
  <si>
    <t>C02430*C00234</t>
  </si>
  <si>
    <t>C00101+C03294</t>
  </si>
  <si>
    <t>C00101*C03294</t>
  </si>
  <si>
    <t>C11439+C00001</t>
  </si>
  <si>
    <t>C11439*C00001</t>
  </si>
  <si>
    <t>C11440+C00058</t>
  </si>
  <si>
    <t>C11440*C00058</t>
  </si>
  <si>
    <t>C04258+C00001</t>
  </si>
  <si>
    <t>C04258*C00001</t>
  </si>
  <si>
    <t>C00058+C03617</t>
  </si>
  <si>
    <t>C00058*C03617</t>
  </si>
  <si>
    <t>C00169+C00077</t>
  </si>
  <si>
    <t>C00169*C00077</t>
  </si>
  <si>
    <t>C00009+C00327</t>
  </si>
  <si>
    <t>C00009*C00327</t>
  </si>
  <si>
    <t>C00002+C00014+C00288</t>
  </si>
  <si>
    <t>C00002*C00014*C00288</t>
  </si>
  <si>
    <t>C00008+C00169+C00001</t>
  </si>
  <si>
    <t>C00008*C00169*C00001</t>
  </si>
  <si>
    <t>C00002+C01563</t>
  </si>
  <si>
    <t>C00002*C01563</t>
  </si>
  <si>
    <t>C00008+C00169</t>
  </si>
  <si>
    <t>C00008*C00169</t>
  </si>
  <si>
    <t>C01240+C00001</t>
  </si>
  <si>
    <t>C01240*C00001</t>
  </si>
  <si>
    <t>C02353+C00001</t>
  </si>
  <si>
    <t>C02353*C00001</t>
  </si>
  <si>
    <t>C02355+C00001</t>
  </si>
  <si>
    <t>C02355*C00001</t>
  </si>
  <si>
    <t>C02354+C00001</t>
  </si>
  <si>
    <t>C02354*C00001</t>
  </si>
  <si>
    <t>C06194+C00001</t>
  </si>
  <si>
    <t>C06194*C00001</t>
  </si>
  <si>
    <t>C00002+C00078+C01652</t>
  </si>
  <si>
    <t>C00002*C00078*C01652</t>
  </si>
  <si>
    <t>C00020+C00013+C03512</t>
  </si>
  <si>
    <t>C00020*C00013*C03512</t>
  </si>
  <si>
    <t>C00122+C00020</t>
  </si>
  <si>
    <t>C00122*C00020</t>
  </si>
  <si>
    <t>C00122+C04677</t>
  </si>
  <si>
    <t>C00122*C04677</t>
  </si>
  <si>
    <t>C22441+C00122</t>
  </si>
  <si>
    <t>C22441*C00122</t>
  </si>
  <si>
    <t>C00565+C00125+C00001</t>
  </si>
  <si>
    <t>C00565*C00125*C00001</t>
  </si>
  <si>
    <t>C01104+C00126+C00080</t>
  </si>
  <si>
    <t>C01104*C00126*C00080</t>
  </si>
  <si>
    <t>C00441+C00009+C00006</t>
  </si>
  <si>
    <t>C00441*C00009*C00006</t>
  </si>
  <si>
    <t>C03082+C00005+C00080</t>
  </si>
  <si>
    <t>C03082*C00005*C00080</t>
  </si>
  <si>
    <t>C00002+C01134</t>
  </si>
  <si>
    <t>C00002*C01134</t>
  </si>
  <si>
    <t>C00013+C00882</t>
  </si>
  <si>
    <t>C00013*C00882</t>
  </si>
  <si>
    <t>C04919+C04121</t>
  </si>
  <si>
    <t>C04919*C04121</t>
  </si>
  <si>
    <t>C06024+C00055</t>
  </si>
  <si>
    <t>C06024*C00055</t>
  </si>
  <si>
    <t>C00493+C00006</t>
  </si>
  <si>
    <t>C00493*C00006</t>
  </si>
  <si>
    <t>C02637+C00005+C00080</t>
  </si>
  <si>
    <t>C02637*C00005*C00080</t>
  </si>
  <si>
    <t>C02637+C00006</t>
  </si>
  <si>
    <t>C02637*C00006</t>
  </si>
  <si>
    <t>C22438+C00005+C00080</t>
  </si>
  <si>
    <t>C22438*C00005*C00080</t>
  </si>
  <si>
    <t>C00354+C00001</t>
  </si>
  <si>
    <t>C00354*C00001</t>
  </si>
  <si>
    <t>C00085+C00009</t>
  </si>
  <si>
    <t>C00085*C00009</t>
  </si>
  <si>
    <t>C05378+C00001</t>
  </si>
  <si>
    <t>C05378*C00001</t>
  </si>
  <si>
    <t>C05345+C00009</t>
  </si>
  <si>
    <t>C05345*C00009</t>
  </si>
  <si>
    <t>C00447+C00001</t>
  </si>
  <si>
    <t>C00447*C00001</t>
  </si>
  <si>
    <t>C05382+C00009</t>
  </si>
  <si>
    <t>C05382*C00009</t>
  </si>
  <si>
    <t>C11453+C00055</t>
  </si>
  <si>
    <t>C11453*C00055</t>
  </si>
  <si>
    <t>C11434+C00063</t>
  </si>
  <si>
    <t>C11434*C00063</t>
  </si>
  <si>
    <t>C11435+C00013</t>
  </si>
  <si>
    <t>C11435*C00013</t>
  </si>
  <si>
    <t>C00655+C00013</t>
  </si>
  <si>
    <t>C00655*C00013</t>
  </si>
  <si>
    <t>C00385+C00119</t>
  </si>
  <si>
    <t>C00385*C00119</t>
  </si>
  <si>
    <t>C00242+C00119</t>
  </si>
  <si>
    <t>C00242*C00119</t>
  </si>
  <si>
    <t>C00320+C00177</t>
  </si>
  <si>
    <t>C00320*C00177</t>
  </si>
  <si>
    <t>C00094+C01755</t>
  </si>
  <si>
    <t>C00094*C01755</t>
  </si>
  <si>
    <t>C04272+C00006</t>
  </si>
  <si>
    <t>C04272*C00006</t>
  </si>
  <si>
    <t>C06010+C00005+C00080</t>
  </si>
  <si>
    <t>C06010*C00005*C00080</t>
  </si>
  <si>
    <t>C00900+C00005+C00080</t>
  </si>
  <si>
    <t>C00900*C00005*C00080</t>
  </si>
  <si>
    <t>C04039+C00006</t>
  </si>
  <si>
    <t>C04039*C00006</t>
  </si>
  <si>
    <t>C04181+C00005+C00080</t>
  </si>
  <si>
    <t>C04181*C00005*C00080</t>
  </si>
  <si>
    <t>C06007+C00006</t>
  </si>
  <si>
    <t>C06007*C00006</t>
  </si>
  <si>
    <t>C14463+C00005+C00080</t>
  </si>
  <si>
    <t>C14463*C00005*C00080</t>
  </si>
  <si>
    <t>C00093+C15602</t>
  </si>
  <si>
    <t>C00093*C15602</t>
  </si>
  <si>
    <t>C00111+C15603</t>
  </si>
  <si>
    <t>C00111*C15603</t>
  </si>
  <si>
    <t>C00093+C00399</t>
  </si>
  <si>
    <t>C00093*C00399</t>
  </si>
  <si>
    <t>C00111+C00390</t>
  </si>
  <si>
    <t>C00111*C00390</t>
  </si>
  <si>
    <t>C00093+C00016</t>
  </si>
  <si>
    <t>C00093*C00016</t>
  </si>
  <si>
    <t>C00111+C01352</t>
  </si>
  <si>
    <t>C00111*C01352</t>
  </si>
  <si>
    <t>C03120+C00001</t>
  </si>
  <si>
    <t>C03120*C00001</t>
  </si>
  <si>
    <t>C00069+C00093</t>
  </si>
  <si>
    <t>C00069*C00093</t>
  </si>
  <si>
    <t>C00670+C00001</t>
  </si>
  <si>
    <t>C00670*C00001</t>
  </si>
  <si>
    <t>C00114+C00093</t>
  </si>
  <si>
    <t>C00114*C00093</t>
  </si>
  <si>
    <t>C01233+C00001</t>
  </si>
  <si>
    <t>C01233*C00001</t>
  </si>
  <si>
    <t>C00189+C00093</t>
  </si>
  <si>
    <t>C00189*C00093</t>
  </si>
  <si>
    <t>C00002+C00116</t>
  </si>
  <si>
    <t>C00002*C00116</t>
  </si>
  <si>
    <t>C00008+C00093</t>
  </si>
  <si>
    <t>C00008*C00093</t>
  </si>
  <si>
    <t>C02508+C00001</t>
  </si>
  <si>
    <t>C02508*C00001</t>
  </si>
  <si>
    <t>C00911+C00009</t>
  </si>
  <si>
    <t>C00911*C00009</t>
  </si>
  <si>
    <t>C01367+C00001</t>
  </si>
  <si>
    <t>C01367*C00001</t>
  </si>
  <si>
    <t>C01368+C00001</t>
  </si>
  <si>
    <t>C01368*C00001</t>
  </si>
  <si>
    <t>C06193+C00001</t>
  </si>
  <si>
    <t>C06193*C00001</t>
  </si>
  <si>
    <t>C05822+C00001</t>
  </si>
  <si>
    <t>C05822*C00001</t>
  </si>
  <si>
    <t>C00475+C00009</t>
  </si>
  <si>
    <t>C00475*C00009</t>
  </si>
  <si>
    <t>C00078+C00001</t>
  </si>
  <si>
    <t>C00078*C00001</t>
  </si>
  <si>
    <t>C00463+C00022+C00014</t>
  </si>
  <si>
    <t>C00463*C00022*C00014</t>
  </si>
  <si>
    <t>C00463+C02218</t>
  </si>
  <si>
    <t>C00463*C02218</t>
  </si>
  <si>
    <t>C06481+C05172</t>
  </si>
  <si>
    <t>C06481*C05172</t>
  </si>
  <si>
    <t>C06482+C00009</t>
  </si>
  <si>
    <t>C06482*C00009</t>
  </si>
  <si>
    <t>C00575+C00013</t>
  </si>
  <si>
    <t>C00575*C00013</t>
  </si>
  <si>
    <t>C00942+C00013</t>
  </si>
  <si>
    <t>C00942*C00013</t>
  </si>
  <si>
    <t>C00093+C00003</t>
  </si>
  <si>
    <t>C00093*C00003</t>
  </si>
  <si>
    <t>C00111+C00004+C00080</t>
  </si>
  <si>
    <t>C00111*C00004*C00080</t>
  </si>
  <si>
    <t>C00093+C00006</t>
  </si>
  <si>
    <t>C00093*C00006</t>
  </si>
  <si>
    <t>C00111+C00005+C00080</t>
  </si>
  <si>
    <t>C00111*C00005*C00080</t>
  </si>
  <si>
    <t>C00065+C00024</t>
  </si>
  <si>
    <t>C00065*C00024</t>
  </si>
  <si>
    <t>C00979+C00010</t>
  </si>
  <si>
    <t>C00979*C00010</t>
  </si>
  <si>
    <t>C00143+C00006</t>
  </si>
  <si>
    <t>C00143*C00006</t>
  </si>
  <si>
    <t>C00445+C00005</t>
  </si>
  <si>
    <t>C00445*C00005</t>
  </si>
  <si>
    <t>C00445+C00001</t>
  </si>
  <si>
    <t>C00445*C00001</t>
  </si>
  <si>
    <t>C00234+C00080</t>
  </si>
  <si>
    <t>C00234*C00080</t>
  </si>
  <si>
    <t>C00111+C00424</t>
  </si>
  <si>
    <t>C00111*C00424</t>
  </si>
  <si>
    <t>C00111+C00266</t>
  </si>
  <si>
    <t>C00111*C00266</t>
  </si>
  <si>
    <t>C00002+C01721</t>
  </si>
  <si>
    <t>C00002*C01721</t>
  </si>
  <si>
    <t>C00008+C01099</t>
  </si>
  <si>
    <t>C00008*C01099</t>
  </si>
  <si>
    <t>C00002+C00309</t>
  </si>
  <si>
    <t>C00002*C00309</t>
  </si>
  <si>
    <t>C00008+C22337</t>
  </si>
  <si>
    <t>C00008*C22337</t>
  </si>
  <si>
    <t>C11472+C00001</t>
  </si>
  <si>
    <t>C11472*C00001</t>
  </si>
  <si>
    <t>C07838+C00009</t>
  </si>
  <si>
    <t>C07838*C00009</t>
  </si>
  <si>
    <t>C00047+C00011</t>
  </si>
  <si>
    <t>C00047*C00011</t>
  </si>
  <si>
    <t>C00002+C00148+C01649</t>
  </si>
  <si>
    <t>C00002*C00148*C01649</t>
  </si>
  <si>
    <t>C00020+C00013+C02702</t>
  </si>
  <si>
    <t>C00020*C00013*C02702</t>
  </si>
  <si>
    <t>C00416+C00010</t>
  </si>
  <si>
    <t>C00416*C00010</t>
  </si>
  <si>
    <t>C00681+C00040</t>
  </si>
  <si>
    <t>C00681*C00040</t>
  </si>
  <si>
    <t>C00605+C00681</t>
  </si>
  <si>
    <t>C00605*C00681</t>
  </si>
  <si>
    <t>C00010+C00416</t>
  </si>
  <si>
    <t>C00010*C00416</t>
  </si>
  <si>
    <t>C00173+C00681</t>
  </si>
  <si>
    <t>C00173*C00681</t>
  </si>
  <si>
    <t>C00229+C00416</t>
  </si>
  <si>
    <t>C00229*C00416</t>
  </si>
  <si>
    <t>C04652+C00001</t>
  </si>
  <si>
    <t>C04652*C00001</t>
  </si>
  <si>
    <t>C00105+C04824</t>
  </si>
  <si>
    <t>C00105*C04824</t>
  </si>
  <si>
    <t>C00141+C00001</t>
  </si>
  <si>
    <t>C00141*C00001</t>
  </si>
  <si>
    <t>C00671+C00001</t>
  </si>
  <si>
    <t>C00671*C00001</t>
  </si>
  <si>
    <t>C00109+C00014</t>
  </si>
  <si>
    <t>C00109*C00014</t>
  </si>
  <si>
    <t>C20905+C00001</t>
  </si>
  <si>
    <t>C20905*C00001</t>
  </si>
  <si>
    <t>C00002+C04376+C00064+C00001</t>
  </si>
  <si>
    <t>C00002*C04376*C00064*C00001</t>
  </si>
  <si>
    <t>C00008+C00009+C04640+C00025</t>
  </si>
  <si>
    <t>C00008*C00009*C04640*C00025</t>
  </si>
  <si>
    <t>C01159+C00615</t>
  </si>
  <si>
    <t>C01159*C00615</t>
  </si>
  <si>
    <t>C00197+C04262</t>
  </si>
  <si>
    <t>C00197*C04262</t>
  </si>
  <si>
    <t>C00002+C03150</t>
  </si>
  <si>
    <t>C00002*C03150</t>
  </si>
  <si>
    <t>C00008+C00455</t>
  </si>
  <si>
    <t>C00008*C00455</t>
  </si>
  <si>
    <t>C00002+C00455</t>
  </si>
  <si>
    <t>C00002*C00455</t>
  </si>
  <si>
    <t>C00013+C00003</t>
  </si>
  <si>
    <t>C00013*C00003</t>
  </si>
  <si>
    <t>C00002+C01185</t>
  </si>
  <si>
    <t>C00002*C01185</t>
  </si>
  <si>
    <t>C00013+C00857</t>
  </si>
  <si>
    <t>C00013*C00857</t>
  </si>
  <si>
    <t>C15556+C00058</t>
  </si>
  <si>
    <t>C15556*C00058</t>
  </si>
  <si>
    <t>C11434+C00006</t>
  </si>
  <si>
    <t>C11434*C00006</t>
  </si>
  <si>
    <t>C11437+C00005+C00080</t>
  </si>
  <si>
    <t>C11437*C00005*C00080</t>
  </si>
  <si>
    <t>C00002+C00036</t>
  </si>
  <si>
    <t>C00002*C00036</t>
  </si>
  <si>
    <t>C00008+C00074+C00011</t>
  </si>
  <si>
    <t>C00008*C00074*C00011</t>
  </si>
  <si>
    <t>C00122+C00062</t>
  </si>
  <si>
    <t>C00122*C00062</t>
  </si>
  <si>
    <t>C00075+C00103</t>
  </si>
  <si>
    <t>C00075*C00103</t>
  </si>
  <si>
    <t>C00013+C00029</t>
  </si>
  <si>
    <t>C00013*C00029</t>
  </si>
  <si>
    <t>C00002+C00041+C01635</t>
  </si>
  <si>
    <t>C00002*C00041*C01635</t>
  </si>
  <si>
    <t>C00020+C00013+C00886</t>
  </si>
  <si>
    <t>C00020*C00013*C00886</t>
  </si>
  <si>
    <t>C00002+C00984</t>
  </si>
  <si>
    <t>C00002*C00984</t>
  </si>
  <si>
    <t>C00008+C00446</t>
  </si>
  <si>
    <t>C00008*C00446</t>
  </si>
  <si>
    <t>C00040+C00001</t>
  </si>
  <si>
    <t>C00040*C00001</t>
  </si>
  <si>
    <t>C00010+C00060</t>
  </si>
  <si>
    <t>C00010*C00060</t>
  </si>
  <si>
    <t>C18237+C00044</t>
  </si>
  <si>
    <t>C18237*C00044</t>
  </si>
  <si>
    <t>C19871+C00013</t>
  </si>
  <si>
    <t>C19871*C00013</t>
  </si>
  <si>
    <t>C00019+C01764</t>
  </si>
  <si>
    <t>C00019*C01764</t>
  </si>
  <si>
    <t>C00021+C03446</t>
  </si>
  <si>
    <t>C00021*C03446</t>
  </si>
  <si>
    <t>C00032+C03024+C00007</t>
  </si>
  <si>
    <t>C00032*C03024*C00007</t>
  </si>
  <si>
    <t>C00500+C00237+C14818+C03161+C00001</t>
  </si>
  <si>
    <t>C00500*C00237*C14818*C03161*C00001</t>
  </si>
  <si>
    <t>C00002+C03479+C00080</t>
  </si>
  <si>
    <t>C00002*C03479*C00080</t>
  </si>
  <si>
    <t>C00008+C00009+C00445</t>
  </si>
  <si>
    <t>C00008*C00009*C00445</t>
  </si>
  <si>
    <t>C00647+C00001+C00007</t>
  </si>
  <si>
    <t>C00647*C00001*C00007</t>
  </si>
  <si>
    <t>C00018+C00014+C00027</t>
  </si>
  <si>
    <t>C00018*C00014*C00027</t>
  </si>
  <si>
    <t>C00627+C00007</t>
  </si>
  <si>
    <t>C00627*C00007</t>
  </si>
  <si>
    <t>C00027+C00018</t>
  </si>
  <si>
    <t>C00027*C00018</t>
  </si>
  <si>
    <t>C00534+C00001+C00007</t>
  </si>
  <si>
    <t>C00534*C00001*C00007</t>
  </si>
  <si>
    <t>C00250+C00014+C00027</t>
  </si>
  <si>
    <t>C00250*C00014*C00027</t>
  </si>
  <si>
    <t>C00314+C00007</t>
  </si>
  <si>
    <t>C00314*C00007</t>
  </si>
  <si>
    <t>C00250+C00027</t>
  </si>
  <si>
    <t>C00250*C00027</t>
  </si>
  <si>
    <t>C00002+C00025+C00014</t>
  </si>
  <si>
    <t>C00002*C00025*C00014</t>
  </si>
  <si>
    <t>C00008+C00009+C00064</t>
  </si>
  <si>
    <t>C00008*C00009*C00064</t>
  </si>
  <si>
    <t>C11907+C00001</t>
  </si>
  <si>
    <t>C11907*C00001</t>
  </si>
  <si>
    <t>C01419+C00001</t>
  </si>
  <si>
    <t>C01419*C00001</t>
  </si>
  <si>
    <t>C00097+C00037</t>
  </si>
  <si>
    <t>C00097*C00037</t>
  </si>
  <si>
    <t>C05729+C00001</t>
  </si>
  <si>
    <t>C05729*C00001</t>
  </si>
  <si>
    <t>C05726+C00037</t>
  </si>
  <si>
    <t>C05726*C00037</t>
  </si>
  <si>
    <t>C00002+C00454</t>
  </si>
  <si>
    <t>C00002*C00454</t>
  </si>
  <si>
    <t>C00008+C00201</t>
  </si>
  <si>
    <t>C00008*C00201</t>
  </si>
  <si>
    <t>C00002+C00008</t>
  </si>
  <si>
    <t>C00002*C00008</t>
  </si>
  <si>
    <t>C00008+C00002</t>
  </si>
  <si>
    <t>C00008*C00002</t>
  </si>
  <si>
    <t>C11038+C00002</t>
  </si>
  <si>
    <t>C11038*C00002</t>
  </si>
  <si>
    <t>C11039+C00008</t>
  </si>
  <si>
    <t>C11039*C00008</t>
  </si>
  <si>
    <t>C00002+C00015</t>
  </si>
  <si>
    <t>C00002*C00015</t>
  </si>
  <si>
    <t>C00008+C00075</t>
  </si>
  <si>
    <t>C00008*C00075</t>
  </si>
  <si>
    <t>C00002+C00035</t>
  </si>
  <si>
    <t>C00002*C00035</t>
  </si>
  <si>
    <t>C00008+C00044</t>
  </si>
  <si>
    <t>C00008*C00044</t>
  </si>
  <si>
    <t>C00002+C00112</t>
  </si>
  <si>
    <t>C00002*C00112</t>
  </si>
  <si>
    <t>C00008+C00063</t>
  </si>
  <si>
    <t>C00008*C00063</t>
  </si>
  <si>
    <t>C00002+C00104</t>
  </si>
  <si>
    <t>C00002*C00104</t>
  </si>
  <si>
    <t>C00008+C00081</t>
  </si>
  <si>
    <t>C00008*C00081</t>
  </si>
  <si>
    <t>C00002+C00206</t>
  </si>
  <si>
    <t>C00002*C00206</t>
  </si>
  <si>
    <t>C00008+C00131</t>
  </si>
  <si>
    <t>C00008*C00131</t>
  </si>
  <si>
    <t>C00002+C00361</t>
  </si>
  <si>
    <t>C00002*C00361</t>
  </si>
  <si>
    <t>C00008+C00286</t>
  </si>
  <si>
    <t>C00008*C00286</t>
  </si>
  <si>
    <t>C00002+C00363</t>
  </si>
  <si>
    <t>C00002*C00363</t>
  </si>
  <si>
    <t>C00008+C00459</t>
  </si>
  <si>
    <t>C00008*C00459</t>
  </si>
  <si>
    <t>C00002+C00705</t>
  </si>
  <si>
    <t>C00002*C00705</t>
  </si>
  <si>
    <t>C00008+C00458</t>
  </si>
  <si>
    <t>C00008*C00458</t>
  </si>
  <si>
    <t>C00002+C01346</t>
  </si>
  <si>
    <t>C00002*C01346</t>
  </si>
  <si>
    <t>C00008+C00460</t>
  </si>
  <si>
    <t>C00008*C00460</t>
  </si>
  <si>
    <t>C00002+C01344</t>
  </si>
  <si>
    <t>C00002*C01344</t>
  </si>
  <si>
    <t>C00008+C01345</t>
  </si>
  <si>
    <t>C00008*C01345</t>
  </si>
  <si>
    <t>C22442+C00002</t>
  </si>
  <si>
    <t>C22442*C00002</t>
  </si>
  <si>
    <t>C22443+C00008</t>
  </si>
  <si>
    <t>C22443*C00008</t>
  </si>
  <si>
    <t>C00002+C21748</t>
  </si>
  <si>
    <t>C00002*C21748</t>
  </si>
  <si>
    <t>C00008+C21749</t>
  </si>
  <si>
    <t>C00008*C21749</t>
  </si>
  <si>
    <t>C00002+C21750</t>
  </si>
  <si>
    <t>C00002*C21750</t>
  </si>
  <si>
    <t>C00008+C21751</t>
  </si>
  <si>
    <t>C00008*C21751</t>
  </si>
  <si>
    <t>C00448+C00129</t>
  </si>
  <si>
    <t>C00448*C00129</t>
  </si>
  <si>
    <t>C04146+C00013</t>
  </si>
  <si>
    <t>C04146*C00013</t>
  </si>
  <si>
    <t>C00234+C04677</t>
  </si>
  <si>
    <t>C00234*C04677</t>
  </si>
  <si>
    <t>C00101+C04734</t>
  </si>
  <si>
    <t>C00101*C04734</t>
  </si>
  <si>
    <t>C00130+C00001</t>
  </si>
  <si>
    <t>C00130*C00001</t>
  </si>
  <si>
    <t>C00002+C00882</t>
  </si>
  <si>
    <t>C00002*C00882</t>
  </si>
  <si>
    <t>C00008+C00010</t>
  </si>
  <si>
    <t>C00008*C00010</t>
  </si>
  <si>
    <t>C00002+C00025</t>
  </si>
  <si>
    <t>C00002*C00025</t>
  </si>
  <si>
    <t>C00008+C03287</t>
  </si>
  <si>
    <t>C00008*C03287</t>
  </si>
  <si>
    <t>C00365+C00143</t>
  </si>
  <si>
    <t>C00365*C00143</t>
  </si>
  <si>
    <t>C00415+C00364</t>
  </si>
  <si>
    <t>C00415*C00364</t>
  </si>
  <si>
    <t>C01271+C22409</t>
  </si>
  <si>
    <t>C01271*C22409</t>
  </si>
  <si>
    <t>C22410+C00229</t>
  </si>
  <si>
    <t>C22410*C00229</t>
  </si>
  <si>
    <t>C06022+C04688</t>
  </si>
  <si>
    <t>C06022*C04688</t>
  </si>
  <si>
    <t>C04652+C00229</t>
  </si>
  <si>
    <t>C04652*C00229</t>
  </si>
  <si>
    <t>C00063+C00416</t>
  </si>
  <si>
    <t>C00063*C00416</t>
  </si>
  <si>
    <t>C00013+C00269</t>
  </si>
  <si>
    <t>C00013*C00269</t>
  </si>
  <si>
    <t>C04574+C00013</t>
  </si>
  <si>
    <t>C04574*C00013</t>
  </si>
  <si>
    <t>C00002+C00123+C01645</t>
  </si>
  <si>
    <t>C00002*C00123*C01645</t>
  </si>
  <si>
    <t>C00020+C00013+C02047</t>
  </si>
  <si>
    <t>C00020*C00013*C02047</t>
  </si>
  <si>
    <t>C00002+C00037+C01642</t>
  </si>
  <si>
    <t>C00002*C00037*C01642</t>
  </si>
  <si>
    <t>C00020+C00013+C02412</t>
  </si>
  <si>
    <t>C00020*C00013*C02412</t>
  </si>
  <si>
    <t>C00074+C00001</t>
  </si>
  <si>
    <t>C00074*C00001</t>
  </si>
  <si>
    <t>C04309+C00001</t>
  </si>
  <si>
    <t>C04309*C00001</t>
  </si>
  <si>
    <t>C15585+C00001</t>
  </si>
  <si>
    <t>C15585*C00001</t>
  </si>
  <si>
    <t>C00137+C00009</t>
  </si>
  <si>
    <t>C00137*C00009</t>
  </si>
  <si>
    <t>C01177+C00001</t>
  </si>
  <si>
    <t>C01177*C00001</t>
  </si>
  <si>
    <t>C03546+C00001</t>
  </si>
  <si>
    <t>C03546*C00001</t>
  </si>
  <si>
    <t>C04006+C00001</t>
  </si>
  <si>
    <t>C04006*C00001</t>
  </si>
  <si>
    <t>C00986+C00011</t>
  </si>
  <si>
    <t>C00986*C00011</t>
  </si>
  <si>
    <t>C00025+C00441</t>
  </si>
  <si>
    <t>C00025*C00441</t>
  </si>
  <si>
    <t>C00026+C03283</t>
  </si>
  <si>
    <t>C00026*C03283</t>
  </si>
  <si>
    <t>C01134+C00011</t>
  </si>
  <si>
    <t>C01134*C00011</t>
  </si>
  <si>
    <t>C00063+C03492+C00097</t>
  </si>
  <si>
    <t>C00063*C03492*C00097</t>
  </si>
  <si>
    <t>C00055+C00013+C04352</t>
  </si>
  <si>
    <t>C00055*C00013*C04352</t>
  </si>
  <si>
    <t>C00460+C00001</t>
  </si>
  <si>
    <t>C00460*C00001</t>
  </si>
  <si>
    <t>C00365+C00013</t>
  </si>
  <si>
    <t>C00365*C00013</t>
  </si>
  <si>
    <t>C21751+C00001</t>
  </si>
  <si>
    <t>C21751*C00001</t>
  </si>
  <si>
    <t>C04242+C00013</t>
  </si>
  <si>
    <t>C04242*C00013</t>
  </si>
  <si>
    <t>C01674+C00001</t>
  </si>
  <si>
    <t>C01674*C00001</t>
  </si>
  <si>
    <t>C06135+C00001</t>
  </si>
  <si>
    <t>C06135*C00001</t>
  </si>
  <si>
    <t>C01290+C01132</t>
  </si>
  <si>
    <t>C01290*C01132</t>
  </si>
  <si>
    <t>C04737+C01132</t>
  </si>
  <si>
    <t>C04737*C01132</t>
  </si>
  <si>
    <t>C03272+C00001</t>
  </si>
  <si>
    <t>C03272*C00001</t>
  </si>
  <si>
    <t>C04884+C00001</t>
  </si>
  <si>
    <t>C04884*C00001</t>
  </si>
  <si>
    <t>C04730+C01132</t>
  </si>
  <si>
    <t>C04730*C01132</t>
  </si>
  <si>
    <t>C00001+G00094</t>
  </si>
  <si>
    <t>C00001*G00094</t>
  </si>
  <si>
    <t>C01132+G00093</t>
  </si>
  <si>
    <t>C01132*G00093</t>
  </si>
  <si>
    <t>G00123+C00001</t>
  </si>
  <si>
    <t>G00123*C00001</t>
  </si>
  <si>
    <t>G00092+C01132</t>
  </si>
  <si>
    <t>G00092*C01132</t>
  </si>
  <si>
    <t>G00109+C00001</t>
  </si>
  <si>
    <t>G00109*C00001</t>
  </si>
  <si>
    <t>G00108+C01132</t>
  </si>
  <si>
    <t>G00108*C01132</t>
  </si>
  <si>
    <t>G10336+C00001</t>
  </si>
  <si>
    <t>G10336*C00001</t>
  </si>
  <si>
    <t>G13074+C00001</t>
  </si>
  <si>
    <t>G13074*C00001</t>
  </si>
  <si>
    <t>G01391+C00140</t>
  </si>
  <si>
    <t>G01391*C00140</t>
  </si>
  <si>
    <t>G13073+C00001</t>
  </si>
  <si>
    <t>G13073*C00001</t>
  </si>
  <si>
    <t>G01391+C04132</t>
  </si>
  <si>
    <t>G01391*C04132</t>
  </si>
  <si>
    <t>G13057+C00001</t>
  </si>
  <si>
    <t>G13057*C00001</t>
  </si>
  <si>
    <t>C00140+G13058</t>
  </si>
  <si>
    <t>C00140*G13058</t>
  </si>
  <si>
    <t>G00711+C00001</t>
  </si>
  <si>
    <t>G00711*C00001</t>
  </si>
  <si>
    <t>G10008+C00140</t>
  </si>
  <si>
    <t>G10008*C00140</t>
  </si>
  <si>
    <t>G13056+C00001</t>
  </si>
  <si>
    <t>G13056*C00001</t>
  </si>
  <si>
    <t>C00140+G10665</t>
  </si>
  <si>
    <t>C00140*G10665</t>
  </si>
  <si>
    <t>G05477+C00001</t>
  </si>
  <si>
    <t>G05477*C00001</t>
  </si>
  <si>
    <t>G10920+C00140</t>
  </si>
  <si>
    <t>G10920*C00140</t>
  </si>
  <si>
    <t>C22467+C00001</t>
  </si>
  <si>
    <t>C22467*C00001</t>
  </si>
  <si>
    <t>C03405+C01132</t>
  </si>
  <si>
    <t>C03405*C01132</t>
  </si>
  <si>
    <t>C00002+C00407+C01644</t>
  </si>
  <si>
    <t>C00002*C00407*C01644</t>
  </si>
  <si>
    <t>C00020+C00013+C03127</t>
  </si>
  <si>
    <t>C00020*C00013*C03127</t>
  </si>
  <si>
    <t>C00002+C00255</t>
  </si>
  <si>
    <t>C00002*C00255</t>
  </si>
  <si>
    <t>C00008+C00061</t>
  </si>
  <si>
    <t>C00008*C00061</t>
  </si>
  <si>
    <t>C00002+C00061</t>
  </si>
  <si>
    <t>C00002*C00061</t>
  </si>
  <si>
    <t>C00013+C00016</t>
  </si>
  <si>
    <t>C00013*C00016</t>
  </si>
  <si>
    <t>C03657+C00010</t>
  </si>
  <si>
    <t>C03657*C00010</t>
  </si>
  <si>
    <t>C15547+C00001</t>
  </si>
  <si>
    <t>C15547*C00001</t>
  </si>
  <si>
    <t>C02730+C00001</t>
  </si>
  <si>
    <t>C02730*C00001</t>
  </si>
  <si>
    <t>C02637+C00001</t>
  </si>
  <si>
    <t>C02637*C00001</t>
  </si>
  <si>
    <t>C00002+C00024+C00288</t>
  </si>
  <si>
    <t>C00002*C00024*C00288</t>
  </si>
  <si>
    <t>C00008+C00009+C00083</t>
  </si>
  <si>
    <t>C00008*C00009*C00083</t>
  </si>
  <si>
    <t>C00002+C06250+C00288</t>
  </si>
  <si>
    <t>C00002*C06250*C00288</t>
  </si>
  <si>
    <t>C00008+C00009+C04419</t>
  </si>
  <si>
    <t>C00008*C00009*C04419</t>
  </si>
  <si>
    <t>C00002+C05345</t>
  </si>
  <si>
    <t>C00002*C05345</t>
  </si>
  <si>
    <t>C00002+C00085</t>
  </si>
  <si>
    <t>C00002*C00085</t>
  </si>
  <si>
    <t>C00063+C00085</t>
  </si>
  <si>
    <t>C00063*C00085</t>
  </si>
  <si>
    <t>C00112+C00354</t>
  </si>
  <si>
    <t>C00112*C00354</t>
  </si>
  <si>
    <t>C00075+C00085</t>
  </si>
  <si>
    <t>C00075*C00085</t>
  </si>
  <si>
    <t>C00015+C00354</t>
  </si>
  <si>
    <t>C00015*C00354</t>
  </si>
  <si>
    <t>C00081+C00085</t>
  </si>
  <si>
    <t>C00081*C00085</t>
  </si>
  <si>
    <t>C00104+C00354</t>
  </si>
  <si>
    <t>C00104*C00354</t>
  </si>
  <si>
    <t>C00002+C05382</t>
  </si>
  <si>
    <t>C00002*C05382</t>
  </si>
  <si>
    <t>C00008+C00447</t>
  </si>
  <si>
    <t>C00008*C00447</t>
  </si>
  <si>
    <t>C00063+C01097</t>
  </si>
  <si>
    <t>C00063*C01097</t>
  </si>
  <si>
    <t>C00112+C03785</t>
  </si>
  <si>
    <t>C00112*C03785</t>
  </si>
  <si>
    <t>C00075+C01097</t>
  </si>
  <si>
    <t>C00075*C01097</t>
  </si>
  <si>
    <t>C00015+C03785</t>
  </si>
  <si>
    <t>C00015*C03785</t>
  </si>
  <si>
    <t>C00081+C01097</t>
  </si>
  <si>
    <t>C00081*C01097</t>
  </si>
  <si>
    <t>C00104+C03785</t>
  </si>
  <si>
    <t>C00104*C03785</t>
  </si>
  <si>
    <t>C02504+C00010</t>
  </si>
  <si>
    <t>C02504*C00010</t>
  </si>
  <si>
    <t>C00024+C00141+C00001</t>
  </si>
  <si>
    <t>C00024*C00141*C00001</t>
  </si>
  <si>
    <t>C00233+C00011</t>
  </si>
  <si>
    <t>C00233*C00011</t>
  </si>
  <si>
    <t>C04411+C00003</t>
  </si>
  <si>
    <t>C04411*C00003</t>
  </si>
  <si>
    <t>C04236+C00004+C00080</t>
  </si>
  <si>
    <t>C04236*C00004*C00080</t>
  </si>
  <si>
    <t>C00233+C00011+C00004+C00080</t>
  </si>
  <si>
    <t>C00233*C00011*C00004*C00080</t>
  </si>
  <si>
    <t>C00109+C00011+C00004+C00080</t>
  </si>
  <si>
    <t>C00109*C00011*C00004*C00080</t>
  </si>
  <si>
    <t>C06032+C00003</t>
  </si>
  <si>
    <t>C06032*C00003</t>
  </si>
  <si>
    <t>C02631+C00001</t>
  </si>
  <si>
    <t>C02631*C00001</t>
  </si>
  <si>
    <t>C11811+C00138+C00080</t>
  </si>
  <si>
    <t>C11811*C00138*C00080</t>
  </si>
  <si>
    <t>C00129+C00139+C00001</t>
  </si>
  <si>
    <t>C00129*C00139*C00001</t>
  </si>
  <si>
    <t>C00235+C00139+C00001</t>
  </si>
  <si>
    <t>C00235*C00139*C00001</t>
  </si>
  <si>
    <t>C01909+C17023+C00019+C05359+C00080</t>
  </si>
  <si>
    <t>C01909*C17023*C00019*C05359*C00080</t>
  </si>
  <si>
    <t>C00120+C00073+C05198</t>
  </si>
  <si>
    <t>C00120*C00073*C05198</t>
  </si>
  <si>
    <t>C05382+C00118</t>
  </si>
  <si>
    <t>C05382*C00118</t>
  </si>
  <si>
    <t>C00117+C00231</t>
  </si>
  <si>
    <t>C00117*C00231</t>
  </si>
  <si>
    <t>C00085+C00118</t>
  </si>
  <si>
    <t>C00085*C00118</t>
  </si>
  <si>
    <t>C00279+C00231</t>
  </si>
  <si>
    <t>C00279*C00231</t>
  </si>
  <si>
    <t>C05345+C00118</t>
  </si>
  <si>
    <t>C05345*C00118</t>
  </si>
  <si>
    <t>C12214+C00117</t>
  </si>
  <si>
    <t>C12214*C00117</t>
  </si>
  <si>
    <t>C12215+C05382</t>
  </si>
  <si>
    <t>C12215*C05382</t>
  </si>
  <si>
    <t>C00231+C00068</t>
  </si>
  <si>
    <t>C00231*C00068</t>
  </si>
  <si>
    <t>C13378+C00118</t>
  </si>
  <si>
    <t>C13378*C00118</t>
  </si>
  <si>
    <t>C05382+C00068</t>
  </si>
  <si>
    <t>C05382*C00068</t>
  </si>
  <si>
    <t>C13378+C00117</t>
  </si>
  <si>
    <t>C13378*C00117</t>
  </si>
  <si>
    <t>C01005+C00001</t>
  </si>
  <si>
    <t>C01005*C00001</t>
  </si>
  <si>
    <t>C00065+C00009</t>
  </si>
  <si>
    <t>C00065*C00009</t>
  </si>
  <si>
    <t>C02532+C00001</t>
  </si>
  <si>
    <t>C02532*C00001</t>
  </si>
  <si>
    <t>C00740+C00009</t>
  </si>
  <si>
    <t>C00740*C00009</t>
  </si>
  <si>
    <t>C00580+C00828+C00001</t>
  </si>
  <si>
    <t>C00580*C00828*C00001</t>
  </si>
  <si>
    <t>C11143+C05819</t>
  </si>
  <si>
    <t>C11143*C05819</t>
  </si>
  <si>
    <t>C04652+C04824</t>
  </si>
  <si>
    <t>C04652*C04824</t>
  </si>
  <si>
    <t>C00015+C04932</t>
  </si>
  <si>
    <t>C00015*C04932</t>
  </si>
  <si>
    <t>C01271+C00043</t>
  </si>
  <si>
    <t>C01271*C00043</t>
  </si>
  <si>
    <t>C00229+C22418</t>
  </si>
  <si>
    <t>C00229*C22418</t>
  </si>
  <si>
    <t>C04688+C00043</t>
  </si>
  <si>
    <t>C04688*C00043</t>
  </si>
  <si>
    <t>C00229+C04738</t>
  </si>
  <si>
    <t>C00229*C04738</t>
  </si>
  <si>
    <t>C00693+C00001</t>
  </si>
  <si>
    <t>C00693*C00001</t>
  </si>
  <si>
    <t>C04246+C00001</t>
  </si>
  <si>
    <t>C04246*C00001</t>
  </si>
  <si>
    <t>C05754+C00001</t>
  </si>
  <si>
    <t>C05754*C00001</t>
  </si>
  <si>
    <t>C05751+C00001</t>
  </si>
  <si>
    <t>C05751*C00001</t>
  </si>
  <si>
    <t>C05763+C00001</t>
  </si>
  <si>
    <t>C05763*C00001</t>
  </si>
  <si>
    <t>C05760+C00001</t>
  </si>
  <si>
    <t>C05760*C00001</t>
  </si>
  <si>
    <t>C05748+C00001</t>
  </si>
  <si>
    <t>C05748*C00001</t>
  </si>
  <si>
    <t>C05758+C00001</t>
  </si>
  <si>
    <t>C05758*C00001</t>
  </si>
  <si>
    <t>C20374+C00001</t>
  </si>
  <si>
    <t>C20374*C00001</t>
  </si>
  <si>
    <t>C20378+C00001</t>
  </si>
  <si>
    <t>C20378*C00001</t>
  </si>
  <si>
    <t>C00002+C00105</t>
  </si>
  <si>
    <t>C00002*C00105</t>
  </si>
  <si>
    <t>C00008+C00015</t>
  </si>
  <si>
    <t>C00008*C00015</t>
  </si>
  <si>
    <t>C00014+C00001+C00125</t>
  </si>
  <si>
    <t>C00014*C00001*C00125</t>
  </si>
  <si>
    <t>C00088+C00126+C00080</t>
  </si>
  <si>
    <t>C00088*C00126*C00080</t>
  </si>
  <si>
    <t>C00002+C00075</t>
  </si>
  <si>
    <t>C00002*C00075</t>
  </si>
  <si>
    <t>C00008+C00009+C00063</t>
  </si>
  <si>
    <t>C00008*C00009*C00063</t>
  </si>
  <si>
    <t>C00002+C00075+C00064+C00001</t>
  </si>
  <si>
    <t>C00002*C00075*C00064*C00001</t>
  </si>
  <si>
    <t>C00008+C00009+C00063+C00025</t>
  </si>
  <si>
    <t>C00008*C00009*C00063*C00025</t>
  </si>
  <si>
    <t>C00074+C00043</t>
  </si>
  <si>
    <t>C00074*C00043</t>
  </si>
  <si>
    <t>C04631+C00009</t>
  </si>
  <si>
    <t>C04631*C00009</t>
  </si>
  <si>
    <t>C00704+C00080</t>
  </si>
  <si>
    <t>C00704*C00080</t>
  </si>
  <si>
    <t>C00027+C00007</t>
  </si>
  <si>
    <t>C00027*C00007</t>
  </si>
  <si>
    <t>C00003+C00039+C02128</t>
  </si>
  <si>
    <t>C00003*C00039*C02128</t>
  </si>
  <si>
    <t>C00020+C00455+C00039</t>
  </si>
  <si>
    <t>C00020*C00455*C00039</t>
  </si>
  <si>
    <t>C00979+C00283</t>
  </si>
  <si>
    <t>C00979*C00283</t>
  </si>
  <si>
    <t>C00097+C00033</t>
  </si>
  <si>
    <t>C00097*C00033</t>
  </si>
  <si>
    <t>C00979+C01528</t>
  </si>
  <si>
    <t>C00979*C01528</t>
  </si>
  <si>
    <t>C05688+C00033</t>
  </si>
  <si>
    <t>C05688*C00033</t>
  </si>
  <si>
    <t>C00979+C00320+C00342+C00080</t>
  </si>
  <si>
    <t>C00979*C00320*C00342*C00080</t>
  </si>
  <si>
    <t>C00097+C00094+C00343+C00033</t>
  </si>
  <si>
    <t>C00097*C00094*C00343*C00033</t>
  </si>
  <si>
    <t>C01005+C00283</t>
  </si>
  <si>
    <t>C01005*C00283</t>
  </si>
  <si>
    <t>C00097+C00009</t>
  </si>
  <si>
    <t>C00097*C00009</t>
  </si>
  <si>
    <t>C00002+C00310</t>
  </si>
  <si>
    <t>C00002*C00310</t>
  </si>
  <si>
    <t>C00008+C00231</t>
  </si>
  <si>
    <t>C00008*C00231</t>
  </si>
  <si>
    <t>C00118+C00084</t>
  </si>
  <si>
    <t>C00118*C00084</t>
  </si>
  <si>
    <t>C00279+C00085</t>
  </si>
  <si>
    <t>C00279*C00085</t>
  </si>
  <si>
    <t>C00279+C05345</t>
  </si>
  <si>
    <t>C00279*C05345</t>
  </si>
  <si>
    <t>C00002+C00692+C00680</t>
  </si>
  <si>
    <t>C00002*C00692*C00680</t>
  </si>
  <si>
    <t>C00002+C05892+C00993</t>
  </si>
  <si>
    <t>C00002*C05892*C00993</t>
  </si>
  <si>
    <t>C00008+C00009+C04702</t>
  </si>
  <si>
    <t>C00008*C00009*C04702</t>
  </si>
  <si>
    <t>C00002+C04877+C00993</t>
  </si>
  <si>
    <t>C00002*C04877*C00993</t>
  </si>
  <si>
    <t>C00008+C00009+C04882</t>
  </si>
  <si>
    <t>C00008*C00009*C04882</t>
  </si>
  <si>
    <t>C04702+C17556</t>
  </si>
  <si>
    <t>C04702*C17556</t>
  </si>
  <si>
    <t>C00105+C04851</t>
  </si>
  <si>
    <t>C00105*C04851</t>
  </si>
  <si>
    <t>C04882+C17556</t>
  </si>
  <si>
    <t>C04882*C17556</t>
  </si>
  <si>
    <t>C00105+C05897</t>
  </si>
  <si>
    <t>C00105*C05897</t>
  </si>
  <si>
    <t>C00002+C01212+C00217</t>
  </si>
  <si>
    <t>C00002*C01212*C00217</t>
  </si>
  <si>
    <t>C00008+C00009+C00692</t>
  </si>
  <si>
    <t>C00008*C00009*C00692</t>
  </si>
  <si>
    <t>C04851+C00043</t>
  </si>
  <si>
    <t>C04851*C00043</t>
  </si>
  <si>
    <t>C05893+C00015</t>
  </si>
  <si>
    <t>C05893*C00015</t>
  </si>
  <si>
    <t>G10552+G10610</t>
  </si>
  <si>
    <t>G10552*G10610</t>
  </si>
  <si>
    <t>G10553+G10619</t>
  </si>
  <si>
    <t>G10553*G10619</t>
  </si>
  <si>
    <t>C05897+C00043</t>
  </si>
  <si>
    <t>C05897*C00043</t>
  </si>
  <si>
    <t>C05898+C00015</t>
  </si>
  <si>
    <t>C05898*C00015</t>
  </si>
  <si>
    <t>G10551+G10610</t>
  </si>
  <si>
    <t>G10551*G10610</t>
  </si>
  <si>
    <t>G10550+G10619</t>
  </si>
  <si>
    <t>G10550*G10619</t>
  </si>
  <si>
    <t>G10556+G10610</t>
  </si>
  <si>
    <t>G10556*G10610</t>
  </si>
  <si>
    <t>G10555+G10619</t>
  </si>
  <si>
    <t>G10555*G10619</t>
  </si>
  <si>
    <t>C00002+C01050+C00041</t>
  </si>
  <si>
    <t>C00002*C01050*C00041</t>
  </si>
  <si>
    <t>C00008+C00009+C01212</t>
  </si>
  <si>
    <t>C00008*C00009*C01212</t>
  </si>
  <si>
    <t>C22418+C00001</t>
  </si>
  <si>
    <t>C22418*C00001</t>
  </si>
  <si>
    <t>C22409+C00033</t>
  </si>
  <si>
    <t>C22409*C00033</t>
  </si>
  <si>
    <t>C00166+C00001+C00011</t>
  </si>
  <si>
    <t>C00166*C00001*C00011</t>
  </si>
  <si>
    <t>C00079+C00001+C00011</t>
  </si>
  <si>
    <t>C00079*C00001*C00011</t>
  </si>
  <si>
    <t>C00130+C00013</t>
  </si>
  <si>
    <t>C00130*C00013</t>
  </si>
  <si>
    <t>C00262+C00119</t>
  </si>
  <si>
    <t>C00262*C00119</t>
  </si>
  <si>
    <t>C00342+C00006</t>
  </si>
  <si>
    <t>C00342*C00006</t>
  </si>
  <si>
    <t>C00343 +C00005+C00080</t>
  </si>
  <si>
    <t>C00343 *C00005*C00080</t>
  </si>
  <si>
    <t>C00097+C00051+C00006</t>
  </si>
  <si>
    <t>C00097*C00051*C00006</t>
  </si>
  <si>
    <t>C05526+C00005</t>
  </si>
  <si>
    <t>C05526*C00005</t>
  </si>
  <si>
    <t>C01528+C00006+C00001</t>
  </si>
  <si>
    <t>C01528*C00006*C00001</t>
  </si>
  <si>
    <t>C05684+C00005+C00080</t>
  </si>
  <si>
    <t>C05684*C00005*C00080</t>
  </si>
  <si>
    <t>C00005+C00080+C18902</t>
  </si>
  <si>
    <t>C00005*C00080*C18902</t>
  </si>
  <si>
    <t>C00006+C00001+C05703</t>
  </si>
  <si>
    <t>C00006*C00001*C05703</t>
  </si>
  <si>
    <t>C01005+C00026</t>
  </si>
  <si>
    <t>C01005*C00026</t>
  </si>
  <si>
    <t>C03232+C00025</t>
  </si>
  <si>
    <t>C03232*C00025</t>
  </si>
  <si>
    <t>C06055+C00026</t>
  </si>
  <si>
    <t>C06055*C00026</t>
  </si>
  <si>
    <t>C06054+C00025</t>
  </si>
  <si>
    <t>C06054*C00025</t>
  </si>
  <si>
    <t>C00251+C00064</t>
  </si>
  <si>
    <t>C00251*C00064</t>
  </si>
  <si>
    <t>C11355+C00025</t>
  </si>
  <si>
    <t>C11355*C00025</t>
  </si>
  <si>
    <t>C00251+C00014</t>
  </si>
  <si>
    <t>C00251*C00014</t>
  </si>
  <si>
    <t>C11355+C00001</t>
  </si>
  <si>
    <t>C11355*C00001</t>
  </si>
  <si>
    <t>C00009+C00013+C00019</t>
  </si>
  <si>
    <t>C00009*C00013*C00019</t>
  </si>
  <si>
    <t>C00002+C00073+C00001</t>
  </si>
  <si>
    <t>C00002*C00073*C00001</t>
  </si>
  <si>
    <t>C00002+C05335+C00001</t>
  </si>
  <si>
    <t>C00002*C05335*C00001</t>
  </si>
  <si>
    <t>C00009+C00013+C05691</t>
  </si>
  <si>
    <t>C00009*C00013*C05691</t>
  </si>
  <si>
    <t>C00002+C00039+C02128</t>
  </si>
  <si>
    <t>C00002*C00039*C02128</t>
  </si>
  <si>
    <t>C00020+C00013+C00039</t>
  </si>
  <si>
    <t>C00020*C00013*C00039</t>
  </si>
  <si>
    <t>C04895+C00001</t>
  </si>
  <si>
    <t>C04895*C00001</t>
  </si>
  <si>
    <t>C20239+C00084+C00536</t>
  </si>
  <si>
    <t>C20239*C00084*C00536</t>
  </si>
  <si>
    <t>C20248+C00014+C00002</t>
  </si>
  <si>
    <t>C20248*C00014*C00002</t>
  </si>
  <si>
    <t>C15996+C00008+C00009+C00001</t>
  </si>
  <si>
    <t>C15996*C00008*C00009*C00001</t>
  </si>
  <si>
    <t>C00123+C00026</t>
  </si>
  <si>
    <t>C00123*C00026</t>
  </si>
  <si>
    <t>C00233+C00025</t>
  </si>
  <si>
    <t>C00233*C00025</t>
  </si>
  <si>
    <t>C00183+C00026</t>
  </si>
  <si>
    <t>C00183*C00026</t>
  </si>
  <si>
    <t>C00141+C00025</t>
  </si>
  <si>
    <t>C00141*C00025</t>
  </si>
  <si>
    <t>C00407+C00026</t>
  </si>
  <si>
    <t>C00407*C00026</t>
  </si>
  <si>
    <t>C00671+C00025</t>
  </si>
  <si>
    <t>C00671*C00025</t>
  </si>
  <si>
    <t>C02356+C00026</t>
  </si>
  <si>
    <t>C02356*C00026</t>
  </si>
  <si>
    <t>C00109+C00025</t>
  </si>
  <si>
    <t>C00109*C00025</t>
  </si>
  <si>
    <t>C00002+C00042+C00010</t>
  </si>
  <si>
    <t>C00002*C00042*C00010</t>
  </si>
  <si>
    <t>C00008+C00009+C00091</t>
  </si>
  <si>
    <t>C00008*C00009*C00091</t>
  </si>
  <si>
    <t>C00002+C00490+C00010</t>
  </si>
  <si>
    <t>C00002*C00490*C00010</t>
  </si>
  <si>
    <t>C00008+C00009+C00531</t>
  </si>
  <si>
    <t>C00008*C00009*C00531</t>
  </si>
  <si>
    <t>C02583+C00019</t>
  </si>
  <si>
    <t>C02583*C00019</t>
  </si>
  <si>
    <t>C20858+C00021</t>
  </si>
  <si>
    <t>C20858*C00021</t>
  </si>
  <si>
    <t>C00024+C00009</t>
  </si>
  <si>
    <t>C00024*C00009</t>
  </si>
  <si>
    <t>C00010+C00227</t>
  </si>
  <si>
    <t>C00010*C00227</t>
  </si>
  <si>
    <t>C03090+C00013+C00025</t>
  </si>
  <si>
    <t>C03090*C00013*C00025</t>
  </si>
  <si>
    <t>C00064+C00119+C00001</t>
  </si>
  <si>
    <t>C00064*C00119*C00001</t>
  </si>
  <si>
    <t>C00149+C00003</t>
  </si>
  <si>
    <t>C00149*C00003</t>
  </si>
  <si>
    <t>C00036+C00004+C00080</t>
  </si>
  <si>
    <t>C00036*C00004*C00080</t>
  </si>
  <si>
    <t>C11537+C00003</t>
  </si>
  <si>
    <t>C11537*C00003</t>
  </si>
  <si>
    <t>C05528+C00004+C00080</t>
  </si>
  <si>
    <t>C05528*C00004*C00080</t>
  </si>
  <si>
    <t>C00002+C00047+C01646</t>
  </si>
  <si>
    <t>C00002*C00047*C01646</t>
  </si>
  <si>
    <t>C00020+C00013+C01931</t>
  </si>
  <si>
    <t>C00020*C00013*C01931</t>
  </si>
  <si>
    <t>C00021+C00001</t>
  </si>
  <si>
    <t>C00021*C00001</t>
  </si>
  <si>
    <t>C03539+C00147</t>
  </si>
  <si>
    <t>C03539*C00147</t>
  </si>
  <si>
    <t>C00170+C00001</t>
  </si>
  <si>
    <t>C00170*C00001</t>
  </si>
  <si>
    <t>C00147+C03089</t>
  </si>
  <si>
    <t>C00147*C03089</t>
  </si>
  <si>
    <t>C05198+C00001</t>
  </si>
  <si>
    <t>C05198*C00001</t>
  </si>
  <si>
    <t>C22288+C00147</t>
  </si>
  <si>
    <t>C22288*C00147</t>
  </si>
  <si>
    <t>C00009+C00036</t>
  </si>
  <si>
    <t>C00009*C00036</t>
  </si>
  <si>
    <t>C00001+C00074+C00011</t>
  </si>
  <si>
    <t>C00001*C00074*C00011</t>
  </si>
  <si>
    <t>C00091+C03972+C00001</t>
  </si>
  <si>
    <t>C00091*C03972*C00001</t>
  </si>
  <si>
    <t>C00010+C04462</t>
  </si>
  <si>
    <t>C00010*C04462</t>
  </si>
  <si>
    <t>C00044+C00130+C00049</t>
  </si>
  <si>
    <t>C00044*C00130*C00049</t>
  </si>
  <si>
    <t>C00035+C00009+C03794</t>
  </si>
  <si>
    <t>C00035*C00009*C03794</t>
  </si>
  <si>
    <t>C00002+C03373+C00288</t>
  </si>
  <si>
    <t>C00002*C03373*C00288</t>
  </si>
  <si>
    <t>C00008+C00009+C15667</t>
  </si>
  <si>
    <t>C00008*C00009*C15667</t>
  </si>
  <si>
    <t>C03373+C00011</t>
  </si>
  <si>
    <t>C03373*C00011</t>
  </si>
  <si>
    <t>C00255+C04732</t>
  </si>
  <si>
    <t>C00255*C04732</t>
  </si>
  <si>
    <t>C00002+C00082+C00787</t>
  </si>
  <si>
    <t>C00002*C00082*C00787</t>
  </si>
  <si>
    <t>C00020+C00013+C02839</t>
  </si>
  <si>
    <t>C00020*C00013*C02839</t>
  </si>
  <si>
    <t>C11435+C00002</t>
  </si>
  <si>
    <t>C11435*C00002</t>
  </si>
  <si>
    <t>C11436+C00008</t>
  </si>
  <si>
    <t>C11436*C00008</t>
  </si>
  <si>
    <t>C02211+C00063+C00002</t>
  </si>
  <si>
    <t>C02211*C00063*C00002</t>
  </si>
  <si>
    <t>C19085+C00013</t>
  </si>
  <si>
    <t>C19085*C00013</t>
  </si>
  <si>
    <t>C02211+C00063</t>
  </si>
  <si>
    <t>C02211*C00063</t>
  </si>
  <si>
    <t>C19078+C00013</t>
  </si>
  <si>
    <t>C19078*C00013</t>
  </si>
  <si>
    <t>C19078+C00063</t>
  </si>
  <si>
    <t>C19078*C00063</t>
  </si>
  <si>
    <t>C19080+C00013</t>
  </si>
  <si>
    <t>C19080*C00013</t>
  </si>
  <si>
    <t>C19080+C00002</t>
  </si>
  <si>
    <t>C19080*C00002</t>
  </si>
  <si>
    <t>C00074+C03175</t>
  </si>
  <si>
    <t>C00074*C03175</t>
  </si>
  <si>
    <t>C00009+C01269</t>
  </si>
  <si>
    <t>C00009*C01269</t>
  </si>
  <si>
    <t>C00234+C00001</t>
  </si>
  <si>
    <t>C00234*C00001</t>
  </si>
  <si>
    <t>C00058+C00101</t>
  </si>
  <si>
    <t>C00058*C00101</t>
  </si>
  <si>
    <t>C00900+C00011</t>
  </si>
  <si>
    <t>C00900*C00011</t>
  </si>
  <si>
    <t>C06010+C00011</t>
  </si>
  <si>
    <t>C06010*C00011</t>
  </si>
  <si>
    <t>C00022+C00068</t>
  </si>
  <si>
    <t>C00022*C00068</t>
  </si>
  <si>
    <t>C05125+C00011</t>
  </si>
  <si>
    <t>C05125*C00011</t>
  </si>
  <si>
    <t>C00900+C00068</t>
  </si>
  <si>
    <t>C00900*C00068</t>
  </si>
  <si>
    <t>C05125+C00022</t>
  </si>
  <si>
    <t>C05125*C00022</t>
  </si>
  <si>
    <t>C06010+C00068</t>
  </si>
  <si>
    <t>C06010*C00068</t>
  </si>
  <si>
    <t>C00109+C05125</t>
  </si>
  <si>
    <t>C00109*C05125</t>
  </si>
  <si>
    <t>C06006+C00068</t>
  </si>
  <si>
    <t>C06006*C00068</t>
  </si>
  <si>
    <t>C00022+C00109</t>
  </si>
  <si>
    <t>C00022*C00109</t>
  </si>
  <si>
    <t>C06006+C00011</t>
  </si>
  <si>
    <t>C06006*C00011</t>
  </si>
  <si>
    <t>C00002+C00062+C01636</t>
  </si>
  <si>
    <t>C00002*C00062*C01636</t>
  </si>
  <si>
    <t>C00020+C00013+C02163</t>
  </si>
  <si>
    <t>C00020*C00013*C02163</t>
  </si>
  <si>
    <t>C00002+C00022</t>
  </si>
  <si>
    <t>C00002*C00022</t>
  </si>
  <si>
    <t>C00008+C00074</t>
  </si>
  <si>
    <t>C00008*C00074</t>
  </si>
  <si>
    <t>C00044+C00022</t>
  </si>
  <si>
    <t>C00044*C00022</t>
  </si>
  <si>
    <t>C00035+C00074</t>
  </si>
  <si>
    <t>C00035*C00074</t>
  </si>
  <si>
    <t>C00063+C00022</t>
  </si>
  <si>
    <t>C00063*C00022</t>
  </si>
  <si>
    <t>C00112+C00074</t>
  </si>
  <si>
    <t>C00112*C00074</t>
  </si>
  <si>
    <t>C00075+C00022</t>
  </si>
  <si>
    <t>C00075*C00022</t>
  </si>
  <si>
    <t>C00015+C00074</t>
  </si>
  <si>
    <t>C00015*C00074</t>
  </si>
  <si>
    <t>C00081+C00022</t>
  </si>
  <si>
    <t>C00081*C00022</t>
  </si>
  <si>
    <t>C00104+C00074</t>
  </si>
  <si>
    <t>C00104*C00074</t>
  </si>
  <si>
    <t>C00131+C00022</t>
  </si>
  <si>
    <t>C00131*C00022</t>
  </si>
  <si>
    <t>C00206+C00074</t>
  </si>
  <si>
    <t>C00206*C00074</t>
  </si>
  <si>
    <t>C00286+C00022</t>
  </si>
  <si>
    <t>C00286*C00022</t>
  </si>
  <si>
    <t>C00361+C00074</t>
  </si>
  <si>
    <t>C00361*C00074</t>
  </si>
  <si>
    <t>C00201+C00022</t>
  </si>
  <si>
    <t>C00201*C00022</t>
  </si>
  <si>
    <t>C00454+C00074</t>
  </si>
  <si>
    <t>C00454*C00074</t>
  </si>
  <si>
    <t>C04478+C00009</t>
  </si>
  <si>
    <t>C04478*C00009</t>
  </si>
  <si>
    <t>C00074+C01112+C00001</t>
  </si>
  <si>
    <t>C00074*C01112*C00001</t>
  </si>
  <si>
    <t>C00019+C01092</t>
  </si>
  <si>
    <t>C00019*C01092</t>
  </si>
  <si>
    <t>C04425+C01037</t>
  </si>
  <si>
    <t>C04425*C01037</t>
  </si>
  <si>
    <t>C01063+C00041</t>
  </si>
  <si>
    <t>C01063*C00041</t>
  </si>
  <si>
    <t>C01092+C00010+C00011</t>
  </si>
  <si>
    <t>C01092*C00010*C00011</t>
  </si>
  <si>
    <t>C19845+C00041</t>
  </si>
  <si>
    <t>C19845*C00041</t>
  </si>
  <si>
    <t>C01092+C00229+C00011</t>
  </si>
  <si>
    <t>C01092*C00229*C00011</t>
  </si>
  <si>
    <t>C00019+C01209</t>
  </si>
  <si>
    <t>C00019*C01209</t>
  </si>
  <si>
    <t>C00021+C19673</t>
  </si>
  <si>
    <t>C00021*C19673</t>
  </si>
  <si>
    <t>C00002+C01037+C00011</t>
  </si>
  <si>
    <t>C00002*C01037*C00011</t>
  </si>
  <si>
    <t>C00008+C00009+C01909</t>
  </si>
  <si>
    <t>C00008*C00009*C01909</t>
  </si>
  <si>
    <t>C01037+C00011</t>
  </si>
  <si>
    <t>C01037*C00011</t>
  </si>
  <si>
    <t>C22458+C00002</t>
  </si>
  <si>
    <t>C22458*C00002</t>
  </si>
  <si>
    <t>C01909+C00008+C00009</t>
  </si>
  <si>
    <t>C01909*C00008*C00009</t>
  </si>
  <si>
    <t>C00074+C00279+C00001</t>
  </si>
  <si>
    <t>C00074*C00279*C00001</t>
  </si>
  <si>
    <t>C04691+C00009</t>
  </si>
  <si>
    <t>C04691*C00009</t>
  </si>
  <si>
    <t>C00173+C01209</t>
  </si>
  <si>
    <t>C00173*C01209</t>
  </si>
  <si>
    <t>C00685+C00011+C00229</t>
  </si>
  <si>
    <t>C00685*C00011*C00229</t>
  </si>
  <si>
    <t>C03939+C01209</t>
  </si>
  <si>
    <t>C03939*C01209</t>
  </si>
  <si>
    <t>C05744+C00011+C00229</t>
  </si>
  <si>
    <t>C05744*C00011*C00229</t>
  </si>
  <si>
    <t>C05223+C01209</t>
  </si>
  <si>
    <t>C05223*C01209</t>
  </si>
  <si>
    <t>C05759+C00011+C00229</t>
  </si>
  <si>
    <t>C05759*C00011*C00229</t>
  </si>
  <si>
    <t>C05745+C01209</t>
  </si>
  <si>
    <t>C05745*C01209</t>
  </si>
  <si>
    <t>C05746+C00011+C00229</t>
  </si>
  <si>
    <t>C05746*C00011*C00229</t>
  </si>
  <si>
    <t>C05749+C01209</t>
  </si>
  <si>
    <t>C05749*C01209</t>
  </si>
  <si>
    <t>C05750+C00011+C00229</t>
  </si>
  <si>
    <t>C05750*C00011*C00229</t>
  </si>
  <si>
    <t>C05752+C01209</t>
  </si>
  <si>
    <t>C05752*C01209</t>
  </si>
  <si>
    <t>C05753+C00011+C00229</t>
  </si>
  <si>
    <t>C05753*C00011*C00229</t>
  </si>
  <si>
    <t>C05755+C01209</t>
  </si>
  <si>
    <t>C05755*C01209</t>
  </si>
  <si>
    <t>C05756+C00011+C00229</t>
  </si>
  <si>
    <t>C05756*C00011*C00229</t>
  </si>
  <si>
    <t>C05761+C01209</t>
  </si>
  <si>
    <t>C05761*C01209</t>
  </si>
  <si>
    <t>C05762+C00011+C00229</t>
  </si>
  <si>
    <t>C05762*C00011*C00229</t>
  </si>
  <si>
    <t>C05764+C01209</t>
  </si>
  <si>
    <t>C05764*C01209</t>
  </si>
  <si>
    <t>C16219+C00229+C00011</t>
  </si>
  <si>
    <t>C16219*C00229*C00011</t>
  </si>
  <si>
    <t>C19673+C01209</t>
  </si>
  <si>
    <t>C19673*C01209</t>
  </si>
  <si>
    <t>C20372+C00011+C00229</t>
  </si>
  <si>
    <t>C20372*C00011*C00229</t>
  </si>
  <si>
    <t>C20375+C01209</t>
  </si>
  <si>
    <t>C20375*C01209</t>
  </si>
  <si>
    <t>C20376+C00011+C00229</t>
  </si>
  <si>
    <t>C20376*C00011*C00229</t>
  </si>
  <si>
    <t>C00002+C07836</t>
  </si>
  <si>
    <t>C00002*C07836</t>
  </si>
  <si>
    <t>C00008+C11472</t>
  </si>
  <si>
    <t>C00008*C11472</t>
  </si>
  <si>
    <t>C00002+C00152+C01637</t>
  </si>
  <si>
    <t>C00002*C00152*C01637</t>
  </si>
  <si>
    <t>C00020+C00013+C03402</t>
  </si>
  <si>
    <t>C00020*C00013*C03402</t>
  </si>
  <si>
    <t>C04732+C15556</t>
  </si>
  <si>
    <t>C04732*C15556</t>
  </si>
  <si>
    <t>C04332+C00001+C00009</t>
  </si>
  <si>
    <t>C04332*C00001*C00009</t>
  </si>
  <si>
    <t>C00002+C01081</t>
  </si>
  <si>
    <t>C00002*C01081</t>
  </si>
  <si>
    <t>C00008+C00068</t>
  </si>
  <si>
    <t>C00008*C00068</t>
  </si>
  <si>
    <t>C03892+C00001</t>
  </si>
  <si>
    <t>C03892*C00001</t>
  </si>
  <si>
    <t>C00344+C00009</t>
  </si>
  <si>
    <t>C00344*C00009</t>
  </si>
  <si>
    <t>C03972+C00003+C00001</t>
  </si>
  <si>
    <t>C03972*C00003*C00001</t>
  </si>
  <si>
    <t>C20258+C00004+C00080</t>
  </si>
  <si>
    <t>C20258*C00004*C00080</t>
  </si>
  <si>
    <t>C03972+C00006+C00001</t>
  </si>
  <si>
    <t>C03972*C00006*C00001</t>
  </si>
  <si>
    <t>C20258+C00005+C00080</t>
  </si>
  <si>
    <t>C20258*C00005*C00080</t>
  </si>
  <si>
    <t>C00002+C00079+C01648</t>
  </si>
  <si>
    <t>C00002*C00079*C01648</t>
  </si>
  <si>
    <t>C00020+C00013+C03511</t>
  </si>
  <si>
    <t>C00020*C00013*C03511</t>
  </si>
  <si>
    <t>C04807+C00568</t>
  </si>
  <si>
    <t>C04807*C00568</t>
  </si>
  <si>
    <t>C00013+C00921</t>
  </si>
  <si>
    <t>C00013*C00921</t>
  </si>
  <si>
    <t>C01300+C00568</t>
  </si>
  <si>
    <t>C01300*C00568</t>
  </si>
  <si>
    <t>C00921+C00001</t>
  </si>
  <si>
    <t>C00921*C00001</t>
  </si>
  <si>
    <t>C15810+C00002</t>
  </si>
  <si>
    <t>C15810*C00002</t>
  </si>
  <si>
    <t>C15813+C00013</t>
  </si>
  <si>
    <t>C15813*C00013</t>
  </si>
  <si>
    <t>C19848+C06232</t>
  </si>
  <si>
    <t>C19848*C06232</t>
  </si>
  <si>
    <t>C18237+C00020+C00001</t>
  </si>
  <si>
    <t>C18237*C00020*C00001</t>
  </si>
  <si>
    <t>C04895+C00058</t>
  </si>
  <si>
    <t>C04895*C00058</t>
  </si>
  <si>
    <t>C05922+C00001</t>
  </si>
  <si>
    <t>C05922*C00001</t>
  </si>
  <si>
    <t>C05923+C00058</t>
  </si>
  <si>
    <t>C05923*C00058</t>
  </si>
  <si>
    <t>C00440+C00006</t>
  </si>
  <si>
    <t>C00440*C00006</t>
  </si>
  <si>
    <t>C00143+C00005+C00080</t>
  </si>
  <si>
    <t>C00143*C00005*C00080</t>
  </si>
  <si>
    <t>C00440+C00003</t>
  </si>
  <si>
    <t>C00440*C00003</t>
  </si>
  <si>
    <t>C00143+C00004+C00080</t>
  </si>
  <si>
    <t>C00143*C00004*C00080</t>
  </si>
  <si>
    <t>C00022+C00118</t>
  </si>
  <si>
    <t>C00022*C00118</t>
  </si>
  <si>
    <t>C11437+C00011</t>
  </si>
  <si>
    <t>C11437*C00011</t>
  </si>
  <si>
    <t>C00341+C00129</t>
  </si>
  <si>
    <t>C00341*C00129</t>
  </si>
  <si>
    <t>C00013+C00448</t>
  </si>
  <si>
    <t>C00013*C00448</t>
  </si>
  <si>
    <t>C00097+C02342</t>
  </si>
  <si>
    <t>C00097*C02342</t>
  </si>
  <si>
    <t>C00065+C04161</t>
  </si>
  <si>
    <t>C00065*C04161</t>
  </si>
  <si>
    <t>C15812+C15813+C00030</t>
  </si>
  <si>
    <t>C15812*C15813*C00030</t>
  </si>
  <si>
    <t>C00020+C15814+C15811+C00028</t>
  </si>
  <si>
    <t>C00020*C15814*C15811*C00028</t>
  </si>
  <si>
    <t>C00065+C00463</t>
  </si>
  <si>
    <t>C00065*C00463</t>
  </si>
  <si>
    <t>C00463 + C00118</t>
  </si>
  <si>
    <t>C00463 * C00118</t>
  </si>
  <si>
    <t>C00065+C03506</t>
  </si>
  <si>
    <t>C00065*C03506</t>
  </si>
  <si>
    <t>C00078+C00118+C00001</t>
  </si>
  <si>
    <t>C00078*C00118*C00001</t>
  </si>
  <si>
    <t>C00463+C00118</t>
  </si>
  <si>
    <t>C00463*C00118</t>
  </si>
  <si>
    <t>C00002+C04640</t>
  </si>
  <si>
    <t>C00002*C04640</t>
  </si>
  <si>
    <t>C00008+C00009+C03373</t>
  </si>
  <si>
    <t>C00008*C00009*C03373</t>
  </si>
  <si>
    <t>C00234+C03838</t>
  </si>
  <si>
    <t>C00234*C03838</t>
  </si>
  <si>
    <t>C00101+C04376</t>
  </si>
  <si>
    <t>C00101*C04376</t>
  </si>
  <si>
    <t>C03838+C00445+C00001</t>
  </si>
  <si>
    <t>C03838*C00445*C00001</t>
  </si>
  <si>
    <t>C04376+C00101</t>
  </si>
  <si>
    <t>C04376*C00101</t>
  </si>
  <si>
    <t>C00337+C15602</t>
  </si>
  <si>
    <t>C00337*C15602</t>
  </si>
  <si>
    <t>C00295+C15603</t>
  </si>
  <si>
    <t>C00295*C15603</t>
  </si>
  <si>
    <t>C00122+C00001</t>
  </si>
  <si>
    <t>C00122*C00001</t>
  </si>
  <si>
    <t>C00019+C00039</t>
  </si>
  <si>
    <t>C00019*C00039</t>
  </si>
  <si>
    <t>C00021+C02967</t>
  </si>
  <si>
    <t>C00021*C02967</t>
  </si>
  <si>
    <t>C00019+C00856</t>
  </si>
  <si>
    <t>C00019*C00856</t>
  </si>
  <si>
    <t>C00002+C00183+C01653</t>
  </si>
  <si>
    <t>C00002*C00183*C01653</t>
  </si>
  <si>
    <t>C00020+C00013+C02554</t>
  </si>
  <si>
    <t>C00020*C00013*C02554</t>
  </si>
  <si>
    <t>C03506+C00011+C00001</t>
  </si>
  <si>
    <t>C03506*C00011*C00001</t>
  </si>
  <si>
    <t>C00108+C00022+C00025</t>
  </si>
  <si>
    <t>C00108*C00022*C00025</t>
  </si>
  <si>
    <t>C00108+C00022+C00001</t>
  </si>
  <si>
    <t>C00108*C00022*C00001</t>
  </si>
  <si>
    <t>C14818+C00007+C00001</t>
  </si>
  <si>
    <t>C14818*C00007*C00001</t>
  </si>
  <si>
    <t>C22881+C00080</t>
  </si>
  <si>
    <t>C22881*C00080</t>
  </si>
  <si>
    <t>C22881+C00080+C00027</t>
  </si>
  <si>
    <t>C22881*C00080*C00027</t>
  </si>
  <si>
    <t>C14818+C00027+C00001</t>
  </si>
  <si>
    <t>C14818*C00027*C00001</t>
  </si>
  <si>
    <t>C00002 + C00188 + C01651</t>
  </si>
  <si>
    <t>C00002 * C00188 * C01651</t>
  </si>
  <si>
    <t>C00020 + C00013 + C02992</t>
  </si>
  <si>
    <t>C00020 * C00013 * C02992</t>
  </si>
  <si>
    <t>C00498+C00718</t>
  </si>
  <si>
    <t>C00498*C00718</t>
  </si>
  <si>
    <t>C00008+C00718</t>
  </si>
  <si>
    <t>C00008*C00718</t>
  </si>
  <si>
    <t>G10495+G11109</t>
  </si>
  <si>
    <t>G10495*G11109</t>
  </si>
  <si>
    <t>G10495+G11113</t>
  </si>
  <si>
    <t>G10495*G11113</t>
  </si>
  <si>
    <t>C00002+C00103</t>
  </si>
  <si>
    <t>C00002*C00103</t>
  </si>
  <si>
    <t>C00013+C00498</t>
  </si>
  <si>
    <t>C00013*C00498</t>
  </si>
  <si>
    <t>C00002+C00064+C01640</t>
  </si>
  <si>
    <t>C00002*C00064*C01640</t>
  </si>
  <si>
    <t>C00020+C00013+C02282</t>
  </si>
  <si>
    <t>C00020*C00013*C02282</t>
  </si>
  <si>
    <t>C00475+C00001</t>
  </si>
  <si>
    <t>C00475*C00001</t>
  </si>
  <si>
    <t>C00299+C00014</t>
  </si>
  <si>
    <t>C00299*C00014</t>
  </si>
  <si>
    <t>C00881+C00001</t>
  </si>
  <si>
    <t>C00881*C00001</t>
  </si>
  <si>
    <t>C00526+C00014</t>
  </si>
  <si>
    <t>C00526*C00014</t>
  </si>
  <si>
    <t>C16635+C00001</t>
  </si>
  <si>
    <t>C16635*C00001</t>
  </si>
  <si>
    <t>C12739+C00014</t>
  </si>
  <si>
    <t>C12739*C00014</t>
  </si>
  <si>
    <t>C16675+C00006</t>
  </si>
  <si>
    <t>C16675*C00006</t>
  </si>
  <si>
    <t>C15996+C00005+C00080</t>
  </si>
  <si>
    <t>C15996*C00005*C00080</t>
  </si>
  <si>
    <t>C00254+C00003</t>
  </si>
  <si>
    <t>C00254*C00003</t>
  </si>
  <si>
    <t>C01179+C00011+C00004+C00080</t>
  </si>
  <si>
    <t>C01179*C00011*C00004*C00080</t>
  </si>
  <si>
    <t>C00002+C00073 +C01647</t>
  </si>
  <si>
    <t>C00002*C00073 *C01647</t>
  </si>
  <si>
    <t>C00020+C00013+C02430</t>
  </si>
  <si>
    <t>C00020*C00013*C02430</t>
  </si>
  <si>
    <t>C00002+C05335+C01647</t>
  </si>
  <si>
    <t>C00002*C05335*C01647</t>
  </si>
  <si>
    <t>C00020+C00013+C05336</t>
  </si>
  <si>
    <t>C00020*C00013*C05336</t>
  </si>
  <si>
    <t>C03899+C00001</t>
  </si>
  <si>
    <t>C03899*C00001</t>
  </si>
  <si>
    <t>C00051+C02929</t>
  </si>
  <si>
    <t>C00051*C02929</t>
  </si>
  <si>
    <t>C03451+C00001</t>
  </si>
  <si>
    <t>C03451*C00001</t>
  </si>
  <si>
    <t>C00051+C00256</t>
  </si>
  <si>
    <t>C00051*C00256</t>
  </si>
  <si>
    <t>C00002+C00921+C00025</t>
  </si>
  <si>
    <t>C00002*C00921*C00025</t>
  </si>
  <si>
    <t>C00008+C00009+C00415</t>
  </si>
  <si>
    <t>C00008*C00009*C00415</t>
  </si>
  <si>
    <t>C00002+C00234+C00025</t>
  </si>
  <si>
    <t>C00002*C00234*C00025</t>
  </si>
  <si>
    <t>C00008+C00009+C05928</t>
  </si>
  <si>
    <t>C00008*C00009*C05928</t>
  </si>
  <si>
    <t>C00002+C03541+C00025</t>
  </si>
  <si>
    <t>C00002*C03541*C00025</t>
  </si>
  <si>
    <t>C00008+C00009+C03541</t>
  </si>
  <si>
    <t>C00008*C00009*C03541</t>
  </si>
  <si>
    <t>C00002+C00101+C00025</t>
  </si>
  <si>
    <t>C00002*C00101*C00025</t>
  </si>
  <si>
    <t>C00008+C00009+C09332</t>
  </si>
  <si>
    <t>C00008*C00009*C09332</t>
  </si>
  <si>
    <t>C00002+C05928+C00025</t>
  </si>
  <si>
    <t>C00002*C05928*C00025</t>
  </si>
  <si>
    <t>C00008+C00009+C05929</t>
  </si>
  <si>
    <t>C00008*C00009*C05929</t>
  </si>
  <si>
    <t>C01165+C00009+C00006</t>
  </si>
  <si>
    <t>C01165*C00009*C00006</t>
  </si>
  <si>
    <t>C03287+C00005+C00080</t>
  </si>
  <si>
    <t>C03287*C00005*C00080</t>
  </si>
  <si>
    <t>C00546+C00009</t>
  </si>
  <si>
    <t>C00546*C00009</t>
  </si>
  <si>
    <t>C00022 + C15972</t>
  </si>
  <si>
    <t>C00022 * C15972</t>
  </si>
  <si>
    <t>C16255 + C00011</t>
  </si>
  <si>
    <t>C16255 * C00011</t>
  </si>
  <si>
    <t>C05125+C15972</t>
  </si>
  <si>
    <t>C05125*C15972</t>
  </si>
  <si>
    <t>C16255+C00068</t>
  </si>
  <si>
    <t>C16255*C00068</t>
  </si>
  <si>
    <t>C00024+C15973</t>
  </si>
  <si>
    <t>C00024*C15973</t>
  </si>
  <si>
    <t>C00010+C16255</t>
  </si>
  <si>
    <t>C00010*C16255</t>
  </si>
  <si>
    <t>C16832+C00003</t>
  </si>
  <si>
    <t>C16832*C00003</t>
  </si>
  <si>
    <t>C16237+C00004+C00080</t>
  </si>
  <si>
    <t>C16237*C00004*C00080</t>
  </si>
  <si>
    <t>C02972+C00003</t>
  </si>
  <si>
    <t>C02972*C00003</t>
  </si>
  <si>
    <t>C02051+C00004+C00080</t>
  </si>
  <si>
    <t>C02051*C00004*C00080</t>
  </si>
  <si>
    <t>C15973+C00003</t>
  </si>
  <si>
    <t>C15973*C00003</t>
  </si>
  <si>
    <t>C15972+C00004+C00080</t>
  </si>
  <si>
    <t>C15972*C00004*C00080</t>
  </si>
  <si>
    <t>C00579+C00003</t>
  </si>
  <si>
    <t>C00579*C00003</t>
  </si>
  <si>
    <t>C00248+C00004+C00080</t>
  </si>
  <si>
    <t>C00248*C00004*C00080</t>
  </si>
  <si>
    <t>C00147+C00119</t>
  </si>
  <si>
    <t>C00147*C00119</t>
  </si>
  <si>
    <t>C04677+C00013</t>
  </si>
  <si>
    <t>C04677*C00013</t>
  </si>
  <si>
    <t>C04051+C00119</t>
  </si>
  <si>
    <t>C04051*C00119</t>
  </si>
  <si>
    <t>C00105+C00011</t>
  </si>
  <si>
    <t>C00105*C00011</t>
  </si>
  <si>
    <t>C00002+C00055</t>
  </si>
  <si>
    <t>C00002*C00055</t>
  </si>
  <si>
    <t>C00008+C00112</t>
  </si>
  <si>
    <t>C00008*C00112</t>
  </si>
  <si>
    <t>C00002+C00239</t>
  </si>
  <si>
    <t>C00002*C00239</t>
  </si>
  <si>
    <t>C00008+C00705</t>
  </si>
  <si>
    <t>C00008*C00705</t>
  </si>
  <si>
    <t>C00819+C00001</t>
  </si>
  <si>
    <t>C00819*C00001</t>
  </si>
  <si>
    <t>C00217+C00014</t>
  </si>
  <si>
    <t>C00217*C00014</t>
  </si>
  <si>
    <t>C00117+C00118+C00014</t>
  </si>
  <si>
    <t>C00117*C00118*C00014</t>
  </si>
  <si>
    <t>C00018+C00001+C00009</t>
  </si>
  <si>
    <t>C00018*C00001*C00009</t>
  </si>
  <si>
    <t>C00117+C00118+C00064</t>
  </si>
  <si>
    <t>C00117*C00118*C00064</t>
  </si>
  <si>
    <t>C00018+C00025+C00001+C00009</t>
  </si>
  <si>
    <t>C00018*C00025*C00001*C00009</t>
  </si>
  <si>
    <t>C00118+C00199+C00064</t>
  </si>
  <si>
    <t>C00118*C00199*C00064</t>
  </si>
  <si>
    <t>C00018+C00025+C00009+C00001</t>
  </si>
  <si>
    <t>C00018*C00025*C00009*C00001</t>
  </si>
  <si>
    <t>C00256+C00003</t>
  </si>
  <si>
    <t>C00256*C00003</t>
  </si>
  <si>
    <t>C00022+C00004+C00080</t>
  </si>
  <si>
    <t>C00022*C00004*C00080</t>
  </si>
  <si>
    <t>C04232+C00343+C00001</t>
  </si>
  <si>
    <t>C04232*C00343*C00001</t>
  </si>
  <si>
    <t>C03723+C00342</t>
  </si>
  <si>
    <t>C03723*C00342</t>
  </si>
  <si>
    <t>C00206+C00343+C00001</t>
  </si>
  <si>
    <t>C00206*C00343*C00001</t>
  </si>
  <si>
    <t>C00342+C00008</t>
  </si>
  <si>
    <t>C00342*C00008</t>
  </si>
  <si>
    <t>C01346+C00343+C00001</t>
  </si>
  <si>
    <t>C01346*C00343*C00001</t>
  </si>
  <si>
    <t>C00342+C00015</t>
  </si>
  <si>
    <t>C00342*C00015</t>
  </si>
  <si>
    <t>C00361+C00343+C00001</t>
  </si>
  <si>
    <t>C00361*C00343*C00001</t>
  </si>
  <si>
    <t>C00035+C00342</t>
  </si>
  <si>
    <t>C00035*C00342</t>
  </si>
  <si>
    <t>C00705+C00343+C00001</t>
  </si>
  <si>
    <t>C00705*C00343*C00001</t>
  </si>
  <si>
    <t>C00342+C00112</t>
  </si>
  <si>
    <t>C00342*C00112</t>
  </si>
  <si>
    <t>C04232+C16664+C00001</t>
  </si>
  <si>
    <t>C04232*C16664*C00001</t>
  </si>
  <si>
    <t>C03723 + C16663</t>
  </si>
  <si>
    <t>C03723 * C16663</t>
  </si>
  <si>
    <t>C04232+C03170+C00001</t>
  </si>
  <si>
    <t>C04232*C03170*C00001</t>
  </si>
  <si>
    <t>C03723+C02090</t>
  </si>
  <si>
    <t>C03723*C02090</t>
  </si>
  <si>
    <t>C21750+C00343+C00001</t>
  </si>
  <si>
    <t>C21750*C00343*C00001</t>
  </si>
  <si>
    <t>C21748+C00342</t>
  </si>
  <si>
    <t>C21748*C00342</t>
  </si>
  <si>
    <t>C00091+C15973</t>
  </si>
  <si>
    <t>C00091*C15973</t>
  </si>
  <si>
    <t>C00010+C16254</t>
  </si>
  <si>
    <t>C00010*C16254</t>
  </si>
  <si>
    <t>C00527+C15973</t>
  </si>
  <si>
    <t>C00527*C15973</t>
  </si>
  <si>
    <t>C00010+C06157</t>
  </si>
  <si>
    <t>C00010*C06157</t>
  </si>
  <si>
    <t>C00026+C15972</t>
  </si>
  <si>
    <t>C00026*C15972</t>
  </si>
  <si>
    <t>C16254+C00011</t>
  </si>
  <si>
    <t>C16254*C00011</t>
  </si>
  <si>
    <t>C00026+C00068</t>
  </si>
  <si>
    <t>C00026*C00068</t>
  </si>
  <si>
    <t>C05381+C0001</t>
  </si>
  <si>
    <t>C05381*C0001</t>
  </si>
  <si>
    <t>C05381+C15972</t>
  </si>
  <si>
    <t>C05381*C15972</t>
  </si>
  <si>
    <t>C16254+C00068</t>
  </si>
  <si>
    <t>C16254*C00068</t>
  </si>
  <si>
    <t>C18239+C15814</t>
  </si>
  <si>
    <t>C18239*C15814</t>
  </si>
  <si>
    <t>C05924+C15810</t>
  </si>
  <si>
    <t>C05924*C15810</t>
  </si>
  <si>
    <t>C21310+C00001</t>
  </si>
  <si>
    <t>C21310*C00001</t>
  </si>
  <si>
    <t>C18239+C00013</t>
  </si>
  <si>
    <t>C18239*C00013</t>
  </si>
  <si>
    <t>C00044+C00019+C00030</t>
  </si>
  <si>
    <t>C00044*C00019*C00030</t>
  </si>
  <si>
    <t>C21310+C05198+C00073+C00028</t>
  </si>
  <si>
    <t>C21310*C05198*C00073*C00028</t>
  </si>
  <si>
    <t>C04489+C00155</t>
  </si>
  <si>
    <t>C04489*C00155</t>
  </si>
  <si>
    <t>C04144+C00073</t>
  </si>
  <si>
    <t>C04144*C00073</t>
  </si>
  <si>
    <t>C05698+C04489</t>
  </si>
  <si>
    <t>C05698*C04489</t>
  </si>
  <si>
    <t>C05335+C04144</t>
  </si>
  <si>
    <t>C05335*C04144</t>
  </si>
  <si>
    <t>C04261+C00031</t>
  </si>
  <si>
    <t>C04261*C00031</t>
  </si>
  <si>
    <t>C00615+C00668</t>
  </si>
  <si>
    <t>C00615*C00668</t>
  </si>
  <si>
    <t>C00074+C00615</t>
  </si>
  <si>
    <t>C00074*C00615</t>
  </si>
  <si>
    <t>C00022+C04261</t>
  </si>
  <si>
    <t>C00022*C04261</t>
  </si>
  <si>
    <t>C00002+C04751+C00049</t>
  </si>
  <si>
    <t>C00002*C04751*C00049</t>
  </si>
  <si>
    <t>C00008+C00009+C04823</t>
  </si>
  <si>
    <t>C00008*C00009*C04823</t>
  </si>
  <si>
    <t>C00002+C00327+C00049</t>
  </si>
  <si>
    <t>C00002*C00327*C00049</t>
  </si>
  <si>
    <t>C00020+C00013+C03406</t>
  </si>
  <si>
    <t>C00020*C00013*C03406</t>
  </si>
  <si>
    <t>C00002+C01879+C00001</t>
  </si>
  <si>
    <t>C00002*C01879*C00001</t>
  </si>
  <si>
    <t>C00008+C00009+C00025</t>
  </si>
  <si>
    <t>C00008*C00009*C00025</t>
  </si>
  <si>
    <t>C01228+C00001</t>
  </si>
  <si>
    <t>C01228*C00001</t>
  </si>
  <si>
    <t>C00035+C00013</t>
  </si>
  <si>
    <t>C00035*C00013</t>
  </si>
  <si>
    <t>C00063 + C00046</t>
  </si>
  <si>
    <t>C00063 * C00046</t>
  </si>
  <si>
    <t>C00075 + C00046</t>
  </si>
  <si>
    <t>C00075 * C00046</t>
  </si>
  <si>
    <t>C00058+C15602</t>
  </si>
  <si>
    <t>C00058*C15602</t>
  </si>
  <si>
    <t>C00011+C15603</t>
  </si>
  <si>
    <t>C00011*C15603</t>
  </si>
  <si>
    <t>C00058+C00003</t>
  </si>
  <si>
    <t>C00058*C00003</t>
  </si>
  <si>
    <t>C00080+C00011+C00004</t>
  </si>
  <si>
    <t>C00080*C00011*C00004</t>
  </si>
  <si>
    <t>C00024+C03803</t>
  </si>
  <si>
    <t>C00024*C03803</t>
  </si>
  <si>
    <t>C00010+C04341</t>
  </si>
  <si>
    <t>C00010*C04341</t>
  </si>
  <si>
    <t>C19771+C00147</t>
  </si>
  <si>
    <t>C19771*C00147</t>
  </si>
  <si>
    <t>C00024+C00158</t>
  </si>
  <si>
    <t>C00024*C00158</t>
  </si>
  <si>
    <t>C00033+C00566</t>
  </si>
  <si>
    <t>C00033*C00566</t>
  </si>
  <si>
    <t>C00024+C00036</t>
  </si>
  <si>
    <t>C00024*C00036</t>
  </si>
  <si>
    <t>C00033+C00036</t>
  </si>
  <si>
    <t>C00033*C00036</t>
  </si>
  <si>
    <t>C00002+C00033+C04298</t>
  </si>
  <si>
    <t>C00002*C00033*C04298</t>
  </si>
  <si>
    <t>C00020+C00013+C04334</t>
  </si>
  <si>
    <t>C00020*C00013*C04334</t>
  </si>
  <si>
    <t>C16236+C22154+C00019+C22150+C00080</t>
  </si>
  <si>
    <t>C16236*C22154*C00019*C22150*C00080</t>
  </si>
  <si>
    <t>C16832+C22155+C00283+C14818+C00073+C05198+C22151</t>
  </si>
  <si>
    <t>C16832*C22155*C00283*C14818*C00073*C05198*C22151</t>
  </si>
  <si>
    <t>C22160+C22154+C00019+C22150+C00080</t>
  </si>
  <si>
    <t>C22160*C22154*C00019*C22150*C00080</t>
  </si>
  <si>
    <t>C15973+C22155+C00283+C14818+C00073+ C05198+C22151</t>
  </si>
  <si>
    <t>C15973*C22155*C00283*C14818*C00073* C05198*C22151</t>
  </si>
  <si>
    <t>C22159+C22154+C00019+C22150+C00080</t>
  </si>
  <si>
    <t>C22159*C22154*C00019*C22150*C00080</t>
  </si>
  <si>
    <t>C02972+C22155+C00283+ C14818+C00073+C05198+C22151</t>
  </si>
  <si>
    <t>C02972*C22155*C00283* C14818*C00073*C05198*C22151</t>
  </si>
  <si>
    <t>C05752+C16240</t>
  </si>
  <si>
    <t>C05752*C16240</t>
  </si>
  <si>
    <t>C16236+C00229</t>
  </si>
  <si>
    <t>C16236*C00229</t>
  </si>
  <si>
    <t>C05752+C22158</t>
  </si>
  <si>
    <t>C05752*C22158</t>
  </si>
  <si>
    <t>C22160+C00229</t>
  </si>
  <si>
    <t>C22160*C00229</t>
  </si>
  <si>
    <t>C05752+C22157</t>
  </si>
  <si>
    <t>C05752*C22157</t>
  </si>
  <si>
    <t>C22159+C00229</t>
  </si>
  <si>
    <t>C22159*C00229</t>
  </si>
  <si>
    <t>C16239+C16240</t>
  </si>
  <si>
    <t>C16239*C16240</t>
  </si>
  <si>
    <t>C16237+C00229</t>
  </si>
  <si>
    <t>C16237*C00229</t>
  </si>
  <si>
    <t>4_2_1_8</t>
  </si>
  <si>
    <t>2_7_7_38</t>
  </si>
  <si>
    <t>2_7_1_130</t>
  </si>
  <si>
    <t>2_7_7_19</t>
  </si>
  <si>
    <t>2_7_6_3</t>
  </si>
  <si>
    <t>2_5_1_75</t>
  </si>
  <si>
    <t>2_7_7_42</t>
  </si>
  <si>
    <t>2_7_7_89</t>
  </si>
  <si>
    <t>1_17_4_2</t>
  </si>
  <si>
    <t>6_1_1_16</t>
  </si>
  <si>
    <t>5_2_1_8</t>
  </si>
  <si>
    <t>4_2_3_1</t>
  </si>
  <si>
    <t>2_7_1_39</t>
  </si>
  <si>
    <t>1_1_1_3</t>
  </si>
  <si>
    <t>2_7_2_4</t>
  </si>
  <si>
    <t>3_5_1_18</t>
  </si>
  <si>
    <t>6_1_1_11</t>
  </si>
  <si>
    <t>2_1_1_173</t>
  </si>
  <si>
    <t>6_3_2_45</t>
  </si>
  <si>
    <t>1_11_1_24</t>
  </si>
  <si>
    <t>2_7_8_5</t>
  </si>
  <si>
    <t>2_7_1_48</t>
  </si>
  <si>
    <t>3_5_4_13</t>
  </si>
  <si>
    <t>2_7_7_7</t>
  </si>
  <si>
    <t>3_5_1_25</t>
  </si>
  <si>
    <t>3_5_99_6</t>
  </si>
  <si>
    <t>4_1_3_3</t>
  </si>
  <si>
    <t>1_1_1_100</t>
  </si>
  <si>
    <t>2_3_1_39</t>
  </si>
  <si>
    <t>4_1_1_65</t>
  </si>
  <si>
    <t>1_8_1_7</t>
  </si>
  <si>
    <t>2_8_1_13</t>
  </si>
  <si>
    <t>1_97_1_4</t>
  </si>
  <si>
    <t>2_3_1_54</t>
  </si>
  <si>
    <t>2_7_1_59</t>
  </si>
  <si>
    <t>3_1_2_12</t>
  </si>
  <si>
    <t>1_4_1_4</t>
  </si>
  <si>
    <t>6_2_1_26</t>
  </si>
  <si>
    <t>4_2_3_5</t>
  </si>
  <si>
    <t>2_3_1_243</t>
  </si>
  <si>
    <t>2_7_9_3</t>
  </si>
  <si>
    <t>2_1_1_228</t>
  </si>
  <si>
    <t>2_7_1_71</t>
  </si>
  <si>
    <t>4_2_3_4</t>
  </si>
  <si>
    <t>2_1_1_72</t>
  </si>
  <si>
    <t>3_5_4_25</t>
  </si>
  <si>
    <t>6_3_4_15</t>
  </si>
  <si>
    <t>1_1_1_205</t>
  </si>
  <si>
    <t>6_3_5_2</t>
  </si>
  <si>
    <t>2_7_7_8</t>
  </si>
  <si>
    <t>1_20_4_1</t>
  </si>
  <si>
    <t>2_4_2_29</t>
  </si>
  <si>
    <t>2_4_99_17</t>
  </si>
  <si>
    <t>4_3_3_7</t>
  </si>
  <si>
    <t>2_7_1_166</t>
  </si>
  <si>
    <t>4_1_2_25</t>
  </si>
  <si>
    <t>2_3_1_15</t>
  </si>
  <si>
    <t>1_3_1_98</t>
  </si>
  <si>
    <t>2_4_2_10</t>
  </si>
  <si>
    <t>6_1_1_17</t>
  </si>
  <si>
    <t>2_4_2_3</t>
  </si>
  <si>
    <t>4_2_99_20</t>
  </si>
  <si>
    <t>2_2_1_9</t>
  </si>
  <si>
    <t>4_3_1_17</t>
  </si>
  <si>
    <t>3_5_1_28</t>
  </si>
  <si>
    <t>1_5_1_2</t>
  </si>
  <si>
    <t>6_1_1_12</t>
  </si>
  <si>
    <t>4_4_1_5</t>
  </si>
  <si>
    <t>2_7_6_5</t>
  </si>
  <si>
    <t>2_7_7_75</t>
  </si>
  <si>
    <t>2_1_1_33</t>
  </si>
  <si>
    <t>2_7_4_3</t>
  </si>
  <si>
    <t>5_1_3_2</t>
  </si>
  <si>
    <t>1_17_7_1</t>
  </si>
  <si>
    <t>6_1_1_21</t>
  </si>
  <si>
    <t>2_8_1_7</t>
  </si>
  <si>
    <t>2_3_1_234</t>
  </si>
  <si>
    <t>6_2_1_3</t>
  </si>
  <si>
    <t>3_1_1_29</t>
  </si>
  <si>
    <t>3_6_1_13</t>
  </si>
  <si>
    <t>3_1_4_53</t>
  </si>
  <si>
    <t>6_3_4_19</t>
  </si>
  <si>
    <t>2_7_1_50</t>
  </si>
  <si>
    <t>2_7_1_49</t>
  </si>
  <si>
    <t>2_7_4_7</t>
  </si>
  <si>
    <t>2_7_8_8</t>
  </si>
  <si>
    <t>2_6_1_16</t>
  </si>
  <si>
    <t>3_6_1_22</t>
  </si>
  <si>
    <t>2_7_1_56</t>
  </si>
  <si>
    <t>2_7_4_9</t>
  </si>
  <si>
    <t>2_4_2_9</t>
  </si>
  <si>
    <t>3_6_1_9</t>
  </si>
  <si>
    <t>5_3_1_6</t>
  </si>
  <si>
    <t>1_1_1_95</t>
  </si>
  <si>
    <t>2_4_2_17</t>
  </si>
  <si>
    <t>1_1_1_23</t>
  </si>
  <si>
    <t>2_6_1_9</t>
  </si>
  <si>
    <t>3_1_3_15</t>
  </si>
  <si>
    <t>4_2_1_19</t>
  </si>
  <si>
    <t>4_3_2_10</t>
  </si>
  <si>
    <t>5_3_1_16</t>
  </si>
  <si>
    <t>3_5_4_19</t>
  </si>
  <si>
    <t>3_6_1_31</t>
  </si>
  <si>
    <t>7_1_2_2</t>
  </si>
  <si>
    <t>4_4_1_21</t>
  </si>
  <si>
    <t>3_1_3_2</t>
  </si>
  <si>
    <t>5_4_99_62</t>
  </si>
  <si>
    <t>2_7_1_15</t>
  </si>
  <si>
    <t>2_7_7_6</t>
  </si>
  <si>
    <t>2_4_2_1</t>
  </si>
  <si>
    <t>4_1_2_13</t>
  </si>
  <si>
    <t>2_7_2_3</t>
  </si>
  <si>
    <t>2_7_1_21</t>
  </si>
  <si>
    <t>4_3_1_1</t>
  </si>
  <si>
    <t>3_5_1_5</t>
  </si>
  <si>
    <t>2_1_1_182</t>
  </si>
  <si>
    <t>3_6_1_41</t>
  </si>
  <si>
    <t>1_1_1_44</t>
  </si>
  <si>
    <t>3_1_1_31</t>
  </si>
  <si>
    <t>3_1_3_7</t>
  </si>
  <si>
    <t>6_3_1_1</t>
  </si>
  <si>
    <t>3_1_3_18</t>
  </si>
  <si>
    <t>5_1_3_1</t>
  </si>
  <si>
    <t>2_7_1_33</t>
  </si>
  <si>
    <t>2_1_2_9</t>
  </si>
  <si>
    <t>3_5_1_88</t>
  </si>
  <si>
    <t>2_1_3_3</t>
  </si>
  <si>
    <t>2_7_2_2</t>
  </si>
  <si>
    <t>3_1_4_16</t>
  </si>
  <si>
    <t>6_1_1_2</t>
  </si>
  <si>
    <t>4_3_2_2</t>
  </si>
  <si>
    <t>1_7_2_3</t>
  </si>
  <si>
    <t>1_2_1_11</t>
  </si>
  <si>
    <t>2_7_7_3</t>
  </si>
  <si>
    <t>2_4_99_12</t>
  </si>
  <si>
    <t>1_1_1_25</t>
  </si>
  <si>
    <t>3_1_3_11</t>
  </si>
  <si>
    <t>4_6_1_12</t>
  </si>
  <si>
    <t>2_7_7_60</t>
  </si>
  <si>
    <t>2_4_2_22</t>
  </si>
  <si>
    <t>5_3_1_1</t>
  </si>
  <si>
    <t>2_8_1_1</t>
  </si>
  <si>
    <t>1_1_1_86</t>
  </si>
  <si>
    <t>1_1_5_3</t>
  </si>
  <si>
    <t>3_1_4_46</t>
  </si>
  <si>
    <t>2_7_1_30</t>
  </si>
  <si>
    <t>3_1_3_6</t>
  </si>
  <si>
    <t>4_1_99_1</t>
  </si>
  <si>
    <t>2_9_1_1</t>
  </si>
  <si>
    <t>4_6_1_1</t>
  </si>
  <si>
    <t>1_1_1_94</t>
  </si>
  <si>
    <t>2_3_1_30</t>
  </si>
  <si>
    <t>1_5_1_5</t>
  </si>
  <si>
    <t>3_5_4_9</t>
  </si>
  <si>
    <t>4_1_2_17</t>
  </si>
  <si>
    <t>5_1_3_29</t>
  </si>
  <si>
    <t>2_7_1_51</t>
  </si>
  <si>
    <t>5_3_1_25</t>
  </si>
  <si>
    <t>3_1_3_82</t>
  </si>
  <si>
    <t>4_1_1_20</t>
  </si>
  <si>
    <t>6_1_1_15</t>
  </si>
  <si>
    <t>2_3_1_51</t>
  </si>
  <si>
    <t>3_6_1_54</t>
  </si>
  <si>
    <t>4_2_1_9</t>
  </si>
  <si>
    <t>4_3_1_19</t>
  </si>
  <si>
    <t>5_1_1_7</t>
  </si>
  <si>
    <t>6_3_5_3</t>
  </si>
  <si>
    <t>5_4_2_11</t>
  </si>
  <si>
    <t>2_7_1_22</t>
  </si>
  <si>
    <t>2_7_7_1</t>
  </si>
  <si>
    <t>4_1_99_12</t>
  </si>
  <si>
    <t>1_1_1_267</t>
  </si>
  <si>
    <t>4_1_1_49</t>
  </si>
  <si>
    <t>4_3_2_1</t>
  </si>
  <si>
    <t>2_7_7_9</t>
  </si>
  <si>
    <t>6_1_1_7</t>
  </si>
  <si>
    <t>2_7_1_6</t>
  </si>
  <si>
    <t>3_1_2_20</t>
  </si>
  <si>
    <t>2_7_7_77</t>
  </si>
  <si>
    <t>2_1_1_35</t>
  </si>
  <si>
    <t>1_14_14_18</t>
  </si>
  <si>
    <t>6_3_3_2</t>
  </si>
  <si>
    <t>1_4_3_5</t>
  </si>
  <si>
    <t>6_3_1_2</t>
  </si>
  <si>
    <t>4_2_1_46</t>
  </si>
  <si>
    <t>3_4_11_23</t>
  </si>
  <si>
    <t>2_7_4_6</t>
  </si>
  <si>
    <t>2_5_1_90</t>
  </si>
  <si>
    <t>2_1_2_3</t>
  </si>
  <si>
    <t>3_5_4_10</t>
  </si>
  <si>
    <t>2_7_1_24</t>
  </si>
  <si>
    <t>2_7_2_11</t>
  </si>
  <si>
    <t>2_1_1_45</t>
  </si>
  <si>
    <t>2_3_1_191</t>
  </si>
  <si>
    <t>2_7_7_41</t>
  </si>
  <si>
    <t>2_5_1_31</t>
  </si>
  <si>
    <t>6_1_1_4</t>
  </si>
  <si>
    <t>6_1_1_14</t>
  </si>
  <si>
    <t>4_2_1_11</t>
  </si>
  <si>
    <t>3_1_3_25</t>
  </si>
  <si>
    <t>4_1_1_86</t>
  </si>
  <si>
    <t>2_6_1_76</t>
  </si>
  <si>
    <t>4_1_1_36</t>
  </si>
  <si>
    <t>6_3_2_5</t>
  </si>
  <si>
    <t>3_6_1_23</t>
  </si>
  <si>
    <t>3_2_1_52</t>
  </si>
  <si>
    <t>6_1_1_5</t>
  </si>
  <si>
    <t>2_7_1_26</t>
  </si>
  <si>
    <t>2_7_7_2</t>
  </si>
  <si>
    <t>4_1_3_36</t>
  </si>
  <si>
    <t>4_2_1_113</t>
  </si>
  <si>
    <t>4_2_1_10</t>
  </si>
  <si>
    <t>6_4_1_2</t>
  </si>
  <si>
    <t>6_3_4_14</t>
  </si>
  <si>
    <t>2_7_1_11</t>
  </si>
  <si>
    <t>2_3_3_13</t>
  </si>
  <si>
    <t>1_1_1_85</t>
  </si>
  <si>
    <t>4_2_1_33</t>
  </si>
  <si>
    <t>1_17_7_4</t>
  </si>
  <si>
    <t>2_8_1_6</t>
  </si>
  <si>
    <t>2_2_1_1</t>
  </si>
  <si>
    <t>3_1_3_3</t>
  </si>
  <si>
    <t>1_8_5_3</t>
  </si>
  <si>
    <t>2_4_1_182</t>
  </si>
  <si>
    <t>2_3_1_129</t>
  </si>
  <si>
    <t>4_2_1_59</t>
  </si>
  <si>
    <t>2_7_4_22</t>
  </si>
  <si>
    <t>1_7_2_2</t>
  </si>
  <si>
    <t>6_3_4_2</t>
  </si>
  <si>
    <t>2_5_1_7</t>
  </si>
  <si>
    <t>1_15_1_1</t>
  </si>
  <si>
    <t>6_5_1_2</t>
  </si>
  <si>
    <t>2_5_1_47</t>
  </si>
  <si>
    <t>5_3_1_5</t>
  </si>
  <si>
    <t>2_7_1_17</t>
  </si>
  <si>
    <t>5_1_3_20</t>
  </si>
  <si>
    <t>4_1_2_4</t>
  </si>
  <si>
    <t>2_2_1_2</t>
  </si>
  <si>
    <t>6_3_2_13</t>
  </si>
  <si>
    <t>6_3_2_10</t>
  </si>
  <si>
    <t>2_7_8_13</t>
  </si>
  <si>
    <t>6_3_2_9</t>
  </si>
  <si>
    <t>2_4_1_227</t>
  </si>
  <si>
    <t>6_3_2_8</t>
  </si>
  <si>
    <t>3_5_1_108</t>
  </si>
  <si>
    <t>4_2_1_51</t>
  </si>
  <si>
    <t>2_4_2_8</t>
  </si>
  <si>
    <t>1_8_1_9</t>
  </si>
  <si>
    <t>2_6_1_52</t>
  </si>
  <si>
    <t>2_6_1_85</t>
  </si>
  <si>
    <t>2_5_1_6</t>
  </si>
  <si>
    <t>5_3_1_28</t>
  </si>
  <si>
    <t>6_5_1_1</t>
  </si>
  <si>
    <t>4_1_2_50</t>
  </si>
  <si>
    <t>6_3_4_20</t>
  </si>
  <si>
    <t>2_6_1_42</t>
  </si>
  <si>
    <t>6_2_1_5</t>
  </si>
  <si>
    <t>2_1_1_298</t>
  </si>
  <si>
    <t>2_3_1_8</t>
  </si>
  <si>
    <t>2_4_2_14</t>
  </si>
  <si>
    <t>1_1_1_37</t>
  </si>
  <si>
    <t>6_1_1_6</t>
  </si>
  <si>
    <t>3_2_2_9</t>
  </si>
  <si>
    <t>5_4_99_12</t>
  </si>
  <si>
    <t>4_1_1_31</t>
  </si>
  <si>
    <t>2_3_1_117</t>
  </si>
  <si>
    <t>6_3_4_4</t>
  </si>
  <si>
    <t>6_3_4_18</t>
  </si>
  <si>
    <t>4_1_1_21</t>
  </si>
  <si>
    <t>5_4_99_18</t>
  </si>
  <si>
    <t>2_5_1_9</t>
  </si>
  <si>
    <t>6_1_1_1</t>
  </si>
  <si>
    <t>2_7_1_148</t>
  </si>
  <si>
    <t>2_7_7_72</t>
  </si>
  <si>
    <t>2_5_1_19</t>
  </si>
  <si>
    <t>3_5_1_10</t>
  </si>
  <si>
    <t>2_2_1_6</t>
  </si>
  <si>
    <t>6_1_1_19</t>
  </si>
  <si>
    <t>5_3_1_9</t>
  </si>
  <si>
    <t>5_1_1_1</t>
  </si>
  <si>
    <t>2_7_1_40</t>
  </si>
  <si>
    <t>2_5_1_55</t>
  </si>
  <si>
    <t>2_6_1_62</t>
  </si>
  <si>
    <t>2_3_1_47</t>
  </si>
  <si>
    <t>2_1_1_197</t>
  </si>
  <si>
    <t>6_3_3_3</t>
  </si>
  <si>
    <t>2_5_1_54</t>
  </si>
  <si>
    <t>2_3_1_41</t>
  </si>
  <si>
    <t>2_7_1_167</t>
  </si>
  <si>
    <t>6_1_1_22</t>
  </si>
  <si>
    <t>2_5_1_78</t>
  </si>
  <si>
    <t>2_7_4_16</t>
  </si>
  <si>
    <t>3_1_3_27</t>
  </si>
  <si>
    <t>1_17_1_8</t>
  </si>
  <si>
    <t>6_1_1_20</t>
  </si>
  <si>
    <t>5_3_3_14</t>
  </si>
  <si>
    <t>2_5_1_15</t>
  </si>
  <si>
    <t>5_4_2_10</t>
  </si>
  <si>
    <t>2_7_7_80</t>
  </si>
  <si>
    <t>2_10_1_1</t>
  </si>
  <si>
    <t>3_5_4_16</t>
  </si>
  <si>
    <t>1_5_1_20</t>
  </si>
  <si>
    <t>2_2_1_7</t>
  </si>
  <si>
    <t>2_5_1_10</t>
  </si>
  <si>
    <t>2_8_1_4</t>
  </si>
  <si>
    <t>4_2_1_20</t>
  </si>
  <si>
    <t>6_3_3_1</t>
  </si>
  <si>
    <t>2_1_2_2</t>
  </si>
  <si>
    <t>1_3_5_2</t>
  </si>
  <si>
    <t>4_2_1_2</t>
  </si>
  <si>
    <t>2_1_1_37</t>
  </si>
  <si>
    <t>6_1_1_9</t>
  </si>
  <si>
    <t>4_1_1_48</t>
  </si>
  <si>
    <t>4_1_3_27</t>
  </si>
  <si>
    <t>1_16_3_2</t>
  </si>
  <si>
    <t>6_1_1_3</t>
  </si>
  <si>
    <t>2_4_1_21</t>
  </si>
  <si>
    <t>2_7_7_27</t>
  </si>
  <si>
    <t>2_4_1_18</t>
  </si>
  <si>
    <t>6_1_1_18</t>
  </si>
  <si>
    <t>3_5_4_5</t>
  </si>
  <si>
    <t>1_7_1_13</t>
  </si>
  <si>
    <t>1_3_1_12</t>
  </si>
  <si>
    <t>5_4_99_5</t>
  </si>
  <si>
    <t>6_1_1_10</t>
  </si>
  <si>
    <t>3_1_2_6</t>
  </si>
  <si>
    <t>6_3_2_12</t>
  </si>
  <si>
    <t>6_3_2_17</t>
  </si>
  <si>
    <t>1_2_1_41</t>
  </si>
  <si>
    <t>4_2_3_3</t>
  </si>
  <si>
    <t>1_2_4_1</t>
  </si>
  <si>
    <t>2_3_1_12</t>
  </si>
  <si>
    <t>1_8_1_4</t>
  </si>
  <si>
    <t>2_4_2_7</t>
  </si>
  <si>
    <t>4_1_1_23</t>
  </si>
  <si>
    <t>2_7_4_25</t>
  </si>
  <si>
    <t>3_5_1_2</t>
  </si>
  <si>
    <t>4_3_3_6</t>
  </si>
  <si>
    <t>1_1_1_28</t>
  </si>
  <si>
    <t>1_17_4_1</t>
  </si>
  <si>
    <t>2_3_1_61</t>
  </si>
  <si>
    <t>1_2_4_2</t>
  </si>
  <si>
    <t>2_8_1_12</t>
  </si>
  <si>
    <t>4_6_1_17</t>
  </si>
  <si>
    <t>4_1_99_22</t>
  </si>
  <si>
    <t>2_1_1_14</t>
  </si>
  <si>
    <t>2_7_1_199</t>
  </si>
  <si>
    <t>2_7_3_9</t>
  </si>
  <si>
    <t>6_3_2_6</t>
  </si>
  <si>
    <t>6_3_4_5</t>
  </si>
  <si>
    <t>3_5_2_9</t>
  </si>
  <si>
    <t>5_1_1_3</t>
  </si>
  <si>
    <t>3_1_7_2</t>
  </si>
  <si>
    <t>1_17_5_3</t>
  </si>
  <si>
    <t>1_17_1_9</t>
  </si>
  <si>
    <t>2_3_1_266</t>
  </si>
  <si>
    <t>2_4_2_52</t>
  </si>
  <si>
    <t>2_8_3_10</t>
  </si>
  <si>
    <t>4_1_3_34</t>
  </si>
  <si>
    <t>4_1_3_6</t>
  </si>
  <si>
    <t>6_2_1_22</t>
  </si>
  <si>
    <t>2_8_1_8</t>
  </si>
  <si>
    <t>2_3_1_181</t>
  </si>
  <si>
    <t>5_3_1_12</t>
  </si>
  <si>
    <t>7_5_2_5</t>
  </si>
  <si>
    <t>2_1_1_264</t>
  </si>
  <si>
    <t>4_4_1_8</t>
  </si>
  <si>
    <t>3_1_26_4</t>
  </si>
  <si>
    <t>7_2_1_1</t>
  </si>
  <si>
    <t>5_4_99_23</t>
  </si>
  <si>
    <t>3_4_24_70</t>
  </si>
  <si>
    <t>2_7_13_3</t>
  </si>
  <si>
    <t>2_1_1_193</t>
  </si>
  <si>
    <t>3_1_22_4</t>
  </si>
  <si>
    <t>3_6_4_12</t>
  </si>
  <si>
    <t>3_6_1_67</t>
  </si>
  <si>
    <t>2_1_1_190</t>
  </si>
  <si>
    <t>2_1_1_192</t>
  </si>
  <si>
    <t>2_1_1_200</t>
  </si>
  <si>
    <t>3_1_13_5</t>
  </si>
  <si>
    <t>3_1_11_6</t>
  </si>
  <si>
    <t>5_4_99_24</t>
  </si>
  <si>
    <t>3_1_26_12</t>
  </si>
  <si>
    <t>2_5_1_3</t>
  </si>
  <si>
    <t>3_6_4_13</t>
  </si>
  <si>
    <t>3_4_21_53</t>
  </si>
  <si>
    <t>2_1_1_170</t>
  </si>
  <si>
    <t>3_4_25_2</t>
  </si>
  <si>
    <t>5_6_2_2</t>
  </si>
  <si>
    <t>2_1_1_176</t>
  </si>
  <si>
    <t>3_4_13_21</t>
  </si>
  <si>
    <t>1_3_1_91</t>
  </si>
  <si>
    <t>3_1_1_96</t>
  </si>
  <si>
    <t>5_4_99_27</t>
  </si>
  <si>
    <t>3_4_21_92</t>
  </si>
  <si>
    <t>5_4_99_28</t>
  </si>
  <si>
    <t>5_4_99_29</t>
  </si>
  <si>
    <t>3_4_21_105</t>
  </si>
  <si>
    <t>3_4_21_88</t>
  </si>
  <si>
    <t>3_2_2_31</t>
  </si>
  <si>
    <t>2_1_1_207</t>
  </si>
  <si>
    <t>2_1_1_171</t>
  </si>
  <si>
    <t>3_4_11_9</t>
  </si>
  <si>
    <t>2_4_1_129</t>
  </si>
  <si>
    <t>1_3_5_4</t>
  </si>
  <si>
    <t>2_1_1_185</t>
  </si>
  <si>
    <t>3_1_13_1</t>
  </si>
  <si>
    <t>6_3_4_13</t>
  </si>
  <si>
    <t>2_5_1_145</t>
  </si>
  <si>
    <t>3_5_4_33</t>
  </si>
  <si>
    <t>3_1_11_5</t>
  </si>
  <si>
    <t>3_2_2_23</t>
  </si>
  <si>
    <t>2_1_1_189</t>
  </si>
  <si>
    <t>3_1_26_5</t>
  </si>
  <si>
    <t>3_4_23_36</t>
  </si>
  <si>
    <t>7_6_2_15</t>
  </si>
  <si>
    <t>2_1_1_199</t>
  </si>
  <si>
    <t>4_99_1_1</t>
  </si>
  <si>
    <t>7_4_2_1</t>
  </si>
  <si>
    <t>2_1_1_186</t>
  </si>
  <si>
    <t>5_4_99_22</t>
  </si>
  <si>
    <t>5_3_4_1</t>
  </si>
  <si>
    <t>3_4_11_2</t>
  </si>
  <si>
    <t>2_7_7_70</t>
  </si>
  <si>
    <t>3_4_16_4</t>
  </si>
  <si>
    <t>2_1_1_166</t>
  </si>
  <si>
    <t>5_4_99_26</t>
  </si>
  <si>
    <t>5_3_1_24</t>
  </si>
  <si>
    <t>2_4_2_18</t>
  </si>
  <si>
    <t>7_3_2_1</t>
  </si>
  <si>
    <t>3_1_11_1</t>
  </si>
  <si>
    <t>5_6_2_1</t>
  </si>
  <si>
    <t>1_6_1_2</t>
  </si>
  <si>
    <t>2_4_1_25</t>
  </si>
  <si>
    <t>3_4_11_4</t>
  </si>
  <si>
    <t>5_4_99_25</t>
  </si>
  <si>
    <t>2_3_1_31</t>
  </si>
  <si>
    <t>5_4_99_19</t>
  </si>
  <si>
    <t>2_1_1_198</t>
  </si>
  <si>
    <t>3_4_21_102</t>
  </si>
  <si>
    <t>4_2_99_18</t>
  </si>
  <si>
    <t>7_3_2_5</t>
  </si>
  <si>
    <t>2_4_99_6</t>
  </si>
  <si>
    <t>3_4_11_1</t>
  </si>
  <si>
    <t>3_4_11_18</t>
  </si>
  <si>
    <t>2_1_1_172</t>
  </si>
  <si>
    <t>3_1_26_3</t>
  </si>
  <si>
    <t>3_4_21_89</t>
  </si>
  <si>
    <t>3_2_2_27</t>
  </si>
  <si>
    <t>2_8_4_3</t>
  </si>
  <si>
    <t>2_1_1_177</t>
  </si>
  <si>
    <t>3_1_11_2</t>
  </si>
  <si>
    <t>C00064+C00001+C00025+C00014</t>
  </si>
  <si>
    <t>C00064*C00001*C00025*C00014</t>
  </si>
  <si>
    <t>C023552: 3'-Cyclic 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</si>
</sst>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</font>
    <font>
      <sz val="12"/>
      <color rgb="FF212121"/>
      <name val="Calibri"/>
      <family val="2"/>
    </font>
    <font>
      <sz val="10"/>
      <color rgb="FF323A45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0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800080"/>
      <name val="Arial"/>
      <family val="2"/>
    </font>
    <font>
      <u/>
      <sz val="10"/>
      <color rgb="FF1155CC"/>
      <name val="Arial"/>
      <family val="2"/>
    </font>
    <font>
      <u/>
      <sz val="10"/>
      <color rgb="FF800080"/>
      <name val="SimSun"/>
    </font>
    <font>
      <b/>
      <sz val="11"/>
      <color theme="1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B3CEFA"/>
        <bgColor rgb="FFB3CEFA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CCCC"/>
        <bgColor rgb="FFFFCCC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 applyAlignment="1">
      <alignment horizontal="left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6" fillId="0" borderId="0" xfId="0" applyFont="1"/>
    <xf numFmtId="0" fontId="6" fillId="3" borderId="2" xfId="0" applyFont="1" applyFill="1" applyBorder="1"/>
    <xf numFmtId="0" fontId="3" fillId="4" borderId="2" xfId="0" applyFont="1" applyFill="1" applyBorder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8" fillId="0" borderId="3" xfId="0" applyFont="1" applyBorder="1"/>
    <xf numFmtId="0" fontId="18" fillId="3" borderId="3" xfId="0" applyFont="1" applyFill="1" applyBorder="1"/>
    <xf numFmtId="0" fontId="18" fillId="4" borderId="3" xfId="0" applyFont="1" applyFill="1" applyBorder="1"/>
    <xf numFmtId="0" fontId="1" fillId="0" borderId="3" xfId="0" applyFont="1" applyBorder="1"/>
    <xf numFmtId="0" fontId="1" fillId="3" borderId="3" xfId="0" applyFont="1" applyFill="1" applyBorder="1"/>
    <xf numFmtId="0" fontId="1" fillId="4" borderId="3" xfId="0" applyFont="1" applyFill="1" applyBorder="1"/>
    <xf numFmtId="0" fontId="6" fillId="0" borderId="3" xfId="0" applyFont="1" applyBorder="1"/>
    <xf numFmtId="0" fontId="6" fillId="4" borderId="3" xfId="0" applyFont="1" applyFill="1" applyBorder="1"/>
    <xf numFmtId="0" fontId="19" fillId="0" borderId="3" xfId="0" applyFont="1" applyBorder="1"/>
    <xf numFmtId="0" fontId="6" fillId="3" borderId="3" xfId="0" applyFont="1" applyFill="1" applyBorder="1"/>
    <xf numFmtId="0" fontId="3" fillId="4" borderId="3" xfId="0" applyFont="1" applyFill="1" applyBorder="1"/>
    <xf numFmtId="0" fontId="8" fillId="0" borderId="3" xfId="0" applyFont="1" applyBorder="1"/>
    <xf numFmtId="0" fontId="20" fillId="4" borderId="3" xfId="0" applyFont="1" applyFill="1" applyBorder="1"/>
    <xf numFmtId="0" fontId="19" fillId="4" borderId="3" xfId="0" applyFont="1" applyFill="1" applyBorder="1"/>
    <xf numFmtId="0" fontId="20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6" fillId="0" borderId="3" xfId="0" quotePrefix="1" applyFont="1" applyBorder="1"/>
    <xf numFmtId="0" fontId="3" fillId="0" borderId="3" xfId="0" applyFont="1" applyBorder="1"/>
    <xf numFmtId="0" fontId="6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1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left" wrapText="1"/>
    </xf>
    <xf numFmtId="0" fontId="18" fillId="5" borderId="3" xfId="0" applyFont="1" applyFill="1" applyBorder="1" applyAlignment="1">
      <alignment wrapText="1"/>
    </xf>
    <xf numFmtId="0" fontId="18" fillId="6" borderId="3" xfId="0" applyFont="1" applyFill="1" applyBorder="1" applyAlignment="1">
      <alignment wrapText="1"/>
    </xf>
    <xf numFmtId="0" fontId="18" fillId="7" borderId="3" xfId="0" applyFont="1" applyFill="1" applyBorder="1" applyAlignment="1">
      <alignment wrapText="1"/>
    </xf>
    <xf numFmtId="0" fontId="18" fillId="8" borderId="3" xfId="0" applyFont="1" applyFill="1" applyBorder="1" applyAlignment="1">
      <alignment wrapText="1"/>
    </xf>
    <xf numFmtId="0" fontId="18" fillId="4" borderId="3" xfId="0" applyFont="1" applyFill="1" applyBorder="1" applyAlignment="1">
      <alignment wrapText="1"/>
    </xf>
    <xf numFmtId="0" fontId="18" fillId="9" borderId="3" xfId="0" applyFont="1" applyFill="1" applyBorder="1" applyAlignment="1">
      <alignment wrapText="1"/>
    </xf>
    <xf numFmtId="0" fontId="18" fillId="10" borderId="3" xfId="0" applyFont="1" applyFill="1" applyBorder="1" applyAlignment="1">
      <alignment wrapText="1"/>
    </xf>
    <xf numFmtId="0" fontId="18" fillId="3" borderId="3" xfId="0" applyFont="1" applyFill="1" applyBorder="1" applyAlignment="1">
      <alignment wrapText="1"/>
    </xf>
    <xf numFmtId="0" fontId="18" fillId="11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11" borderId="3" xfId="0" applyFont="1" applyFill="1" applyBorder="1" applyAlignment="1">
      <alignment wrapText="1"/>
    </xf>
    <xf numFmtId="0" fontId="1" fillId="12" borderId="3" xfId="0" applyFont="1" applyFill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8" fillId="13" borderId="3" xfId="0" applyFont="1" applyFill="1" applyBorder="1" applyAlignment="1">
      <alignment wrapText="1"/>
    </xf>
    <xf numFmtId="0" fontId="20" fillId="0" borderId="3" xfId="0" applyFont="1" applyBorder="1" applyAlignment="1">
      <alignment wrapText="1"/>
    </xf>
    <xf numFmtId="0" fontId="11" fillId="13" borderId="3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14" fillId="13" borderId="2" xfId="0" applyFont="1" applyFill="1" applyBorder="1" applyAlignment="1">
      <alignment wrapText="1"/>
    </xf>
    <xf numFmtId="0" fontId="8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nuccore/NZ_CP085952.1/" TargetMode="External"/><Relationship Id="rId2" Type="http://schemas.openxmlformats.org/officeDocument/2006/relationships/hyperlink" Target="https://www.ncbi.nlm.nih.gov/nuccore/NZ_CP085952.1/" TargetMode="External"/><Relationship Id="rId1" Type="http://schemas.openxmlformats.org/officeDocument/2006/relationships/hyperlink" Target="https://www.ncbi.nlm.nih.gov/datasets/genome/GCF_020736045.1/" TargetMode="External"/><Relationship Id="rId4" Type="http://schemas.openxmlformats.org/officeDocument/2006/relationships/hyperlink" Target="https://www.ncbi.nlm.nih.gov/nuccore/CP085952.1/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enome.jp/entry/4.2.1.20" TargetMode="External"/><Relationship Id="rId1827" Type="http://schemas.openxmlformats.org/officeDocument/2006/relationships/hyperlink" Target="https://www.genome.jp/entry/R01482" TargetMode="External"/><Relationship Id="rId21" Type="http://schemas.openxmlformats.org/officeDocument/2006/relationships/hyperlink" Target="https://www.genome.jp/entry/R02014" TargetMode="External"/><Relationship Id="rId170" Type="http://schemas.openxmlformats.org/officeDocument/2006/relationships/hyperlink" Target="https://www.genome.jp/entry/6.3.4.15" TargetMode="External"/><Relationship Id="rId268" Type="http://schemas.openxmlformats.org/officeDocument/2006/relationships/hyperlink" Target="https://www.genome.jp/entry/2.7.6.5" TargetMode="External"/><Relationship Id="rId475" Type="http://schemas.openxmlformats.org/officeDocument/2006/relationships/hyperlink" Target="https://www.genome.jp/entry/R00444" TargetMode="External"/><Relationship Id="rId682" Type="http://schemas.openxmlformats.org/officeDocument/2006/relationships/hyperlink" Target="https://www.genome.jp/entry/R01030" TargetMode="External"/><Relationship Id="rId128" Type="http://schemas.openxmlformats.org/officeDocument/2006/relationships/hyperlink" Target="https://www.genome.jp/entry/5.4.99.23" TargetMode="External"/><Relationship Id="rId335" Type="http://schemas.openxmlformats.org/officeDocument/2006/relationships/hyperlink" Target="https://www.genome.jp/entry/2.7.1.56" TargetMode="External"/><Relationship Id="rId542" Type="http://schemas.openxmlformats.org/officeDocument/2006/relationships/hyperlink" Target="https://www.genome.jp/entry/3.5.1.5" TargetMode="External"/><Relationship Id="rId987" Type="http://schemas.openxmlformats.org/officeDocument/2006/relationships/hyperlink" Target="https://www.genome.jp/entry/R04184" TargetMode="External"/><Relationship Id="rId1172" Type="http://schemas.openxmlformats.org/officeDocument/2006/relationships/hyperlink" Target="https://www.genome.jp/entry/R00878" TargetMode="External"/><Relationship Id="rId402" Type="http://schemas.openxmlformats.org/officeDocument/2006/relationships/hyperlink" Target="https://www.genome.jp/entry/3.1.3.15" TargetMode="External"/><Relationship Id="rId847" Type="http://schemas.openxmlformats.org/officeDocument/2006/relationships/hyperlink" Target="https://www.genome.jp/entry/R00594" TargetMode="External"/><Relationship Id="rId1032" Type="http://schemas.openxmlformats.org/officeDocument/2006/relationships/hyperlink" Target="https://www.genome.jp/entry/2.7.1.11" TargetMode="External"/><Relationship Id="rId1477" Type="http://schemas.openxmlformats.org/officeDocument/2006/relationships/hyperlink" Target="https://www.genome.jp/entry/2.1.1.166" TargetMode="External"/><Relationship Id="rId1684" Type="http://schemas.openxmlformats.org/officeDocument/2006/relationships/hyperlink" Target="https://www.genome.jp/entry/R07456" TargetMode="External"/><Relationship Id="rId707" Type="http://schemas.openxmlformats.org/officeDocument/2006/relationships/hyperlink" Target="https://www.genome.jp/entry/R11099" TargetMode="External"/><Relationship Id="rId914" Type="http://schemas.openxmlformats.org/officeDocument/2006/relationships/hyperlink" Target="https://www.genome.jp/entry/2.5.1.90" TargetMode="External"/><Relationship Id="rId1337" Type="http://schemas.openxmlformats.org/officeDocument/2006/relationships/hyperlink" Target="https://www.genome.jp/entry/2.7.7.72" TargetMode="External"/><Relationship Id="rId1544" Type="http://schemas.openxmlformats.org/officeDocument/2006/relationships/hyperlink" Target="https://www.genome.jp/entry/6.1.1.9" TargetMode="External"/><Relationship Id="rId1751" Type="http://schemas.openxmlformats.org/officeDocument/2006/relationships/hyperlink" Target="https://www.genome.jp/entry/5.1.1.3" TargetMode="External"/><Relationship Id="rId43" Type="http://schemas.openxmlformats.org/officeDocument/2006/relationships/hyperlink" Target="https://www.genome.jp/entry/R00480" TargetMode="External"/><Relationship Id="rId1404" Type="http://schemas.openxmlformats.org/officeDocument/2006/relationships/hyperlink" Target="https://www.genome.jp/entry/6.3.3.3" TargetMode="External"/><Relationship Id="rId1611" Type="http://schemas.openxmlformats.org/officeDocument/2006/relationships/hyperlink" Target="https://www.genome.jp/entry/R01776" TargetMode="External"/><Relationship Id="rId192" Type="http://schemas.openxmlformats.org/officeDocument/2006/relationships/hyperlink" Target="https://www.genome.jp/entry/2.7.7.8" TargetMode="External"/><Relationship Id="rId1709" Type="http://schemas.openxmlformats.org/officeDocument/2006/relationships/hyperlink" Target="https://www.genome.jp/entry/R01700" TargetMode="External"/><Relationship Id="rId497" Type="http://schemas.openxmlformats.org/officeDocument/2006/relationships/hyperlink" Target="https://www.genome.jp/entry/R10244" TargetMode="External"/><Relationship Id="rId357" Type="http://schemas.openxmlformats.org/officeDocument/2006/relationships/hyperlink" Target="https://www.genome.jp/entry/3.6.1.9" TargetMode="External"/><Relationship Id="rId1194" Type="http://schemas.openxmlformats.org/officeDocument/2006/relationships/hyperlink" Target="https://www.genome.jp/entry/2.7.8.13" TargetMode="External"/><Relationship Id="rId217" Type="http://schemas.openxmlformats.org/officeDocument/2006/relationships/hyperlink" Target="https://www.genome.jp/entry/1.3.1.98" TargetMode="External"/><Relationship Id="rId564" Type="http://schemas.openxmlformats.org/officeDocument/2006/relationships/hyperlink" Target="https://www.genome.jp/entry/3.1.1.31" TargetMode="External"/><Relationship Id="rId771" Type="http://schemas.openxmlformats.org/officeDocument/2006/relationships/hyperlink" Target="https://www.genome.jp/entry/R11101" TargetMode="External"/><Relationship Id="rId869" Type="http://schemas.openxmlformats.org/officeDocument/2006/relationships/hyperlink" Target="https://www.genome.jp/entry/R00278" TargetMode="External"/><Relationship Id="rId1499" Type="http://schemas.openxmlformats.org/officeDocument/2006/relationships/hyperlink" Target="https://www.genome.jp/entry/R03182" TargetMode="External"/><Relationship Id="rId424" Type="http://schemas.openxmlformats.org/officeDocument/2006/relationships/hyperlink" Target="https://www.genome.jp/entry/7.1.2.2" TargetMode="External"/><Relationship Id="rId631" Type="http://schemas.openxmlformats.org/officeDocument/2006/relationships/hyperlink" Target="https://www.genome.jp/entry/R00762" TargetMode="External"/><Relationship Id="rId729" Type="http://schemas.openxmlformats.org/officeDocument/2006/relationships/hyperlink" Target="https://www.genome.jp/entry/R01655" TargetMode="External"/><Relationship Id="rId1054" Type="http://schemas.openxmlformats.org/officeDocument/2006/relationships/hyperlink" Target="https://www.genome.jp/entry/1.1.1.85" TargetMode="External"/><Relationship Id="rId1261" Type="http://schemas.openxmlformats.org/officeDocument/2006/relationships/hyperlink" Target="https://www.genome.jp/entry/3.6.4.12" TargetMode="External"/><Relationship Id="rId1359" Type="http://schemas.openxmlformats.org/officeDocument/2006/relationships/hyperlink" Target="https://www.genome.jp/entry/6.1.1.19" TargetMode="External"/><Relationship Id="rId936" Type="http://schemas.openxmlformats.org/officeDocument/2006/relationships/hyperlink" Target="https://www.genome.jp/entry/R06447" TargetMode="External"/><Relationship Id="rId1121" Type="http://schemas.openxmlformats.org/officeDocument/2006/relationships/hyperlink" Target="https://www.genome.jp/entry/R04428" TargetMode="External"/><Relationship Id="rId1219" Type="http://schemas.openxmlformats.org/officeDocument/2006/relationships/hyperlink" Target="https://www.genome.jp/entry/2.4.2.8" TargetMode="External"/><Relationship Id="rId1566" Type="http://schemas.openxmlformats.org/officeDocument/2006/relationships/hyperlink" Target="https://www.genome.jp/entry/1.16.3.2" TargetMode="External"/><Relationship Id="rId1773" Type="http://schemas.openxmlformats.org/officeDocument/2006/relationships/hyperlink" Target="https://www.genome.jp/entry/R00519" TargetMode="External"/><Relationship Id="rId65" Type="http://schemas.openxmlformats.org/officeDocument/2006/relationships/hyperlink" Target="https://www.genome.jp/entry/R00517" TargetMode="External"/><Relationship Id="rId1426" Type="http://schemas.openxmlformats.org/officeDocument/2006/relationships/hyperlink" Target="https://www.genome.jp/entry/2.3.1.41" TargetMode="External"/><Relationship Id="rId1633" Type="http://schemas.openxmlformats.org/officeDocument/2006/relationships/hyperlink" Target="https://www.genome.jp/entry/1.2.4.1" TargetMode="External"/><Relationship Id="rId1700" Type="http://schemas.openxmlformats.org/officeDocument/2006/relationships/hyperlink" Target="https://www.genome.jp/entry/1.17.4.1" TargetMode="External"/><Relationship Id="rId281" Type="http://schemas.openxmlformats.org/officeDocument/2006/relationships/hyperlink" Target="https://www.genome.jp/entry/R00291" TargetMode="External"/><Relationship Id="rId141" Type="http://schemas.openxmlformats.org/officeDocument/2006/relationships/hyperlink" Target="https://www.genome.jp/entry/1.4.1.4" TargetMode="External"/><Relationship Id="rId379" Type="http://schemas.openxmlformats.org/officeDocument/2006/relationships/hyperlink" Target="https://www.genome.jp/entry/3.4.21.53" TargetMode="External"/><Relationship Id="rId586" Type="http://schemas.openxmlformats.org/officeDocument/2006/relationships/hyperlink" Target="https://www.genome.jp/entry/3.5.1.88" TargetMode="External"/><Relationship Id="rId793" Type="http://schemas.openxmlformats.org/officeDocument/2006/relationships/hyperlink" Target="https://www.genome.jp/entry/R09380" TargetMode="External"/><Relationship Id="rId7" Type="http://schemas.openxmlformats.org/officeDocument/2006/relationships/hyperlink" Target="https://www.genome.jp/entry/7.5.2.5" TargetMode="External"/><Relationship Id="rId239" Type="http://schemas.openxmlformats.org/officeDocument/2006/relationships/hyperlink" Target="https://www.genome.jp/entry/4.3.1.17" TargetMode="External"/><Relationship Id="rId446" Type="http://schemas.openxmlformats.org/officeDocument/2006/relationships/hyperlink" Target="https://www.genome.jp/entry/R00548" TargetMode="External"/><Relationship Id="rId653" Type="http://schemas.openxmlformats.org/officeDocument/2006/relationships/hyperlink" Target="https://www.genome.jp/entry/1.1.1.86" TargetMode="External"/><Relationship Id="rId1076" Type="http://schemas.openxmlformats.org/officeDocument/2006/relationships/hyperlink" Target="https://www.genome.jp/entry/2.7.7.7" TargetMode="External"/><Relationship Id="rId1283" Type="http://schemas.openxmlformats.org/officeDocument/2006/relationships/hyperlink" Target="https://www.genome.jp/entry/5.4.99.22" TargetMode="External"/><Relationship Id="rId1490" Type="http://schemas.openxmlformats.org/officeDocument/2006/relationships/hyperlink" Target="https://www.genome.jp/entry/3.5.4.16" TargetMode="External"/><Relationship Id="rId306" Type="http://schemas.openxmlformats.org/officeDocument/2006/relationships/hyperlink" Target="https://www.genome.jp/entry/3.6.1.13" TargetMode="External"/><Relationship Id="rId860" Type="http://schemas.openxmlformats.org/officeDocument/2006/relationships/hyperlink" Target="https://www.genome.jp/entry/2.7.7.7" TargetMode="External"/><Relationship Id="rId958" Type="http://schemas.openxmlformats.org/officeDocument/2006/relationships/hyperlink" Target="https://www.genome.jp/entry/R04206" TargetMode="External"/><Relationship Id="rId1143" Type="http://schemas.openxmlformats.org/officeDocument/2006/relationships/hyperlink" Target="https://www.genome.jp/entry/R05712" TargetMode="External"/><Relationship Id="rId1588" Type="http://schemas.openxmlformats.org/officeDocument/2006/relationships/hyperlink" Target="https://www.genome.jp/entry/R01878" TargetMode="External"/><Relationship Id="rId1795" Type="http://schemas.openxmlformats.org/officeDocument/2006/relationships/hyperlink" Target="https://www.genome.jp/entry/2.4.2.52" TargetMode="External"/><Relationship Id="rId87" Type="http://schemas.openxmlformats.org/officeDocument/2006/relationships/hyperlink" Target="https://www.genome.jp/entry/3.5.99.6" TargetMode="External"/><Relationship Id="rId513" Type="http://schemas.openxmlformats.org/officeDocument/2006/relationships/hyperlink" Target="https://www.genome.jp/entry/R01829" TargetMode="External"/><Relationship Id="rId720" Type="http://schemas.openxmlformats.org/officeDocument/2006/relationships/hyperlink" Target="https://www.genome.jp/entry/1.1.1.94" TargetMode="External"/><Relationship Id="rId818" Type="http://schemas.openxmlformats.org/officeDocument/2006/relationships/hyperlink" Target="https://www.genome.jp/entry/R00441" TargetMode="External"/><Relationship Id="rId1350" Type="http://schemas.openxmlformats.org/officeDocument/2006/relationships/hyperlink" Target="https://www.genome.jp/entry/R00014" TargetMode="External"/><Relationship Id="rId1448" Type="http://schemas.openxmlformats.org/officeDocument/2006/relationships/hyperlink" Target="https://www.genome.jp/entry/6.1.1.20" TargetMode="External"/><Relationship Id="rId1655" Type="http://schemas.openxmlformats.org/officeDocument/2006/relationships/hyperlink" Target="https://www.genome.jp/entry/2.7.7.7" TargetMode="External"/><Relationship Id="rId1003" Type="http://schemas.openxmlformats.org/officeDocument/2006/relationships/hyperlink" Target="https://www.genome.jp/entry/R09323" TargetMode="External"/><Relationship Id="rId1210" Type="http://schemas.openxmlformats.org/officeDocument/2006/relationships/hyperlink" Target="https://www.genome.jp/entry/3.5.1.108" TargetMode="External"/><Relationship Id="rId1308" Type="http://schemas.openxmlformats.org/officeDocument/2006/relationships/hyperlink" Target="https://www.genome.jp/entry/R01845" TargetMode="External"/><Relationship Id="rId1515" Type="http://schemas.openxmlformats.org/officeDocument/2006/relationships/hyperlink" Target="https://www.genome.jp/entry/2.8.1.4" TargetMode="External"/><Relationship Id="rId1722" Type="http://schemas.openxmlformats.org/officeDocument/2006/relationships/hyperlink" Target="https://www.genome.jp/entry/R09394" TargetMode="External"/><Relationship Id="rId14" Type="http://schemas.openxmlformats.org/officeDocument/2006/relationships/hyperlink" Target="https://www.genome.jp/entry/2.7.7.42" TargetMode="External"/><Relationship Id="rId163" Type="http://schemas.openxmlformats.org/officeDocument/2006/relationships/hyperlink" Target="https://www.genome.jp/entry/3.5.4.25" TargetMode="External"/><Relationship Id="rId370" Type="http://schemas.openxmlformats.org/officeDocument/2006/relationships/hyperlink" Target="https://www.genome.jp/entry/R00103" TargetMode="External"/><Relationship Id="rId230" Type="http://schemas.openxmlformats.org/officeDocument/2006/relationships/hyperlink" Target="https://www.genome.jp/entry/R02484" TargetMode="External"/><Relationship Id="rId468" Type="http://schemas.openxmlformats.org/officeDocument/2006/relationships/hyperlink" Target="https://www.genome.jp/entry/2.7.7.6" TargetMode="External"/><Relationship Id="rId675" Type="http://schemas.openxmlformats.org/officeDocument/2006/relationships/hyperlink" Target="https://www.genome.jp/entry/1.1.5.3" TargetMode="External"/><Relationship Id="rId882" Type="http://schemas.openxmlformats.org/officeDocument/2006/relationships/hyperlink" Target="https://www.genome.jp/entry/2.7.4.6" TargetMode="External"/><Relationship Id="rId1098" Type="http://schemas.openxmlformats.org/officeDocument/2006/relationships/hyperlink" Target="https://www.genome.jp/entry/R01830" TargetMode="External"/><Relationship Id="rId328" Type="http://schemas.openxmlformats.org/officeDocument/2006/relationships/hyperlink" Target="https://www.genome.jp/entry/R11104" TargetMode="External"/><Relationship Id="rId535" Type="http://schemas.openxmlformats.org/officeDocument/2006/relationships/hyperlink" Target="https://www.genome.jp/entry/R00131" TargetMode="External"/><Relationship Id="rId742" Type="http://schemas.openxmlformats.org/officeDocument/2006/relationships/hyperlink" Target="https://www.genome.jp/entry/5.4.99.28" TargetMode="External"/><Relationship Id="rId1165" Type="http://schemas.openxmlformats.org/officeDocument/2006/relationships/hyperlink" Target="https://www.genome.jp/entry/2.5.1.47" TargetMode="External"/><Relationship Id="rId1372" Type="http://schemas.openxmlformats.org/officeDocument/2006/relationships/hyperlink" Target="https://www.genome.jp/entry/R00401" TargetMode="External"/><Relationship Id="rId602" Type="http://schemas.openxmlformats.org/officeDocument/2006/relationships/hyperlink" Target="https://www.genome.jp/entry/3.1.4.16" TargetMode="External"/><Relationship Id="rId1025" Type="http://schemas.openxmlformats.org/officeDocument/2006/relationships/hyperlink" Target="https://www.genome.jp/entry/R03084" TargetMode="External"/><Relationship Id="rId1232" Type="http://schemas.openxmlformats.org/officeDocument/2006/relationships/hyperlink" Target="https://www.genome.jp/entry/2.6.1.9" TargetMode="External"/><Relationship Id="rId1677" Type="http://schemas.openxmlformats.org/officeDocument/2006/relationships/hyperlink" Target="https://www.genome.jp/entry/4.3.3.6" TargetMode="External"/><Relationship Id="rId907" Type="http://schemas.openxmlformats.org/officeDocument/2006/relationships/hyperlink" Target="https://www.genome.jp/entry/R03530" TargetMode="External"/><Relationship Id="rId1537" Type="http://schemas.openxmlformats.org/officeDocument/2006/relationships/hyperlink" Target="https://www.genome.jp/entry/R01868" TargetMode="External"/><Relationship Id="rId1744" Type="http://schemas.openxmlformats.org/officeDocument/2006/relationships/hyperlink" Target="https://www.genome.jp/entry/6.3.4.5" TargetMode="External"/><Relationship Id="rId36" Type="http://schemas.openxmlformats.org/officeDocument/2006/relationships/hyperlink" Target="https://www.genome.jp/entry/2.7.1.39" TargetMode="External"/><Relationship Id="rId1604" Type="http://schemas.openxmlformats.org/officeDocument/2006/relationships/hyperlink" Target="https://www.genome.jp/entry/R04773" TargetMode="External"/><Relationship Id="rId185" Type="http://schemas.openxmlformats.org/officeDocument/2006/relationships/hyperlink" Target="https://www.genome.jp/entry/R08244" TargetMode="External"/><Relationship Id="rId1811" Type="http://schemas.openxmlformats.org/officeDocument/2006/relationships/hyperlink" Target="https://www.genome.jp/entry/2.8.1.8" TargetMode="External"/><Relationship Id="rId392" Type="http://schemas.openxmlformats.org/officeDocument/2006/relationships/hyperlink" Target="https://www.genome.jp/entry/1.1.1.23" TargetMode="External"/><Relationship Id="rId697" Type="http://schemas.openxmlformats.org/officeDocument/2006/relationships/hyperlink" Target="https://www.genome.jp/entry/R01562" TargetMode="External"/><Relationship Id="rId252" Type="http://schemas.openxmlformats.org/officeDocument/2006/relationships/hyperlink" Target="https://www.genome.jp/entry/R01248" TargetMode="External"/><Relationship Id="rId1187" Type="http://schemas.openxmlformats.org/officeDocument/2006/relationships/hyperlink" Target="https://www.genome.jp/entry/R02788" TargetMode="External"/><Relationship Id="rId112" Type="http://schemas.openxmlformats.org/officeDocument/2006/relationships/hyperlink" Target="https://www.genome.jp/entry/R10116" TargetMode="External"/><Relationship Id="rId557" Type="http://schemas.openxmlformats.org/officeDocument/2006/relationships/hyperlink" Target="https://www.genome.jp/entry/R06134" TargetMode="External"/><Relationship Id="rId764" Type="http://schemas.openxmlformats.org/officeDocument/2006/relationships/hyperlink" Target="https://www.genome.jp/entry/4.2.1.9" TargetMode="External"/><Relationship Id="rId971" Type="http://schemas.openxmlformats.org/officeDocument/2006/relationships/hyperlink" Target="https://www.genome.jp/entry/2.6.1.76" TargetMode="External"/><Relationship Id="rId1394" Type="http://schemas.openxmlformats.org/officeDocument/2006/relationships/hyperlink" Target="https://www.genome.jp/entry/2.3.1.47" TargetMode="External"/><Relationship Id="rId1699" Type="http://schemas.openxmlformats.org/officeDocument/2006/relationships/hyperlink" Target="https://www.genome.jp/entry/R08363" TargetMode="External"/><Relationship Id="rId417" Type="http://schemas.openxmlformats.org/officeDocument/2006/relationships/hyperlink" Target="https://www.genome.jp/entry/R04558" TargetMode="External"/><Relationship Id="rId624" Type="http://schemas.openxmlformats.org/officeDocument/2006/relationships/hyperlink" Target="https://www.genome.jp/entry/2.4.99.12" TargetMode="External"/><Relationship Id="rId831" Type="http://schemas.openxmlformats.org/officeDocument/2006/relationships/hyperlink" Target="https://www.genome.jp/entry/2.7.7.9" TargetMode="External"/><Relationship Id="rId1047" Type="http://schemas.openxmlformats.org/officeDocument/2006/relationships/hyperlink" Target="https://www.genome.jp/entry/R03238" TargetMode="External"/><Relationship Id="rId1254" Type="http://schemas.openxmlformats.org/officeDocument/2006/relationships/hyperlink" Target="https://www.genome.jp/entry/R09768" TargetMode="External"/><Relationship Id="rId1461" Type="http://schemas.openxmlformats.org/officeDocument/2006/relationships/hyperlink" Target="https://www.genome.jp/entry/R04537" TargetMode="External"/><Relationship Id="rId929" Type="http://schemas.openxmlformats.org/officeDocument/2006/relationships/hyperlink" Target="https://www.genome.jp/entry/2.3.1.191" TargetMode="External"/><Relationship Id="rId1114" Type="http://schemas.openxmlformats.org/officeDocument/2006/relationships/hyperlink" Target="https://www.genome.jp/entry/2.3.1.129" TargetMode="External"/><Relationship Id="rId1321" Type="http://schemas.openxmlformats.org/officeDocument/2006/relationships/hyperlink" Target="https://www.genome.jp/entry/5.4.99.18" TargetMode="External"/><Relationship Id="rId1559" Type="http://schemas.openxmlformats.org/officeDocument/2006/relationships/hyperlink" Target="https://www.genome.jp/entry/R13251" TargetMode="External"/><Relationship Id="rId1766" Type="http://schemas.openxmlformats.org/officeDocument/2006/relationships/hyperlink" Target="https://www.genome.jp/entry/2.7.7.6" TargetMode="External"/><Relationship Id="rId58" Type="http://schemas.openxmlformats.org/officeDocument/2006/relationships/hyperlink" Target="https://www.genome.jp/entry/2.7.8.5" TargetMode="External"/><Relationship Id="rId1419" Type="http://schemas.openxmlformats.org/officeDocument/2006/relationships/hyperlink" Target="https://www.genome.jp/entry/R04960" TargetMode="External"/><Relationship Id="rId1626" Type="http://schemas.openxmlformats.org/officeDocument/2006/relationships/hyperlink" Target="https://www.genome.jp/entry/5.4.99.19" TargetMode="External"/><Relationship Id="rId274" Type="http://schemas.openxmlformats.org/officeDocument/2006/relationships/hyperlink" Target="https://www.genome.jp/entry/2.7.4.3" TargetMode="External"/><Relationship Id="rId481" Type="http://schemas.openxmlformats.org/officeDocument/2006/relationships/hyperlink" Target="https://www.genome.jp/entry/R00442" TargetMode="External"/><Relationship Id="rId134" Type="http://schemas.openxmlformats.org/officeDocument/2006/relationships/hyperlink" Target="https://www.genome.jp/entry/R06987" TargetMode="External"/><Relationship Id="rId579" Type="http://schemas.openxmlformats.org/officeDocument/2006/relationships/hyperlink" Target="https://www.genome.jp/entry/2.7.1.33" TargetMode="External"/><Relationship Id="rId786" Type="http://schemas.openxmlformats.org/officeDocument/2006/relationships/hyperlink" Target="https://www.genome.jp/entry/2.7.7.7" TargetMode="External"/><Relationship Id="rId993" Type="http://schemas.openxmlformats.org/officeDocument/2006/relationships/hyperlink" Target="https://www.genome.jp/entry/R06001" TargetMode="External"/><Relationship Id="rId341" Type="http://schemas.openxmlformats.org/officeDocument/2006/relationships/hyperlink" Target="https://www.genome.jp/entry/2.7.7.7" TargetMode="External"/><Relationship Id="rId439" Type="http://schemas.openxmlformats.org/officeDocument/2006/relationships/hyperlink" Target="https://www.genome.jp/entry/R00086" TargetMode="External"/><Relationship Id="rId646" Type="http://schemas.openxmlformats.org/officeDocument/2006/relationships/hyperlink" Target="https://www.genome.jp/entry/R01015" TargetMode="External"/><Relationship Id="rId1069" Type="http://schemas.openxmlformats.org/officeDocument/2006/relationships/hyperlink" Target="https://www.genome.jp/entry/R04001" TargetMode="External"/><Relationship Id="rId1276" Type="http://schemas.openxmlformats.org/officeDocument/2006/relationships/hyperlink" Target="https://www.genome.jp/entry/R00405" TargetMode="External"/><Relationship Id="rId1483" Type="http://schemas.openxmlformats.org/officeDocument/2006/relationships/hyperlink" Target="https://www.genome.jp/entry/R02060" TargetMode="External"/><Relationship Id="rId201" Type="http://schemas.openxmlformats.org/officeDocument/2006/relationships/hyperlink" Target="https://www.genome.jp/entry/R10220" TargetMode="External"/><Relationship Id="rId506" Type="http://schemas.openxmlformats.org/officeDocument/2006/relationships/hyperlink" Target="https://www.genome.jp/entry/2.4.2.1" TargetMode="External"/><Relationship Id="rId853" Type="http://schemas.openxmlformats.org/officeDocument/2006/relationships/hyperlink" Target="https://www.genome.jp/entry/R00375" TargetMode="External"/><Relationship Id="rId1136" Type="http://schemas.openxmlformats.org/officeDocument/2006/relationships/hyperlink" Target="https://www.genome.jp/entry/4.2.1.59" TargetMode="External"/><Relationship Id="rId1690" Type="http://schemas.openxmlformats.org/officeDocument/2006/relationships/hyperlink" Target="https://www.genome.jp/entry/1.17.4.1" TargetMode="External"/><Relationship Id="rId1788" Type="http://schemas.openxmlformats.org/officeDocument/2006/relationships/hyperlink" Target="https://www.genome.jp/entry/2.7.7.7" TargetMode="External"/><Relationship Id="rId713" Type="http://schemas.openxmlformats.org/officeDocument/2006/relationships/hyperlink" Target="https://www.genome.jp/entry/R08219" TargetMode="External"/><Relationship Id="rId920" Type="http://schemas.openxmlformats.org/officeDocument/2006/relationships/hyperlink" Target="https://www.genome.jp/entry/6.3.1.3" TargetMode="External"/><Relationship Id="rId1343" Type="http://schemas.openxmlformats.org/officeDocument/2006/relationships/hyperlink" Target="https://www.genome.jp/entry/3.5.1.10" TargetMode="External"/><Relationship Id="rId1550" Type="http://schemas.openxmlformats.org/officeDocument/2006/relationships/hyperlink" Target="https://www.genome.jp/entry/2.4.2.18" TargetMode="External"/><Relationship Id="rId1648" Type="http://schemas.openxmlformats.org/officeDocument/2006/relationships/hyperlink" Target="https://www.genome.jp/entry/R00190" TargetMode="External"/><Relationship Id="rId1203" Type="http://schemas.openxmlformats.org/officeDocument/2006/relationships/hyperlink" Target="https://www.genome.jp/entry/R05032" TargetMode="External"/><Relationship Id="rId1410" Type="http://schemas.openxmlformats.org/officeDocument/2006/relationships/hyperlink" Target="https://www.genome.jp/entry/2.3.1.41" TargetMode="External"/><Relationship Id="rId1508" Type="http://schemas.openxmlformats.org/officeDocument/2006/relationships/hyperlink" Target="https://www.genome.jp/entry/2.2.1.7" TargetMode="External"/><Relationship Id="rId1715" Type="http://schemas.openxmlformats.org/officeDocument/2006/relationships/hyperlink" Target="https://www.genome.jp/entry/2.8.1.12" TargetMode="External"/><Relationship Id="rId296" Type="http://schemas.openxmlformats.org/officeDocument/2006/relationships/hyperlink" Target="https://www.genome.jp/entry/R11529" TargetMode="External"/><Relationship Id="rId156" Type="http://schemas.openxmlformats.org/officeDocument/2006/relationships/hyperlink" Target="https://www.genome.jp/entry/R00597" TargetMode="External"/><Relationship Id="rId363" Type="http://schemas.openxmlformats.org/officeDocument/2006/relationships/hyperlink" Target="https://www.genome.jp/entry/3.6.1.9" TargetMode="External"/><Relationship Id="rId570" Type="http://schemas.openxmlformats.org/officeDocument/2006/relationships/hyperlink" Target="https://www.genome.jp/entry/6.3.1.1" TargetMode="External"/><Relationship Id="rId223" Type="http://schemas.openxmlformats.org/officeDocument/2006/relationships/hyperlink" Target="https://www.genome.jp/entry/2.4.2.10" TargetMode="External"/><Relationship Id="rId430" Type="http://schemas.openxmlformats.org/officeDocument/2006/relationships/hyperlink" Target="https://www.genome.jp/entry/7.1.2.2" TargetMode="External"/><Relationship Id="rId668" Type="http://schemas.openxmlformats.org/officeDocument/2006/relationships/hyperlink" Target="https://www.genome.jp/entry/R00849" TargetMode="External"/><Relationship Id="rId875" Type="http://schemas.openxmlformats.org/officeDocument/2006/relationships/hyperlink" Target="https://www.genome.jp/entry/R00253" TargetMode="External"/><Relationship Id="rId1060" Type="http://schemas.openxmlformats.org/officeDocument/2006/relationships/hyperlink" Target="https://www.genome.jp/entry/4.2.1.33" TargetMode="External"/><Relationship Id="rId1298" Type="http://schemas.openxmlformats.org/officeDocument/2006/relationships/hyperlink" Target="https://www.genome.jp/entry/R00194" TargetMode="External"/><Relationship Id="rId528" Type="http://schemas.openxmlformats.org/officeDocument/2006/relationships/hyperlink" Target="https://www.genome.jp/entry/3.5.1.5" TargetMode="External"/><Relationship Id="rId735" Type="http://schemas.openxmlformats.org/officeDocument/2006/relationships/hyperlink" Target="https://www.genome.jp/entry/R10764" TargetMode="External"/><Relationship Id="rId942" Type="http://schemas.openxmlformats.org/officeDocument/2006/relationships/hyperlink" Target="https://www.genome.jp/entry/R00375" TargetMode="External"/><Relationship Id="rId1158" Type="http://schemas.openxmlformats.org/officeDocument/2006/relationships/hyperlink" Target="https://www.genome.jp/entry/R00382" TargetMode="External"/><Relationship Id="rId1365" Type="http://schemas.openxmlformats.org/officeDocument/2006/relationships/hyperlink" Target="https://www.genome.jp/entry/5.3.1.9" TargetMode="External"/><Relationship Id="rId1572" Type="http://schemas.openxmlformats.org/officeDocument/2006/relationships/hyperlink" Target="https://www.genome.jp/entry/R03663" TargetMode="External"/><Relationship Id="rId1018" Type="http://schemas.openxmlformats.org/officeDocument/2006/relationships/hyperlink" Target="https://www.genome.jp/entry/4.1.3.36" TargetMode="External"/><Relationship Id="rId1225" Type="http://schemas.openxmlformats.org/officeDocument/2006/relationships/hyperlink" Target="https://www.genome.jp/entry/1.8.1.9" TargetMode="External"/><Relationship Id="rId1432" Type="http://schemas.openxmlformats.org/officeDocument/2006/relationships/hyperlink" Target="https://www.genome.jp/entry/2.7.1.167" TargetMode="External"/><Relationship Id="rId71" Type="http://schemas.openxmlformats.org/officeDocument/2006/relationships/hyperlink" Target="https://www.genome.jp/entry/R02325" TargetMode="External"/><Relationship Id="rId802" Type="http://schemas.openxmlformats.org/officeDocument/2006/relationships/hyperlink" Target="https://www.genome.jp/entry/2.7.1.22" TargetMode="External"/><Relationship Id="rId1737" Type="http://schemas.openxmlformats.org/officeDocument/2006/relationships/hyperlink" Target="https://www.genome.jp/entry/2.7.1.199" TargetMode="External"/><Relationship Id="rId29" Type="http://schemas.openxmlformats.org/officeDocument/2006/relationships/hyperlink" Target="https://www.genome.jp/entry/R03650" TargetMode="External"/><Relationship Id="rId178" Type="http://schemas.openxmlformats.org/officeDocument/2006/relationships/hyperlink" Target="https://www.genome.jp/entry/6.3.5.2" TargetMode="External"/><Relationship Id="rId1804" Type="http://schemas.openxmlformats.org/officeDocument/2006/relationships/hyperlink" Target="https://www.genome.jp/entry/R00362" TargetMode="External"/><Relationship Id="rId385" Type="http://schemas.openxmlformats.org/officeDocument/2006/relationships/hyperlink" Target="https://www.genome.jp/entry/R01513" TargetMode="External"/><Relationship Id="rId592" Type="http://schemas.openxmlformats.org/officeDocument/2006/relationships/hyperlink" Target="https://www.genome.jp/entry/2.7.2.2" TargetMode="External"/><Relationship Id="rId245" Type="http://schemas.openxmlformats.org/officeDocument/2006/relationships/hyperlink" Target="https://www.genome.jp/entry/4.3.1.17" TargetMode="External"/><Relationship Id="rId452" Type="http://schemas.openxmlformats.org/officeDocument/2006/relationships/hyperlink" Target="https://www.genome.jp/entry/R11527" TargetMode="External"/><Relationship Id="rId897" Type="http://schemas.openxmlformats.org/officeDocument/2006/relationships/hyperlink" Target="https://www.genome.jp/entry/R01137" TargetMode="External"/><Relationship Id="rId1082" Type="http://schemas.openxmlformats.org/officeDocument/2006/relationships/hyperlink" Target="https://www.genome.jp/entry/2.7.7.7" TargetMode="External"/><Relationship Id="rId105" Type="http://schemas.openxmlformats.org/officeDocument/2006/relationships/hyperlink" Target="https://www.genome.jp/entry/1.1.1.100" TargetMode="External"/><Relationship Id="rId312" Type="http://schemas.openxmlformats.org/officeDocument/2006/relationships/hyperlink" Target="https://www.genome.jp/entry/5.4.99.24" TargetMode="External"/><Relationship Id="rId757" Type="http://schemas.openxmlformats.org/officeDocument/2006/relationships/hyperlink" Target="https://www.genome.jp/entry/R09381" TargetMode="External"/><Relationship Id="rId964" Type="http://schemas.openxmlformats.org/officeDocument/2006/relationships/hyperlink" Target="https://www.genome.jp/entry/R01186" TargetMode="External"/><Relationship Id="rId1387" Type="http://schemas.openxmlformats.org/officeDocument/2006/relationships/hyperlink" Target="https://www.genome.jp/entry/R01858" TargetMode="External"/><Relationship Id="rId1594" Type="http://schemas.openxmlformats.org/officeDocument/2006/relationships/hyperlink" Target="https://www.genome.jp/entry/1.7.1.13" TargetMode="External"/><Relationship Id="rId93" Type="http://schemas.openxmlformats.org/officeDocument/2006/relationships/hyperlink" Target="https://www.genome.jp/entry/1.1.1.100" TargetMode="External"/><Relationship Id="rId617" Type="http://schemas.openxmlformats.org/officeDocument/2006/relationships/hyperlink" Target="https://www.genome.jp/entry/1.7.2.3" TargetMode="External"/><Relationship Id="rId824" Type="http://schemas.openxmlformats.org/officeDocument/2006/relationships/hyperlink" Target="https://www.genome.jp/entry/R10813" TargetMode="External"/><Relationship Id="rId1247" Type="http://schemas.openxmlformats.org/officeDocument/2006/relationships/hyperlink" Target="https://www.genome.jp/entry/R00177" TargetMode="External"/><Relationship Id="rId1454" Type="http://schemas.openxmlformats.org/officeDocument/2006/relationships/hyperlink" Target="https://www.genome.jp/entry/4.2.1.59" TargetMode="External"/><Relationship Id="rId1661" Type="http://schemas.openxmlformats.org/officeDocument/2006/relationships/hyperlink" Target="https://www.genome.jp/entry/2.7.7.7" TargetMode="External"/><Relationship Id="rId1107" Type="http://schemas.openxmlformats.org/officeDocument/2006/relationships/hyperlink" Target="https://www.genome.jp/entry/3.1.3.3" TargetMode="External"/><Relationship Id="rId1314" Type="http://schemas.openxmlformats.org/officeDocument/2006/relationships/hyperlink" Target="https://www.genome.jp/entry/R04365" TargetMode="External"/><Relationship Id="rId1521" Type="http://schemas.openxmlformats.org/officeDocument/2006/relationships/hyperlink" Target="https://www.genome.jp/entry/R02340" TargetMode="External"/><Relationship Id="rId1759" Type="http://schemas.openxmlformats.org/officeDocument/2006/relationships/hyperlink" Target="https://www.genome.jp/entry/R00444" TargetMode="External"/><Relationship Id="rId1619" Type="http://schemas.openxmlformats.org/officeDocument/2006/relationships/hyperlink" Target="https://www.genome.jp/entry/R00942" TargetMode="External"/><Relationship Id="rId1826" Type="http://schemas.openxmlformats.org/officeDocument/2006/relationships/hyperlink" Target="https://www.genome.jp/entry/5.3.1.12" TargetMode="External"/><Relationship Id="rId20" Type="http://schemas.openxmlformats.org/officeDocument/2006/relationships/hyperlink" Target="https://www.genome.jp/entry/1.17.4.2" TargetMode="External"/><Relationship Id="rId267" Type="http://schemas.openxmlformats.org/officeDocument/2006/relationships/hyperlink" Target="https://www.genome.jp/entry/2.1.1.190" TargetMode="External"/><Relationship Id="rId474" Type="http://schemas.openxmlformats.org/officeDocument/2006/relationships/hyperlink" Target="https://www.genome.jp/entry/2.7.7.6" TargetMode="External"/><Relationship Id="rId127" Type="http://schemas.openxmlformats.org/officeDocument/2006/relationships/hyperlink" Target="https://www.genome.jp/entry/R08700" TargetMode="External"/><Relationship Id="rId681" Type="http://schemas.openxmlformats.org/officeDocument/2006/relationships/hyperlink" Target="https://www.genome.jp/entry/3.1.4.46" TargetMode="External"/><Relationship Id="rId779" Type="http://schemas.openxmlformats.org/officeDocument/2006/relationships/hyperlink" Target="https://www.genome.jp/entry/R00375" TargetMode="External"/><Relationship Id="rId986" Type="http://schemas.openxmlformats.org/officeDocument/2006/relationships/hyperlink" Target="https://www.genome.jp/entry/3.2.1.52" TargetMode="External"/><Relationship Id="rId334" Type="http://schemas.openxmlformats.org/officeDocument/2006/relationships/hyperlink" Target="https://www.genome.jp/entry/R02071" TargetMode="External"/><Relationship Id="rId541" Type="http://schemas.openxmlformats.org/officeDocument/2006/relationships/hyperlink" Target="https://www.genome.jp/entry/R13420" TargetMode="External"/><Relationship Id="rId639" Type="http://schemas.openxmlformats.org/officeDocument/2006/relationships/hyperlink" Target="https://www.genome.jp/entry/2.7.7.60" TargetMode="External"/><Relationship Id="rId1171" Type="http://schemas.openxmlformats.org/officeDocument/2006/relationships/hyperlink" Target="https://www.genome.jp/entry/5.3.1.5" TargetMode="External"/><Relationship Id="rId1269" Type="http://schemas.openxmlformats.org/officeDocument/2006/relationships/hyperlink" Target="https://www.genome.jp/entry/R01214" TargetMode="External"/><Relationship Id="rId1476" Type="http://schemas.openxmlformats.org/officeDocument/2006/relationships/hyperlink" Target="https://www.genome.jp/entry/3.4.16.4" TargetMode="External"/><Relationship Id="rId401" Type="http://schemas.openxmlformats.org/officeDocument/2006/relationships/hyperlink" Target="https://www.genome.jp/entry/R00734" TargetMode="External"/><Relationship Id="rId846" Type="http://schemas.openxmlformats.org/officeDocument/2006/relationships/hyperlink" Target="https://www.genome.jp/entry/2.1.1.35" TargetMode="External"/><Relationship Id="rId1031" Type="http://schemas.openxmlformats.org/officeDocument/2006/relationships/hyperlink" Target="https://www.genome.jp/entry/R04779" TargetMode="External"/><Relationship Id="rId1129" Type="http://schemas.openxmlformats.org/officeDocument/2006/relationships/hyperlink" Target="https://www.genome.jp/entry/R04568" TargetMode="External"/><Relationship Id="rId1683" Type="http://schemas.openxmlformats.org/officeDocument/2006/relationships/hyperlink" Target="https://www.genome.jp/entry/4.3.3.6" TargetMode="External"/><Relationship Id="rId706" Type="http://schemas.openxmlformats.org/officeDocument/2006/relationships/hyperlink" Target="https://www.genome.jp/entry/4.1.99.1" TargetMode="External"/><Relationship Id="rId913" Type="http://schemas.openxmlformats.org/officeDocument/2006/relationships/hyperlink" Target="https://www.genome.jp/entry/R11895" TargetMode="External"/><Relationship Id="rId1336" Type="http://schemas.openxmlformats.org/officeDocument/2006/relationships/hyperlink" Target="https://www.genome.jp/entry/R09383" TargetMode="External"/><Relationship Id="rId1543" Type="http://schemas.openxmlformats.org/officeDocument/2006/relationships/hyperlink" Target="https://www.genome.jp/entry/R04858" TargetMode="External"/><Relationship Id="rId1750" Type="http://schemas.openxmlformats.org/officeDocument/2006/relationships/hyperlink" Target="https://www.genome.jp/entry/3.1.13.1" TargetMode="External"/><Relationship Id="rId42" Type="http://schemas.openxmlformats.org/officeDocument/2006/relationships/hyperlink" Target="https://www.genome.jp/entry/2.7.2.4" TargetMode="External"/><Relationship Id="rId1403" Type="http://schemas.openxmlformats.org/officeDocument/2006/relationships/hyperlink" Target="https://www.genome.jp/entry/R12933" TargetMode="External"/><Relationship Id="rId1610" Type="http://schemas.openxmlformats.org/officeDocument/2006/relationships/hyperlink" Target="https://www.genome.jp/entry/2.3.1.31" TargetMode="External"/><Relationship Id="rId191" Type="http://schemas.openxmlformats.org/officeDocument/2006/relationships/hyperlink" Target="https://www.genome.jp/entry/R00438" TargetMode="External"/><Relationship Id="rId1708" Type="http://schemas.openxmlformats.org/officeDocument/2006/relationships/hyperlink" Target="https://www.genome.jp/entry/1.2.4.2" TargetMode="External"/><Relationship Id="rId289" Type="http://schemas.openxmlformats.org/officeDocument/2006/relationships/hyperlink" Target="https://www.genome.jp/entry/6.1.1.21" TargetMode="External"/><Relationship Id="rId496" Type="http://schemas.openxmlformats.org/officeDocument/2006/relationships/hyperlink" Target="https://www.genome.jp/entry/2.4.2.1" TargetMode="External"/><Relationship Id="rId149" Type="http://schemas.openxmlformats.org/officeDocument/2006/relationships/hyperlink" Target="https://www.genome.jp/entry/2.3.1.243" TargetMode="External"/><Relationship Id="rId356" Type="http://schemas.openxmlformats.org/officeDocument/2006/relationships/hyperlink" Target="https://www.genome.jp/entry/R00966" TargetMode="External"/><Relationship Id="rId563" Type="http://schemas.openxmlformats.org/officeDocument/2006/relationships/hyperlink" Target="https://www.genome.jp/entry/R01528" TargetMode="External"/><Relationship Id="rId770" Type="http://schemas.openxmlformats.org/officeDocument/2006/relationships/hyperlink" Target="https://www.genome.jp/entry/4.3.1.19" TargetMode="External"/><Relationship Id="rId1193" Type="http://schemas.openxmlformats.org/officeDocument/2006/relationships/hyperlink" Target="https://www.genome.jp/entry/R05629" TargetMode="External"/><Relationship Id="rId216" Type="http://schemas.openxmlformats.org/officeDocument/2006/relationships/hyperlink" Target="https://www.genome.jp/entry/2.7.13.3" TargetMode="External"/><Relationship Id="rId423" Type="http://schemas.openxmlformats.org/officeDocument/2006/relationships/hyperlink" Target="https://www.genome.jp/entry/R04035" TargetMode="External"/><Relationship Id="rId868" Type="http://schemas.openxmlformats.org/officeDocument/2006/relationships/hyperlink" Target="https://www.genome.jp/entry/1.4.3.5" TargetMode="External"/><Relationship Id="rId1053" Type="http://schemas.openxmlformats.org/officeDocument/2006/relationships/hyperlink" Target="https://www.genome.jp/entry/R01652" TargetMode="External"/><Relationship Id="rId1260" Type="http://schemas.openxmlformats.org/officeDocument/2006/relationships/hyperlink" Target="https://www.genome.jp/entry/R00381" TargetMode="External"/><Relationship Id="rId1498" Type="http://schemas.openxmlformats.org/officeDocument/2006/relationships/hyperlink" Target="https://www.genome.jp/entry/6.3.3.3" TargetMode="External"/><Relationship Id="rId630" Type="http://schemas.openxmlformats.org/officeDocument/2006/relationships/hyperlink" Target="https://www.genome.jp/entry/3.1.3.11" TargetMode="External"/><Relationship Id="rId728" Type="http://schemas.openxmlformats.org/officeDocument/2006/relationships/hyperlink" Target="https://www.genome.jp/entry/3.5.4.9" TargetMode="External"/><Relationship Id="rId935" Type="http://schemas.openxmlformats.org/officeDocument/2006/relationships/hyperlink" Target="https://www.genome.jp/entry/2.5.1.31" TargetMode="External"/><Relationship Id="rId1358" Type="http://schemas.openxmlformats.org/officeDocument/2006/relationships/hyperlink" Target="https://www.genome.jp/entry/R08648" TargetMode="External"/><Relationship Id="rId1565" Type="http://schemas.openxmlformats.org/officeDocument/2006/relationships/hyperlink" Target="https://www.genome.jp/entry/R13251" TargetMode="External"/><Relationship Id="rId1772" Type="http://schemas.openxmlformats.org/officeDocument/2006/relationships/hyperlink" Target="https://www.genome.jp/entry/1.17.1.9" TargetMode="External"/><Relationship Id="rId64" Type="http://schemas.openxmlformats.org/officeDocument/2006/relationships/hyperlink" Target="https://www.genome.jp/entry/2.7.1.48" TargetMode="External"/><Relationship Id="rId1120" Type="http://schemas.openxmlformats.org/officeDocument/2006/relationships/hyperlink" Target="https://www.genome.jp/entry/4.2.1.59" TargetMode="External"/><Relationship Id="rId1218" Type="http://schemas.openxmlformats.org/officeDocument/2006/relationships/hyperlink" Target="https://www.genome.jp/entry/7.5.2.5" TargetMode="External"/><Relationship Id="rId1425" Type="http://schemas.openxmlformats.org/officeDocument/2006/relationships/hyperlink" Target="https://www.genome.jp/entry/R07762" TargetMode="External"/><Relationship Id="rId1632" Type="http://schemas.openxmlformats.org/officeDocument/2006/relationships/hyperlink" Target="https://www.genome.jp/entry/R01699" TargetMode="External"/><Relationship Id="rId280" Type="http://schemas.openxmlformats.org/officeDocument/2006/relationships/hyperlink" Target="https://www.genome.jp/entry/5.1.3.2" TargetMode="External"/><Relationship Id="rId140" Type="http://schemas.openxmlformats.org/officeDocument/2006/relationships/hyperlink" Target="https://www.genome.jp/entry/R00248" TargetMode="External"/><Relationship Id="rId378" Type="http://schemas.openxmlformats.org/officeDocument/2006/relationships/hyperlink" Target="https://www.genome.jp/entry/R03036" TargetMode="External"/><Relationship Id="rId585" Type="http://schemas.openxmlformats.org/officeDocument/2006/relationships/hyperlink" Target="https://www.genome.jp/entry/R05635" TargetMode="External"/><Relationship Id="rId792" Type="http://schemas.openxmlformats.org/officeDocument/2006/relationships/hyperlink" Target="https://www.genome.jp/entry/2.3.1.15" TargetMode="External"/><Relationship Id="rId6" Type="http://schemas.openxmlformats.org/officeDocument/2006/relationships/hyperlink" Target="https://www.genome.jp/entry/R04657" TargetMode="External"/><Relationship Id="rId238" Type="http://schemas.openxmlformats.org/officeDocument/2006/relationships/hyperlink" Target="https://www.genome.jp/entry/R00220" TargetMode="External"/><Relationship Id="rId445" Type="http://schemas.openxmlformats.org/officeDocument/2006/relationships/hyperlink" Target="https://www.genome.jp/entry/3.1.3.2" TargetMode="External"/><Relationship Id="rId652" Type="http://schemas.openxmlformats.org/officeDocument/2006/relationships/hyperlink" Target="https://www.genome.jp/entry/R03051" TargetMode="External"/><Relationship Id="rId1075" Type="http://schemas.openxmlformats.org/officeDocument/2006/relationships/hyperlink" Target="https://www.genome.jp/entry/R00375" TargetMode="External"/><Relationship Id="rId1282" Type="http://schemas.openxmlformats.org/officeDocument/2006/relationships/hyperlink" Target="https://www.genome.jp/entry/R02404" TargetMode="External"/><Relationship Id="rId305" Type="http://schemas.openxmlformats.org/officeDocument/2006/relationships/hyperlink" Target="https://www.genome.jp/entry/3.1.11.6" TargetMode="External"/><Relationship Id="rId512" Type="http://schemas.openxmlformats.org/officeDocument/2006/relationships/hyperlink" Target="https://www.genome.jp/entry/4.1.2.13" TargetMode="External"/><Relationship Id="rId957" Type="http://schemas.openxmlformats.org/officeDocument/2006/relationships/hyperlink" Target="https://www.genome.jp/entry/4.2.1.11" TargetMode="External"/><Relationship Id="rId1142" Type="http://schemas.openxmlformats.org/officeDocument/2006/relationships/hyperlink" Target="https://www.genome.jp/entry/1.7.2.2" TargetMode="External"/><Relationship Id="rId1587" Type="http://schemas.openxmlformats.org/officeDocument/2006/relationships/hyperlink" Target="https://www.genome.jp/entry/3.5.4.5" TargetMode="External"/><Relationship Id="rId1794" Type="http://schemas.openxmlformats.org/officeDocument/2006/relationships/hyperlink" Target="https://www.genome.jp/entry/3.2.2.27" TargetMode="External"/><Relationship Id="rId86" Type="http://schemas.openxmlformats.org/officeDocument/2006/relationships/hyperlink" Target="https://www.genome.jp/entry/R02059" TargetMode="External"/><Relationship Id="rId817" Type="http://schemas.openxmlformats.org/officeDocument/2006/relationships/hyperlink" Target="https://www.genome.jp/entry/2.7.7.6" TargetMode="External"/><Relationship Id="rId1002" Type="http://schemas.openxmlformats.org/officeDocument/2006/relationships/hyperlink" Target="https://www.genome.jp/entry/3.2.1.52" TargetMode="External"/><Relationship Id="rId1447" Type="http://schemas.openxmlformats.org/officeDocument/2006/relationships/hyperlink" Target="https://www.genome.jp/entry/R04199" TargetMode="External"/><Relationship Id="rId1654" Type="http://schemas.openxmlformats.org/officeDocument/2006/relationships/hyperlink" Target="https://www.genome.jp/entry/R00375" TargetMode="External"/><Relationship Id="rId1307" Type="http://schemas.openxmlformats.org/officeDocument/2006/relationships/hyperlink" Target="https://www.genome.jp/entry/3.1.3.11" TargetMode="External"/><Relationship Id="rId1514" Type="http://schemas.openxmlformats.org/officeDocument/2006/relationships/hyperlink" Target="https://www.genome.jp/entry/R03923" TargetMode="External"/><Relationship Id="rId1721" Type="http://schemas.openxmlformats.org/officeDocument/2006/relationships/hyperlink" Target="https://www.genome.jp/entry/4.1.99.22" TargetMode="External"/><Relationship Id="rId13" Type="http://schemas.openxmlformats.org/officeDocument/2006/relationships/hyperlink" Target="https://www.genome.jp/entry/R01122" TargetMode="External"/><Relationship Id="rId1819" Type="http://schemas.openxmlformats.org/officeDocument/2006/relationships/hyperlink" Target="https://www.genome.jp/entry/2.3.1.181" TargetMode="External"/><Relationship Id="rId162" Type="http://schemas.openxmlformats.org/officeDocument/2006/relationships/hyperlink" Target="https://www.genome.jp/entry/R02961" TargetMode="External"/><Relationship Id="rId467" Type="http://schemas.openxmlformats.org/officeDocument/2006/relationships/hyperlink" Target="https://www.genome.jp/entry/R00441" TargetMode="External"/><Relationship Id="rId1097" Type="http://schemas.openxmlformats.org/officeDocument/2006/relationships/hyperlink" Target="https://www.genome.jp/entry/2.2.1.1" TargetMode="External"/><Relationship Id="rId674" Type="http://schemas.openxmlformats.org/officeDocument/2006/relationships/hyperlink" Target="https://www.genome.jp/entry/R00849" TargetMode="External"/><Relationship Id="rId881" Type="http://schemas.openxmlformats.org/officeDocument/2006/relationships/hyperlink" Target="https://www.genome.jp/entry/R04951" TargetMode="External"/><Relationship Id="rId979" Type="http://schemas.openxmlformats.org/officeDocument/2006/relationships/hyperlink" Target="https://www.genome.jp/entry/3.6.1.23" TargetMode="External"/><Relationship Id="rId327" Type="http://schemas.openxmlformats.org/officeDocument/2006/relationships/hyperlink" Target="https://www.genome.jp/entry/3.6.1.22" TargetMode="External"/><Relationship Id="rId534" Type="http://schemas.openxmlformats.org/officeDocument/2006/relationships/hyperlink" Target="https://www.genome.jp/entry/3.5.1.5" TargetMode="External"/><Relationship Id="rId741" Type="http://schemas.openxmlformats.org/officeDocument/2006/relationships/hyperlink" Target="https://www.genome.jp/entry/R03163" TargetMode="External"/><Relationship Id="rId839" Type="http://schemas.openxmlformats.org/officeDocument/2006/relationships/hyperlink" Target="https://www.genome.jp/entry/R00383" TargetMode="External"/><Relationship Id="rId1164" Type="http://schemas.openxmlformats.org/officeDocument/2006/relationships/hyperlink" Target="https://www.genome.jp/entry/R04859" TargetMode="External"/><Relationship Id="rId1371" Type="http://schemas.openxmlformats.org/officeDocument/2006/relationships/hyperlink" Target="https://www.genome.jp/entry/5.1.1.1" TargetMode="External"/><Relationship Id="rId1469" Type="http://schemas.openxmlformats.org/officeDocument/2006/relationships/hyperlink" Target="https://www.genome.jp/entry/R04965" TargetMode="External"/><Relationship Id="rId601" Type="http://schemas.openxmlformats.org/officeDocument/2006/relationships/hyperlink" Target="https://www.genome.jp/entry/R03537" TargetMode="External"/><Relationship Id="rId1024" Type="http://schemas.openxmlformats.org/officeDocument/2006/relationships/hyperlink" Target="https://www.genome.jp/entry/4.2.1.10" TargetMode="External"/><Relationship Id="rId1231" Type="http://schemas.openxmlformats.org/officeDocument/2006/relationships/hyperlink" Target="https://www.genome.jp/entry/R03243" TargetMode="External"/><Relationship Id="rId1676" Type="http://schemas.openxmlformats.org/officeDocument/2006/relationships/hyperlink" Target="https://www.genome.jp/entry/R06134" TargetMode="External"/><Relationship Id="rId906" Type="http://schemas.openxmlformats.org/officeDocument/2006/relationships/hyperlink" Target="https://www.genome.jp/entry/2.7.4.6" TargetMode="External"/><Relationship Id="rId1329" Type="http://schemas.openxmlformats.org/officeDocument/2006/relationships/hyperlink" Target="https://www.genome.jp/entry/6.1.1.1" TargetMode="External"/><Relationship Id="rId1536" Type="http://schemas.openxmlformats.org/officeDocument/2006/relationships/hyperlink" Target="https://www.genome.jp/entry/1.3.5.2" TargetMode="External"/><Relationship Id="rId1743" Type="http://schemas.openxmlformats.org/officeDocument/2006/relationships/hyperlink" Target="https://www.genome.jp/entry/R04591" TargetMode="External"/><Relationship Id="rId35" Type="http://schemas.openxmlformats.org/officeDocument/2006/relationships/hyperlink" Target="https://www.genome.jp/entry/R05086" TargetMode="External"/><Relationship Id="rId1603" Type="http://schemas.openxmlformats.org/officeDocument/2006/relationships/hyperlink" Target="https://www.genome.jp/entry/6.1.1.10" TargetMode="External"/><Relationship Id="rId1810" Type="http://schemas.openxmlformats.org/officeDocument/2006/relationships/hyperlink" Target="https://www.genome.jp/entry/R07767" TargetMode="External"/><Relationship Id="rId184" Type="http://schemas.openxmlformats.org/officeDocument/2006/relationships/hyperlink" Target="https://www.genome.jp/entry/6.3.5.2" TargetMode="External"/><Relationship Id="rId391" Type="http://schemas.openxmlformats.org/officeDocument/2006/relationships/hyperlink" Target="https://www.genome.jp/entry/R01158" TargetMode="External"/><Relationship Id="rId251" Type="http://schemas.openxmlformats.org/officeDocument/2006/relationships/hyperlink" Target="https://www.genome.jp/entry/1.5.1.2" TargetMode="External"/><Relationship Id="rId489" Type="http://schemas.openxmlformats.org/officeDocument/2006/relationships/hyperlink" Target="https://www.genome.jp/entry/R01561" TargetMode="External"/><Relationship Id="rId696" Type="http://schemas.openxmlformats.org/officeDocument/2006/relationships/hyperlink" Target="https://www.genome.jp/entry/3.1.3.6" TargetMode="External"/><Relationship Id="rId349" Type="http://schemas.openxmlformats.org/officeDocument/2006/relationships/hyperlink" Target="https://www.genome.jp/entry/2.7.4.9" TargetMode="External"/><Relationship Id="rId556" Type="http://schemas.openxmlformats.org/officeDocument/2006/relationships/hyperlink" Target="https://www.genome.jp/entry/3.5.1.5" TargetMode="External"/><Relationship Id="rId763" Type="http://schemas.openxmlformats.org/officeDocument/2006/relationships/hyperlink" Target="https://www.genome.jp/entry/R04441" TargetMode="External"/><Relationship Id="rId1186" Type="http://schemas.openxmlformats.org/officeDocument/2006/relationships/hyperlink" Target="https://www.genome.jp/entry/6.3.2.13" TargetMode="External"/><Relationship Id="rId1393" Type="http://schemas.openxmlformats.org/officeDocument/2006/relationships/hyperlink" Target="https://www.genome.jp/entry/R03231" TargetMode="External"/><Relationship Id="rId111" Type="http://schemas.openxmlformats.org/officeDocument/2006/relationships/hyperlink" Target="https://www.genome.jp/entry/1.1.1.100" TargetMode="External"/><Relationship Id="rId209" Type="http://schemas.openxmlformats.org/officeDocument/2006/relationships/hyperlink" Target="https://www.genome.jp/entry/R03504" TargetMode="External"/><Relationship Id="rId416" Type="http://schemas.openxmlformats.org/officeDocument/2006/relationships/hyperlink" Target="https://www.genome.jp/entry/4.3.2.10" TargetMode="External"/><Relationship Id="rId970" Type="http://schemas.openxmlformats.org/officeDocument/2006/relationships/hyperlink" Target="https://www.genome.jp/entry/R07650" TargetMode="External"/><Relationship Id="rId1046" Type="http://schemas.openxmlformats.org/officeDocument/2006/relationships/hyperlink" Target="https://www.genome.jp/entry/2.7.1.11" TargetMode="External"/><Relationship Id="rId1253" Type="http://schemas.openxmlformats.org/officeDocument/2006/relationships/hyperlink" Target="https://www.genome.jp/entry/5.3.1.28" TargetMode="External"/><Relationship Id="rId1698" Type="http://schemas.openxmlformats.org/officeDocument/2006/relationships/hyperlink" Target="https://www.genome.jp/entry/1.17.4.1" TargetMode="External"/><Relationship Id="rId623" Type="http://schemas.openxmlformats.org/officeDocument/2006/relationships/hyperlink" Target="https://www.genome.jp/entry/R03035" TargetMode="External"/><Relationship Id="rId830" Type="http://schemas.openxmlformats.org/officeDocument/2006/relationships/hyperlink" Target="https://www.genome.jp/entry/R01086" TargetMode="External"/><Relationship Id="rId928" Type="http://schemas.openxmlformats.org/officeDocument/2006/relationships/hyperlink" Target="https://www.genome.jp/entry/R02101" TargetMode="External"/><Relationship Id="rId1460" Type="http://schemas.openxmlformats.org/officeDocument/2006/relationships/hyperlink" Target="https://www.genome.jp/entry/4.2.1.59" TargetMode="External"/><Relationship Id="rId1558" Type="http://schemas.openxmlformats.org/officeDocument/2006/relationships/hyperlink" Target="https://www.genome.jp/entry/1.16.3.2" TargetMode="External"/><Relationship Id="rId1765" Type="http://schemas.openxmlformats.org/officeDocument/2006/relationships/hyperlink" Target="https://www.genome.jp/entry/R00442" TargetMode="External"/><Relationship Id="rId57" Type="http://schemas.openxmlformats.org/officeDocument/2006/relationships/hyperlink" Target="https://www.genome.jp/entry/R12570" TargetMode="External"/><Relationship Id="rId1113" Type="http://schemas.openxmlformats.org/officeDocument/2006/relationships/hyperlink" Target="https://www.genome.jp/entry/R04606" TargetMode="External"/><Relationship Id="rId1320" Type="http://schemas.openxmlformats.org/officeDocument/2006/relationships/hyperlink" Target="https://www.genome.jp/entry/R04209" TargetMode="External"/><Relationship Id="rId1418" Type="http://schemas.openxmlformats.org/officeDocument/2006/relationships/hyperlink" Target="https://www.genome.jp/entry/2.3.1.41" TargetMode="External"/><Relationship Id="rId1625" Type="http://schemas.openxmlformats.org/officeDocument/2006/relationships/hyperlink" Target="https://www.genome.jp/entry/R00742" TargetMode="External"/><Relationship Id="rId273" Type="http://schemas.openxmlformats.org/officeDocument/2006/relationships/hyperlink" Target="https://www.genome.jp/entry/R00600" TargetMode="External"/><Relationship Id="rId480" Type="http://schemas.openxmlformats.org/officeDocument/2006/relationships/hyperlink" Target="https://www.genome.jp/entry/2.7.7.6" TargetMode="External"/><Relationship Id="rId133" Type="http://schemas.openxmlformats.org/officeDocument/2006/relationships/hyperlink" Target="https://www.genome.jp/entry/2.3.1.54" TargetMode="External"/><Relationship Id="rId340" Type="http://schemas.openxmlformats.org/officeDocument/2006/relationships/hyperlink" Target="https://www.genome.jp/entry/R00375" TargetMode="External"/><Relationship Id="rId578" Type="http://schemas.openxmlformats.org/officeDocument/2006/relationships/hyperlink" Target="https://www.genome.jp/entry/R04273" TargetMode="External"/><Relationship Id="rId785" Type="http://schemas.openxmlformats.org/officeDocument/2006/relationships/hyperlink" Target="https://www.genome.jp/entry/R00378" TargetMode="External"/><Relationship Id="rId992" Type="http://schemas.openxmlformats.org/officeDocument/2006/relationships/hyperlink" Target="https://www.genome.jp/entry/3.2.1.52" TargetMode="External"/><Relationship Id="rId200" Type="http://schemas.openxmlformats.org/officeDocument/2006/relationships/hyperlink" Target="https://www.genome.jp/entry/2.4.99.17" TargetMode="External"/><Relationship Id="rId438" Type="http://schemas.openxmlformats.org/officeDocument/2006/relationships/hyperlink" Target="https://www.genome.jp/entry/7.1.2.2" TargetMode="External"/><Relationship Id="rId645" Type="http://schemas.openxmlformats.org/officeDocument/2006/relationships/hyperlink" Target="https://www.genome.jp/entry/5.3.1.1" TargetMode="External"/><Relationship Id="rId852" Type="http://schemas.openxmlformats.org/officeDocument/2006/relationships/hyperlink" Target="https://www.genome.jp/entry/2.7.7.7" TargetMode="External"/><Relationship Id="rId1068" Type="http://schemas.openxmlformats.org/officeDocument/2006/relationships/hyperlink" Target="https://www.genome.jp/entry/4.2.1.33" TargetMode="External"/><Relationship Id="rId1275" Type="http://schemas.openxmlformats.org/officeDocument/2006/relationships/hyperlink" Target="https://www.genome.jp/entry/6.2.1.5" TargetMode="External"/><Relationship Id="rId1482" Type="http://schemas.openxmlformats.org/officeDocument/2006/relationships/hyperlink" Target="https://www.genome.jp/entry/5.4.2.10" TargetMode="External"/><Relationship Id="rId505" Type="http://schemas.openxmlformats.org/officeDocument/2006/relationships/hyperlink" Target="https://www.genome.jp/entry/R02294" TargetMode="External"/><Relationship Id="rId712" Type="http://schemas.openxmlformats.org/officeDocument/2006/relationships/hyperlink" Target="https://www.genome.jp/entry/2.9.1.1" TargetMode="External"/><Relationship Id="rId1135" Type="http://schemas.openxmlformats.org/officeDocument/2006/relationships/hyperlink" Target="https://www.genome.jp/entry/R10117" TargetMode="External"/><Relationship Id="rId1342" Type="http://schemas.openxmlformats.org/officeDocument/2006/relationships/hyperlink" Target="https://www.genome.jp/entry/R03460" TargetMode="External"/><Relationship Id="rId1787" Type="http://schemas.openxmlformats.org/officeDocument/2006/relationships/hyperlink" Target="https://www.genome.jp/entry/R00378" TargetMode="External"/><Relationship Id="rId79" Type="http://schemas.openxmlformats.org/officeDocument/2006/relationships/hyperlink" Target="https://www.genome.jp/entry/R00377" TargetMode="External"/><Relationship Id="rId1202" Type="http://schemas.openxmlformats.org/officeDocument/2006/relationships/hyperlink" Target="https://www.genome.jp/entry/2.4.1.227" TargetMode="External"/><Relationship Id="rId1647" Type="http://schemas.openxmlformats.org/officeDocument/2006/relationships/hyperlink" Target="https://www.genome.jp/entry/2.4.2.7" TargetMode="External"/><Relationship Id="rId1507" Type="http://schemas.openxmlformats.org/officeDocument/2006/relationships/hyperlink" Target="https://www.genome.jp/entry/R07168" TargetMode="External"/><Relationship Id="rId1714" Type="http://schemas.openxmlformats.org/officeDocument/2006/relationships/hyperlink" Target="https://www.genome.jp/entry/3.4.21.102" TargetMode="External"/><Relationship Id="rId295" Type="http://schemas.openxmlformats.org/officeDocument/2006/relationships/hyperlink" Target="https://www.genome.jp/entry/2.8.1.7" TargetMode="External"/><Relationship Id="rId155" Type="http://schemas.openxmlformats.org/officeDocument/2006/relationships/hyperlink" Target="https://www.genome.jp/entry/2.1.1.228" TargetMode="External"/><Relationship Id="rId362" Type="http://schemas.openxmlformats.org/officeDocument/2006/relationships/hyperlink" Target="https://www.genome.jp/entry/R00426" TargetMode="External"/><Relationship Id="rId1297" Type="http://schemas.openxmlformats.org/officeDocument/2006/relationships/hyperlink" Target="https://www.genome.jp/entry/3.2.2.9" TargetMode="External"/><Relationship Id="rId222" Type="http://schemas.openxmlformats.org/officeDocument/2006/relationships/hyperlink" Target="https://www.genome.jp/entry/R01870" TargetMode="External"/><Relationship Id="rId667" Type="http://schemas.openxmlformats.org/officeDocument/2006/relationships/hyperlink" Target="https://www.genome.jp/entry/1.1.5.3" TargetMode="External"/><Relationship Id="rId874" Type="http://schemas.openxmlformats.org/officeDocument/2006/relationships/hyperlink" Target="https://www.genome.jp/entry/6.3.1.2" TargetMode="External"/><Relationship Id="rId527" Type="http://schemas.openxmlformats.org/officeDocument/2006/relationships/hyperlink" Target="https://www.genome.jp/entry/R00490" TargetMode="External"/><Relationship Id="rId734" Type="http://schemas.openxmlformats.org/officeDocument/2006/relationships/hyperlink" Target="https://www.genome.jp/entry/5.1.3.29" TargetMode="External"/><Relationship Id="rId941" Type="http://schemas.openxmlformats.org/officeDocument/2006/relationships/hyperlink" Target="https://www.genome.jp/entry/2.7.7.7" TargetMode="External"/><Relationship Id="rId1157" Type="http://schemas.openxmlformats.org/officeDocument/2006/relationships/hyperlink" Target="https://www.genome.jp/entry/6.5.1.2" TargetMode="External"/><Relationship Id="rId1364" Type="http://schemas.openxmlformats.org/officeDocument/2006/relationships/hyperlink" Target="https://www.genome.jp/entry/R00771" TargetMode="External"/><Relationship Id="rId1571" Type="http://schemas.openxmlformats.org/officeDocument/2006/relationships/hyperlink" Target="https://www.genome.jp/entry/6.1.1.3" TargetMode="External"/><Relationship Id="rId70" Type="http://schemas.openxmlformats.org/officeDocument/2006/relationships/hyperlink" Target="https://www.genome.jp/entry/3.5.4.13" TargetMode="External"/><Relationship Id="rId801" Type="http://schemas.openxmlformats.org/officeDocument/2006/relationships/hyperlink" Target="https://www.genome.jp/entry/3.2.2.31" TargetMode="External"/><Relationship Id="rId1017" Type="http://schemas.openxmlformats.org/officeDocument/2006/relationships/hyperlink" Target="https://www.genome.jp/entry/R00161" TargetMode="External"/><Relationship Id="rId1224" Type="http://schemas.openxmlformats.org/officeDocument/2006/relationships/hyperlink" Target="https://www.genome.jp/entry/R00900" TargetMode="External"/><Relationship Id="rId1431" Type="http://schemas.openxmlformats.org/officeDocument/2006/relationships/hyperlink" Target="https://www.genome.jp/entry/5.6.2.2" TargetMode="External"/><Relationship Id="rId1669" Type="http://schemas.openxmlformats.org/officeDocument/2006/relationships/hyperlink" Target="https://www.genome.jp/entry/2.7.4.25" TargetMode="External"/><Relationship Id="rId1529" Type="http://schemas.openxmlformats.org/officeDocument/2006/relationships/hyperlink" Target="https://www.genome.jp/entry/R02722" TargetMode="External"/><Relationship Id="rId1736" Type="http://schemas.openxmlformats.org/officeDocument/2006/relationships/hyperlink" Target="https://www.genome.jp/entry/2.7.13.3" TargetMode="External"/><Relationship Id="rId28" Type="http://schemas.openxmlformats.org/officeDocument/2006/relationships/hyperlink" Target="https://www.genome.jp/entry/6.1.1.16" TargetMode="External"/><Relationship Id="rId1803" Type="http://schemas.openxmlformats.org/officeDocument/2006/relationships/hyperlink" Target="https://www.genome.jp/entry/4.1.3.6" TargetMode="External"/><Relationship Id="rId177" Type="http://schemas.openxmlformats.org/officeDocument/2006/relationships/hyperlink" Target="https://www.genome.jp/entry/R08240" TargetMode="External"/><Relationship Id="rId384" Type="http://schemas.openxmlformats.org/officeDocument/2006/relationships/hyperlink" Target="https://www.genome.jp/entry/1.1.1.95" TargetMode="External"/><Relationship Id="rId591" Type="http://schemas.openxmlformats.org/officeDocument/2006/relationships/hyperlink" Target="https://www.genome.jp/entry/R00150" TargetMode="External"/><Relationship Id="rId244" Type="http://schemas.openxmlformats.org/officeDocument/2006/relationships/hyperlink" Target="https://www.genome.jp/entry/R11100" TargetMode="External"/><Relationship Id="rId689" Type="http://schemas.openxmlformats.org/officeDocument/2006/relationships/hyperlink" Target="https://www.genome.jp/entry/2.4.2.22" TargetMode="External"/><Relationship Id="rId896" Type="http://schemas.openxmlformats.org/officeDocument/2006/relationships/hyperlink" Target="https://www.genome.jp/entry/2.7.4.6" TargetMode="External"/><Relationship Id="rId1081" Type="http://schemas.openxmlformats.org/officeDocument/2006/relationships/hyperlink" Target="https://www.genome.jp/entry/R00378" TargetMode="External"/><Relationship Id="rId451" Type="http://schemas.openxmlformats.org/officeDocument/2006/relationships/hyperlink" Target="https://www.genome.jp/entry/3.1.3.2" TargetMode="External"/><Relationship Id="rId549" Type="http://schemas.openxmlformats.org/officeDocument/2006/relationships/hyperlink" Target="https://www.genome.jp/entry/R12185" TargetMode="External"/><Relationship Id="rId756" Type="http://schemas.openxmlformats.org/officeDocument/2006/relationships/hyperlink" Target="https://www.genome.jp/entry/2.3.1.51" TargetMode="External"/><Relationship Id="rId1179" Type="http://schemas.openxmlformats.org/officeDocument/2006/relationships/hyperlink" Target="https://www.genome.jp/entry/4.1.2.4" TargetMode="External"/><Relationship Id="rId1386" Type="http://schemas.openxmlformats.org/officeDocument/2006/relationships/hyperlink" Target="https://www.genome.jp/entry/2.7.1.40" TargetMode="External"/><Relationship Id="rId1593" Type="http://schemas.openxmlformats.org/officeDocument/2006/relationships/hyperlink" Target="https://www.genome.jp/entry/3.4.11.4" TargetMode="External"/><Relationship Id="rId104" Type="http://schemas.openxmlformats.org/officeDocument/2006/relationships/hyperlink" Target="https://www.genome.jp/entry/R04566" TargetMode="External"/><Relationship Id="rId311" Type="http://schemas.openxmlformats.org/officeDocument/2006/relationships/hyperlink" Target="https://www.genome.jp/entry/R09597" TargetMode="External"/><Relationship Id="rId409" Type="http://schemas.openxmlformats.org/officeDocument/2006/relationships/hyperlink" Target="https://www.genome.jp/entry/R04558" TargetMode="External"/><Relationship Id="rId963" Type="http://schemas.openxmlformats.org/officeDocument/2006/relationships/hyperlink" Target="https://www.genome.jp/entry/3.1.3.25" TargetMode="External"/><Relationship Id="rId1039" Type="http://schemas.openxmlformats.org/officeDocument/2006/relationships/hyperlink" Target="https://www.genome.jp/entry/R00770" TargetMode="External"/><Relationship Id="rId1246" Type="http://schemas.openxmlformats.org/officeDocument/2006/relationships/hyperlink" Target="https://www.genome.jp/entry/2.5.1.6" TargetMode="External"/><Relationship Id="rId92" Type="http://schemas.openxmlformats.org/officeDocument/2006/relationships/hyperlink" Target="https://www.genome.jp/entry/R01811" TargetMode="External"/><Relationship Id="rId616" Type="http://schemas.openxmlformats.org/officeDocument/2006/relationships/hyperlink" Target="https://www.genome.jp/entry/R12851" TargetMode="External"/><Relationship Id="rId823" Type="http://schemas.openxmlformats.org/officeDocument/2006/relationships/hyperlink" Target="https://www.genome.jp/entry/2.7.7.6" TargetMode="External"/><Relationship Id="rId1453" Type="http://schemas.openxmlformats.org/officeDocument/2006/relationships/hyperlink" Target="https://www.genome.jp/entry/3.1.11.5" TargetMode="External"/><Relationship Id="rId1660" Type="http://schemas.openxmlformats.org/officeDocument/2006/relationships/hyperlink" Target="https://www.genome.jp/entry/R00378" TargetMode="External"/><Relationship Id="rId1758" Type="http://schemas.openxmlformats.org/officeDocument/2006/relationships/hyperlink" Target="https://www.genome.jp/entry/2.7.7.6" TargetMode="External"/><Relationship Id="rId1106" Type="http://schemas.openxmlformats.org/officeDocument/2006/relationships/hyperlink" Target="https://www.genome.jp/entry/R00582" TargetMode="External"/><Relationship Id="rId1313" Type="http://schemas.openxmlformats.org/officeDocument/2006/relationships/hyperlink" Target="https://www.genome.jp/entry/2.3.1.117" TargetMode="External"/><Relationship Id="rId1520" Type="http://schemas.openxmlformats.org/officeDocument/2006/relationships/hyperlink" Target="https://www.genome.jp/entry/4.2.1.20" TargetMode="External"/><Relationship Id="rId1618" Type="http://schemas.openxmlformats.org/officeDocument/2006/relationships/hyperlink" Target="https://www.genome.jp/entry/6.3.2.17" TargetMode="External"/><Relationship Id="rId1825" Type="http://schemas.openxmlformats.org/officeDocument/2006/relationships/hyperlink" Target="https://www.genome.jp/entry/3.1.11.2" TargetMode="External"/><Relationship Id="rId199" Type="http://schemas.openxmlformats.org/officeDocument/2006/relationships/hyperlink" Target="https://www.genome.jp/entry/R10209" TargetMode="External"/><Relationship Id="rId266" Type="http://schemas.openxmlformats.org/officeDocument/2006/relationships/hyperlink" Target="https://www.genome.jp/entry/R02530" TargetMode="External"/><Relationship Id="rId473" Type="http://schemas.openxmlformats.org/officeDocument/2006/relationships/hyperlink" Target="https://www.genome.jp/entry/R10813" TargetMode="External"/><Relationship Id="rId680" Type="http://schemas.openxmlformats.org/officeDocument/2006/relationships/hyperlink" Target="https://www.genome.jp/entry/R00857" TargetMode="External"/><Relationship Id="rId126" Type="http://schemas.openxmlformats.org/officeDocument/2006/relationships/hyperlink" Target="https://www.genome.jp/entry/2.8.1.13" TargetMode="External"/><Relationship Id="rId333" Type="http://schemas.openxmlformats.org/officeDocument/2006/relationships/hyperlink" Target="https://www.genome.jp/entry/2.7.1.56" TargetMode="External"/><Relationship Id="rId540" Type="http://schemas.openxmlformats.org/officeDocument/2006/relationships/hyperlink" Target="https://www.genome.jp/entry/3.5.1.5" TargetMode="External"/><Relationship Id="rId778" Type="http://schemas.openxmlformats.org/officeDocument/2006/relationships/hyperlink" Target="https://www.genome.jp/entry/2.7.7.7" TargetMode="External"/><Relationship Id="rId985" Type="http://schemas.openxmlformats.org/officeDocument/2006/relationships/hyperlink" Target="https://www.genome.jp/entry/R03492" TargetMode="External"/><Relationship Id="rId1170" Type="http://schemas.openxmlformats.org/officeDocument/2006/relationships/hyperlink" Target="https://www.genome.jp/entry/R00307" TargetMode="External"/><Relationship Id="rId638" Type="http://schemas.openxmlformats.org/officeDocument/2006/relationships/hyperlink" Target="https://www.genome.jp/entry/R05637" TargetMode="External"/><Relationship Id="rId845" Type="http://schemas.openxmlformats.org/officeDocument/2006/relationships/hyperlink" Target="https://www.genome.jp/entry/R11581" TargetMode="External"/><Relationship Id="rId1030" Type="http://schemas.openxmlformats.org/officeDocument/2006/relationships/hyperlink" Target="https://www.genome.jp/entry/2.7.1.11" TargetMode="External"/><Relationship Id="rId1268" Type="http://schemas.openxmlformats.org/officeDocument/2006/relationships/hyperlink" Target="https://www.genome.jp/entry/2.6.1.42" TargetMode="External"/><Relationship Id="rId1475" Type="http://schemas.openxmlformats.org/officeDocument/2006/relationships/hyperlink" Target="https://www.genome.jp/entry/R07639" TargetMode="External"/><Relationship Id="rId1682" Type="http://schemas.openxmlformats.org/officeDocument/2006/relationships/hyperlink" Target="https://www.genome.jp/entry/R10089" TargetMode="External"/><Relationship Id="rId400" Type="http://schemas.openxmlformats.org/officeDocument/2006/relationships/hyperlink" Target="https://www.genome.jp/entry/2.6.1.9" TargetMode="External"/><Relationship Id="rId705" Type="http://schemas.openxmlformats.org/officeDocument/2006/relationships/hyperlink" Target="https://www.genome.jp/entry/R00673" TargetMode="External"/><Relationship Id="rId1128" Type="http://schemas.openxmlformats.org/officeDocument/2006/relationships/hyperlink" Target="https://www.genome.jp/entry/4.2.1.59" TargetMode="External"/><Relationship Id="rId1335" Type="http://schemas.openxmlformats.org/officeDocument/2006/relationships/hyperlink" Target="https://www.genome.jp/entry/2.7.7.72" TargetMode="External"/><Relationship Id="rId1542" Type="http://schemas.openxmlformats.org/officeDocument/2006/relationships/hyperlink" Target="https://www.genome.jp/entry/2.1.1.37" TargetMode="External"/><Relationship Id="rId912" Type="http://schemas.openxmlformats.org/officeDocument/2006/relationships/hyperlink" Target="https://www.genome.jp/entry/2.7.4.6" TargetMode="External"/><Relationship Id="rId41" Type="http://schemas.openxmlformats.org/officeDocument/2006/relationships/hyperlink" Target="https://www.genome.jp/entry/R01775" TargetMode="External"/><Relationship Id="rId1402" Type="http://schemas.openxmlformats.org/officeDocument/2006/relationships/hyperlink" Target="https://www.genome.jp/entry/6.3.3.3" TargetMode="External"/><Relationship Id="rId1707" Type="http://schemas.openxmlformats.org/officeDocument/2006/relationships/hyperlink" Target="https://www.genome.jp/entry/R02571" TargetMode="External"/><Relationship Id="rId190" Type="http://schemas.openxmlformats.org/officeDocument/2006/relationships/hyperlink" Target="https://www.genome.jp/entry/2.7.7.8" TargetMode="External"/><Relationship Id="rId288" Type="http://schemas.openxmlformats.org/officeDocument/2006/relationships/hyperlink" Target="https://www.genome.jp/entry/R08689" TargetMode="External"/><Relationship Id="rId495" Type="http://schemas.openxmlformats.org/officeDocument/2006/relationships/hyperlink" Target="https://www.genome.jp/entry/R02297" TargetMode="External"/><Relationship Id="rId148" Type="http://schemas.openxmlformats.org/officeDocument/2006/relationships/hyperlink" Target="https://www.genome.jp/entry/R01714" TargetMode="External"/><Relationship Id="rId355" Type="http://schemas.openxmlformats.org/officeDocument/2006/relationships/hyperlink" Target="https://www.genome.jp/entry/2.4.2.9" TargetMode="External"/><Relationship Id="rId562" Type="http://schemas.openxmlformats.org/officeDocument/2006/relationships/hyperlink" Target="https://www.genome.jp/entry/1.1.1.44" TargetMode="External"/><Relationship Id="rId1192" Type="http://schemas.openxmlformats.org/officeDocument/2006/relationships/hyperlink" Target="https://www.genome.jp/entry/2.7.8.13" TargetMode="External"/><Relationship Id="rId215" Type="http://schemas.openxmlformats.org/officeDocument/2006/relationships/hyperlink" Target="https://www.genome.jp/entry/R09380" TargetMode="External"/><Relationship Id="rId422" Type="http://schemas.openxmlformats.org/officeDocument/2006/relationships/hyperlink" Target="https://www.genome.jp/entry/3.6.1.31" TargetMode="External"/><Relationship Id="rId867" Type="http://schemas.openxmlformats.org/officeDocument/2006/relationships/hyperlink" Target="https://www.genome.jp/entry/R00277" TargetMode="External"/><Relationship Id="rId1052" Type="http://schemas.openxmlformats.org/officeDocument/2006/relationships/hyperlink" Target="https://www.genome.jp/entry/1.1.1.85" TargetMode="External"/><Relationship Id="rId1497" Type="http://schemas.openxmlformats.org/officeDocument/2006/relationships/hyperlink" Target="https://www.genome.jp/entry/R05048" TargetMode="External"/><Relationship Id="rId727" Type="http://schemas.openxmlformats.org/officeDocument/2006/relationships/hyperlink" Target="https://www.genome.jp/entry/R01220" TargetMode="External"/><Relationship Id="rId934" Type="http://schemas.openxmlformats.org/officeDocument/2006/relationships/hyperlink" Target="https://www.genome.jp/entry/R01799" TargetMode="External"/><Relationship Id="rId1357" Type="http://schemas.openxmlformats.org/officeDocument/2006/relationships/hyperlink" Target="https://www.genome.jp/entry/2.2.1.6" TargetMode="External"/><Relationship Id="rId1564" Type="http://schemas.openxmlformats.org/officeDocument/2006/relationships/hyperlink" Target="https://www.genome.jp/entry/1.16.3.2" TargetMode="External"/><Relationship Id="rId1771" Type="http://schemas.openxmlformats.org/officeDocument/2006/relationships/hyperlink" Target="https://www.genome.jp/entry/R09494" TargetMode="External"/><Relationship Id="rId63" Type="http://schemas.openxmlformats.org/officeDocument/2006/relationships/hyperlink" Target="https://www.genome.jp/entry/R00964" TargetMode="External"/><Relationship Id="rId1217" Type="http://schemas.openxmlformats.org/officeDocument/2006/relationships/hyperlink" Target="https://www.genome.jp/entry/R00691" TargetMode="External"/><Relationship Id="rId1424" Type="http://schemas.openxmlformats.org/officeDocument/2006/relationships/hyperlink" Target="https://www.genome.jp/entry/2.3.1.41" TargetMode="External"/><Relationship Id="rId1631" Type="http://schemas.openxmlformats.org/officeDocument/2006/relationships/hyperlink" Target="https://www.genome.jp/entry/1.2.4.1" TargetMode="External"/><Relationship Id="rId1729" Type="http://schemas.openxmlformats.org/officeDocument/2006/relationships/hyperlink" Target="https://www.genome.jp/entry/R09365" TargetMode="External"/><Relationship Id="rId377" Type="http://schemas.openxmlformats.org/officeDocument/2006/relationships/hyperlink" Target="https://www.genome.jp/entry/3.6.1.9" TargetMode="External"/><Relationship Id="rId584" Type="http://schemas.openxmlformats.org/officeDocument/2006/relationships/hyperlink" Target="https://www.genome.jp/entry/3.5.1.88" TargetMode="External"/><Relationship Id="rId5" Type="http://schemas.openxmlformats.org/officeDocument/2006/relationships/hyperlink" Target="https://www.genome.jp/entry/2.7.1.130" TargetMode="External"/><Relationship Id="rId237" Type="http://schemas.openxmlformats.org/officeDocument/2006/relationships/hyperlink" Target="https://www.genome.jp/entry/4.3.1.17" TargetMode="External"/><Relationship Id="rId791" Type="http://schemas.openxmlformats.org/officeDocument/2006/relationships/hyperlink" Target="https://www.genome.jp/entry/R02617" TargetMode="External"/><Relationship Id="rId889" Type="http://schemas.openxmlformats.org/officeDocument/2006/relationships/hyperlink" Target="https://www.genome.jp/entry/R00156" TargetMode="External"/><Relationship Id="rId1074" Type="http://schemas.openxmlformats.org/officeDocument/2006/relationships/hyperlink" Target="https://www.genome.jp/entry/2.7.7.7" TargetMode="External"/><Relationship Id="rId444" Type="http://schemas.openxmlformats.org/officeDocument/2006/relationships/hyperlink" Target="https://www.genome.jp/entry/R00626" TargetMode="External"/><Relationship Id="rId651" Type="http://schemas.openxmlformats.org/officeDocument/2006/relationships/hyperlink" Target="https://www.genome.jp/entry/1.1.1.86" TargetMode="External"/><Relationship Id="rId749" Type="http://schemas.openxmlformats.org/officeDocument/2006/relationships/hyperlink" Target="https://www.genome.jp/entry/3.6.4.12" TargetMode="External"/><Relationship Id="rId1281" Type="http://schemas.openxmlformats.org/officeDocument/2006/relationships/hyperlink" Target="https://www.genome.jp/entry/6.2.1.5" TargetMode="External"/><Relationship Id="rId1379" Type="http://schemas.openxmlformats.org/officeDocument/2006/relationships/hyperlink" Target="https://www.genome.jp/entry/R00572" TargetMode="External"/><Relationship Id="rId1586" Type="http://schemas.openxmlformats.org/officeDocument/2006/relationships/hyperlink" Target="https://www.genome.jp/entry/R03652" TargetMode="External"/><Relationship Id="rId304" Type="http://schemas.openxmlformats.org/officeDocument/2006/relationships/hyperlink" Target="https://www.genome.jp/entry/R04238" TargetMode="External"/><Relationship Id="rId511" Type="http://schemas.openxmlformats.org/officeDocument/2006/relationships/hyperlink" Target="https://www.genome.jp/entry/R01070" TargetMode="External"/><Relationship Id="rId609" Type="http://schemas.openxmlformats.org/officeDocument/2006/relationships/hyperlink" Target="https://www.genome.jp/entry/6.1.1.2" TargetMode="External"/><Relationship Id="rId956" Type="http://schemas.openxmlformats.org/officeDocument/2006/relationships/hyperlink" Target="https://www.genome.jp/entry/R006588" TargetMode="External"/><Relationship Id="rId1141" Type="http://schemas.openxmlformats.org/officeDocument/2006/relationships/hyperlink" Target="https://www.genome.jp/entry/R05712" TargetMode="External"/><Relationship Id="rId1239" Type="http://schemas.openxmlformats.org/officeDocument/2006/relationships/hyperlink" Target="https://www.genome.jp/entry/R05085" TargetMode="External"/><Relationship Id="rId1793" Type="http://schemas.openxmlformats.org/officeDocument/2006/relationships/hyperlink" Target="https://www.genome.jp/entry/3.4.21.89" TargetMode="External"/><Relationship Id="rId85" Type="http://schemas.openxmlformats.org/officeDocument/2006/relationships/hyperlink" Target="https://www.genome.jp/entry/3.5.1.25" TargetMode="External"/><Relationship Id="rId816" Type="http://schemas.openxmlformats.org/officeDocument/2006/relationships/hyperlink" Target="https://www.genome.jp/entry/R00435" TargetMode="External"/><Relationship Id="rId1001" Type="http://schemas.openxmlformats.org/officeDocument/2006/relationships/hyperlink" Target="https://www.genome.jp/entry/R07810" TargetMode="External"/><Relationship Id="rId1446" Type="http://schemas.openxmlformats.org/officeDocument/2006/relationships/hyperlink" Target="https://www.genome.jp/entry/1.17.1.8" TargetMode="External"/><Relationship Id="rId1653" Type="http://schemas.openxmlformats.org/officeDocument/2006/relationships/hyperlink" Target="https://www.genome.jp/entry/2.7.7.7" TargetMode="External"/><Relationship Id="rId1306" Type="http://schemas.openxmlformats.org/officeDocument/2006/relationships/hyperlink" Target="https://www.genome.jp/entry/R04780" TargetMode="External"/><Relationship Id="rId1513" Type="http://schemas.openxmlformats.org/officeDocument/2006/relationships/hyperlink" Target="https://www.genome.jp/entry/2.8.1.4" TargetMode="External"/><Relationship Id="rId1720" Type="http://schemas.openxmlformats.org/officeDocument/2006/relationships/hyperlink" Target="https://www.genome.jp/entry/R11372" TargetMode="External"/><Relationship Id="rId12" Type="http://schemas.openxmlformats.org/officeDocument/2006/relationships/hyperlink" Target="https://www.genome.jp/entry/2.5.1.75" TargetMode="External"/><Relationship Id="rId1818" Type="http://schemas.openxmlformats.org/officeDocument/2006/relationships/hyperlink" Target="https://www.genome.jp/entry/R12427" TargetMode="External"/><Relationship Id="rId161" Type="http://schemas.openxmlformats.org/officeDocument/2006/relationships/hyperlink" Target="https://www.genome.jp/entry/2.1.1.72" TargetMode="External"/><Relationship Id="rId399" Type="http://schemas.openxmlformats.org/officeDocument/2006/relationships/hyperlink" Target="https://www.genome.jp/entry/R00694" TargetMode="External"/><Relationship Id="rId259" Type="http://schemas.openxmlformats.org/officeDocument/2006/relationships/hyperlink" Target="https://www.genome.jp/entry/3.6.4.12" TargetMode="External"/><Relationship Id="rId466" Type="http://schemas.openxmlformats.org/officeDocument/2006/relationships/hyperlink" Target="https://www.genome.jp/entry/2.7.7.6" TargetMode="External"/><Relationship Id="rId673" Type="http://schemas.openxmlformats.org/officeDocument/2006/relationships/hyperlink" Target="https://www.genome.jp/entry/1.1.5.3" TargetMode="External"/><Relationship Id="rId880" Type="http://schemas.openxmlformats.org/officeDocument/2006/relationships/hyperlink" Target="https://www.genome.jp/entry/3.4.11.23" TargetMode="External"/><Relationship Id="rId1096" Type="http://schemas.openxmlformats.org/officeDocument/2006/relationships/hyperlink" Target="https://www.genome.jp/entry/R01067" TargetMode="External"/><Relationship Id="rId119" Type="http://schemas.openxmlformats.org/officeDocument/2006/relationships/hyperlink" Target="https://www.genome.jp/entry/1.8.1.7" TargetMode="External"/><Relationship Id="rId326" Type="http://schemas.openxmlformats.org/officeDocument/2006/relationships/hyperlink" Target="https://www.genome.jp/entry/R00103" TargetMode="External"/><Relationship Id="rId533" Type="http://schemas.openxmlformats.org/officeDocument/2006/relationships/hyperlink" Target="https://www.genome.jp/entry/R13421" TargetMode="External"/><Relationship Id="rId978" Type="http://schemas.openxmlformats.org/officeDocument/2006/relationships/hyperlink" Target="https://www.genome.jp/entry/R02100" TargetMode="External"/><Relationship Id="rId1163" Type="http://schemas.openxmlformats.org/officeDocument/2006/relationships/hyperlink" Target="https://www.genome.jp/entry/2.5.1.47" TargetMode="External"/><Relationship Id="rId1370" Type="http://schemas.openxmlformats.org/officeDocument/2006/relationships/hyperlink" Target="https://www.genome.jp/entry/R13199" TargetMode="External"/><Relationship Id="rId740" Type="http://schemas.openxmlformats.org/officeDocument/2006/relationships/hyperlink" Target="https://www.genome.jp/entry/5.3.1.25" TargetMode="External"/><Relationship Id="rId838" Type="http://schemas.openxmlformats.org/officeDocument/2006/relationships/hyperlink" Target="https://www.genome.jp/entry/3.1.2.20" TargetMode="External"/><Relationship Id="rId1023" Type="http://schemas.openxmlformats.org/officeDocument/2006/relationships/hyperlink" Target="https://www.genome.jp/entry/R04031" TargetMode="External"/><Relationship Id="rId1468" Type="http://schemas.openxmlformats.org/officeDocument/2006/relationships/hyperlink" Target="https://www.genome.jp/entry/4.2.1.59" TargetMode="External"/><Relationship Id="rId1675" Type="http://schemas.openxmlformats.org/officeDocument/2006/relationships/hyperlink" Target="https://www.genome.jp/entry/3.5.1.2" TargetMode="External"/><Relationship Id="rId600" Type="http://schemas.openxmlformats.org/officeDocument/2006/relationships/hyperlink" Target="https://www.genome.jp/entry/3.1.4.16" TargetMode="External"/><Relationship Id="rId1230" Type="http://schemas.openxmlformats.org/officeDocument/2006/relationships/hyperlink" Target="https://www.genome.jp/entry/2.6.1.9" TargetMode="External"/><Relationship Id="rId1328" Type="http://schemas.openxmlformats.org/officeDocument/2006/relationships/hyperlink" Target="https://www.genome.jp/entry/R00066" TargetMode="External"/><Relationship Id="rId1535" Type="http://schemas.openxmlformats.org/officeDocument/2006/relationships/hyperlink" Target="https://www.genome.jp/entry/R04326" TargetMode="External"/><Relationship Id="rId905" Type="http://schemas.openxmlformats.org/officeDocument/2006/relationships/hyperlink" Target="https://www.genome.jp/entry/R02331" TargetMode="External"/><Relationship Id="rId1742" Type="http://schemas.openxmlformats.org/officeDocument/2006/relationships/hyperlink" Target="https://www.genome.jp/entry/6.3.2.6" TargetMode="External"/><Relationship Id="rId34" Type="http://schemas.openxmlformats.org/officeDocument/2006/relationships/hyperlink" Target="https://www.genome.jp/entry/4.2.3.1" TargetMode="External"/><Relationship Id="rId1602" Type="http://schemas.openxmlformats.org/officeDocument/2006/relationships/hyperlink" Target="https://www.genome.jp/entry/R03659" TargetMode="External"/><Relationship Id="rId183" Type="http://schemas.openxmlformats.org/officeDocument/2006/relationships/hyperlink" Target="https://www.genome.jp/entry/R01231" TargetMode="External"/><Relationship Id="rId390" Type="http://schemas.openxmlformats.org/officeDocument/2006/relationships/hyperlink" Target="https://www.genome.jp/entry/1.1.1.23" TargetMode="External"/><Relationship Id="rId250" Type="http://schemas.openxmlformats.org/officeDocument/2006/relationships/hyperlink" Target="https://www.genome.jp/entry/3.1.22.4" TargetMode="External"/><Relationship Id="rId488" Type="http://schemas.openxmlformats.org/officeDocument/2006/relationships/hyperlink" Target="https://www.genome.jp/entry/2.4.2.1" TargetMode="External"/><Relationship Id="rId695" Type="http://schemas.openxmlformats.org/officeDocument/2006/relationships/hyperlink" Target="https://www.genome.jp/entry/R03060" TargetMode="External"/><Relationship Id="rId110" Type="http://schemas.openxmlformats.org/officeDocument/2006/relationships/hyperlink" Target="https://www.genome.jp/entry/R07763" TargetMode="External"/><Relationship Id="rId348" Type="http://schemas.openxmlformats.org/officeDocument/2006/relationships/hyperlink" Target="https://www.genome.jp/entry/R11029" TargetMode="External"/><Relationship Id="rId555" Type="http://schemas.openxmlformats.org/officeDocument/2006/relationships/hyperlink" Target="https://www.genome.jp/entry/R00131" TargetMode="External"/><Relationship Id="rId762" Type="http://schemas.openxmlformats.org/officeDocument/2006/relationships/hyperlink" Target="https://www.genome.jp/entry/4.2.1.9" TargetMode="External"/><Relationship Id="rId1185" Type="http://schemas.openxmlformats.org/officeDocument/2006/relationships/hyperlink" Target="https://www.genome.jp/entry/2.1.1.199" TargetMode="External"/><Relationship Id="rId1392" Type="http://schemas.openxmlformats.org/officeDocument/2006/relationships/hyperlink" Target="https://www.genome.jp/entry/2.6.1.62" TargetMode="External"/><Relationship Id="rId208" Type="http://schemas.openxmlformats.org/officeDocument/2006/relationships/hyperlink" Target="https://www.genome.jp/entry/4.1.2.25" TargetMode="External"/><Relationship Id="rId415" Type="http://schemas.openxmlformats.org/officeDocument/2006/relationships/hyperlink" Target="https://www.genome.jp/entry/R00256" TargetMode="External"/><Relationship Id="rId622" Type="http://schemas.openxmlformats.org/officeDocument/2006/relationships/hyperlink" Target="https://www.genome.jp/entry/2.7.7.3" TargetMode="External"/><Relationship Id="rId1045" Type="http://schemas.openxmlformats.org/officeDocument/2006/relationships/hyperlink" Target="https://www.genome.jp/entry/R03237" TargetMode="External"/><Relationship Id="rId1252" Type="http://schemas.openxmlformats.org/officeDocument/2006/relationships/hyperlink" Target="https://www.genome.jp/entry/7.4.2.1" TargetMode="External"/><Relationship Id="rId1697" Type="http://schemas.openxmlformats.org/officeDocument/2006/relationships/hyperlink" Target="https://www.genome.jp/entry/R02024" TargetMode="External"/><Relationship Id="rId927" Type="http://schemas.openxmlformats.org/officeDocument/2006/relationships/hyperlink" Target="https://www.genome.jp/entry/2.1.1.45" TargetMode="External"/><Relationship Id="rId1112" Type="http://schemas.openxmlformats.org/officeDocument/2006/relationships/hyperlink" Target="https://www.genome.jp/entry/2.4.1.182" TargetMode="External"/><Relationship Id="rId1557" Type="http://schemas.openxmlformats.org/officeDocument/2006/relationships/hyperlink" Target="https://www.genome.jp/entry/R13250" TargetMode="External"/><Relationship Id="rId1764" Type="http://schemas.openxmlformats.org/officeDocument/2006/relationships/hyperlink" Target="https://www.genome.jp/entry/2.7.7.6" TargetMode="External"/><Relationship Id="rId56" Type="http://schemas.openxmlformats.org/officeDocument/2006/relationships/hyperlink" Target="https://www.genome.jp/entry/1.11.1.24" TargetMode="External"/><Relationship Id="rId1417" Type="http://schemas.openxmlformats.org/officeDocument/2006/relationships/hyperlink" Target="https://www.genome.jp/entry/R04957" TargetMode="External"/><Relationship Id="rId1624" Type="http://schemas.openxmlformats.org/officeDocument/2006/relationships/hyperlink" Target="https://www.genome.jp/entry/6.4.1.2" TargetMode="External"/><Relationship Id="rId272" Type="http://schemas.openxmlformats.org/officeDocument/2006/relationships/hyperlink" Target="https://www.genome.jp/entry/2.1.1.33" TargetMode="External"/><Relationship Id="rId577" Type="http://schemas.openxmlformats.org/officeDocument/2006/relationships/hyperlink" Target="https://www.genome.jp/entry/5.2.1.8" TargetMode="External"/><Relationship Id="rId132" Type="http://schemas.openxmlformats.org/officeDocument/2006/relationships/hyperlink" Target="https://www.genome.jp/entry/R00212" TargetMode="External"/><Relationship Id="rId784" Type="http://schemas.openxmlformats.org/officeDocument/2006/relationships/hyperlink" Target="https://www.genome.jp/entry/2.7.7.7" TargetMode="External"/><Relationship Id="rId991" Type="http://schemas.openxmlformats.org/officeDocument/2006/relationships/hyperlink" Target="https://www.genome.jp/entry/R05963" TargetMode="External"/><Relationship Id="rId1067" Type="http://schemas.openxmlformats.org/officeDocument/2006/relationships/hyperlink" Target="https://www.genome.jp/entry/R03968" TargetMode="External"/><Relationship Id="rId437" Type="http://schemas.openxmlformats.org/officeDocument/2006/relationships/hyperlink" Target="https://www.genome.jp/entry/R00086" TargetMode="External"/><Relationship Id="rId644" Type="http://schemas.openxmlformats.org/officeDocument/2006/relationships/hyperlink" Target="https://www.genome.jp/entry/R01229" TargetMode="External"/><Relationship Id="rId851" Type="http://schemas.openxmlformats.org/officeDocument/2006/relationships/hyperlink" Target="https://www.genome.jp/entry/R00379" TargetMode="External"/><Relationship Id="rId1274" Type="http://schemas.openxmlformats.org/officeDocument/2006/relationships/hyperlink" Target="https://www.genome.jp/entry/2.1.1.186" TargetMode="External"/><Relationship Id="rId1481" Type="http://schemas.openxmlformats.org/officeDocument/2006/relationships/hyperlink" Target="https://www.genome.jp/entry/R03066" TargetMode="External"/><Relationship Id="rId1579" Type="http://schemas.openxmlformats.org/officeDocument/2006/relationships/hyperlink" Target="https://www.genome.jp/entry/2.7.7.27" TargetMode="External"/><Relationship Id="rId504" Type="http://schemas.openxmlformats.org/officeDocument/2006/relationships/hyperlink" Target="https://www.genome.jp/entry/2.4.2.1" TargetMode="External"/><Relationship Id="rId711" Type="http://schemas.openxmlformats.org/officeDocument/2006/relationships/hyperlink" Target="https://www.genome.jp/entry/R12758" TargetMode="External"/><Relationship Id="rId949" Type="http://schemas.openxmlformats.org/officeDocument/2006/relationships/hyperlink" Target="https://www.genome.jp/entry/2.7.7.7" TargetMode="External"/><Relationship Id="rId1134" Type="http://schemas.openxmlformats.org/officeDocument/2006/relationships/hyperlink" Target="https://www.genome.jp/entry/4.2.1.59" TargetMode="External"/><Relationship Id="rId1341" Type="http://schemas.openxmlformats.org/officeDocument/2006/relationships/hyperlink" Target="https://www.genome.jp/entry/2.5.1.19" TargetMode="External"/><Relationship Id="rId1786" Type="http://schemas.openxmlformats.org/officeDocument/2006/relationships/hyperlink" Target="https://www.genome.jp/entry/2.7.7.7" TargetMode="External"/><Relationship Id="rId78" Type="http://schemas.openxmlformats.org/officeDocument/2006/relationships/hyperlink" Target="https://www.genome.jp/entry/2.7.7.7" TargetMode="External"/><Relationship Id="rId809" Type="http://schemas.openxmlformats.org/officeDocument/2006/relationships/hyperlink" Target="https://www.genome.jp/entry/R07281" TargetMode="External"/><Relationship Id="rId1201" Type="http://schemas.openxmlformats.org/officeDocument/2006/relationships/hyperlink" Target="https://www.genome.jp/entry/R06173" TargetMode="External"/><Relationship Id="rId1439" Type="http://schemas.openxmlformats.org/officeDocument/2006/relationships/hyperlink" Target="https://www.genome.jp/entry/R04457" TargetMode="External"/><Relationship Id="rId1646" Type="http://schemas.openxmlformats.org/officeDocument/2006/relationships/hyperlink" Target="https://www.genome.jp/entry/R01698" TargetMode="External"/><Relationship Id="rId1506" Type="http://schemas.openxmlformats.org/officeDocument/2006/relationships/hyperlink" Target="https://www.genome.jp/entry/1.5.1.20" TargetMode="External"/><Relationship Id="rId1713" Type="http://schemas.openxmlformats.org/officeDocument/2006/relationships/hyperlink" Target="https://www.genome.jp/entry/R03316" TargetMode="External"/><Relationship Id="rId294" Type="http://schemas.openxmlformats.org/officeDocument/2006/relationships/hyperlink" Target="https://www.genome.jp/entry/R11528" TargetMode="External"/><Relationship Id="rId154" Type="http://schemas.openxmlformats.org/officeDocument/2006/relationships/hyperlink" Target="https://www.genome.jp/entry/R03595" TargetMode="External"/><Relationship Id="rId361" Type="http://schemas.openxmlformats.org/officeDocument/2006/relationships/hyperlink" Target="https://www.genome.jp/entry/3.6.1.9" TargetMode="External"/><Relationship Id="rId599" Type="http://schemas.openxmlformats.org/officeDocument/2006/relationships/hyperlink" Target="https://www.genome.jp/entry/R03423" TargetMode="External"/><Relationship Id="rId459" Type="http://schemas.openxmlformats.org/officeDocument/2006/relationships/hyperlink" Target="https://www.genome.jp/entry/R01051" TargetMode="External"/><Relationship Id="rId666" Type="http://schemas.openxmlformats.org/officeDocument/2006/relationships/hyperlink" Target="https://www.genome.jp/entry/R00848" TargetMode="External"/><Relationship Id="rId873" Type="http://schemas.openxmlformats.org/officeDocument/2006/relationships/hyperlink" Target="https://www.genome.jp/entry/R01711" TargetMode="External"/><Relationship Id="rId1089" Type="http://schemas.openxmlformats.org/officeDocument/2006/relationships/hyperlink" Target="https://www.genome.jp/entry/R08210" TargetMode="External"/><Relationship Id="rId1296" Type="http://schemas.openxmlformats.org/officeDocument/2006/relationships/hyperlink" Target="https://www.genome.jp/entry/5.3.4.1" TargetMode="External"/><Relationship Id="rId221" Type="http://schemas.openxmlformats.org/officeDocument/2006/relationships/hyperlink" Target="https://www.genome.jp/entry/2.4.2.10" TargetMode="External"/><Relationship Id="rId319" Type="http://schemas.openxmlformats.org/officeDocument/2006/relationships/hyperlink" Target="https://www.genome.jp/entry/R04509" TargetMode="External"/><Relationship Id="rId526" Type="http://schemas.openxmlformats.org/officeDocument/2006/relationships/hyperlink" Target="https://www.genome.jp/entry/4.3.1.1" TargetMode="External"/><Relationship Id="rId1156" Type="http://schemas.openxmlformats.org/officeDocument/2006/relationships/hyperlink" Target="https://www.genome.jp/entry/R00275" TargetMode="External"/><Relationship Id="rId1363" Type="http://schemas.openxmlformats.org/officeDocument/2006/relationships/hyperlink" Target="https://www.genome.jp/entry/5.3.1.9" TargetMode="External"/><Relationship Id="rId733" Type="http://schemas.openxmlformats.org/officeDocument/2006/relationships/hyperlink" Target="https://www.genome.jp/entry/R12696" TargetMode="External"/><Relationship Id="rId940" Type="http://schemas.openxmlformats.org/officeDocument/2006/relationships/hyperlink" Target="https://www.genome.jp/entry/R00379" TargetMode="External"/><Relationship Id="rId1016" Type="http://schemas.openxmlformats.org/officeDocument/2006/relationships/hyperlink" Target="https://www.genome.jp/entry/2.7.7.2" TargetMode="External"/><Relationship Id="rId1570" Type="http://schemas.openxmlformats.org/officeDocument/2006/relationships/hyperlink" Target="https://www.genome.jp/entry/3.1.11.1" TargetMode="External"/><Relationship Id="rId1668" Type="http://schemas.openxmlformats.org/officeDocument/2006/relationships/hyperlink" Target="https://www.genome.jp/entry/R00512" TargetMode="External"/><Relationship Id="rId800" Type="http://schemas.openxmlformats.org/officeDocument/2006/relationships/hyperlink" Target="https://www.genome.jp/entry/R01516" TargetMode="External"/><Relationship Id="rId1223" Type="http://schemas.openxmlformats.org/officeDocument/2006/relationships/hyperlink" Target="https://www.genome.jp/entry/1.8.1.9" TargetMode="External"/><Relationship Id="rId1430" Type="http://schemas.openxmlformats.org/officeDocument/2006/relationships/hyperlink" Target="https://www.genome.jp/entry/5.6.2.2" TargetMode="External"/><Relationship Id="rId1528" Type="http://schemas.openxmlformats.org/officeDocument/2006/relationships/hyperlink" Target="https://www.genome.jp/entry/4.2.1.20" TargetMode="External"/><Relationship Id="rId1735" Type="http://schemas.openxmlformats.org/officeDocument/2006/relationships/hyperlink" Target="https://www.genome.jp/entry/R04951" TargetMode="External"/><Relationship Id="rId27" Type="http://schemas.openxmlformats.org/officeDocument/2006/relationships/hyperlink" Target="https://www.genome.jp/entry/R02023" TargetMode="External"/><Relationship Id="rId1802" Type="http://schemas.openxmlformats.org/officeDocument/2006/relationships/hyperlink" Target="https://www.genome.jp/entry/R00354" TargetMode="External"/><Relationship Id="rId176" Type="http://schemas.openxmlformats.org/officeDocument/2006/relationships/hyperlink" Target="https://www.genome.jp/entry/1.1.1.205" TargetMode="External"/><Relationship Id="rId383" Type="http://schemas.openxmlformats.org/officeDocument/2006/relationships/hyperlink" Target="https://www.genome.jp/entry/R09030" TargetMode="External"/><Relationship Id="rId590" Type="http://schemas.openxmlformats.org/officeDocument/2006/relationships/hyperlink" Target="https://www.genome.jp/entry/2.7.2.2" TargetMode="External"/><Relationship Id="rId243" Type="http://schemas.openxmlformats.org/officeDocument/2006/relationships/hyperlink" Target="https://www.genome.jp/entry/4.3.1.17" TargetMode="External"/><Relationship Id="rId450" Type="http://schemas.openxmlformats.org/officeDocument/2006/relationships/hyperlink" Target="https://www.genome.jp/entry/R03024" TargetMode="External"/><Relationship Id="rId688" Type="http://schemas.openxmlformats.org/officeDocument/2006/relationships/hyperlink" Target="https://www.genome.jp/entry/R02142" TargetMode="External"/><Relationship Id="rId895" Type="http://schemas.openxmlformats.org/officeDocument/2006/relationships/hyperlink" Target="https://www.genome.jp/entry/R00722" TargetMode="External"/><Relationship Id="rId1080" Type="http://schemas.openxmlformats.org/officeDocument/2006/relationships/hyperlink" Target="https://www.genome.jp/entry/2.7.7.7" TargetMode="External"/><Relationship Id="rId103" Type="http://schemas.openxmlformats.org/officeDocument/2006/relationships/hyperlink" Target="https://www.genome.jp/entry/1.1.1.100" TargetMode="External"/><Relationship Id="rId310" Type="http://schemas.openxmlformats.org/officeDocument/2006/relationships/hyperlink" Target="https://www.genome.jp/entry/6.3.4.19" TargetMode="External"/><Relationship Id="rId548" Type="http://schemas.openxmlformats.org/officeDocument/2006/relationships/hyperlink" Target="https://www.genome.jp/entry/3.5.1.5" TargetMode="External"/><Relationship Id="rId755" Type="http://schemas.openxmlformats.org/officeDocument/2006/relationships/hyperlink" Target="https://www.genome.jp/entry/R02760" TargetMode="External"/><Relationship Id="rId962" Type="http://schemas.openxmlformats.org/officeDocument/2006/relationships/hyperlink" Target="https://www.genome.jp/entry/R01185" TargetMode="External"/><Relationship Id="rId1178" Type="http://schemas.openxmlformats.org/officeDocument/2006/relationships/hyperlink" Target="https://www.genome.jp/entry/R05176" TargetMode="External"/><Relationship Id="rId1385" Type="http://schemas.openxmlformats.org/officeDocument/2006/relationships/hyperlink" Target="https://www.genome.jp/entry/R01138" TargetMode="External"/><Relationship Id="rId1592" Type="http://schemas.openxmlformats.org/officeDocument/2006/relationships/hyperlink" Target="https://www.genome.jp/entry/R08221" TargetMode="External"/><Relationship Id="rId91" Type="http://schemas.openxmlformats.org/officeDocument/2006/relationships/hyperlink" Target="https://www.genome.jp/entry/4.1.3.3" TargetMode="External"/><Relationship Id="rId408" Type="http://schemas.openxmlformats.org/officeDocument/2006/relationships/hyperlink" Target="https://www.genome.jp/entry/4.3.2.10" TargetMode="External"/><Relationship Id="rId615" Type="http://schemas.openxmlformats.org/officeDocument/2006/relationships/hyperlink" Target="https://www.genome.jp/entry/4.3.2.2" TargetMode="External"/><Relationship Id="rId822" Type="http://schemas.openxmlformats.org/officeDocument/2006/relationships/hyperlink" Target="https://www.genome.jp/entry/R00443" TargetMode="External"/><Relationship Id="rId1038" Type="http://schemas.openxmlformats.org/officeDocument/2006/relationships/hyperlink" Target="https://www.genome.jp/entry/2.7.1.11" TargetMode="External"/><Relationship Id="rId1245" Type="http://schemas.openxmlformats.org/officeDocument/2006/relationships/hyperlink" Target="https://www.genome.jp/entry/R05552" TargetMode="External"/><Relationship Id="rId1452" Type="http://schemas.openxmlformats.org/officeDocument/2006/relationships/hyperlink" Target="https://www.genome.jp/entry/3.1.11.5" TargetMode="External"/><Relationship Id="rId1105" Type="http://schemas.openxmlformats.org/officeDocument/2006/relationships/hyperlink" Target="https://www.genome.jp/entry/3.1.3.3" TargetMode="External"/><Relationship Id="rId1312" Type="http://schemas.openxmlformats.org/officeDocument/2006/relationships/hyperlink" Target="https://www.genome.jp/entry/R00345" TargetMode="External"/><Relationship Id="rId1757" Type="http://schemas.openxmlformats.org/officeDocument/2006/relationships/hyperlink" Target="https://www.genome.jp/entry/R00336" TargetMode="External"/><Relationship Id="rId49" Type="http://schemas.openxmlformats.org/officeDocument/2006/relationships/hyperlink" Target="https://www.genome.jp/entry/R08218" TargetMode="External"/><Relationship Id="rId1617" Type="http://schemas.openxmlformats.org/officeDocument/2006/relationships/hyperlink" Target="https://www.genome.jp/entry/R04241" TargetMode="External"/><Relationship Id="rId1824" Type="http://schemas.openxmlformats.org/officeDocument/2006/relationships/hyperlink" Target="https://www.genome.jp/entry/2.1.1.177" TargetMode="External"/><Relationship Id="rId198" Type="http://schemas.openxmlformats.org/officeDocument/2006/relationships/hyperlink" Target="https://www.genome.jp/entry/2.4.2.29" TargetMode="External"/><Relationship Id="rId265" Type="http://schemas.openxmlformats.org/officeDocument/2006/relationships/hyperlink" Target="https://www.genome.jp/entry/4.4.1.5" TargetMode="External"/><Relationship Id="rId472" Type="http://schemas.openxmlformats.org/officeDocument/2006/relationships/hyperlink" Target="https://www.genome.jp/entry/2.7.7.6" TargetMode="External"/><Relationship Id="rId125" Type="http://schemas.openxmlformats.org/officeDocument/2006/relationships/hyperlink" Target="https://www.genome.jp/entry/7.2.1.1" TargetMode="External"/><Relationship Id="rId332" Type="http://schemas.openxmlformats.org/officeDocument/2006/relationships/hyperlink" Target="https://www.genome.jp/entry/R13203" TargetMode="External"/><Relationship Id="rId777" Type="http://schemas.openxmlformats.org/officeDocument/2006/relationships/hyperlink" Target="https://www.genome.jp/entry/R00379" TargetMode="External"/><Relationship Id="rId984" Type="http://schemas.openxmlformats.org/officeDocument/2006/relationships/hyperlink" Target="https://www.genome.jp/entry/3.2.1.52" TargetMode="External"/><Relationship Id="rId637" Type="http://schemas.openxmlformats.org/officeDocument/2006/relationships/hyperlink" Target="https://www.genome.jp/entry/4.6.1.12" TargetMode="External"/><Relationship Id="rId844" Type="http://schemas.openxmlformats.org/officeDocument/2006/relationships/hyperlink" Target="https://www.genome.jp/entry/2.7.7.77" TargetMode="External"/><Relationship Id="rId1267" Type="http://schemas.openxmlformats.org/officeDocument/2006/relationships/hyperlink" Target="https://www.genome.jp/entry/R01090" TargetMode="External"/><Relationship Id="rId1474" Type="http://schemas.openxmlformats.org/officeDocument/2006/relationships/hyperlink" Target="https://www.genome.jp/entry/5.3.3.14" TargetMode="External"/><Relationship Id="rId1681" Type="http://schemas.openxmlformats.org/officeDocument/2006/relationships/hyperlink" Target="https://www.genome.jp/entry/4.3.3.6" TargetMode="External"/><Relationship Id="rId704" Type="http://schemas.openxmlformats.org/officeDocument/2006/relationships/hyperlink" Target="https://www.genome.jp/entry/4.1.99.1" TargetMode="External"/><Relationship Id="rId911" Type="http://schemas.openxmlformats.org/officeDocument/2006/relationships/hyperlink" Target="https://www.genome.jp/entry/R11894" TargetMode="External"/><Relationship Id="rId1127" Type="http://schemas.openxmlformats.org/officeDocument/2006/relationships/hyperlink" Target="https://www.genome.jp/entry/R04544" TargetMode="External"/><Relationship Id="rId1334" Type="http://schemas.openxmlformats.org/officeDocument/2006/relationships/hyperlink" Target="https://www.genome.jp/entry/R09382" TargetMode="External"/><Relationship Id="rId1541" Type="http://schemas.openxmlformats.org/officeDocument/2006/relationships/hyperlink" Target="https://www.genome.jp/entry/R00380" TargetMode="External"/><Relationship Id="rId1779" Type="http://schemas.openxmlformats.org/officeDocument/2006/relationships/hyperlink" Target="https://www.genome.jp/entry/R00379" TargetMode="External"/><Relationship Id="rId40" Type="http://schemas.openxmlformats.org/officeDocument/2006/relationships/hyperlink" Target="https://www.genome.jp/entry/1.1.1.3" TargetMode="External"/><Relationship Id="rId1401" Type="http://schemas.openxmlformats.org/officeDocument/2006/relationships/hyperlink" Target="https://www.genome.jp/entry/R03182" TargetMode="External"/><Relationship Id="rId1639" Type="http://schemas.openxmlformats.org/officeDocument/2006/relationships/hyperlink" Target="https://www.genome.jp/entry/1.8.1.4" TargetMode="External"/><Relationship Id="rId1706" Type="http://schemas.openxmlformats.org/officeDocument/2006/relationships/hyperlink" Target="https://www.genome.jp/entry/2.3.1.61" TargetMode="External"/><Relationship Id="rId287" Type="http://schemas.openxmlformats.org/officeDocument/2006/relationships/hyperlink" Target="https://www.genome.jp/entry/1.17.7.1" TargetMode="External"/><Relationship Id="rId494" Type="http://schemas.openxmlformats.org/officeDocument/2006/relationships/hyperlink" Target="https://www.genome.jp/entry/2.4.2.1" TargetMode="External"/><Relationship Id="rId147" Type="http://schemas.openxmlformats.org/officeDocument/2006/relationships/hyperlink" Target="https://www.genome.jp/entry/4.2.3.5" TargetMode="External"/><Relationship Id="rId354" Type="http://schemas.openxmlformats.org/officeDocument/2006/relationships/hyperlink" Target="https://www.genome.jp/entry/R04273" TargetMode="External"/><Relationship Id="rId799" Type="http://schemas.openxmlformats.org/officeDocument/2006/relationships/hyperlink" Target="https://www.genome.jp/entry/5.4.2.11" TargetMode="External"/><Relationship Id="rId1191" Type="http://schemas.openxmlformats.org/officeDocument/2006/relationships/hyperlink" Target="https://www.genome.jp/entry/R04617" TargetMode="External"/><Relationship Id="rId561" Type="http://schemas.openxmlformats.org/officeDocument/2006/relationships/hyperlink" Target="https://www.genome.jp/entry/R00125" TargetMode="External"/><Relationship Id="rId659" Type="http://schemas.openxmlformats.org/officeDocument/2006/relationships/hyperlink" Target="https://www.genome.jp/entry/1.1.1.86" TargetMode="External"/><Relationship Id="rId866" Type="http://schemas.openxmlformats.org/officeDocument/2006/relationships/hyperlink" Target="https://www.genome.jp/entry/1.4.3.5" TargetMode="External"/><Relationship Id="rId1289" Type="http://schemas.openxmlformats.org/officeDocument/2006/relationships/hyperlink" Target="https://www.genome.jp/entry/R01072" TargetMode="External"/><Relationship Id="rId1496" Type="http://schemas.openxmlformats.org/officeDocument/2006/relationships/hyperlink" Target="https://www.genome.jp/entry/3.5.4.16" TargetMode="External"/><Relationship Id="rId214" Type="http://schemas.openxmlformats.org/officeDocument/2006/relationships/hyperlink" Target="https://www.genome.jp/entry/2.3.1.15" TargetMode="External"/><Relationship Id="rId421" Type="http://schemas.openxmlformats.org/officeDocument/2006/relationships/hyperlink" Target="https://www.genome.jp/entry/R04037" TargetMode="External"/><Relationship Id="rId519" Type="http://schemas.openxmlformats.org/officeDocument/2006/relationships/hyperlink" Target="https://www.genome.jp/entry/R01567" TargetMode="External"/><Relationship Id="rId1051" Type="http://schemas.openxmlformats.org/officeDocument/2006/relationships/hyperlink" Target="https://www.genome.jp/entry/R01213" TargetMode="External"/><Relationship Id="rId1149" Type="http://schemas.openxmlformats.org/officeDocument/2006/relationships/hyperlink" Target="https://www.genome.jp/entry/6.3.4.2" TargetMode="External"/><Relationship Id="rId1356" Type="http://schemas.openxmlformats.org/officeDocument/2006/relationships/hyperlink" Target="https://www.genome.jp/entry/R04673" TargetMode="External"/><Relationship Id="rId726" Type="http://schemas.openxmlformats.org/officeDocument/2006/relationships/hyperlink" Target="https://www.genome.jp/entry/1.5.1.5" TargetMode="External"/><Relationship Id="rId933" Type="http://schemas.openxmlformats.org/officeDocument/2006/relationships/hyperlink" Target="https://www.genome.jp/entry/2.7.7.41" TargetMode="External"/><Relationship Id="rId1009" Type="http://schemas.openxmlformats.org/officeDocument/2006/relationships/hyperlink" Target="https://www.genome.jp/entry/R11317" TargetMode="External"/><Relationship Id="rId1563" Type="http://schemas.openxmlformats.org/officeDocument/2006/relationships/hyperlink" Target="https://www.genome.jp/entry/R13250" TargetMode="External"/><Relationship Id="rId1770" Type="http://schemas.openxmlformats.org/officeDocument/2006/relationships/hyperlink" Target="https://www.genome.jp/entry/1.17.5.3" TargetMode="External"/><Relationship Id="rId62" Type="http://schemas.openxmlformats.org/officeDocument/2006/relationships/hyperlink" Target="https://www.genome.jp/entry/2.7.1.48" TargetMode="External"/><Relationship Id="rId1216" Type="http://schemas.openxmlformats.org/officeDocument/2006/relationships/hyperlink" Target="https://www.genome.jp/entry/4.2.1.51" TargetMode="External"/><Relationship Id="rId1423" Type="http://schemas.openxmlformats.org/officeDocument/2006/relationships/hyperlink" Target="https://www.genome.jp/entry/R04968" TargetMode="External"/><Relationship Id="rId1630" Type="http://schemas.openxmlformats.org/officeDocument/2006/relationships/hyperlink" Target="https://www.genome.jp/entry/R01016" TargetMode="External"/><Relationship Id="rId1728" Type="http://schemas.openxmlformats.org/officeDocument/2006/relationships/hyperlink" Target="https://www.genome.jp/entry/2.1.1.14" TargetMode="External"/><Relationship Id="rId169" Type="http://schemas.openxmlformats.org/officeDocument/2006/relationships/hyperlink" Target="https://www.genome.jp/entry/R04562" TargetMode="External"/><Relationship Id="rId376" Type="http://schemas.openxmlformats.org/officeDocument/2006/relationships/hyperlink" Target="https://www.genome.jp/entry/R03004" TargetMode="External"/><Relationship Id="rId583" Type="http://schemas.openxmlformats.org/officeDocument/2006/relationships/hyperlink" Target="https://www.genome.jp/entry/R03940" TargetMode="External"/><Relationship Id="rId790" Type="http://schemas.openxmlformats.org/officeDocument/2006/relationships/hyperlink" Target="https://www.genome.jp/entry/2.3.1.15" TargetMode="External"/><Relationship Id="rId4" Type="http://schemas.openxmlformats.org/officeDocument/2006/relationships/hyperlink" Target="https://www.genome.jp/entry/R03351" TargetMode="External"/><Relationship Id="rId236" Type="http://schemas.openxmlformats.org/officeDocument/2006/relationships/hyperlink" Target="https://www.genome.jp/entry/R08165" TargetMode="External"/><Relationship Id="rId443" Type="http://schemas.openxmlformats.org/officeDocument/2006/relationships/hyperlink" Target="https://www.genome.jp/entry/3.1.3.2" TargetMode="External"/><Relationship Id="rId650" Type="http://schemas.openxmlformats.org/officeDocument/2006/relationships/hyperlink" Target="https://www.genome.jp/entry/R04439" TargetMode="External"/><Relationship Id="rId888" Type="http://schemas.openxmlformats.org/officeDocument/2006/relationships/hyperlink" Target="https://www.genome.jp/entry/2.7.4.6" TargetMode="External"/><Relationship Id="rId1073" Type="http://schemas.openxmlformats.org/officeDocument/2006/relationships/hyperlink" Target="https://www.genome.jp/entry/R00379" TargetMode="External"/><Relationship Id="rId1280" Type="http://schemas.openxmlformats.org/officeDocument/2006/relationships/hyperlink" Target="https://www.genome.jp/entry/R00405" TargetMode="External"/><Relationship Id="rId303" Type="http://schemas.openxmlformats.org/officeDocument/2006/relationships/hyperlink" Target="https://www.genome.jp/entry/3.1.1.29" TargetMode="External"/><Relationship Id="rId748" Type="http://schemas.openxmlformats.org/officeDocument/2006/relationships/hyperlink" Target="https://www.genome.jp/entry/R00451" TargetMode="External"/><Relationship Id="rId955" Type="http://schemas.openxmlformats.org/officeDocument/2006/relationships/hyperlink" Target="https://www.genome.jp/entry/4.2.1.11" TargetMode="External"/><Relationship Id="rId1140" Type="http://schemas.openxmlformats.org/officeDocument/2006/relationships/hyperlink" Target="https://www.genome.jp/entry/1.7.2.2" TargetMode="External"/><Relationship Id="rId1378" Type="http://schemas.openxmlformats.org/officeDocument/2006/relationships/hyperlink" Target="https://www.genome.jp/entry/2.7.1.40" TargetMode="External"/><Relationship Id="rId1585" Type="http://schemas.openxmlformats.org/officeDocument/2006/relationships/hyperlink" Target="https://www.genome.jp/entry/6.1.1.18" TargetMode="External"/><Relationship Id="rId1792" Type="http://schemas.openxmlformats.org/officeDocument/2006/relationships/hyperlink" Target="https://www.genome.jp/entry/3.1.26.3" TargetMode="External"/><Relationship Id="rId84" Type="http://schemas.openxmlformats.org/officeDocument/2006/relationships/hyperlink" Target="https://www.genome.jp/entry/3.1.26.4" TargetMode="External"/><Relationship Id="rId510" Type="http://schemas.openxmlformats.org/officeDocument/2006/relationships/hyperlink" Target="https://www.genome.jp/entry/4.1.2.13" TargetMode="External"/><Relationship Id="rId608" Type="http://schemas.openxmlformats.org/officeDocument/2006/relationships/hyperlink" Target="https://www.genome.jp/entry/1.3.1.91" TargetMode="External"/><Relationship Id="rId815" Type="http://schemas.openxmlformats.org/officeDocument/2006/relationships/hyperlink" Target="https://www.genome.jp/entry/2.7.7.6" TargetMode="External"/><Relationship Id="rId1238" Type="http://schemas.openxmlformats.org/officeDocument/2006/relationships/hyperlink" Target="https://www.genome.jp/entry/2.6.1.52" TargetMode="External"/><Relationship Id="rId1445" Type="http://schemas.openxmlformats.org/officeDocument/2006/relationships/hyperlink" Target="https://www.genome.jp/entry/R04198" TargetMode="External"/><Relationship Id="rId1652" Type="http://schemas.openxmlformats.org/officeDocument/2006/relationships/hyperlink" Target="https://www.genome.jp/entry/R00379" TargetMode="External"/><Relationship Id="rId1000" Type="http://schemas.openxmlformats.org/officeDocument/2006/relationships/hyperlink" Target="https://www.genome.jp/entry/3.2.1.52" TargetMode="External"/><Relationship Id="rId1305" Type="http://schemas.openxmlformats.org/officeDocument/2006/relationships/hyperlink" Target="https://www.genome.jp/entry/3.1.3.11" TargetMode="External"/><Relationship Id="rId1512" Type="http://schemas.openxmlformats.org/officeDocument/2006/relationships/hyperlink" Target="https://www.genome.jp/entry/3.1.11.6" TargetMode="External"/><Relationship Id="rId1817" Type="http://schemas.openxmlformats.org/officeDocument/2006/relationships/hyperlink" Target="https://www.genome.jp/entry/2.3.1.181" TargetMode="External"/><Relationship Id="rId11" Type="http://schemas.openxmlformats.org/officeDocument/2006/relationships/hyperlink" Target="https://www.genome.jp/entry/R03503" TargetMode="External"/><Relationship Id="rId398" Type="http://schemas.openxmlformats.org/officeDocument/2006/relationships/hyperlink" Target="https://www.genome.jp/entry/2.6.1.9" TargetMode="External"/><Relationship Id="rId160" Type="http://schemas.openxmlformats.org/officeDocument/2006/relationships/hyperlink" Target="https://www.genome.jp/entry/R03083" TargetMode="External"/><Relationship Id="rId258" Type="http://schemas.openxmlformats.org/officeDocument/2006/relationships/hyperlink" Target="https://www.genome.jp/entry/R03293" TargetMode="External"/><Relationship Id="rId465" Type="http://schemas.openxmlformats.org/officeDocument/2006/relationships/hyperlink" Target="https://www.genome.jp/entry/R00435" TargetMode="External"/><Relationship Id="rId672" Type="http://schemas.openxmlformats.org/officeDocument/2006/relationships/hyperlink" Target="https://www.genome.jp/entry/R00848" TargetMode="External"/><Relationship Id="rId1095" Type="http://schemas.openxmlformats.org/officeDocument/2006/relationships/hyperlink" Target="https://www.genome.jp/entry/2.2.1.1" TargetMode="External"/><Relationship Id="rId118" Type="http://schemas.openxmlformats.org/officeDocument/2006/relationships/hyperlink" Target="https://www.genome.jp/entry/R02055" TargetMode="External"/><Relationship Id="rId325" Type="http://schemas.openxmlformats.org/officeDocument/2006/relationships/hyperlink" Target="https://www.genome.jp/entry/3.6.1.22" TargetMode="External"/><Relationship Id="rId532" Type="http://schemas.openxmlformats.org/officeDocument/2006/relationships/hyperlink" Target="https://www.genome.jp/entry/3.5.1.5" TargetMode="External"/><Relationship Id="rId977" Type="http://schemas.openxmlformats.org/officeDocument/2006/relationships/hyperlink" Target="https://www.genome.jp/entry/3.6.1.23" TargetMode="External"/><Relationship Id="rId1162" Type="http://schemas.openxmlformats.org/officeDocument/2006/relationships/hyperlink" Target="https://www.genome.jp/entry/R03601" TargetMode="External"/><Relationship Id="rId837" Type="http://schemas.openxmlformats.org/officeDocument/2006/relationships/hyperlink" Target="https://www.genome.jp/entry/R01092" TargetMode="External"/><Relationship Id="rId1022" Type="http://schemas.openxmlformats.org/officeDocument/2006/relationships/hyperlink" Target="https://www.genome.jp/entry/4.2.1.113" TargetMode="External"/><Relationship Id="rId1467" Type="http://schemas.openxmlformats.org/officeDocument/2006/relationships/hyperlink" Target="https://www.genome.jp/entry/R04954" TargetMode="External"/><Relationship Id="rId1674" Type="http://schemas.openxmlformats.org/officeDocument/2006/relationships/hyperlink" Target="https://www.genome.jp/entry/R01579" TargetMode="External"/><Relationship Id="rId904" Type="http://schemas.openxmlformats.org/officeDocument/2006/relationships/hyperlink" Target="https://www.genome.jp/entry/2.7.4.6" TargetMode="External"/><Relationship Id="rId1327" Type="http://schemas.openxmlformats.org/officeDocument/2006/relationships/hyperlink" Target="https://www.genome.jp/entry/2.5.1.9" TargetMode="External"/><Relationship Id="rId1534" Type="http://schemas.openxmlformats.org/officeDocument/2006/relationships/hyperlink" Target="https://www.genome.jp/entry/2.1.2.2" TargetMode="External"/><Relationship Id="rId1741" Type="http://schemas.openxmlformats.org/officeDocument/2006/relationships/hyperlink" Target="https://www.genome.jp/entry/3.4.11.18" TargetMode="External"/><Relationship Id="rId33" Type="http://schemas.openxmlformats.org/officeDocument/2006/relationships/hyperlink" Target="https://www.genome.jp/entry/R01466" TargetMode="External"/><Relationship Id="rId129" Type="http://schemas.openxmlformats.org/officeDocument/2006/relationships/hyperlink" Target="https://www.genome.jp/entry/1.97.1.4" TargetMode="External"/><Relationship Id="rId336" Type="http://schemas.openxmlformats.org/officeDocument/2006/relationships/hyperlink" Target="https://www.genome.jp/entry/R03236" TargetMode="External"/><Relationship Id="rId543" Type="http://schemas.openxmlformats.org/officeDocument/2006/relationships/hyperlink" Target="https://www.genome.jp/entry/R13421" TargetMode="External"/><Relationship Id="rId988" Type="http://schemas.openxmlformats.org/officeDocument/2006/relationships/hyperlink" Target="https://www.genome.jp/entry/3.2.1.52" TargetMode="External"/><Relationship Id="rId1173" Type="http://schemas.openxmlformats.org/officeDocument/2006/relationships/hyperlink" Target="https://www.genome.jp/entry/5.3.1.5" TargetMode="External"/><Relationship Id="rId1380" Type="http://schemas.openxmlformats.org/officeDocument/2006/relationships/hyperlink" Target="https://www.genome.jp/entry/2.7.1.40" TargetMode="External"/><Relationship Id="rId1601" Type="http://schemas.openxmlformats.org/officeDocument/2006/relationships/hyperlink" Target="https://www.genome.jp/entry/6.1.1.10" TargetMode="External"/><Relationship Id="rId182" Type="http://schemas.openxmlformats.org/officeDocument/2006/relationships/hyperlink" Target="https://www.genome.jp/entry/6.3.5.2" TargetMode="External"/><Relationship Id="rId403" Type="http://schemas.openxmlformats.org/officeDocument/2006/relationships/hyperlink" Target="https://www.genome.jp/entry/R03013" TargetMode="External"/><Relationship Id="rId750" Type="http://schemas.openxmlformats.org/officeDocument/2006/relationships/hyperlink" Target="https://www.genome.jp/entry/6.1.1.15" TargetMode="External"/><Relationship Id="rId848" Type="http://schemas.openxmlformats.org/officeDocument/2006/relationships/hyperlink" Target="https://www.genome.jp/entry/1.14.14.18" TargetMode="External"/><Relationship Id="rId1033" Type="http://schemas.openxmlformats.org/officeDocument/2006/relationships/hyperlink" Target="https://www.genome.jp/entry/R00756" TargetMode="External"/><Relationship Id="rId1478" Type="http://schemas.openxmlformats.org/officeDocument/2006/relationships/hyperlink" Target="https://www.genome.jp/entry/2.5.1.15" TargetMode="External"/><Relationship Id="rId1685" Type="http://schemas.openxmlformats.org/officeDocument/2006/relationships/hyperlink" Target="https://www.genome.jp/entry/1.1.1.28" TargetMode="External"/><Relationship Id="rId487" Type="http://schemas.openxmlformats.org/officeDocument/2006/relationships/hyperlink" Target="https://www.genome.jp/entry/R08368" TargetMode="External"/><Relationship Id="rId610" Type="http://schemas.openxmlformats.org/officeDocument/2006/relationships/hyperlink" Target="https://www.genome.jp/entry/R03664" TargetMode="External"/><Relationship Id="rId694" Type="http://schemas.openxmlformats.org/officeDocument/2006/relationships/hyperlink" Target="https://www.genome.jp/entry/3.1.3.6" TargetMode="External"/><Relationship Id="rId708" Type="http://schemas.openxmlformats.org/officeDocument/2006/relationships/hyperlink" Target="https://www.genome.jp/entry/4.1.99.1" TargetMode="External"/><Relationship Id="rId915" Type="http://schemas.openxmlformats.org/officeDocument/2006/relationships/hyperlink" Target="https://www.genome.jp/entry/R09248" TargetMode="External"/><Relationship Id="rId1240" Type="http://schemas.openxmlformats.org/officeDocument/2006/relationships/hyperlink" Target="https://www.genome.jp/entry/2.6.1.85" TargetMode="External"/><Relationship Id="rId1338" Type="http://schemas.openxmlformats.org/officeDocument/2006/relationships/hyperlink" Target="https://www.genome.jp/entry/R09384" TargetMode="External"/><Relationship Id="rId1545" Type="http://schemas.openxmlformats.org/officeDocument/2006/relationships/hyperlink" Target="https://www.genome.jp/entry/R03665" TargetMode="External"/><Relationship Id="rId347" Type="http://schemas.openxmlformats.org/officeDocument/2006/relationships/hyperlink" Target="https://www.genome.jp/entry/2.7.7.7" TargetMode="External"/><Relationship Id="rId999" Type="http://schemas.openxmlformats.org/officeDocument/2006/relationships/hyperlink" Target="https://www.genome.jp/entry/R07809" TargetMode="External"/><Relationship Id="rId1100" Type="http://schemas.openxmlformats.org/officeDocument/2006/relationships/hyperlink" Target="https://www.genome.jp/entry/R06590" TargetMode="External"/><Relationship Id="rId1184" Type="http://schemas.openxmlformats.org/officeDocument/2006/relationships/hyperlink" Target="https://www.genome.jp/entry/R01827" TargetMode="External"/><Relationship Id="rId1405" Type="http://schemas.openxmlformats.org/officeDocument/2006/relationships/hyperlink" Target="https://www.genome.jp/entry/R12934" TargetMode="External"/><Relationship Id="rId1752" Type="http://schemas.openxmlformats.org/officeDocument/2006/relationships/hyperlink" Target="https://www.genome.jp/entry/R00260" TargetMode="External"/><Relationship Id="rId44" Type="http://schemas.openxmlformats.org/officeDocument/2006/relationships/hyperlink" Target="https://www.genome.jp/entry/3.5.1.18" TargetMode="External"/><Relationship Id="rId554" Type="http://schemas.openxmlformats.org/officeDocument/2006/relationships/hyperlink" Target="https://www.genome.jp/entry/3.5.1.5" TargetMode="External"/><Relationship Id="rId761" Type="http://schemas.openxmlformats.org/officeDocument/2006/relationships/hyperlink" Target="https://www.genome.jp/entry/R01209" TargetMode="External"/><Relationship Id="rId859" Type="http://schemas.openxmlformats.org/officeDocument/2006/relationships/hyperlink" Target="https://www.genome.jp/entry/R00378" TargetMode="External"/><Relationship Id="rId1391" Type="http://schemas.openxmlformats.org/officeDocument/2006/relationships/hyperlink" Target="https://www.genome.jp/entry/R03254" TargetMode="External"/><Relationship Id="rId1489" Type="http://schemas.openxmlformats.org/officeDocument/2006/relationships/hyperlink" Target="https://www.genome.jp/entry/R00424" TargetMode="External"/><Relationship Id="rId1612" Type="http://schemas.openxmlformats.org/officeDocument/2006/relationships/hyperlink" Target="https://www.genome.jp/entry/6.3.2.12" TargetMode="External"/><Relationship Id="rId1696" Type="http://schemas.openxmlformats.org/officeDocument/2006/relationships/hyperlink" Target="https://www.genome.jp/entry/1.17.4.1" TargetMode="External"/><Relationship Id="rId193" Type="http://schemas.openxmlformats.org/officeDocument/2006/relationships/hyperlink" Target="https://www.genome.jp/entry/R00439" TargetMode="External"/><Relationship Id="rId207" Type="http://schemas.openxmlformats.org/officeDocument/2006/relationships/hyperlink" Target="https://www.genome.jp/entry/R09767" TargetMode="External"/><Relationship Id="rId414" Type="http://schemas.openxmlformats.org/officeDocument/2006/relationships/hyperlink" Target="https://www.genome.jp/entry/4.3.2.10" TargetMode="External"/><Relationship Id="rId498" Type="http://schemas.openxmlformats.org/officeDocument/2006/relationships/hyperlink" Target="https://www.genome.jp/entry/2.4.2.1" TargetMode="External"/><Relationship Id="rId621" Type="http://schemas.openxmlformats.org/officeDocument/2006/relationships/hyperlink" Target="https://www.genome.jp/entry/3.6.4.12" TargetMode="External"/><Relationship Id="rId1044" Type="http://schemas.openxmlformats.org/officeDocument/2006/relationships/hyperlink" Target="https://www.genome.jp/entry/2.7.1.11" TargetMode="External"/><Relationship Id="rId1251" Type="http://schemas.openxmlformats.org/officeDocument/2006/relationships/hyperlink" Target="https://www.genome.jp/entry/7.4.2.1" TargetMode="External"/><Relationship Id="rId1349" Type="http://schemas.openxmlformats.org/officeDocument/2006/relationships/hyperlink" Target="https://www.genome.jp/entry/2.2.1.6" TargetMode="External"/><Relationship Id="rId260" Type="http://schemas.openxmlformats.org/officeDocument/2006/relationships/hyperlink" Target="https://www.genome.jp/entry/3.6.4.12" TargetMode="External"/><Relationship Id="rId719" Type="http://schemas.openxmlformats.org/officeDocument/2006/relationships/hyperlink" Target="https://www.genome.jp/entry/R00434" TargetMode="External"/><Relationship Id="rId926" Type="http://schemas.openxmlformats.org/officeDocument/2006/relationships/hyperlink" Target="https://www.genome.jp/entry/2.5.1.145" TargetMode="External"/><Relationship Id="rId1111" Type="http://schemas.openxmlformats.org/officeDocument/2006/relationships/hyperlink" Target="https://www.genome.jp/entry/3.1.26.4" TargetMode="External"/><Relationship Id="rId1556" Type="http://schemas.openxmlformats.org/officeDocument/2006/relationships/hyperlink" Target="https://www.genome.jp/entry/1.16.3.2" TargetMode="External"/><Relationship Id="rId1763" Type="http://schemas.openxmlformats.org/officeDocument/2006/relationships/hyperlink" Target="https://www.genome.jp/entry/R00441" TargetMode="External"/><Relationship Id="rId55" Type="http://schemas.openxmlformats.org/officeDocument/2006/relationships/hyperlink" Target="https://www.genome.jp/entry/4.4.1.8" TargetMode="External"/><Relationship Id="rId120" Type="http://schemas.openxmlformats.org/officeDocument/2006/relationships/hyperlink" Target="https://www.genome.jp/entry/R00115" TargetMode="External"/><Relationship Id="rId358" Type="http://schemas.openxmlformats.org/officeDocument/2006/relationships/hyperlink" Target="https://www.genome.jp/entry/R01532" TargetMode="External"/><Relationship Id="rId565" Type="http://schemas.openxmlformats.org/officeDocument/2006/relationships/hyperlink" Target="https://www.genome.jp/entry/R02035" TargetMode="External"/><Relationship Id="rId772" Type="http://schemas.openxmlformats.org/officeDocument/2006/relationships/hyperlink" Target="https://www.genome.jp/entry/4.3.1.19" TargetMode="External"/><Relationship Id="rId1195" Type="http://schemas.openxmlformats.org/officeDocument/2006/relationships/hyperlink" Target="https://www.genome.jp/entry/R05630" TargetMode="External"/><Relationship Id="rId1209" Type="http://schemas.openxmlformats.org/officeDocument/2006/relationships/hyperlink" Target="https://www.genome.jp/entry/R03193" TargetMode="External"/><Relationship Id="rId1416" Type="http://schemas.openxmlformats.org/officeDocument/2006/relationships/hyperlink" Target="https://www.genome.jp/entry/2.3.1.41" TargetMode="External"/><Relationship Id="rId1623" Type="http://schemas.openxmlformats.org/officeDocument/2006/relationships/hyperlink" Target="https://www.genome.jp/entry/R05197" TargetMode="External"/><Relationship Id="rId218" Type="http://schemas.openxmlformats.org/officeDocument/2006/relationships/hyperlink" Target="https://www.genome.jp/entry/R03192" TargetMode="External"/><Relationship Id="rId425" Type="http://schemas.openxmlformats.org/officeDocument/2006/relationships/hyperlink" Target="https://www.genome.jp/entry/R00086" TargetMode="External"/><Relationship Id="rId632" Type="http://schemas.openxmlformats.org/officeDocument/2006/relationships/hyperlink" Target="https://www.genome.jp/entry/3.1.3.11" TargetMode="External"/><Relationship Id="rId1055" Type="http://schemas.openxmlformats.org/officeDocument/2006/relationships/hyperlink" Target="https://www.genome.jp/entry/R04426" TargetMode="External"/><Relationship Id="rId1262" Type="http://schemas.openxmlformats.org/officeDocument/2006/relationships/hyperlink" Target="https://www.genome.jp/entry/4.1.2.50" TargetMode="External"/><Relationship Id="rId271" Type="http://schemas.openxmlformats.org/officeDocument/2006/relationships/hyperlink" Target="https://www.genome.jp/entry/R09726" TargetMode="External"/><Relationship Id="rId937" Type="http://schemas.openxmlformats.org/officeDocument/2006/relationships/hyperlink" Target="https://www.genome.jp/entry/6.1.1.4" TargetMode="External"/><Relationship Id="rId1122" Type="http://schemas.openxmlformats.org/officeDocument/2006/relationships/hyperlink" Target="https://www.genome.jp/entry/4.2.1.59" TargetMode="External"/><Relationship Id="rId1567" Type="http://schemas.openxmlformats.org/officeDocument/2006/relationships/hyperlink" Target="https://www.genome.jp/entry/R13252" TargetMode="External"/><Relationship Id="rId1774" Type="http://schemas.openxmlformats.org/officeDocument/2006/relationships/hyperlink" Target="https://www.genome.jp/entry/1.17.1.9" TargetMode="External"/><Relationship Id="rId66" Type="http://schemas.openxmlformats.org/officeDocument/2006/relationships/hyperlink" Target="https://www.genome.jp/entry/2.7.1.48" TargetMode="External"/><Relationship Id="rId131" Type="http://schemas.openxmlformats.org/officeDocument/2006/relationships/hyperlink" Target="https://www.genome.jp/entry/2.3.1.54" TargetMode="External"/><Relationship Id="rId369" Type="http://schemas.openxmlformats.org/officeDocument/2006/relationships/hyperlink" Target="https://www.genome.jp/entry/3.6.1.9" TargetMode="External"/><Relationship Id="rId576" Type="http://schemas.openxmlformats.org/officeDocument/2006/relationships/hyperlink" Target="https://www.genome.jp/entry/5.6.2.2" TargetMode="External"/><Relationship Id="rId783" Type="http://schemas.openxmlformats.org/officeDocument/2006/relationships/hyperlink" Target="https://www.genome.jp/entry/R00377" TargetMode="External"/><Relationship Id="rId990" Type="http://schemas.openxmlformats.org/officeDocument/2006/relationships/hyperlink" Target="https://www.genome.jp/entry/3.2.1.52" TargetMode="External"/><Relationship Id="rId1427" Type="http://schemas.openxmlformats.org/officeDocument/2006/relationships/hyperlink" Target="https://www.genome.jp/entry/R10115" TargetMode="External"/><Relationship Id="rId1634" Type="http://schemas.openxmlformats.org/officeDocument/2006/relationships/hyperlink" Target="https://www.genome.jp/entry/R00014" TargetMode="External"/><Relationship Id="rId229" Type="http://schemas.openxmlformats.org/officeDocument/2006/relationships/hyperlink" Target="https://www.genome.jp/entry/2.4.2.3" TargetMode="External"/><Relationship Id="rId436" Type="http://schemas.openxmlformats.org/officeDocument/2006/relationships/hyperlink" Target="https://www.genome.jp/entry/7.1.2.2" TargetMode="External"/><Relationship Id="rId643" Type="http://schemas.openxmlformats.org/officeDocument/2006/relationships/hyperlink" Target="https://www.genome.jp/entry/2.4.2.22" TargetMode="External"/><Relationship Id="rId1066" Type="http://schemas.openxmlformats.org/officeDocument/2006/relationships/hyperlink" Target="https://www.genome.jp/entry/4.2.1.33" TargetMode="External"/><Relationship Id="rId1273" Type="http://schemas.openxmlformats.org/officeDocument/2006/relationships/hyperlink" Target="https://www.genome.jp/entry/R10991" TargetMode="External"/><Relationship Id="rId1480" Type="http://schemas.openxmlformats.org/officeDocument/2006/relationships/hyperlink" Target="https://www.genome.jp/entry/2.5.1.15" TargetMode="External"/><Relationship Id="rId850" Type="http://schemas.openxmlformats.org/officeDocument/2006/relationships/hyperlink" Target="https://www.genome.jp/entry/2.7.7.7" TargetMode="External"/><Relationship Id="rId948" Type="http://schemas.openxmlformats.org/officeDocument/2006/relationships/hyperlink" Target="https://www.genome.jp/entry/R00378" TargetMode="External"/><Relationship Id="rId1133" Type="http://schemas.openxmlformats.org/officeDocument/2006/relationships/hyperlink" Target="https://www.genome.jp/entry/R04965" TargetMode="External"/><Relationship Id="rId1578" Type="http://schemas.openxmlformats.org/officeDocument/2006/relationships/hyperlink" Target="https://www.genome.jp/entry/R06049" TargetMode="External"/><Relationship Id="rId1701" Type="http://schemas.openxmlformats.org/officeDocument/2006/relationships/hyperlink" Target="https://www.genome.jp/entry/R08364" TargetMode="External"/><Relationship Id="rId1785" Type="http://schemas.openxmlformats.org/officeDocument/2006/relationships/hyperlink" Target="https://www.genome.jp/entry/R00377" TargetMode="External"/><Relationship Id="rId77" Type="http://schemas.openxmlformats.org/officeDocument/2006/relationships/hyperlink" Target="https://www.genome.jp/entry/R00376" TargetMode="External"/><Relationship Id="rId282" Type="http://schemas.openxmlformats.org/officeDocument/2006/relationships/hyperlink" Target="https://www.genome.jp/entry/5.1.3.2" TargetMode="External"/><Relationship Id="rId503" Type="http://schemas.openxmlformats.org/officeDocument/2006/relationships/hyperlink" Target="https://www.genome.jp/entry/R02748" TargetMode="External"/><Relationship Id="rId587" Type="http://schemas.openxmlformats.org/officeDocument/2006/relationships/hyperlink" Target="https://www.genome.jp/entry/R04268" TargetMode="External"/><Relationship Id="rId710" Type="http://schemas.openxmlformats.org/officeDocument/2006/relationships/hyperlink" Target="https://www.genome.jp/entry/4.1.99.1" TargetMode="External"/><Relationship Id="rId808" Type="http://schemas.openxmlformats.org/officeDocument/2006/relationships/hyperlink" Target="https://www.genome.jp/entry/4.1.99.12" TargetMode="External"/><Relationship Id="rId1340" Type="http://schemas.openxmlformats.org/officeDocument/2006/relationships/hyperlink" Target="https://www.genome.jp/entry/R09386" TargetMode="External"/><Relationship Id="rId1438" Type="http://schemas.openxmlformats.org/officeDocument/2006/relationships/hyperlink" Target="https://www.genome.jp/entry/2.5.1.78" TargetMode="External"/><Relationship Id="rId1645" Type="http://schemas.openxmlformats.org/officeDocument/2006/relationships/hyperlink" Target="https://www.genome.jp/entry/1.8.1.4" TargetMode="External"/><Relationship Id="rId8" Type="http://schemas.openxmlformats.org/officeDocument/2006/relationships/hyperlink" Target="https://www.genome.jp/entry/2.7.7.19" TargetMode="External"/><Relationship Id="rId142" Type="http://schemas.openxmlformats.org/officeDocument/2006/relationships/hyperlink" Target="https://www.genome.jp/entry/R00145" TargetMode="External"/><Relationship Id="rId447" Type="http://schemas.openxmlformats.org/officeDocument/2006/relationships/hyperlink" Target="https://www.genome.jp/entry/3.1.3.2" TargetMode="External"/><Relationship Id="rId794" Type="http://schemas.openxmlformats.org/officeDocument/2006/relationships/hyperlink" Target="https://www.genome.jp/entry/3.4.21.88" TargetMode="External"/><Relationship Id="rId1077" Type="http://schemas.openxmlformats.org/officeDocument/2006/relationships/hyperlink" Target="https://www.genome.jp/entry/R00376" TargetMode="External"/><Relationship Id="rId1200" Type="http://schemas.openxmlformats.org/officeDocument/2006/relationships/hyperlink" Target="https://www.genome.jp/entry/2.4.1.227" TargetMode="External"/><Relationship Id="rId654" Type="http://schemas.openxmlformats.org/officeDocument/2006/relationships/hyperlink" Target="https://www.genome.jp/entry/R04440" TargetMode="External"/><Relationship Id="rId861" Type="http://schemas.openxmlformats.org/officeDocument/2006/relationships/hyperlink" Target="https://www.genome.jp/entry/R11029" TargetMode="External"/><Relationship Id="rId959" Type="http://schemas.openxmlformats.org/officeDocument/2006/relationships/hyperlink" Target="https://www.genome.jp/entry/3.1.3.25" TargetMode="External"/><Relationship Id="rId1284" Type="http://schemas.openxmlformats.org/officeDocument/2006/relationships/hyperlink" Target="https://www.genome.jp/entry/2.1.1.298" TargetMode="External"/><Relationship Id="rId1491" Type="http://schemas.openxmlformats.org/officeDocument/2006/relationships/hyperlink" Target="https://www.genome.jp/entry/R00428" TargetMode="External"/><Relationship Id="rId1505" Type="http://schemas.openxmlformats.org/officeDocument/2006/relationships/hyperlink" Target="https://www.genome.jp/entry/R01224" TargetMode="External"/><Relationship Id="rId1589" Type="http://schemas.openxmlformats.org/officeDocument/2006/relationships/hyperlink" Target="https://www.genome.jp/entry/3.5.4.5" TargetMode="External"/><Relationship Id="rId1712" Type="http://schemas.openxmlformats.org/officeDocument/2006/relationships/hyperlink" Target="https://www.genome.jp/entry/1.2.4.2" TargetMode="External"/><Relationship Id="rId293" Type="http://schemas.openxmlformats.org/officeDocument/2006/relationships/hyperlink" Target="https://www.genome.jp/entry/2.8.1.7" TargetMode="External"/><Relationship Id="rId307" Type="http://schemas.openxmlformats.org/officeDocument/2006/relationships/hyperlink" Target="https://www.genome.jp/entry/R01054" TargetMode="External"/><Relationship Id="rId514" Type="http://schemas.openxmlformats.org/officeDocument/2006/relationships/hyperlink" Target="https://www.genome.jp/entry/4.1.2.13" TargetMode="External"/><Relationship Id="rId721" Type="http://schemas.openxmlformats.org/officeDocument/2006/relationships/hyperlink" Target="https://www.genome.jp/entry/R00842" TargetMode="External"/><Relationship Id="rId1144" Type="http://schemas.openxmlformats.org/officeDocument/2006/relationships/hyperlink" Target="https://www.genome.jp/entry/1.7.2.2" TargetMode="External"/><Relationship Id="rId1351" Type="http://schemas.openxmlformats.org/officeDocument/2006/relationships/hyperlink" Target="https://www.genome.jp/entry/2.2.1.6" TargetMode="External"/><Relationship Id="rId1449" Type="http://schemas.openxmlformats.org/officeDocument/2006/relationships/hyperlink" Target="https://www.genome.jp/entry/R03660" TargetMode="External"/><Relationship Id="rId1796" Type="http://schemas.openxmlformats.org/officeDocument/2006/relationships/hyperlink" Target="https://www.genome.jp/entry/R09675" TargetMode="External"/><Relationship Id="rId88" Type="http://schemas.openxmlformats.org/officeDocument/2006/relationships/hyperlink" Target="https://www.genome.jp/entry/R00765" TargetMode="External"/><Relationship Id="rId153" Type="http://schemas.openxmlformats.org/officeDocument/2006/relationships/hyperlink" Target="https://www.genome.jp/entry/2.7.9.3" TargetMode="External"/><Relationship Id="rId360" Type="http://schemas.openxmlformats.org/officeDocument/2006/relationships/hyperlink" Target="https://www.genome.jp/entry/R00087" TargetMode="External"/><Relationship Id="rId598" Type="http://schemas.openxmlformats.org/officeDocument/2006/relationships/hyperlink" Target="https://www.genome.jp/entry/3.1.4.16" TargetMode="External"/><Relationship Id="rId819" Type="http://schemas.openxmlformats.org/officeDocument/2006/relationships/hyperlink" Target="https://www.genome.jp/entry/2.7.7.6" TargetMode="External"/><Relationship Id="rId1004" Type="http://schemas.openxmlformats.org/officeDocument/2006/relationships/hyperlink" Target="https://www.genome.jp/entry/3.2.1.52" TargetMode="External"/><Relationship Id="rId1211" Type="http://schemas.openxmlformats.org/officeDocument/2006/relationships/hyperlink" Target="https://www.genome.jp/entry/R12926" TargetMode="External"/><Relationship Id="rId1656" Type="http://schemas.openxmlformats.org/officeDocument/2006/relationships/hyperlink" Target="https://www.genome.jp/entry/R00376" TargetMode="External"/><Relationship Id="rId220" Type="http://schemas.openxmlformats.org/officeDocument/2006/relationships/hyperlink" Target="https://www.genome.jp/entry/R03191" TargetMode="External"/><Relationship Id="rId458" Type="http://schemas.openxmlformats.org/officeDocument/2006/relationships/hyperlink" Target="https://www.genome.jp/entry/2.7.1.15" TargetMode="External"/><Relationship Id="rId665" Type="http://schemas.openxmlformats.org/officeDocument/2006/relationships/hyperlink" Target="https://www.genome.jp/entry/1.1.5.3" TargetMode="External"/><Relationship Id="rId872" Type="http://schemas.openxmlformats.org/officeDocument/2006/relationships/hyperlink" Target="https://www.genome.jp/entry/1.4.3.5" TargetMode="External"/><Relationship Id="rId1088" Type="http://schemas.openxmlformats.org/officeDocument/2006/relationships/hyperlink" Target="https://www.genome.jp/entry/1.17.7.4" TargetMode="External"/><Relationship Id="rId1295" Type="http://schemas.openxmlformats.org/officeDocument/2006/relationships/hyperlink" Target="https://www.genome.jp/entry/R03658" TargetMode="External"/><Relationship Id="rId1309" Type="http://schemas.openxmlformats.org/officeDocument/2006/relationships/hyperlink" Target="https://www.genome.jp/entry/5.4.99.12" TargetMode="External"/><Relationship Id="rId1516" Type="http://schemas.openxmlformats.org/officeDocument/2006/relationships/hyperlink" Target="https://www.genome.jp/entry/R07461" TargetMode="External"/><Relationship Id="rId1723" Type="http://schemas.openxmlformats.org/officeDocument/2006/relationships/hyperlink" Target="https://www.genome.jp/entry/4.2.99.18" TargetMode="External"/><Relationship Id="rId15" Type="http://schemas.openxmlformats.org/officeDocument/2006/relationships/hyperlink" Target="https://www.genome.jp/entry/R03473" TargetMode="External"/><Relationship Id="rId318" Type="http://schemas.openxmlformats.org/officeDocument/2006/relationships/hyperlink" Target="https://www.genome.jp/entry/2.7.4.7" TargetMode="External"/><Relationship Id="rId525" Type="http://schemas.openxmlformats.org/officeDocument/2006/relationships/hyperlink" Target="https://www.genome.jp/entry/R10648" TargetMode="External"/><Relationship Id="rId732" Type="http://schemas.openxmlformats.org/officeDocument/2006/relationships/hyperlink" Target="https://www.genome.jp/entry/4.1.2.17" TargetMode="External"/><Relationship Id="rId1155" Type="http://schemas.openxmlformats.org/officeDocument/2006/relationships/hyperlink" Target="https://www.genome.jp/entry/1.15.1.1" TargetMode="External"/><Relationship Id="rId1362" Type="http://schemas.openxmlformats.org/officeDocument/2006/relationships/hyperlink" Target="https://www.genome.jp/entry/R02740" TargetMode="External"/><Relationship Id="rId99" Type="http://schemas.openxmlformats.org/officeDocument/2006/relationships/hyperlink" Target="https://www.genome.jp/entry/1.1.1.100" TargetMode="External"/><Relationship Id="rId164" Type="http://schemas.openxmlformats.org/officeDocument/2006/relationships/hyperlink" Target="https://www.genome.jp/entry/R00425" TargetMode="External"/><Relationship Id="rId371" Type="http://schemas.openxmlformats.org/officeDocument/2006/relationships/hyperlink" Target="https://www.genome.jp/entry/3.6.1.9" TargetMode="External"/><Relationship Id="rId1015" Type="http://schemas.openxmlformats.org/officeDocument/2006/relationships/hyperlink" Target="https://www.genome.jp/entry/R00549" TargetMode="External"/><Relationship Id="rId1222" Type="http://schemas.openxmlformats.org/officeDocument/2006/relationships/hyperlink" Target="https://www.genome.jp/entry/R02016" TargetMode="External"/><Relationship Id="rId1667" Type="http://schemas.openxmlformats.org/officeDocument/2006/relationships/hyperlink" Target="https://www.genome.jp/entry/2.7.4.25" TargetMode="External"/><Relationship Id="rId469" Type="http://schemas.openxmlformats.org/officeDocument/2006/relationships/hyperlink" Target="https://www.genome.jp/entry/R00442" TargetMode="External"/><Relationship Id="rId676" Type="http://schemas.openxmlformats.org/officeDocument/2006/relationships/hyperlink" Target="https://www.genome.jp/entry/R08657" TargetMode="External"/><Relationship Id="rId883" Type="http://schemas.openxmlformats.org/officeDocument/2006/relationships/hyperlink" Target="https://www.genome.jp/entry/R00331" TargetMode="External"/><Relationship Id="rId1099" Type="http://schemas.openxmlformats.org/officeDocument/2006/relationships/hyperlink" Target="https://www.genome.jp/entry/2.2.1.1" TargetMode="External"/><Relationship Id="rId1527" Type="http://schemas.openxmlformats.org/officeDocument/2006/relationships/hyperlink" Target="https://www.genome.jp/entry/R02340" TargetMode="External"/><Relationship Id="rId1734" Type="http://schemas.openxmlformats.org/officeDocument/2006/relationships/hyperlink" Target="https://www.genome.jp/entry/3.4.11.1" TargetMode="External"/><Relationship Id="rId26" Type="http://schemas.openxmlformats.org/officeDocument/2006/relationships/hyperlink" Target="https://www.genome.jp/entry/1.17.4.2" TargetMode="External"/><Relationship Id="rId231" Type="http://schemas.openxmlformats.org/officeDocument/2006/relationships/hyperlink" Target="https://www.genome.jp/entry/2.4.2.3" TargetMode="External"/><Relationship Id="rId329" Type="http://schemas.openxmlformats.org/officeDocument/2006/relationships/hyperlink" Target="https://www.genome.jp/entry/3.6.1.22" TargetMode="External"/><Relationship Id="rId536" Type="http://schemas.openxmlformats.org/officeDocument/2006/relationships/hyperlink" Target="https://www.genome.jp/entry/3.5.1.5" TargetMode="External"/><Relationship Id="rId1166" Type="http://schemas.openxmlformats.org/officeDocument/2006/relationships/hyperlink" Target="https://www.genome.jp/entry/R07274" TargetMode="External"/><Relationship Id="rId1373" Type="http://schemas.openxmlformats.org/officeDocument/2006/relationships/hyperlink" Target="https://www.genome.jp/entry/3.6.4.12" TargetMode="External"/><Relationship Id="rId175" Type="http://schemas.openxmlformats.org/officeDocument/2006/relationships/hyperlink" Target="https://www.genome.jp/entry/R01130" TargetMode="External"/><Relationship Id="rId743" Type="http://schemas.openxmlformats.org/officeDocument/2006/relationships/hyperlink" Target="https://www.genome.jp/entry/5.4.99.29" TargetMode="External"/><Relationship Id="rId950" Type="http://schemas.openxmlformats.org/officeDocument/2006/relationships/hyperlink" Target="https://www.genome.jp/entry/R11029" TargetMode="External"/><Relationship Id="rId1026" Type="http://schemas.openxmlformats.org/officeDocument/2006/relationships/hyperlink" Target="https://www.genome.jp/entry/6.4.1.2" TargetMode="External"/><Relationship Id="rId1580" Type="http://schemas.openxmlformats.org/officeDocument/2006/relationships/hyperlink" Target="https://www.genome.jp/entry/R00948" TargetMode="External"/><Relationship Id="rId1678" Type="http://schemas.openxmlformats.org/officeDocument/2006/relationships/hyperlink" Target="https://www.genome.jp/entry/R00256" TargetMode="External"/><Relationship Id="rId1801" Type="http://schemas.openxmlformats.org/officeDocument/2006/relationships/hyperlink" Target="https://www.genome.jp/entry/4.1.3.34" TargetMode="External"/><Relationship Id="rId382" Type="http://schemas.openxmlformats.org/officeDocument/2006/relationships/hyperlink" Target="https://www.genome.jp/entry/5.3.1.6" TargetMode="External"/><Relationship Id="rId603" Type="http://schemas.openxmlformats.org/officeDocument/2006/relationships/hyperlink" Target="https://www.genome.jp/entry/R03538" TargetMode="External"/><Relationship Id="rId687" Type="http://schemas.openxmlformats.org/officeDocument/2006/relationships/hyperlink" Target="https://www.genome.jp/entry/2.4.2.22" TargetMode="External"/><Relationship Id="rId810" Type="http://schemas.openxmlformats.org/officeDocument/2006/relationships/hyperlink" Target="https://www.genome.jp/entry/2.1.1.207" TargetMode="External"/><Relationship Id="rId908" Type="http://schemas.openxmlformats.org/officeDocument/2006/relationships/hyperlink" Target="https://www.genome.jp/entry/2.7.4.6" TargetMode="External"/><Relationship Id="rId1233" Type="http://schemas.openxmlformats.org/officeDocument/2006/relationships/hyperlink" Target="https://www.genome.jp/entry/R00694" TargetMode="External"/><Relationship Id="rId1440" Type="http://schemas.openxmlformats.org/officeDocument/2006/relationships/hyperlink" Target="https://www.genome.jp/entry/2.7.4.16" TargetMode="External"/><Relationship Id="rId1538" Type="http://schemas.openxmlformats.org/officeDocument/2006/relationships/hyperlink" Target="https://www.genome.jp/entry/4.2.1.2" TargetMode="External"/><Relationship Id="rId242" Type="http://schemas.openxmlformats.org/officeDocument/2006/relationships/hyperlink" Target="https://www.genome.jp/entry/R11099" TargetMode="External"/><Relationship Id="rId894" Type="http://schemas.openxmlformats.org/officeDocument/2006/relationships/hyperlink" Target="https://www.genome.jp/entry/2.7.4.6" TargetMode="External"/><Relationship Id="rId1177" Type="http://schemas.openxmlformats.org/officeDocument/2006/relationships/hyperlink" Target="https://www.genome.jp/entry/5.1.3.20" TargetMode="External"/><Relationship Id="rId1300" Type="http://schemas.openxmlformats.org/officeDocument/2006/relationships/hyperlink" Target="https://www.genome.jp/entry/R01401" TargetMode="External"/><Relationship Id="rId1745" Type="http://schemas.openxmlformats.org/officeDocument/2006/relationships/hyperlink" Target="https://www.genome.jp/entry/R01954" TargetMode="External"/><Relationship Id="rId37" Type="http://schemas.openxmlformats.org/officeDocument/2006/relationships/hyperlink" Target="https://www.genome.jp/entry/R01771" TargetMode="External"/><Relationship Id="rId102" Type="http://schemas.openxmlformats.org/officeDocument/2006/relationships/hyperlink" Target="https://www.genome.jp/entry/R04543" TargetMode="External"/><Relationship Id="rId547" Type="http://schemas.openxmlformats.org/officeDocument/2006/relationships/hyperlink" Target="https://www.genome.jp/entry/R06134" TargetMode="External"/><Relationship Id="rId754" Type="http://schemas.openxmlformats.org/officeDocument/2006/relationships/hyperlink" Target="https://www.genome.jp/entry/2.3.1.51" TargetMode="External"/><Relationship Id="rId961" Type="http://schemas.openxmlformats.org/officeDocument/2006/relationships/hyperlink" Target="https://www.genome.jp/entry/3.1.3.25" TargetMode="External"/><Relationship Id="rId1384" Type="http://schemas.openxmlformats.org/officeDocument/2006/relationships/hyperlink" Target="https://www.genome.jp/entry/2.7.1.40" TargetMode="External"/><Relationship Id="rId1591" Type="http://schemas.openxmlformats.org/officeDocument/2006/relationships/hyperlink" Target="https://www.genome.jp/entry/3.5.4.5" TargetMode="External"/><Relationship Id="rId1605" Type="http://schemas.openxmlformats.org/officeDocument/2006/relationships/hyperlink" Target="https://www.genome.jp/entry/3.1.2.6" TargetMode="External"/><Relationship Id="rId1689" Type="http://schemas.openxmlformats.org/officeDocument/2006/relationships/hyperlink" Target="https://www.genome.jp/entry/R04294" TargetMode="External"/><Relationship Id="rId1812" Type="http://schemas.openxmlformats.org/officeDocument/2006/relationships/hyperlink" Target="https://www.genome.jp/entry/R12423" TargetMode="External"/><Relationship Id="rId90" Type="http://schemas.openxmlformats.org/officeDocument/2006/relationships/hyperlink" Target="https://www.genome.jp/entry/R12768" TargetMode="External"/><Relationship Id="rId186" Type="http://schemas.openxmlformats.org/officeDocument/2006/relationships/hyperlink" Target="https://www.genome.jp/entry/2.7.7.8" TargetMode="External"/><Relationship Id="rId393" Type="http://schemas.openxmlformats.org/officeDocument/2006/relationships/hyperlink" Target="https://www.genome.jp/entry/R01163" TargetMode="External"/><Relationship Id="rId407" Type="http://schemas.openxmlformats.org/officeDocument/2006/relationships/hyperlink" Target="https://www.genome.jp/entry/R00256" TargetMode="External"/><Relationship Id="rId614" Type="http://schemas.openxmlformats.org/officeDocument/2006/relationships/hyperlink" Target="https://www.genome.jp/entry/R04559" TargetMode="External"/><Relationship Id="rId821" Type="http://schemas.openxmlformats.org/officeDocument/2006/relationships/hyperlink" Target="https://www.genome.jp/entry/2.7.7.6" TargetMode="External"/><Relationship Id="rId1037" Type="http://schemas.openxmlformats.org/officeDocument/2006/relationships/hyperlink" Target="https://www.genome.jp/entry/R00769" TargetMode="External"/><Relationship Id="rId1244" Type="http://schemas.openxmlformats.org/officeDocument/2006/relationships/hyperlink" Target="https://www.genome.jp/entry/2.6.1.85" TargetMode="External"/><Relationship Id="rId1451" Type="http://schemas.openxmlformats.org/officeDocument/2006/relationships/hyperlink" Target="https://www.genome.jp/entry/R03660" TargetMode="External"/><Relationship Id="rId253" Type="http://schemas.openxmlformats.org/officeDocument/2006/relationships/hyperlink" Target="https://www.genome.jp/entry/1.5.1.2" TargetMode="External"/><Relationship Id="rId460" Type="http://schemas.openxmlformats.org/officeDocument/2006/relationships/hyperlink" Target="https://www.genome.jp/entry/2.7.1.15" TargetMode="External"/><Relationship Id="rId698" Type="http://schemas.openxmlformats.org/officeDocument/2006/relationships/hyperlink" Target="https://www.genome.jp/entry/3.1.3.6" TargetMode="External"/><Relationship Id="rId919" Type="http://schemas.openxmlformats.org/officeDocument/2006/relationships/hyperlink" Target="https://www.genome.jp/entry/R01127" TargetMode="External"/><Relationship Id="rId1090" Type="http://schemas.openxmlformats.org/officeDocument/2006/relationships/hyperlink" Target="https://www.genome.jp/entry/7.6.2.15" TargetMode="External"/><Relationship Id="rId1104" Type="http://schemas.openxmlformats.org/officeDocument/2006/relationships/hyperlink" Target="https://www.genome.jp/entry/R06863" TargetMode="External"/><Relationship Id="rId1311" Type="http://schemas.openxmlformats.org/officeDocument/2006/relationships/hyperlink" Target="https://www.genome.jp/entry/4.1.1.31" TargetMode="External"/><Relationship Id="rId1549" Type="http://schemas.openxmlformats.org/officeDocument/2006/relationships/hyperlink" Target="https://www.genome.jp/entry/R03509" TargetMode="External"/><Relationship Id="rId1756" Type="http://schemas.openxmlformats.org/officeDocument/2006/relationships/hyperlink" Target="https://www.genome.jp/entry/3.1.7.2" TargetMode="External"/><Relationship Id="rId48" Type="http://schemas.openxmlformats.org/officeDocument/2006/relationships/hyperlink" Target="https://www.genome.jp/entry/6.1.1.11" TargetMode="External"/><Relationship Id="rId113" Type="http://schemas.openxmlformats.org/officeDocument/2006/relationships/hyperlink" Target="https://www.genome.jp/entry/1.1.1.100" TargetMode="External"/><Relationship Id="rId320" Type="http://schemas.openxmlformats.org/officeDocument/2006/relationships/hyperlink" Target="https://www.genome.jp/entry/3.6.4.13" TargetMode="External"/><Relationship Id="rId558" Type="http://schemas.openxmlformats.org/officeDocument/2006/relationships/hyperlink" Target="https://www.genome.jp/entry/2.1.1.182" TargetMode="External"/><Relationship Id="rId765" Type="http://schemas.openxmlformats.org/officeDocument/2006/relationships/hyperlink" Target="https://www.genome.jp/entry/R05070" TargetMode="External"/><Relationship Id="rId972" Type="http://schemas.openxmlformats.org/officeDocument/2006/relationships/hyperlink" Target="https://www.genome.jp/entry/R06977" TargetMode="External"/><Relationship Id="rId1188" Type="http://schemas.openxmlformats.org/officeDocument/2006/relationships/hyperlink" Target="https://www.genome.jp/entry/6.3.2.10" TargetMode="External"/><Relationship Id="rId1395" Type="http://schemas.openxmlformats.org/officeDocument/2006/relationships/hyperlink" Target="https://www.genome.jp/entry/R03210" TargetMode="External"/><Relationship Id="rId1409" Type="http://schemas.openxmlformats.org/officeDocument/2006/relationships/hyperlink" Target="https://www.genome.jp/entry/R02768" TargetMode="External"/><Relationship Id="rId1616" Type="http://schemas.openxmlformats.org/officeDocument/2006/relationships/hyperlink" Target="https://www.genome.jp/entry/6.3.2.17" TargetMode="External"/><Relationship Id="rId1823" Type="http://schemas.openxmlformats.org/officeDocument/2006/relationships/hyperlink" Target="https://www.genome.jp/entry/3.4.16.4" TargetMode="External"/><Relationship Id="rId197" Type="http://schemas.openxmlformats.org/officeDocument/2006/relationships/hyperlink" Target="https://www.genome.jp/entry/R05747" TargetMode="External"/><Relationship Id="rId418" Type="http://schemas.openxmlformats.org/officeDocument/2006/relationships/hyperlink" Target="https://www.genome.jp/entry/4.3.2.10" TargetMode="External"/><Relationship Id="rId625" Type="http://schemas.openxmlformats.org/officeDocument/2006/relationships/hyperlink" Target="https://www.genome.jp/entry/R04658" TargetMode="External"/><Relationship Id="rId832" Type="http://schemas.openxmlformats.org/officeDocument/2006/relationships/hyperlink" Target="https://www.genome.jp/entry/R00289" TargetMode="External"/><Relationship Id="rId1048" Type="http://schemas.openxmlformats.org/officeDocument/2006/relationships/hyperlink" Target="https://www.genome.jp/entry/2.7.1.11" TargetMode="External"/><Relationship Id="rId1255" Type="http://schemas.openxmlformats.org/officeDocument/2006/relationships/hyperlink" Target="https://www.genome.jp/entry/5.3.1.28" TargetMode="External"/><Relationship Id="rId1462" Type="http://schemas.openxmlformats.org/officeDocument/2006/relationships/hyperlink" Target="https://www.genome.jp/entry/4.2.1.59" TargetMode="External"/><Relationship Id="rId264" Type="http://schemas.openxmlformats.org/officeDocument/2006/relationships/hyperlink" Target="https://www.genome.jp/entry/R05577" TargetMode="External"/><Relationship Id="rId471" Type="http://schemas.openxmlformats.org/officeDocument/2006/relationships/hyperlink" Target="https://www.genome.jp/entry/R00443" TargetMode="External"/><Relationship Id="rId1115" Type="http://schemas.openxmlformats.org/officeDocument/2006/relationships/hyperlink" Target="https://www.genome.jp/entry/R12920" TargetMode="External"/><Relationship Id="rId1322" Type="http://schemas.openxmlformats.org/officeDocument/2006/relationships/hyperlink" Target="https://www.genome.jp/entry/R07405" TargetMode="External"/><Relationship Id="rId1767" Type="http://schemas.openxmlformats.org/officeDocument/2006/relationships/hyperlink" Target="https://www.genome.jp/entry/R00443" TargetMode="External"/><Relationship Id="rId59" Type="http://schemas.openxmlformats.org/officeDocument/2006/relationships/hyperlink" Target="https://www.genome.jp/entry/R01801" TargetMode="External"/><Relationship Id="rId124" Type="http://schemas.openxmlformats.org/officeDocument/2006/relationships/hyperlink" Target="https://www.genome.jp/entry/7.2.1.1" TargetMode="External"/><Relationship Id="rId569" Type="http://schemas.openxmlformats.org/officeDocument/2006/relationships/hyperlink" Target="https://www.genome.jp/entry/R00508" TargetMode="External"/><Relationship Id="rId776" Type="http://schemas.openxmlformats.org/officeDocument/2006/relationships/hyperlink" Target="https://www.genome.jp/entry/2.7.7.7" TargetMode="External"/><Relationship Id="rId983" Type="http://schemas.openxmlformats.org/officeDocument/2006/relationships/hyperlink" Target="https://www.genome.jp/entry/R00022" TargetMode="External"/><Relationship Id="rId1199" Type="http://schemas.openxmlformats.org/officeDocument/2006/relationships/hyperlink" Target="https://www.genome.jp/entry/R05662" TargetMode="External"/><Relationship Id="rId1627" Type="http://schemas.openxmlformats.org/officeDocument/2006/relationships/hyperlink" Target="https://www.genome.jp/entry/1.2.1.41" TargetMode="External"/><Relationship Id="rId331" Type="http://schemas.openxmlformats.org/officeDocument/2006/relationships/hyperlink" Target="https://www.genome.jp/entry/2.7.1.56" TargetMode="External"/><Relationship Id="rId429" Type="http://schemas.openxmlformats.org/officeDocument/2006/relationships/hyperlink" Target="https://www.genome.jp/entry/R00086" TargetMode="External"/><Relationship Id="rId636" Type="http://schemas.openxmlformats.org/officeDocument/2006/relationships/hyperlink" Target="https://www.genome.jp/entry/3.1.1.96" TargetMode="External"/><Relationship Id="rId1059" Type="http://schemas.openxmlformats.org/officeDocument/2006/relationships/hyperlink" Target="https://www.genome.jp/entry/R00994" TargetMode="External"/><Relationship Id="rId1266" Type="http://schemas.openxmlformats.org/officeDocument/2006/relationships/hyperlink" Target="https://www.genome.jp/entry/2.6.1.42" TargetMode="External"/><Relationship Id="rId1473" Type="http://schemas.openxmlformats.org/officeDocument/2006/relationships/hyperlink" Target="https://www.genome.jp/entry/R10121" TargetMode="External"/><Relationship Id="rId843" Type="http://schemas.openxmlformats.org/officeDocument/2006/relationships/hyperlink" Target="https://www.genome.jp/entry/1.3.5.4" TargetMode="External"/><Relationship Id="rId1126" Type="http://schemas.openxmlformats.org/officeDocument/2006/relationships/hyperlink" Target="https://www.genome.jp/entry/4.2.1.59" TargetMode="External"/><Relationship Id="rId1680" Type="http://schemas.openxmlformats.org/officeDocument/2006/relationships/hyperlink" Target="https://www.genome.jp/entry/R10088" TargetMode="External"/><Relationship Id="rId1778" Type="http://schemas.openxmlformats.org/officeDocument/2006/relationships/hyperlink" Target="https://www.genome.jp/entry/2.7.7.7" TargetMode="External"/><Relationship Id="rId275" Type="http://schemas.openxmlformats.org/officeDocument/2006/relationships/hyperlink" Target="https://www.genome.jp/entry/R00127" TargetMode="External"/><Relationship Id="rId482" Type="http://schemas.openxmlformats.org/officeDocument/2006/relationships/hyperlink" Target="https://www.genome.jp/entry/2.7.7.6" TargetMode="External"/><Relationship Id="rId703" Type="http://schemas.openxmlformats.org/officeDocument/2006/relationships/hyperlink" Target="https://www.genome.jp/entry/R02370" TargetMode="External"/><Relationship Id="rId910" Type="http://schemas.openxmlformats.org/officeDocument/2006/relationships/hyperlink" Target="https://www.genome.jp/entry/2.7.4.6" TargetMode="External"/><Relationship Id="rId1333" Type="http://schemas.openxmlformats.org/officeDocument/2006/relationships/hyperlink" Target="https://www.genome.jp/entry/2.7.7.72" TargetMode="External"/><Relationship Id="rId1540" Type="http://schemas.openxmlformats.org/officeDocument/2006/relationships/hyperlink" Target="https://www.genome.jp/entry/2.1.1.37" TargetMode="External"/><Relationship Id="rId1638" Type="http://schemas.openxmlformats.org/officeDocument/2006/relationships/hyperlink" Target="https://www.genome.jp/entry/R02569" TargetMode="External"/><Relationship Id="rId135" Type="http://schemas.openxmlformats.org/officeDocument/2006/relationships/hyperlink" Target="https://www.genome.jp/entry/2.7.1.59" TargetMode="External"/><Relationship Id="rId342" Type="http://schemas.openxmlformats.org/officeDocument/2006/relationships/hyperlink" Target="https://www.genome.jp/entry/R00376" TargetMode="External"/><Relationship Id="rId787" Type="http://schemas.openxmlformats.org/officeDocument/2006/relationships/hyperlink" Target="https://www.genome.jp/entry/R11029" TargetMode="External"/><Relationship Id="rId994" Type="http://schemas.openxmlformats.org/officeDocument/2006/relationships/hyperlink" Target="https://www.genome.jp/entry/3.2.1.52" TargetMode="External"/><Relationship Id="rId1400" Type="http://schemas.openxmlformats.org/officeDocument/2006/relationships/hyperlink" Target="https://www.genome.jp/entry/6.3.3.3" TargetMode="External"/><Relationship Id="rId202" Type="http://schemas.openxmlformats.org/officeDocument/2006/relationships/hyperlink" Target="https://www.genome.jp/entry/1.11.1.24" TargetMode="External"/><Relationship Id="rId647" Type="http://schemas.openxmlformats.org/officeDocument/2006/relationships/hyperlink" Target="https://www.genome.jp/entry/2.8.1.1" TargetMode="External"/><Relationship Id="rId854" Type="http://schemas.openxmlformats.org/officeDocument/2006/relationships/hyperlink" Target="https://www.genome.jp/entry/2.7.7.7" TargetMode="External"/><Relationship Id="rId1277" Type="http://schemas.openxmlformats.org/officeDocument/2006/relationships/hyperlink" Target="https://www.genome.jp/entry/6.2.1.5" TargetMode="External"/><Relationship Id="rId1484" Type="http://schemas.openxmlformats.org/officeDocument/2006/relationships/hyperlink" Target="https://www.genome.jp/entry/2.7.7.80" TargetMode="External"/><Relationship Id="rId1691" Type="http://schemas.openxmlformats.org/officeDocument/2006/relationships/hyperlink" Target="https://www.genome.jp/entry/R02017" TargetMode="External"/><Relationship Id="rId1705" Type="http://schemas.openxmlformats.org/officeDocument/2006/relationships/hyperlink" Target="https://www.genome.jp/entry/R02570" TargetMode="External"/><Relationship Id="rId286" Type="http://schemas.openxmlformats.org/officeDocument/2006/relationships/hyperlink" Target="https://www.genome.jp/entry/2.1.1.192" TargetMode="External"/><Relationship Id="rId493" Type="http://schemas.openxmlformats.org/officeDocument/2006/relationships/hyperlink" Target="https://www.genome.jp/entry/R02147" TargetMode="External"/><Relationship Id="rId507" Type="http://schemas.openxmlformats.org/officeDocument/2006/relationships/hyperlink" Target="https://www.genome.jp/entry/R02295" TargetMode="External"/><Relationship Id="rId714" Type="http://schemas.openxmlformats.org/officeDocument/2006/relationships/hyperlink" Target="https://www.genome.jp/entry/5.2.1.8" TargetMode="External"/><Relationship Id="rId921" Type="http://schemas.openxmlformats.org/officeDocument/2006/relationships/hyperlink" Target="https://www.genome.jp/entry/2.7.1.24" TargetMode="External"/><Relationship Id="rId1137" Type="http://schemas.openxmlformats.org/officeDocument/2006/relationships/hyperlink" Target="https://www.genome.jp/entry/R10121" TargetMode="External"/><Relationship Id="rId1344" Type="http://schemas.openxmlformats.org/officeDocument/2006/relationships/hyperlink" Target="https://www.genome.jp/entry/R00944" TargetMode="External"/><Relationship Id="rId1551" Type="http://schemas.openxmlformats.org/officeDocument/2006/relationships/hyperlink" Target="https://www.genome.jp/entry/R01073" TargetMode="External"/><Relationship Id="rId1789" Type="http://schemas.openxmlformats.org/officeDocument/2006/relationships/hyperlink" Target="https://www.genome.jp/entry/R11029" TargetMode="External"/><Relationship Id="rId50" Type="http://schemas.openxmlformats.org/officeDocument/2006/relationships/hyperlink" Target="https://www.genome.jp/entry/2.1.1.173" TargetMode="External"/><Relationship Id="rId146" Type="http://schemas.openxmlformats.org/officeDocument/2006/relationships/hyperlink" Target="https://www.genome.jp/entry/R04030" TargetMode="External"/><Relationship Id="rId353" Type="http://schemas.openxmlformats.org/officeDocument/2006/relationships/hyperlink" Target="https://www.genome.jp/entry/5.2.1.8" TargetMode="External"/><Relationship Id="rId560" Type="http://schemas.openxmlformats.org/officeDocument/2006/relationships/hyperlink" Target="https://www.genome.jp/entry/3.6.1.41" TargetMode="External"/><Relationship Id="rId798" Type="http://schemas.openxmlformats.org/officeDocument/2006/relationships/hyperlink" Target="https://www.genome.jp/entry/R04463" TargetMode="External"/><Relationship Id="rId1190" Type="http://schemas.openxmlformats.org/officeDocument/2006/relationships/hyperlink" Target="https://www.genome.jp/entry/6.3.2.10" TargetMode="External"/><Relationship Id="rId1204" Type="http://schemas.openxmlformats.org/officeDocument/2006/relationships/hyperlink" Target="https://www.genome.jp/entry/2.4.1.227" TargetMode="External"/><Relationship Id="rId1411" Type="http://schemas.openxmlformats.org/officeDocument/2006/relationships/hyperlink" Target="https://www.genome.jp/entry/R04355" TargetMode="External"/><Relationship Id="rId1649" Type="http://schemas.openxmlformats.org/officeDocument/2006/relationships/hyperlink" Target="https://www.genome.jp/entry/2.4.2.7" TargetMode="External"/><Relationship Id="rId213" Type="http://schemas.openxmlformats.org/officeDocument/2006/relationships/hyperlink" Target="https://www.genome.jp/entry/R02617" TargetMode="External"/><Relationship Id="rId420" Type="http://schemas.openxmlformats.org/officeDocument/2006/relationships/hyperlink" Target="https://www.genome.jp/entry/3.5.4.19" TargetMode="External"/><Relationship Id="rId658" Type="http://schemas.openxmlformats.org/officeDocument/2006/relationships/hyperlink" Target="https://www.genome.jp/entry/R05069" TargetMode="External"/><Relationship Id="rId865" Type="http://schemas.openxmlformats.org/officeDocument/2006/relationships/hyperlink" Target="https://www.genome.jp/entry/3.1.13.1" TargetMode="External"/><Relationship Id="rId1050" Type="http://schemas.openxmlformats.org/officeDocument/2006/relationships/hyperlink" Target="https://www.genome.jp/entry/2.3.3.13" TargetMode="External"/><Relationship Id="rId1288" Type="http://schemas.openxmlformats.org/officeDocument/2006/relationships/hyperlink" Target="https://www.genome.jp/entry/2.4.2.14" TargetMode="External"/><Relationship Id="rId1495" Type="http://schemas.openxmlformats.org/officeDocument/2006/relationships/hyperlink" Target="https://www.genome.jp/entry/R05046" TargetMode="External"/><Relationship Id="rId1509" Type="http://schemas.openxmlformats.org/officeDocument/2006/relationships/hyperlink" Target="https://www.genome.jp/entry/R05636" TargetMode="External"/><Relationship Id="rId1716" Type="http://schemas.openxmlformats.org/officeDocument/2006/relationships/hyperlink" Target="https://www.genome.jp/entry/R09395" TargetMode="External"/><Relationship Id="rId297" Type="http://schemas.openxmlformats.org/officeDocument/2006/relationships/hyperlink" Target="https://www.genome.jp/entry/2.1.1.200" TargetMode="External"/><Relationship Id="rId518" Type="http://schemas.openxmlformats.org/officeDocument/2006/relationships/hyperlink" Target="https://www.genome.jp/entry/2.7.1.21" TargetMode="External"/><Relationship Id="rId725" Type="http://schemas.openxmlformats.org/officeDocument/2006/relationships/hyperlink" Target="https://www.genome.jp/entry/R00586" TargetMode="External"/><Relationship Id="rId932" Type="http://schemas.openxmlformats.org/officeDocument/2006/relationships/hyperlink" Target="https://www.genome.jp/entry/R04550" TargetMode="External"/><Relationship Id="rId1148" Type="http://schemas.openxmlformats.org/officeDocument/2006/relationships/hyperlink" Target="https://www.genome.jp/entry/R00256" TargetMode="External"/><Relationship Id="rId1355" Type="http://schemas.openxmlformats.org/officeDocument/2006/relationships/hyperlink" Target="https://www.genome.jp/entry/2.2.1.6" TargetMode="External"/><Relationship Id="rId1562" Type="http://schemas.openxmlformats.org/officeDocument/2006/relationships/hyperlink" Target="https://www.genome.jp/entry/1.16.3.2" TargetMode="External"/><Relationship Id="rId157" Type="http://schemas.openxmlformats.org/officeDocument/2006/relationships/hyperlink" Target="https://www.genome.jp/entry/2.7.1.71" TargetMode="External"/><Relationship Id="rId364" Type="http://schemas.openxmlformats.org/officeDocument/2006/relationships/hyperlink" Target="https://www.genome.jp/entry/R00515" TargetMode="External"/><Relationship Id="rId1008" Type="http://schemas.openxmlformats.org/officeDocument/2006/relationships/hyperlink" Target="https://www.genome.jp/entry/3.2.1.52" TargetMode="External"/><Relationship Id="rId1215" Type="http://schemas.openxmlformats.org/officeDocument/2006/relationships/hyperlink" Target="https://www.genome.jp/entry/R01373" TargetMode="External"/><Relationship Id="rId1422" Type="http://schemas.openxmlformats.org/officeDocument/2006/relationships/hyperlink" Target="https://www.genome.jp/entry/2.3.1.41" TargetMode="External"/><Relationship Id="rId61" Type="http://schemas.openxmlformats.org/officeDocument/2006/relationships/hyperlink" Target="https://www.genome.jp/entry/R00513" TargetMode="External"/><Relationship Id="rId571" Type="http://schemas.openxmlformats.org/officeDocument/2006/relationships/hyperlink" Target="https://www.genome.jp/entry/R00483" TargetMode="External"/><Relationship Id="rId669" Type="http://schemas.openxmlformats.org/officeDocument/2006/relationships/hyperlink" Target="https://www.genome.jp/entry/1.1.5.3" TargetMode="External"/><Relationship Id="rId876" Type="http://schemas.openxmlformats.org/officeDocument/2006/relationships/hyperlink" Target="https://www.genome.jp/entry/4.2.1.46" TargetMode="External"/><Relationship Id="rId1299" Type="http://schemas.openxmlformats.org/officeDocument/2006/relationships/hyperlink" Target="https://www.genome.jp/entry/3.2.2.9" TargetMode="External"/><Relationship Id="rId1727" Type="http://schemas.openxmlformats.org/officeDocument/2006/relationships/hyperlink" Target="https://www.genome.jp/entry/R04405" TargetMode="External"/><Relationship Id="rId19" Type="http://schemas.openxmlformats.org/officeDocument/2006/relationships/hyperlink" Target="https://www.genome.jp/entry/R04315" TargetMode="External"/><Relationship Id="rId224" Type="http://schemas.openxmlformats.org/officeDocument/2006/relationships/hyperlink" Target="https://www.genome.jp/entry/R08231" TargetMode="External"/><Relationship Id="rId431" Type="http://schemas.openxmlformats.org/officeDocument/2006/relationships/hyperlink" Target="https://www.genome.jp/entry/R00086" TargetMode="External"/><Relationship Id="rId529" Type="http://schemas.openxmlformats.org/officeDocument/2006/relationships/hyperlink" Target="https://www.genome.jp/entry/R12185" TargetMode="External"/><Relationship Id="rId736" Type="http://schemas.openxmlformats.org/officeDocument/2006/relationships/hyperlink" Target="https://www.genome.jp/entry/2.7.1.51" TargetMode="External"/><Relationship Id="rId1061" Type="http://schemas.openxmlformats.org/officeDocument/2006/relationships/hyperlink" Target="https://www.genome.jp/entry/R03968" TargetMode="External"/><Relationship Id="rId1159" Type="http://schemas.openxmlformats.org/officeDocument/2006/relationships/hyperlink" Target="https://www.genome.jp/entry/2.5.1.47" TargetMode="External"/><Relationship Id="rId1366" Type="http://schemas.openxmlformats.org/officeDocument/2006/relationships/hyperlink" Target="https://www.genome.jp/entry/R02739" TargetMode="External"/><Relationship Id="rId168" Type="http://schemas.openxmlformats.org/officeDocument/2006/relationships/hyperlink" Target="https://www.genome.jp/entry/6.3.4.15" TargetMode="External"/><Relationship Id="rId943" Type="http://schemas.openxmlformats.org/officeDocument/2006/relationships/hyperlink" Target="https://www.genome.jp/entry/2.7.7.7" TargetMode="External"/><Relationship Id="rId1019" Type="http://schemas.openxmlformats.org/officeDocument/2006/relationships/hyperlink" Target="https://www.genome.jp/entry/R04150" TargetMode="External"/><Relationship Id="rId1573" Type="http://schemas.openxmlformats.org/officeDocument/2006/relationships/hyperlink" Target="https://www.genome.jp/entry/5.6.2.1" TargetMode="External"/><Relationship Id="rId1780" Type="http://schemas.openxmlformats.org/officeDocument/2006/relationships/hyperlink" Target="https://www.genome.jp/entry/2.7.7.7" TargetMode="External"/><Relationship Id="rId72" Type="http://schemas.openxmlformats.org/officeDocument/2006/relationships/hyperlink" Target="https://www.genome.jp/entry/2.7.7.7" TargetMode="External"/><Relationship Id="rId375" Type="http://schemas.openxmlformats.org/officeDocument/2006/relationships/hyperlink" Target="https://www.genome.jp/entry/3.6.1.9" TargetMode="External"/><Relationship Id="rId582" Type="http://schemas.openxmlformats.org/officeDocument/2006/relationships/hyperlink" Target="https://www.genome.jp/entry/2.1.2.9" TargetMode="External"/><Relationship Id="rId803" Type="http://schemas.openxmlformats.org/officeDocument/2006/relationships/hyperlink" Target="https://www.genome.jp/entry/R02324" TargetMode="External"/><Relationship Id="rId1226" Type="http://schemas.openxmlformats.org/officeDocument/2006/relationships/hyperlink" Target="https://www.genome.jp/entry/R03596" TargetMode="External"/><Relationship Id="rId1433" Type="http://schemas.openxmlformats.org/officeDocument/2006/relationships/hyperlink" Target="https://www.genome.jp/entry/R05646" TargetMode="External"/><Relationship Id="rId1640" Type="http://schemas.openxmlformats.org/officeDocument/2006/relationships/hyperlink" Target="https://www.genome.jp/entry/R08550" TargetMode="External"/><Relationship Id="rId1738" Type="http://schemas.openxmlformats.org/officeDocument/2006/relationships/hyperlink" Target="https://www.genome.jp/entry/R02738" TargetMode="External"/><Relationship Id="rId3" Type="http://schemas.openxmlformats.org/officeDocument/2006/relationships/hyperlink" Target="https://www.genome.jp/entry/2.7.7.38" TargetMode="External"/><Relationship Id="rId235" Type="http://schemas.openxmlformats.org/officeDocument/2006/relationships/hyperlink" Target="https://www.genome.jp/entry/2.2.1.9" TargetMode="External"/><Relationship Id="rId442" Type="http://schemas.openxmlformats.org/officeDocument/2006/relationships/hyperlink" Target="https://www.genome.jp/entry/R01291" TargetMode="External"/><Relationship Id="rId887" Type="http://schemas.openxmlformats.org/officeDocument/2006/relationships/hyperlink" Target="https://www.genome.jp/entry/R00139" TargetMode="External"/><Relationship Id="rId1072" Type="http://schemas.openxmlformats.org/officeDocument/2006/relationships/hyperlink" Target="https://www.genome.jp/entry/2.7.7.7" TargetMode="External"/><Relationship Id="rId1500" Type="http://schemas.openxmlformats.org/officeDocument/2006/relationships/hyperlink" Target="https://www.genome.jp/entry/6.3.3.3" TargetMode="External"/><Relationship Id="rId302" Type="http://schemas.openxmlformats.org/officeDocument/2006/relationships/hyperlink" Target="https://www.genome.jp/entry/3.1.13.5" TargetMode="External"/><Relationship Id="rId747" Type="http://schemas.openxmlformats.org/officeDocument/2006/relationships/hyperlink" Target="https://www.genome.jp/entry/4.1.1.20" TargetMode="External"/><Relationship Id="rId954" Type="http://schemas.openxmlformats.org/officeDocument/2006/relationships/hyperlink" Target="https://www.genome.jp/entry/R03654" TargetMode="External"/><Relationship Id="rId1377" Type="http://schemas.openxmlformats.org/officeDocument/2006/relationships/hyperlink" Target="https://www.genome.jp/entry/R00430" TargetMode="External"/><Relationship Id="rId1584" Type="http://schemas.openxmlformats.org/officeDocument/2006/relationships/hyperlink" Target="https://www.genome.jp/entry/R06186" TargetMode="External"/><Relationship Id="rId1791" Type="http://schemas.openxmlformats.org/officeDocument/2006/relationships/hyperlink" Target="https://www.genome.jp/entry/R07234" TargetMode="External"/><Relationship Id="rId1805" Type="http://schemas.openxmlformats.org/officeDocument/2006/relationships/hyperlink" Target="https://www.genome.jp/entry/4.1.3.6" TargetMode="External"/><Relationship Id="rId83" Type="http://schemas.openxmlformats.org/officeDocument/2006/relationships/hyperlink" Target="https://www.genome.jp/entry/R11029" TargetMode="External"/><Relationship Id="rId179" Type="http://schemas.openxmlformats.org/officeDocument/2006/relationships/hyperlink" Target="https://www.genome.jp/entry/R00256" TargetMode="External"/><Relationship Id="rId386" Type="http://schemas.openxmlformats.org/officeDocument/2006/relationships/hyperlink" Target="https://www.genome.jp/entry/1.1.1.95" TargetMode="External"/><Relationship Id="rId593" Type="http://schemas.openxmlformats.org/officeDocument/2006/relationships/hyperlink" Target="https://www.genome.jp/entry/R01395" TargetMode="External"/><Relationship Id="rId607" Type="http://schemas.openxmlformats.org/officeDocument/2006/relationships/hyperlink" Target="https://www.genome.jp/entry/R05135" TargetMode="External"/><Relationship Id="rId814" Type="http://schemas.openxmlformats.org/officeDocument/2006/relationships/hyperlink" Target="https://www.genome.jp/entry/R00444" TargetMode="External"/><Relationship Id="rId1237" Type="http://schemas.openxmlformats.org/officeDocument/2006/relationships/hyperlink" Target="https://www.genome.jp/entry/R04173" TargetMode="External"/><Relationship Id="rId1444" Type="http://schemas.openxmlformats.org/officeDocument/2006/relationships/hyperlink" Target="https://www.genome.jp/entry/1.17.1.8" TargetMode="External"/><Relationship Id="rId1651" Type="http://schemas.openxmlformats.org/officeDocument/2006/relationships/hyperlink" Target="https://www.genome.jp/entry/2.7.7.7" TargetMode="External"/><Relationship Id="rId246" Type="http://schemas.openxmlformats.org/officeDocument/2006/relationships/hyperlink" Target="https://www.genome.jp/entry/R06131" TargetMode="External"/><Relationship Id="rId453" Type="http://schemas.openxmlformats.org/officeDocument/2006/relationships/hyperlink" Target="https://www.genome.jp/entry/3.1.3.2" TargetMode="External"/><Relationship Id="rId660" Type="http://schemas.openxmlformats.org/officeDocument/2006/relationships/hyperlink" Target="https://www.genome.jp/entry/R05071" TargetMode="External"/><Relationship Id="rId898" Type="http://schemas.openxmlformats.org/officeDocument/2006/relationships/hyperlink" Target="https://www.genome.jp/entry/2.7.4.6" TargetMode="External"/><Relationship Id="rId1083" Type="http://schemas.openxmlformats.org/officeDocument/2006/relationships/hyperlink" Target="https://www.genome.jp/entry/R11029" TargetMode="External"/><Relationship Id="rId1290" Type="http://schemas.openxmlformats.org/officeDocument/2006/relationships/hyperlink" Target="https://www.genome.jp/entry/1.1.1.37" TargetMode="External"/><Relationship Id="rId1304" Type="http://schemas.openxmlformats.org/officeDocument/2006/relationships/hyperlink" Target="https://www.genome.jp/entry/R00762" TargetMode="External"/><Relationship Id="rId1511" Type="http://schemas.openxmlformats.org/officeDocument/2006/relationships/hyperlink" Target="https://www.genome.jp/entry/R02003" TargetMode="External"/><Relationship Id="rId1749" Type="http://schemas.openxmlformats.org/officeDocument/2006/relationships/hyperlink" Target="https://www.genome.jp/entry/R00251" TargetMode="External"/><Relationship Id="rId106" Type="http://schemas.openxmlformats.org/officeDocument/2006/relationships/hyperlink" Target="https://www.genome.jp/entry/R04953" TargetMode="External"/><Relationship Id="rId313" Type="http://schemas.openxmlformats.org/officeDocument/2006/relationships/hyperlink" Target="https://www.genome.jp/entry/3.1.26.12" TargetMode="External"/><Relationship Id="rId758" Type="http://schemas.openxmlformats.org/officeDocument/2006/relationships/hyperlink" Target="https://www.genome.jp/entry/3.6.1.54" TargetMode="External"/><Relationship Id="rId965" Type="http://schemas.openxmlformats.org/officeDocument/2006/relationships/hyperlink" Target="https://www.genome.jp/entry/3.1.3.25" TargetMode="External"/><Relationship Id="rId1150" Type="http://schemas.openxmlformats.org/officeDocument/2006/relationships/hyperlink" Target="https://www.genome.jp/entry/R00571" TargetMode="External"/><Relationship Id="rId1388" Type="http://schemas.openxmlformats.org/officeDocument/2006/relationships/hyperlink" Target="https://www.genome.jp/entry/2.7.1.40" TargetMode="External"/><Relationship Id="rId1595" Type="http://schemas.openxmlformats.org/officeDocument/2006/relationships/hyperlink" Target="https://www.genome.jp/entry/R07605" TargetMode="External"/><Relationship Id="rId1609" Type="http://schemas.openxmlformats.org/officeDocument/2006/relationships/hyperlink" Target="https://www.genome.jp/entry/5.6.2.2" TargetMode="External"/><Relationship Id="rId1816" Type="http://schemas.openxmlformats.org/officeDocument/2006/relationships/hyperlink" Target="https://www.genome.jp/entry/R07766" TargetMode="External"/><Relationship Id="rId10" Type="http://schemas.openxmlformats.org/officeDocument/2006/relationships/hyperlink" Target="https://www.genome.jp/entry/2.7.6.3" TargetMode="External"/><Relationship Id="rId94" Type="http://schemas.openxmlformats.org/officeDocument/2006/relationships/hyperlink" Target="https://www.genome.jp/entry/R02767" TargetMode="External"/><Relationship Id="rId397" Type="http://schemas.openxmlformats.org/officeDocument/2006/relationships/hyperlink" Target="https://www.genome.jp/entry/R03243" TargetMode="External"/><Relationship Id="rId520" Type="http://schemas.openxmlformats.org/officeDocument/2006/relationships/hyperlink" Target="https://www.genome.jp/entry/2.7.1.21" TargetMode="External"/><Relationship Id="rId618" Type="http://schemas.openxmlformats.org/officeDocument/2006/relationships/hyperlink" Target="https://www.genome.jp/entry/R02560" TargetMode="External"/><Relationship Id="rId825" Type="http://schemas.openxmlformats.org/officeDocument/2006/relationships/hyperlink" Target="https://www.genome.jp/entry/1.1.1.267" TargetMode="External"/><Relationship Id="rId1248" Type="http://schemas.openxmlformats.org/officeDocument/2006/relationships/hyperlink" Target="https://www.genome.jp/entry/2.5.1.6" TargetMode="External"/><Relationship Id="rId1455" Type="http://schemas.openxmlformats.org/officeDocument/2006/relationships/hyperlink" Target="https://www.genome.jp/entry/R10208" TargetMode="External"/><Relationship Id="rId1662" Type="http://schemas.openxmlformats.org/officeDocument/2006/relationships/hyperlink" Target="https://www.genome.jp/entry/R11029" TargetMode="External"/><Relationship Id="rId257" Type="http://schemas.openxmlformats.org/officeDocument/2006/relationships/hyperlink" Target="https://www.genome.jp/entry/1.5.1.2" TargetMode="External"/><Relationship Id="rId464" Type="http://schemas.openxmlformats.org/officeDocument/2006/relationships/hyperlink" Target="https://www.genome.jp/entry/2.7.7.6" TargetMode="External"/><Relationship Id="rId1010" Type="http://schemas.openxmlformats.org/officeDocument/2006/relationships/hyperlink" Target="https://www.genome.jp/entry/3.2.1.52" TargetMode="External"/><Relationship Id="rId1094" Type="http://schemas.openxmlformats.org/officeDocument/2006/relationships/hyperlink" Target="https://www.genome.jp/entry/R01641" TargetMode="External"/><Relationship Id="rId1108" Type="http://schemas.openxmlformats.org/officeDocument/2006/relationships/hyperlink" Target="https://www.genome.jp/entry/R02853" TargetMode="External"/><Relationship Id="rId1315" Type="http://schemas.openxmlformats.org/officeDocument/2006/relationships/hyperlink" Target="https://www.genome.jp/entry/6.3.4.4" TargetMode="External"/><Relationship Id="rId117" Type="http://schemas.openxmlformats.org/officeDocument/2006/relationships/hyperlink" Target="https://www.genome.jp/entry/4.1.1.65" TargetMode="External"/><Relationship Id="rId671" Type="http://schemas.openxmlformats.org/officeDocument/2006/relationships/hyperlink" Target="https://www.genome.jp/entry/1.1.5.3" TargetMode="External"/><Relationship Id="rId769" Type="http://schemas.openxmlformats.org/officeDocument/2006/relationships/hyperlink" Target="https://www.genome.jp/entry/R11098" TargetMode="External"/><Relationship Id="rId976" Type="http://schemas.openxmlformats.org/officeDocument/2006/relationships/hyperlink" Target="https://www.genome.jp/entry/R04231" TargetMode="External"/><Relationship Id="rId1399" Type="http://schemas.openxmlformats.org/officeDocument/2006/relationships/hyperlink" Target="https://www.genome.jp/entry/R09543" TargetMode="External"/><Relationship Id="rId324" Type="http://schemas.openxmlformats.org/officeDocument/2006/relationships/hyperlink" Target="https://www.genome.jp/entry/R00768" TargetMode="External"/><Relationship Id="rId531" Type="http://schemas.openxmlformats.org/officeDocument/2006/relationships/hyperlink" Target="https://www.genome.jp/entry/R13420" TargetMode="External"/><Relationship Id="rId629" Type="http://schemas.openxmlformats.org/officeDocument/2006/relationships/hyperlink" Target="https://www.genome.jp/entry/R12885" TargetMode="External"/><Relationship Id="rId1161" Type="http://schemas.openxmlformats.org/officeDocument/2006/relationships/hyperlink" Target="https://www.genome.jp/entry/2.5.1.47" TargetMode="External"/><Relationship Id="rId1259" Type="http://schemas.openxmlformats.org/officeDocument/2006/relationships/hyperlink" Target="https://www.genome.jp/entry/6.5.1.1" TargetMode="External"/><Relationship Id="rId1466" Type="http://schemas.openxmlformats.org/officeDocument/2006/relationships/hyperlink" Target="https://www.genome.jp/entry/4.2.1.59" TargetMode="External"/><Relationship Id="rId836" Type="http://schemas.openxmlformats.org/officeDocument/2006/relationships/hyperlink" Target="https://www.genome.jp/entry/2.7.1.6" TargetMode="External"/><Relationship Id="rId1021" Type="http://schemas.openxmlformats.org/officeDocument/2006/relationships/hyperlink" Target="https://www.genome.jp/entry/R07263" TargetMode="External"/><Relationship Id="rId1119" Type="http://schemas.openxmlformats.org/officeDocument/2006/relationships/hyperlink" Target="https://www.genome.jp/entry/R10208" TargetMode="External"/><Relationship Id="rId1673" Type="http://schemas.openxmlformats.org/officeDocument/2006/relationships/hyperlink" Target="https://www.genome.jp/entry/3.5.1.2" TargetMode="External"/><Relationship Id="rId903" Type="http://schemas.openxmlformats.org/officeDocument/2006/relationships/hyperlink" Target="https://www.genome.jp/entry/R02326" TargetMode="External"/><Relationship Id="rId1326" Type="http://schemas.openxmlformats.org/officeDocument/2006/relationships/hyperlink" Target="https://www.genome.jp/entry/R04951" TargetMode="External"/><Relationship Id="rId1533" Type="http://schemas.openxmlformats.org/officeDocument/2006/relationships/hyperlink" Target="https://www.genome.jp/entry/R04325" TargetMode="External"/><Relationship Id="rId1740" Type="http://schemas.openxmlformats.org/officeDocument/2006/relationships/hyperlink" Target="https://www.genome.jp/entry/R02628" TargetMode="External"/><Relationship Id="rId32" Type="http://schemas.openxmlformats.org/officeDocument/2006/relationships/hyperlink" Target="https://www.genome.jp/entry/4.2.3.1" TargetMode="External"/><Relationship Id="rId1600" Type="http://schemas.openxmlformats.org/officeDocument/2006/relationships/hyperlink" Target="https://www.genome.jp/entry/5.4.99.25" TargetMode="External"/><Relationship Id="rId181" Type="http://schemas.openxmlformats.org/officeDocument/2006/relationships/hyperlink" Target="https://www.genome.jp/entry/R01230" TargetMode="External"/><Relationship Id="rId279" Type="http://schemas.openxmlformats.org/officeDocument/2006/relationships/hyperlink" Target="https://www.genome.jp/entry/R11319" TargetMode="External"/><Relationship Id="rId486" Type="http://schemas.openxmlformats.org/officeDocument/2006/relationships/hyperlink" Target="https://www.genome.jp/entry/2.4.2.1" TargetMode="External"/><Relationship Id="rId693" Type="http://schemas.openxmlformats.org/officeDocument/2006/relationships/hyperlink" Target="https://www.genome.jp/entry/5.4.99.27" TargetMode="External"/><Relationship Id="rId139" Type="http://schemas.openxmlformats.org/officeDocument/2006/relationships/hyperlink" Target="https://www.genome.jp/entry/1.4.1.4" TargetMode="External"/><Relationship Id="rId346" Type="http://schemas.openxmlformats.org/officeDocument/2006/relationships/hyperlink" Target="https://www.genome.jp/entry/R00378" TargetMode="External"/><Relationship Id="rId553" Type="http://schemas.openxmlformats.org/officeDocument/2006/relationships/hyperlink" Target="https://www.genome.jp/entry/R13421" TargetMode="External"/><Relationship Id="rId760" Type="http://schemas.openxmlformats.org/officeDocument/2006/relationships/hyperlink" Target="https://www.genome.jp/entry/4.2.1.9" TargetMode="External"/><Relationship Id="rId998" Type="http://schemas.openxmlformats.org/officeDocument/2006/relationships/hyperlink" Target="https://www.genome.jp/entry/3.2.1.52" TargetMode="External"/><Relationship Id="rId1183" Type="http://schemas.openxmlformats.org/officeDocument/2006/relationships/hyperlink" Target="https://www.genome.jp/entry/2.2.1.2" TargetMode="External"/><Relationship Id="rId1390" Type="http://schemas.openxmlformats.org/officeDocument/2006/relationships/hyperlink" Target="https://www.genome.jp/entry/2.5.1.55" TargetMode="External"/><Relationship Id="rId206" Type="http://schemas.openxmlformats.org/officeDocument/2006/relationships/hyperlink" Target="https://www.genome.jp/entry/2.7.1.166" TargetMode="External"/><Relationship Id="rId413" Type="http://schemas.openxmlformats.org/officeDocument/2006/relationships/hyperlink" Target="https://www.genome.jp/entry/R04640" TargetMode="External"/><Relationship Id="rId858" Type="http://schemas.openxmlformats.org/officeDocument/2006/relationships/hyperlink" Target="https://www.genome.jp/entry/2.7.7.7" TargetMode="External"/><Relationship Id="rId1043" Type="http://schemas.openxmlformats.org/officeDocument/2006/relationships/hyperlink" Target="https://www.genome.jp/entry/R03236" TargetMode="External"/><Relationship Id="rId1488" Type="http://schemas.openxmlformats.org/officeDocument/2006/relationships/hyperlink" Target="https://www.genome.jp/entry/3.5.4.16" TargetMode="External"/><Relationship Id="rId1695" Type="http://schemas.openxmlformats.org/officeDocument/2006/relationships/hyperlink" Target="https://www.genome.jp/entry/R02019" TargetMode="External"/><Relationship Id="rId620" Type="http://schemas.openxmlformats.org/officeDocument/2006/relationships/hyperlink" Target="https://www.genome.jp/entry/R02291" TargetMode="External"/><Relationship Id="rId718" Type="http://schemas.openxmlformats.org/officeDocument/2006/relationships/hyperlink" Target="https://www.genome.jp/entry/4.6.1.1" TargetMode="External"/><Relationship Id="rId925" Type="http://schemas.openxmlformats.org/officeDocument/2006/relationships/hyperlink" Target="https://www.genome.jp/entry/R00239" TargetMode="External"/><Relationship Id="rId1250" Type="http://schemas.openxmlformats.org/officeDocument/2006/relationships/hyperlink" Target="https://www.genome.jp/entry/7.4.2.1" TargetMode="External"/><Relationship Id="rId1348" Type="http://schemas.openxmlformats.org/officeDocument/2006/relationships/hyperlink" Target="https://www.genome.jp/entry/R00226" TargetMode="External"/><Relationship Id="rId1555" Type="http://schemas.openxmlformats.org/officeDocument/2006/relationships/hyperlink" Target="https://www.genome.jp/entry/R00985" TargetMode="External"/><Relationship Id="rId1762" Type="http://schemas.openxmlformats.org/officeDocument/2006/relationships/hyperlink" Target="https://www.genome.jp/entry/2.7.7.6" TargetMode="External"/><Relationship Id="rId1110" Type="http://schemas.openxmlformats.org/officeDocument/2006/relationships/hyperlink" Target="https://www.genome.jp/entry/R09501" TargetMode="External"/><Relationship Id="rId1208" Type="http://schemas.openxmlformats.org/officeDocument/2006/relationships/hyperlink" Target="https://www.genome.jp/entry/6.3.2.8" TargetMode="External"/><Relationship Id="rId1415" Type="http://schemas.openxmlformats.org/officeDocument/2006/relationships/hyperlink" Target="https://www.genome.jp/entry/R04952" TargetMode="External"/><Relationship Id="rId54" Type="http://schemas.openxmlformats.org/officeDocument/2006/relationships/hyperlink" Target="https://www.genome.jp/entry/R10901" TargetMode="External"/><Relationship Id="rId1622" Type="http://schemas.openxmlformats.org/officeDocument/2006/relationships/hyperlink" Target="https://www.genome.jp/entry/6.3.2.17" TargetMode="External"/><Relationship Id="rId270" Type="http://schemas.openxmlformats.org/officeDocument/2006/relationships/hyperlink" Target="https://www.genome.jp/entry/2.7.7.75" TargetMode="External"/><Relationship Id="rId130" Type="http://schemas.openxmlformats.org/officeDocument/2006/relationships/hyperlink" Target="https://www.genome.jp/entry/R04710" TargetMode="External"/><Relationship Id="rId368" Type="http://schemas.openxmlformats.org/officeDocument/2006/relationships/hyperlink" Target="https://www.genome.jp/entry/R11323" TargetMode="External"/><Relationship Id="rId575" Type="http://schemas.openxmlformats.org/officeDocument/2006/relationships/hyperlink" Target="https://www.genome.jp/entry/R01529" TargetMode="External"/><Relationship Id="rId782" Type="http://schemas.openxmlformats.org/officeDocument/2006/relationships/hyperlink" Target="https://www.genome.jp/entry/2.7.7.7" TargetMode="External"/><Relationship Id="rId228" Type="http://schemas.openxmlformats.org/officeDocument/2006/relationships/hyperlink" Target="https://www.genome.jp/entry/R01876" TargetMode="External"/><Relationship Id="rId435" Type="http://schemas.openxmlformats.org/officeDocument/2006/relationships/hyperlink" Target="https://www.genome.jp/entry/R00086" TargetMode="External"/><Relationship Id="rId642" Type="http://schemas.openxmlformats.org/officeDocument/2006/relationships/hyperlink" Target="https://www.genome.jp/entry/R02142" TargetMode="External"/><Relationship Id="rId1065" Type="http://schemas.openxmlformats.org/officeDocument/2006/relationships/hyperlink" Target="https://www.genome.jp/entry/R10170" TargetMode="External"/><Relationship Id="rId1272" Type="http://schemas.openxmlformats.org/officeDocument/2006/relationships/hyperlink" Target="https://www.genome.jp/entry/2.6.1.42" TargetMode="External"/><Relationship Id="rId502" Type="http://schemas.openxmlformats.org/officeDocument/2006/relationships/hyperlink" Target="https://www.genome.jp/entry/2.4.2.1" TargetMode="External"/><Relationship Id="rId947" Type="http://schemas.openxmlformats.org/officeDocument/2006/relationships/hyperlink" Target="https://www.genome.jp/entry/2.7.7.7" TargetMode="External"/><Relationship Id="rId1132" Type="http://schemas.openxmlformats.org/officeDocument/2006/relationships/hyperlink" Target="https://www.genome.jp/entry/4.2.1.59" TargetMode="External"/><Relationship Id="rId1577" Type="http://schemas.openxmlformats.org/officeDocument/2006/relationships/hyperlink" Target="https://www.genome.jp/entry/2.4.1.21" TargetMode="External"/><Relationship Id="rId1784" Type="http://schemas.openxmlformats.org/officeDocument/2006/relationships/hyperlink" Target="https://www.genome.jp/entry/2.7.7.7" TargetMode="External"/><Relationship Id="rId76" Type="http://schemas.openxmlformats.org/officeDocument/2006/relationships/hyperlink" Target="https://www.genome.jp/entry/2.7.7.7" TargetMode="External"/><Relationship Id="rId807" Type="http://schemas.openxmlformats.org/officeDocument/2006/relationships/hyperlink" Target="https://www.genome.jp/entry/R03005" TargetMode="External"/><Relationship Id="rId1437" Type="http://schemas.openxmlformats.org/officeDocument/2006/relationships/hyperlink" Target="https://www.genome.jp/entry/R03648" TargetMode="External"/><Relationship Id="rId1644" Type="http://schemas.openxmlformats.org/officeDocument/2006/relationships/hyperlink" Target="https://www.genome.jp/entry/R07618" TargetMode="External"/><Relationship Id="rId1504" Type="http://schemas.openxmlformats.org/officeDocument/2006/relationships/hyperlink" Target="https://www.genome.jp/entry/1.5.1.20" TargetMode="External"/><Relationship Id="rId1711" Type="http://schemas.openxmlformats.org/officeDocument/2006/relationships/hyperlink" Target="https://www.genome.jp/entry/R00621" TargetMode="External"/><Relationship Id="rId292" Type="http://schemas.openxmlformats.org/officeDocument/2006/relationships/hyperlink" Target="https://www.genome.jp/entry/R07460" TargetMode="External"/><Relationship Id="rId1809" Type="http://schemas.openxmlformats.org/officeDocument/2006/relationships/hyperlink" Target="https://www.genome.jp/entry/2.8.1.8" TargetMode="External"/><Relationship Id="rId597" Type="http://schemas.openxmlformats.org/officeDocument/2006/relationships/hyperlink" Target="https://www.genome.jp/entry/3.4.13.21" TargetMode="External"/><Relationship Id="rId152" Type="http://schemas.openxmlformats.org/officeDocument/2006/relationships/hyperlink" Target="https://www.genome.jp/entry/R12197" TargetMode="External"/><Relationship Id="rId457" Type="http://schemas.openxmlformats.org/officeDocument/2006/relationships/hyperlink" Target="https://www.genome.jp/entry/R08247" TargetMode="External"/><Relationship Id="rId1087" Type="http://schemas.openxmlformats.org/officeDocument/2006/relationships/hyperlink" Target="https://www.genome.jp/entry/R05884" TargetMode="External"/><Relationship Id="rId1294" Type="http://schemas.openxmlformats.org/officeDocument/2006/relationships/hyperlink" Target="https://www.genome.jp/entry/6.1.1.6" TargetMode="External"/><Relationship Id="rId664" Type="http://schemas.openxmlformats.org/officeDocument/2006/relationships/hyperlink" Target="https://www.genome.jp/entry/R08657" TargetMode="External"/><Relationship Id="rId871" Type="http://schemas.openxmlformats.org/officeDocument/2006/relationships/hyperlink" Target="https://www.genome.jp/entry/R01710" TargetMode="External"/><Relationship Id="rId969" Type="http://schemas.openxmlformats.org/officeDocument/2006/relationships/hyperlink" Target="https://www.genome.jp/entry/4.1.1.86" TargetMode="External"/><Relationship Id="rId1599" Type="http://schemas.openxmlformats.org/officeDocument/2006/relationships/hyperlink" Target="https://www.genome.jp/entry/R01715" TargetMode="External"/><Relationship Id="rId317" Type="http://schemas.openxmlformats.org/officeDocument/2006/relationships/hyperlink" Target="https://www.genome.jp/entry/R03471" TargetMode="External"/><Relationship Id="rId524" Type="http://schemas.openxmlformats.org/officeDocument/2006/relationships/hyperlink" Target="https://www.genome.jp/entry/2.3.1.234" TargetMode="External"/><Relationship Id="rId731" Type="http://schemas.openxmlformats.org/officeDocument/2006/relationships/hyperlink" Target="https://www.genome.jp/entry/R02262" TargetMode="External"/><Relationship Id="rId1154" Type="http://schemas.openxmlformats.org/officeDocument/2006/relationships/hyperlink" Target="https://www.genome.jp/entry/R00660" TargetMode="External"/><Relationship Id="rId1361" Type="http://schemas.openxmlformats.org/officeDocument/2006/relationships/hyperlink" Target="https://www.genome.jp/entry/5.3.1.9" TargetMode="External"/><Relationship Id="rId1459" Type="http://schemas.openxmlformats.org/officeDocument/2006/relationships/hyperlink" Target="https://www.genome.jp/entry/R04535" TargetMode="External"/><Relationship Id="rId98" Type="http://schemas.openxmlformats.org/officeDocument/2006/relationships/hyperlink" Target="https://www.genome.jp/entry/R04534" TargetMode="External"/><Relationship Id="rId829" Type="http://schemas.openxmlformats.org/officeDocument/2006/relationships/hyperlink" Target="https://www.genome.jp/entry/4.3.2.1" TargetMode="External"/><Relationship Id="rId1014" Type="http://schemas.openxmlformats.org/officeDocument/2006/relationships/hyperlink" Target="https://www.genome.jp/entry/2.7.1.26" TargetMode="External"/><Relationship Id="rId1221" Type="http://schemas.openxmlformats.org/officeDocument/2006/relationships/hyperlink" Target="https://www.genome.jp/entry/1.8.1.9" TargetMode="External"/><Relationship Id="rId1666" Type="http://schemas.openxmlformats.org/officeDocument/2006/relationships/hyperlink" Target="https://www.genome.jp/entry/R00965" TargetMode="External"/><Relationship Id="rId1319" Type="http://schemas.openxmlformats.org/officeDocument/2006/relationships/hyperlink" Target="https://www.genome.jp/entry/4.1.1.21" TargetMode="External"/><Relationship Id="rId1526" Type="http://schemas.openxmlformats.org/officeDocument/2006/relationships/hyperlink" Target="https://www.genome.jp/entry/4.2.1.20" TargetMode="External"/><Relationship Id="rId1733" Type="http://schemas.openxmlformats.org/officeDocument/2006/relationships/hyperlink" Target="https://www.genome.jp/entry/R00899" TargetMode="External"/><Relationship Id="rId25" Type="http://schemas.openxmlformats.org/officeDocument/2006/relationships/hyperlink" Target="https://www.genome.jp/entry/R02022" TargetMode="External"/><Relationship Id="rId1800" Type="http://schemas.openxmlformats.org/officeDocument/2006/relationships/hyperlink" Target="https://www.genome.jp/entry/R00362" TargetMode="External"/><Relationship Id="rId174" Type="http://schemas.openxmlformats.org/officeDocument/2006/relationships/hyperlink" Target="https://www.genome.jp/entry/1.1.1.205" TargetMode="External"/><Relationship Id="rId381" Type="http://schemas.openxmlformats.org/officeDocument/2006/relationships/hyperlink" Target="https://www.genome.jp/entry/R01056" TargetMode="External"/><Relationship Id="rId241" Type="http://schemas.openxmlformats.org/officeDocument/2006/relationships/hyperlink" Target="https://www.genome.jp/entry/4.3.1.17" TargetMode="External"/><Relationship Id="rId479" Type="http://schemas.openxmlformats.org/officeDocument/2006/relationships/hyperlink" Target="https://www.genome.jp/entry/R00441" TargetMode="External"/><Relationship Id="rId686" Type="http://schemas.openxmlformats.org/officeDocument/2006/relationships/hyperlink" Target="https://www.genome.jp/entry/R00847" TargetMode="External"/><Relationship Id="rId893" Type="http://schemas.openxmlformats.org/officeDocument/2006/relationships/hyperlink" Target="https://www.genome.jp/entry/R00570" TargetMode="External"/><Relationship Id="rId339" Type="http://schemas.openxmlformats.org/officeDocument/2006/relationships/hyperlink" Target="https://www.genome.jp/entry/2.7.7.7" TargetMode="External"/><Relationship Id="rId546" Type="http://schemas.openxmlformats.org/officeDocument/2006/relationships/hyperlink" Target="https://www.genome.jp/entry/3.5.1.5" TargetMode="External"/><Relationship Id="rId753" Type="http://schemas.openxmlformats.org/officeDocument/2006/relationships/hyperlink" Target="https://www.genome.jp/entry/R02241" TargetMode="External"/><Relationship Id="rId1176" Type="http://schemas.openxmlformats.org/officeDocument/2006/relationships/hyperlink" Target="https://www.genome.jp/entry/R01639" TargetMode="External"/><Relationship Id="rId1383" Type="http://schemas.openxmlformats.org/officeDocument/2006/relationships/hyperlink" Target="https://www.genome.jp/entry/R00724" TargetMode="External"/><Relationship Id="rId101" Type="http://schemas.openxmlformats.org/officeDocument/2006/relationships/hyperlink" Target="https://www.genome.jp/entry/1.1.1.100" TargetMode="External"/><Relationship Id="rId406" Type="http://schemas.openxmlformats.org/officeDocument/2006/relationships/hyperlink" Target="https://www.genome.jp/entry/4.3.2.10" TargetMode="External"/><Relationship Id="rId960" Type="http://schemas.openxmlformats.org/officeDocument/2006/relationships/hyperlink" Target="https://www.genome.jp/entry/R07343" TargetMode="External"/><Relationship Id="rId1036" Type="http://schemas.openxmlformats.org/officeDocument/2006/relationships/hyperlink" Target="https://www.genome.jp/entry/2.7.1.11" TargetMode="External"/><Relationship Id="rId1243" Type="http://schemas.openxmlformats.org/officeDocument/2006/relationships/hyperlink" Target="https://www.genome.jp/entry/R01716" TargetMode="External"/><Relationship Id="rId1590" Type="http://schemas.openxmlformats.org/officeDocument/2006/relationships/hyperlink" Target="https://www.genome.jp/entry/R02485" TargetMode="External"/><Relationship Id="rId1688" Type="http://schemas.openxmlformats.org/officeDocument/2006/relationships/hyperlink" Target="https://www.genome.jp/entry/1.17.4.1" TargetMode="External"/><Relationship Id="rId613" Type="http://schemas.openxmlformats.org/officeDocument/2006/relationships/hyperlink" Target="https://www.genome.jp/entry/4.3.2.2" TargetMode="External"/><Relationship Id="rId820" Type="http://schemas.openxmlformats.org/officeDocument/2006/relationships/hyperlink" Target="https://www.genome.jp/entry/R00442" TargetMode="External"/><Relationship Id="rId918" Type="http://schemas.openxmlformats.org/officeDocument/2006/relationships/hyperlink" Target="https://www.genome.jp/entry/3.5.4.10" TargetMode="External"/><Relationship Id="rId1450" Type="http://schemas.openxmlformats.org/officeDocument/2006/relationships/hyperlink" Target="https://www.genome.jp/entry/6.1.1.20" TargetMode="External"/><Relationship Id="rId1548" Type="http://schemas.openxmlformats.org/officeDocument/2006/relationships/hyperlink" Target="https://www.genome.jp/entry/5.3.1.24" TargetMode="External"/><Relationship Id="rId1755" Type="http://schemas.openxmlformats.org/officeDocument/2006/relationships/hyperlink" Target="https://www.genome.jp/entry/R00429" TargetMode="External"/><Relationship Id="rId1103" Type="http://schemas.openxmlformats.org/officeDocument/2006/relationships/hyperlink" Target="https://www.genome.jp/entry/2.2.1.1" TargetMode="External"/><Relationship Id="rId1310" Type="http://schemas.openxmlformats.org/officeDocument/2006/relationships/hyperlink" Target="https://www.genome.jp/entry/R03020" TargetMode="External"/><Relationship Id="rId1408" Type="http://schemas.openxmlformats.org/officeDocument/2006/relationships/hyperlink" Target="https://www.genome.jp/entry/2.3.1.41" TargetMode="External"/><Relationship Id="rId47" Type="http://schemas.openxmlformats.org/officeDocument/2006/relationships/hyperlink" Target="https://www.genome.jp/entry/R03662" TargetMode="External"/><Relationship Id="rId1615" Type="http://schemas.openxmlformats.org/officeDocument/2006/relationships/hyperlink" Target="https://www.genome.jp/entry/R01654" TargetMode="External"/><Relationship Id="rId1822" Type="http://schemas.openxmlformats.org/officeDocument/2006/relationships/hyperlink" Target="https://www.genome.jp/entry/R07769" TargetMode="External"/><Relationship Id="rId196" Type="http://schemas.openxmlformats.org/officeDocument/2006/relationships/hyperlink" Target="https://www.genome.jp/entry/1.20.4.1" TargetMode="External"/><Relationship Id="rId263" Type="http://schemas.openxmlformats.org/officeDocument/2006/relationships/hyperlink" Target="https://www.genome.jp/entry/6.1.1.12" TargetMode="External"/><Relationship Id="rId470" Type="http://schemas.openxmlformats.org/officeDocument/2006/relationships/hyperlink" Target="https://www.genome.jp/entry/2.7.7.6" TargetMode="External"/><Relationship Id="rId123" Type="http://schemas.openxmlformats.org/officeDocument/2006/relationships/hyperlink" Target="https://www.genome.jp/entry/7.2.1.1" TargetMode="External"/><Relationship Id="rId330" Type="http://schemas.openxmlformats.org/officeDocument/2006/relationships/hyperlink" Target="https://www.genome.jp/entry/R03004" TargetMode="External"/><Relationship Id="rId568" Type="http://schemas.openxmlformats.org/officeDocument/2006/relationships/hyperlink" Target="https://www.genome.jp/entry/3.1.3.7" TargetMode="External"/><Relationship Id="rId775" Type="http://schemas.openxmlformats.org/officeDocument/2006/relationships/hyperlink" Target="https://www.genome.jp/entry/R06131" TargetMode="External"/><Relationship Id="rId982" Type="http://schemas.openxmlformats.org/officeDocument/2006/relationships/hyperlink" Target="https://www.genome.jp/entry/3.2.1.52" TargetMode="External"/><Relationship Id="rId1198" Type="http://schemas.openxmlformats.org/officeDocument/2006/relationships/hyperlink" Target="https://www.genome.jp/entry/2.4.1.227" TargetMode="External"/><Relationship Id="rId428" Type="http://schemas.openxmlformats.org/officeDocument/2006/relationships/hyperlink" Target="https://www.genome.jp/entry/7.1.2.2" TargetMode="External"/><Relationship Id="rId635" Type="http://schemas.openxmlformats.org/officeDocument/2006/relationships/hyperlink" Target="https://www.genome.jp/entry/R01845" TargetMode="External"/><Relationship Id="rId842" Type="http://schemas.openxmlformats.org/officeDocument/2006/relationships/hyperlink" Target="https://www.genome.jp/entry/1.3.5.4" TargetMode="External"/><Relationship Id="rId1058" Type="http://schemas.openxmlformats.org/officeDocument/2006/relationships/hyperlink" Target="https://www.genome.jp/entry/1.1.1.85" TargetMode="External"/><Relationship Id="rId1265" Type="http://schemas.openxmlformats.org/officeDocument/2006/relationships/hyperlink" Target="https://www.genome.jp/entry/R09978" TargetMode="External"/><Relationship Id="rId1472" Type="http://schemas.openxmlformats.org/officeDocument/2006/relationships/hyperlink" Target="https://www.genome.jp/entry/4.2.1.59" TargetMode="External"/><Relationship Id="rId702" Type="http://schemas.openxmlformats.org/officeDocument/2006/relationships/hyperlink" Target="https://www.genome.jp/entry/3.1.3.6" TargetMode="External"/><Relationship Id="rId1125" Type="http://schemas.openxmlformats.org/officeDocument/2006/relationships/hyperlink" Target="https://www.genome.jp/entry/R04537" TargetMode="External"/><Relationship Id="rId1332" Type="http://schemas.openxmlformats.org/officeDocument/2006/relationships/hyperlink" Target="https://www.genome.jp/entry/R05634" TargetMode="External"/><Relationship Id="rId1777" Type="http://schemas.openxmlformats.org/officeDocument/2006/relationships/hyperlink" Target="https://www.genome.jp/entry/R04316" TargetMode="External"/><Relationship Id="rId69" Type="http://schemas.openxmlformats.org/officeDocument/2006/relationships/hyperlink" Target="https://www.genome.jp/entry/R08232" TargetMode="External"/><Relationship Id="rId1637" Type="http://schemas.openxmlformats.org/officeDocument/2006/relationships/hyperlink" Target="https://www.genome.jp/entry/2.3.1.12" TargetMode="External"/><Relationship Id="rId1704" Type="http://schemas.openxmlformats.org/officeDocument/2006/relationships/hyperlink" Target="https://www.genome.jp/entry/2.3.1.61" TargetMode="External"/><Relationship Id="rId285" Type="http://schemas.openxmlformats.org/officeDocument/2006/relationships/hyperlink" Target="https://www.genome.jp/entry/R02984" TargetMode="External"/><Relationship Id="rId492" Type="http://schemas.openxmlformats.org/officeDocument/2006/relationships/hyperlink" Target="https://www.genome.jp/entry/2.4.2.1" TargetMode="External"/><Relationship Id="rId797" Type="http://schemas.openxmlformats.org/officeDocument/2006/relationships/hyperlink" Target="https://www.genome.jp/entry/6.3.5.3" TargetMode="External"/><Relationship Id="rId145" Type="http://schemas.openxmlformats.org/officeDocument/2006/relationships/hyperlink" Target="https://www.genome.jp/entry/6.2.1.26" TargetMode="External"/><Relationship Id="rId352" Type="http://schemas.openxmlformats.org/officeDocument/2006/relationships/hyperlink" Target="https://www.genome.jp/entry/R02098" TargetMode="External"/><Relationship Id="rId1287" Type="http://schemas.openxmlformats.org/officeDocument/2006/relationships/hyperlink" Target="https://www.genome.jp/entry/R00230" TargetMode="External"/><Relationship Id="rId212" Type="http://schemas.openxmlformats.org/officeDocument/2006/relationships/hyperlink" Target="https://www.genome.jp/entry/2.3.1.15" TargetMode="External"/><Relationship Id="rId657" Type="http://schemas.openxmlformats.org/officeDocument/2006/relationships/hyperlink" Target="https://www.genome.jp/entry/1.1.1.86" TargetMode="External"/><Relationship Id="rId864" Type="http://schemas.openxmlformats.org/officeDocument/2006/relationships/hyperlink" Target="https://www.genome.jp/entry/2.1.1.185" TargetMode="External"/><Relationship Id="rId1494" Type="http://schemas.openxmlformats.org/officeDocument/2006/relationships/hyperlink" Target="https://www.genome.jp/entry/3.5.4.16" TargetMode="External"/><Relationship Id="rId1799" Type="http://schemas.openxmlformats.org/officeDocument/2006/relationships/hyperlink" Target="https://www.genome.jp/entry/4.1.3.6" TargetMode="External"/><Relationship Id="rId517" Type="http://schemas.openxmlformats.org/officeDocument/2006/relationships/hyperlink" Target="https://www.genome.jp/entry/R01512" TargetMode="External"/><Relationship Id="rId724" Type="http://schemas.openxmlformats.org/officeDocument/2006/relationships/hyperlink" Target="https://www.genome.jp/entry/2.3.1.30" TargetMode="External"/><Relationship Id="rId931" Type="http://schemas.openxmlformats.org/officeDocument/2006/relationships/hyperlink" Target="https://www.genome.jp/entry/2.3.1.191" TargetMode="External"/><Relationship Id="rId1147" Type="http://schemas.openxmlformats.org/officeDocument/2006/relationships/hyperlink" Target="https://www.genome.jp/entry/6.3.4.2" TargetMode="External"/><Relationship Id="rId1354" Type="http://schemas.openxmlformats.org/officeDocument/2006/relationships/hyperlink" Target="https://www.genome.jp/entry/R04672" TargetMode="External"/><Relationship Id="rId1561" Type="http://schemas.openxmlformats.org/officeDocument/2006/relationships/hyperlink" Target="https://www.genome.jp/entry/R13252" TargetMode="External"/><Relationship Id="rId60" Type="http://schemas.openxmlformats.org/officeDocument/2006/relationships/hyperlink" Target="https://www.genome.jp/entry/2.7.1.48" TargetMode="External"/><Relationship Id="rId1007" Type="http://schemas.openxmlformats.org/officeDocument/2006/relationships/hyperlink" Target="https://www.genome.jp/entry/R11316" TargetMode="External"/><Relationship Id="rId1214" Type="http://schemas.openxmlformats.org/officeDocument/2006/relationships/hyperlink" Target="https://www.genome.jp/entry/4.2.1.51" TargetMode="External"/><Relationship Id="rId1421" Type="http://schemas.openxmlformats.org/officeDocument/2006/relationships/hyperlink" Target="https://www.genome.jp/entry/R04963" TargetMode="External"/><Relationship Id="rId1659" Type="http://schemas.openxmlformats.org/officeDocument/2006/relationships/hyperlink" Target="https://www.genome.jp/entry/2.7.7.7" TargetMode="External"/><Relationship Id="rId1519" Type="http://schemas.openxmlformats.org/officeDocument/2006/relationships/hyperlink" Target="https://www.genome.jp/entry/R00674" TargetMode="External"/><Relationship Id="rId1726" Type="http://schemas.openxmlformats.org/officeDocument/2006/relationships/hyperlink" Target="https://www.genome.jp/entry/2.1.1.14" TargetMode="External"/><Relationship Id="rId18" Type="http://schemas.openxmlformats.org/officeDocument/2006/relationships/hyperlink" Target="https://www.genome.jp/entry/1.17.4.2" TargetMode="External"/><Relationship Id="rId167" Type="http://schemas.openxmlformats.org/officeDocument/2006/relationships/hyperlink" Target="https://www.genome.jp/entry/R02961" TargetMode="External"/><Relationship Id="rId374" Type="http://schemas.openxmlformats.org/officeDocument/2006/relationships/hyperlink" Target="https://www.genome.jp/entry/R00287" TargetMode="External"/><Relationship Id="rId581" Type="http://schemas.openxmlformats.org/officeDocument/2006/relationships/hyperlink" Target="https://www.genome.jp/entry/2.1.1.176" TargetMode="External"/><Relationship Id="rId234" Type="http://schemas.openxmlformats.org/officeDocument/2006/relationships/hyperlink" Target="https://www.genome.jp/entry/R08166" TargetMode="External"/><Relationship Id="rId679" Type="http://schemas.openxmlformats.org/officeDocument/2006/relationships/hyperlink" Target="https://www.genome.jp/entry/3.1.4.46" TargetMode="External"/><Relationship Id="rId886" Type="http://schemas.openxmlformats.org/officeDocument/2006/relationships/hyperlink" Target="https://www.genome.jp/entry/2.7.4.6" TargetMode="External"/><Relationship Id="rId2" Type="http://schemas.openxmlformats.org/officeDocument/2006/relationships/hyperlink" Target="https://www.genome.jp/entry/R05606" TargetMode="External"/><Relationship Id="rId441" Type="http://schemas.openxmlformats.org/officeDocument/2006/relationships/hyperlink" Target="https://www.genome.jp/entry/4.4.1.21" TargetMode="External"/><Relationship Id="rId539" Type="http://schemas.openxmlformats.org/officeDocument/2006/relationships/hyperlink" Target="https://www.genome.jp/entry/R12185" TargetMode="External"/><Relationship Id="rId746" Type="http://schemas.openxmlformats.org/officeDocument/2006/relationships/hyperlink" Target="https://www.genome.jp/entry/R05647" TargetMode="External"/><Relationship Id="rId1071" Type="http://schemas.openxmlformats.org/officeDocument/2006/relationships/hyperlink" Target="https://www.genome.jp/entry/R10170" TargetMode="External"/><Relationship Id="rId1169" Type="http://schemas.openxmlformats.org/officeDocument/2006/relationships/hyperlink" Target="https://www.genome.jp/entry/5.3.1.5" TargetMode="External"/><Relationship Id="rId1376" Type="http://schemas.openxmlformats.org/officeDocument/2006/relationships/hyperlink" Target="https://www.genome.jp/entry/2.7.1.40" TargetMode="External"/><Relationship Id="rId1583" Type="http://schemas.openxmlformats.org/officeDocument/2006/relationships/hyperlink" Target="https://www.genome.jp/entry/2.4.1.18" TargetMode="External"/><Relationship Id="rId301" Type="http://schemas.openxmlformats.org/officeDocument/2006/relationships/hyperlink" Target="https://www.genome.jp/entry/R00390" TargetMode="External"/><Relationship Id="rId953" Type="http://schemas.openxmlformats.org/officeDocument/2006/relationships/hyperlink" Target="https://www.genome.jp/entry/6.1.1.14" TargetMode="External"/><Relationship Id="rId1029" Type="http://schemas.openxmlformats.org/officeDocument/2006/relationships/hyperlink" Target="https://www.genome.jp/entry/R04385" TargetMode="External"/><Relationship Id="rId1236" Type="http://schemas.openxmlformats.org/officeDocument/2006/relationships/hyperlink" Target="https://www.genome.jp/entry/2.6.1.52" TargetMode="External"/><Relationship Id="rId1790" Type="http://schemas.openxmlformats.org/officeDocument/2006/relationships/hyperlink" Target="https://www.genome.jp/entry/2.1.1.172" TargetMode="External"/><Relationship Id="rId82" Type="http://schemas.openxmlformats.org/officeDocument/2006/relationships/hyperlink" Target="https://www.genome.jp/entry/2.7.7.7" TargetMode="External"/><Relationship Id="rId606" Type="http://schemas.openxmlformats.org/officeDocument/2006/relationships/hyperlink" Target="https://www.genome.jp/entry/3.1.4.16" TargetMode="External"/><Relationship Id="rId813" Type="http://schemas.openxmlformats.org/officeDocument/2006/relationships/hyperlink" Target="https://www.genome.jp/entry/2.7.7.6" TargetMode="External"/><Relationship Id="rId1443" Type="http://schemas.openxmlformats.org/officeDocument/2006/relationships/hyperlink" Target="https://www.genome.jp/entry/R02029" TargetMode="External"/><Relationship Id="rId1650" Type="http://schemas.openxmlformats.org/officeDocument/2006/relationships/hyperlink" Target="https://www.genome.jp/entry/R04378" TargetMode="External"/><Relationship Id="rId1748" Type="http://schemas.openxmlformats.org/officeDocument/2006/relationships/hyperlink" Target="https://www.genome.jp/entry/3.5.2.99" TargetMode="External"/><Relationship Id="rId1303" Type="http://schemas.openxmlformats.org/officeDocument/2006/relationships/hyperlink" Target="https://www.genome.jp/entry/3.1.3.11" TargetMode="External"/><Relationship Id="rId1510" Type="http://schemas.openxmlformats.org/officeDocument/2006/relationships/hyperlink" Target="https://www.genome.jp/entry/2.5.1.10" TargetMode="External"/><Relationship Id="rId1608" Type="http://schemas.openxmlformats.org/officeDocument/2006/relationships/hyperlink" Target="https://www.genome.jp/entry/R01736" TargetMode="External"/><Relationship Id="rId1815" Type="http://schemas.openxmlformats.org/officeDocument/2006/relationships/hyperlink" Target="https://www.genome.jp/entry/2.3.1.181" TargetMode="External"/><Relationship Id="rId189" Type="http://schemas.openxmlformats.org/officeDocument/2006/relationships/hyperlink" Target="https://www.genome.jp/entry/R00437" TargetMode="External"/><Relationship Id="rId396" Type="http://schemas.openxmlformats.org/officeDocument/2006/relationships/hyperlink" Target="https://www.genome.jp/entry/2.6.1.9" TargetMode="External"/><Relationship Id="rId256" Type="http://schemas.openxmlformats.org/officeDocument/2006/relationships/hyperlink" Target="https://www.genome.jp/entry/R03291" TargetMode="External"/><Relationship Id="rId463" Type="http://schemas.openxmlformats.org/officeDocument/2006/relationships/hyperlink" Target="https://www.genome.jp/entry/R00444" TargetMode="External"/><Relationship Id="rId670" Type="http://schemas.openxmlformats.org/officeDocument/2006/relationships/hyperlink" Target="https://www.genome.jp/entry/R08657" TargetMode="External"/><Relationship Id="rId1093" Type="http://schemas.openxmlformats.org/officeDocument/2006/relationships/hyperlink" Target="https://www.genome.jp/entry/2.2.1.1" TargetMode="External"/><Relationship Id="rId116" Type="http://schemas.openxmlformats.org/officeDocument/2006/relationships/hyperlink" Target="https://www.genome.jp/entry/R01626" TargetMode="External"/><Relationship Id="rId323" Type="http://schemas.openxmlformats.org/officeDocument/2006/relationships/hyperlink" Target="https://www.genome.jp/entry/2.6.1.16" TargetMode="External"/><Relationship Id="rId530" Type="http://schemas.openxmlformats.org/officeDocument/2006/relationships/hyperlink" Target="https://www.genome.jp/entry/3.5.1.5" TargetMode="External"/><Relationship Id="rId768" Type="http://schemas.openxmlformats.org/officeDocument/2006/relationships/hyperlink" Target="https://www.genome.jp/entry/4.3.1.19" TargetMode="External"/><Relationship Id="rId975" Type="http://schemas.openxmlformats.org/officeDocument/2006/relationships/hyperlink" Target="https://www.genome.jp/entry/6.3.2.5" TargetMode="External"/><Relationship Id="rId1160" Type="http://schemas.openxmlformats.org/officeDocument/2006/relationships/hyperlink" Target="https://www.genome.jp/entry/R00897" TargetMode="External"/><Relationship Id="rId1398" Type="http://schemas.openxmlformats.org/officeDocument/2006/relationships/hyperlink" Target="https://www.genome.jp/entry/2.1.1.197" TargetMode="External"/><Relationship Id="rId628" Type="http://schemas.openxmlformats.org/officeDocument/2006/relationships/hyperlink" Target="https://www.genome.jp/entry/1.1.1.25" TargetMode="External"/><Relationship Id="rId835" Type="http://schemas.openxmlformats.org/officeDocument/2006/relationships/hyperlink" Target="https://www.genome.jp/entry/3.4.11.9" TargetMode="External"/><Relationship Id="rId1258" Type="http://schemas.openxmlformats.org/officeDocument/2006/relationships/hyperlink" Target="https://www.genome.jp/entry/R09769" TargetMode="External"/><Relationship Id="rId1465" Type="http://schemas.openxmlformats.org/officeDocument/2006/relationships/hyperlink" Target="https://www.genome.jp/entry/R04568" TargetMode="External"/><Relationship Id="rId1672" Type="http://schemas.openxmlformats.org/officeDocument/2006/relationships/hyperlink" Target="https://www.genome.jp/entry/R00256" TargetMode="External"/><Relationship Id="rId1020" Type="http://schemas.openxmlformats.org/officeDocument/2006/relationships/hyperlink" Target="https://www.genome.jp/entry/4.1.3.36" TargetMode="External"/><Relationship Id="rId1118" Type="http://schemas.openxmlformats.org/officeDocument/2006/relationships/hyperlink" Target="https://www.genome.jp/entry/4.2.1.59" TargetMode="External"/><Relationship Id="rId1325" Type="http://schemas.openxmlformats.org/officeDocument/2006/relationships/hyperlink" Target="https://www.genome.jp/entry/3.4.11.2" TargetMode="External"/><Relationship Id="rId1532" Type="http://schemas.openxmlformats.org/officeDocument/2006/relationships/hyperlink" Target="https://www.genome.jp/entry/2.1.2.2" TargetMode="External"/><Relationship Id="rId902" Type="http://schemas.openxmlformats.org/officeDocument/2006/relationships/hyperlink" Target="https://www.genome.jp/entry/2.7.4.6" TargetMode="External"/><Relationship Id="rId31" Type="http://schemas.openxmlformats.org/officeDocument/2006/relationships/hyperlink" Target="https://www.genome.jp/entry/R04273" TargetMode="External"/><Relationship Id="rId180" Type="http://schemas.openxmlformats.org/officeDocument/2006/relationships/hyperlink" Target="https://www.genome.jp/entry/6.3.5.2" TargetMode="External"/><Relationship Id="rId278" Type="http://schemas.openxmlformats.org/officeDocument/2006/relationships/hyperlink" Target="https://www.genome.jp/entry/2.7.4.3" TargetMode="External"/><Relationship Id="rId485" Type="http://schemas.openxmlformats.org/officeDocument/2006/relationships/hyperlink" Target="https://www.genome.jp/entry/R10813" TargetMode="External"/><Relationship Id="rId692" Type="http://schemas.openxmlformats.org/officeDocument/2006/relationships/hyperlink" Target="https://www.genome.jp/entry/R04273" TargetMode="External"/><Relationship Id="rId138" Type="http://schemas.openxmlformats.org/officeDocument/2006/relationships/hyperlink" Target="https://www.genome.jp/entry/R00527" TargetMode="External"/><Relationship Id="rId345" Type="http://schemas.openxmlformats.org/officeDocument/2006/relationships/hyperlink" Target="https://www.genome.jp/entry/2.7.7.7" TargetMode="External"/><Relationship Id="rId552" Type="http://schemas.openxmlformats.org/officeDocument/2006/relationships/hyperlink" Target="https://www.genome.jp/entry/3.5.1.5" TargetMode="External"/><Relationship Id="rId997" Type="http://schemas.openxmlformats.org/officeDocument/2006/relationships/hyperlink" Target="https://www.genome.jp/entry/R06141" TargetMode="External"/><Relationship Id="rId1182" Type="http://schemas.openxmlformats.org/officeDocument/2006/relationships/hyperlink" Target="https://www.genome.jp/entry/R08575" TargetMode="External"/><Relationship Id="rId205" Type="http://schemas.openxmlformats.org/officeDocument/2006/relationships/hyperlink" Target="https://www.genome.jp/entry/R10147" TargetMode="External"/><Relationship Id="rId412" Type="http://schemas.openxmlformats.org/officeDocument/2006/relationships/hyperlink" Target="https://www.genome.jp/entry/5.3.1.16" TargetMode="External"/><Relationship Id="rId857" Type="http://schemas.openxmlformats.org/officeDocument/2006/relationships/hyperlink" Target="https://www.genome.jp/entry/R00377" TargetMode="External"/><Relationship Id="rId1042" Type="http://schemas.openxmlformats.org/officeDocument/2006/relationships/hyperlink" Target="https://www.genome.jp/entry/2.7.1.11" TargetMode="External"/><Relationship Id="rId1487" Type="http://schemas.openxmlformats.org/officeDocument/2006/relationships/hyperlink" Target="https://www.genome.jp/entry/R09735" TargetMode="External"/><Relationship Id="rId1694" Type="http://schemas.openxmlformats.org/officeDocument/2006/relationships/hyperlink" Target="https://www.genome.jp/entry/1.17.4.1" TargetMode="External"/><Relationship Id="rId717" Type="http://schemas.openxmlformats.org/officeDocument/2006/relationships/hyperlink" Target="https://www.genome.jp/entry/R00089" TargetMode="External"/><Relationship Id="rId924" Type="http://schemas.openxmlformats.org/officeDocument/2006/relationships/hyperlink" Target="https://www.genome.jp/entry/2.7.2.11" TargetMode="External"/><Relationship Id="rId1347" Type="http://schemas.openxmlformats.org/officeDocument/2006/relationships/hyperlink" Target="https://www.genome.jp/entry/2.2.1.6" TargetMode="External"/><Relationship Id="rId1554" Type="http://schemas.openxmlformats.org/officeDocument/2006/relationships/hyperlink" Target="https://www.genome.jp/entry/4.1.3.27" TargetMode="External"/><Relationship Id="rId1761" Type="http://schemas.openxmlformats.org/officeDocument/2006/relationships/hyperlink" Target="https://www.genome.jp/entry/R00435" TargetMode="External"/><Relationship Id="rId53" Type="http://schemas.openxmlformats.org/officeDocument/2006/relationships/hyperlink" Target="https://www.genome.jp/entry/6.3.2.45" TargetMode="External"/><Relationship Id="rId1207" Type="http://schemas.openxmlformats.org/officeDocument/2006/relationships/hyperlink" Target="https://www.genome.jp/entry/R06174" TargetMode="External"/><Relationship Id="rId1414" Type="http://schemas.openxmlformats.org/officeDocument/2006/relationships/hyperlink" Target="https://www.genome.jp/entry/2.3.1.41" TargetMode="External"/><Relationship Id="rId1621" Type="http://schemas.openxmlformats.org/officeDocument/2006/relationships/hyperlink" Target="https://www.genome.jp/entry/R02237" TargetMode="External"/><Relationship Id="rId1719" Type="http://schemas.openxmlformats.org/officeDocument/2006/relationships/hyperlink" Target="https://www.genome.jp/entry/4.6.1.17" TargetMode="External"/><Relationship Id="rId367" Type="http://schemas.openxmlformats.org/officeDocument/2006/relationships/hyperlink" Target="https://www.genome.jp/entry/3.6.1.9" TargetMode="External"/><Relationship Id="rId574" Type="http://schemas.openxmlformats.org/officeDocument/2006/relationships/hyperlink" Target="https://www.genome.jp/entry/5.1.3.1" TargetMode="External"/><Relationship Id="rId227" Type="http://schemas.openxmlformats.org/officeDocument/2006/relationships/hyperlink" Target="https://www.genome.jp/entry/2.4.2.3" TargetMode="External"/><Relationship Id="rId781" Type="http://schemas.openxmlformats.org/officeDocument/2006/relationships/hyperlink" Target="https://www.genome.jp/entry/R00376" TargetMode="External"/><Relationship Id="rId879" Type="http://schemas.openxmlformats.org/officeDocument/2006/relationships/hyperlink" Target="https://www.genome.jp/entry/R00899" TargetMode="External"/><Relationship Id="rId434" Type="http://schemas.openxmlformats.org/officeDocument/2006/relationships/hyperlink" Target="https://www.genome.jp/entry/7.1.2.2" TargetMode="External"/><Relationship Id="rId641" Type="http://schemas.openxmlformats.org/officeDocument/2006/relationships/hyperlink" Target="https://www.genome.jp/entry/2.4.2.22" TargetMode="External"/><Relationship Id="rId739" Type="http://schemas.openxmlformats.org/officeDocument/2006/relationships/hyperlink" Target="https://www.genome.jp/entry/R12695" TargetMode="External"/><Relationship Id="rId1064" Type="http://schemas.openxmlformats.org/officeDocument/2006/relationships/hyperlink" Target="https://www.genome.jp/entry/4.2.1.33" TargetMode="External"/><Relationship Id="rId1271" Type="http://schemas.openxmlformats.org/officeDocument/2006/relationships/hyperlink" Target="https://www.genome.jp/entry/R02199" TargetMode="External"/><Relationship Id="rId1369" Type="http://schemas.openxmlformats.org/officeDocument/2006/relationships/hyperlink" Target="https://www.genome.jp/entry/5.3.1.9" TargetMode="External"/><Relationship Id="rId1576" Type="http://schemas.openxmlformats.org/officeDocument/2006/relationships/hyperlink" Target="https://www.genome.jp/entry/R02421" TargetMode="External"/><Relationship Id="rId501" Type="http://schemas.openxmlformats.org/officeDocument/2006/relationships/hyperlink" Target="https://www.genome.jp/entry/R02557" TargetMode="External"/><Relationship Id="rId946" Type="http://schemas.openxmlformats.org/officeDocument/2006/relationships/hyperlink" Target="https://www.genome.jp/entry/R00377" TargetMode="External"/><Relationship Id="rId1131" Type="http://schemas.openxmlformats.org/officeDocument/2006/relationships/hyperlink" Target="https://www.genome.jp/entry/R04954" TargetMode="External"/><Relationship Id="rId1229" Type="http://schemas.openxmlformats.org/officeDocument/2006/relationships/hyperlink" Target="https://www.genome.jp/entry/4.99.1.1" TargetMode="External"/><Relationship Id="rId1783" Type="http://schemas.openxmlformats.org/officeDocument/2006/relationships/hyperlink" Target="https://www.genome.jp/entry/R00376" TargetMode="External"/><Relationship Id="rId75" Type="http://schemas.openxmlformats.org/officeDocument/2006/relationships/hyperlink" Target="https://www.genome.jp/entry/R00375" TargetMode="External"/><Relationship Id="rId806" Type="http://schemas.openxmlformats.org/officeDocument/2006/relationships/hyperlink" Target="https://www.genome.jp/entry/2.7.7.1" TargetMode="External"/><Relationship Id="rId1436" Type="http://schemas.openxmlformats.org/officeDocument/2006/relationships/hyperlink" Target="https://www.genome.jp/entry/6.1.1.22" TargetMode="External"/><Relationship Id="rId1643" Type="http://schemas.openxmlformats.org/officeDocument/2006/relationships/hyperlink" Target="https://www.genome.jp/entry/1.8.1.4" TargetMode="External"/><Relationship Id="rId1503" Type="http://schemas.openxmlformats.org/officeDocument/2006/relationships/hyperlink" Target="https://www.genome.jp/entry/R12934" TargetMode="External"/><Relationship Id="rId1710" Type="http://schemas.openxmlformats.org/officeDocument/2006/relationships/hyperlink" Target="https://www.genome.jp/entry/1.2.4.2" TargetMode="External"/><Relationship Id="rId291" Type="http://schemas.openxmlformats.org/officeDocument/2006/relationships/hyperlink" Target="https://www.genome.jp/entry/2.8.1.7" TargetMode="External"/><Relationship Id="rId1808" Type="http://schemas.openxmlformats.org/officeDocument/2006/relationships/hyperlink" Target="https://www.genome.jp/entry/R04449" TargetMode="External"/><Relationship Id="rId151" Type="http://schemas.openxmlformats.org/officeDocument/2006/relationships/hyperlink" Target="https://www.genome.jp/entry/2.3.1.243" TargetMode="External"/><Relationship Id="rId389" Type="http://schemas.openxmlformats.org/officeDocument/2006/relationships/hyperlink" Target="https://www.genome.jp/entry/R01071" TargetMode="External"/><Relationship Id="rId596" Type="http://schemas.openxmlformats.org/officeDocument/2006/relationships/hyperlink" Target="https://www.genome.jp/entry/2.7.2.2" TargetMode="External"/><Relationship Id="rId249" Type="http://schemas.openxmlformats.org/officeDocument/2006/relationships/hyperlink" Target="https://www.genome.jp/entry/2.1.1.193" TargetMode="External"/><Relationship Id="rId456" Type="http://schemas.openxmlformats.org/officeDocument/2006/relationships/hyperlink" Target="https://www.genome.jp/entry/5.4.99.62" TargetMode="External"/><Relationship Id="rId663" Type="http://schemas.openxmlformats.org/officeDocument/2006/relationships/hyperlink" Target="https://www.genome.jp/entry/1.1.5.3" TargetMode="External"/><Relationship Id="rId870" Type="http://schemas.openxmlformats.org/officeDocument/2006/relationships/hyperlink" Target="https://www.genome.jp/entry/1.4.3.5" TargetMode="External"/><Relationship Id="rId1086" Type="http://schemas.openxmlformats.org/officeDocument/2006/relationships/hyperlink" Target="https://www.genome.jp/entry/1.17.7.4" TargetMode="External"/><Relationship Id="rId1293" Type="http://schemas.openxmlformats.org/officeDocument/2006/relationships/hyperlink" Target="https://www.genome.jp/entry/R07136" TargetMode="External"/><Relationship Id="rId109" Type="http://schemas.openxmlformats.org/officeDocument/2006/relationships/hyperlink" Target="https://www.genome.jp/entry/1.1.1.100" TargetMode="External"/><Relationship Id="rId316" Type="http://schemas.openxmlformats.org/officeDocument/2006/relationships/hyperlink" Target="https://www.genome.jp/entry/2.7.1.49" TargetMode="External"/><Relationship Id="rId523" Type="http://schemas.openxmlformats.org/officeDocument/2006/relationships/hyperlink" Target="https://www.genome.jp/entry/R08233" TargetMode="External"/><Relationship Id="rId968" Type="http://schemas.openxmlformats.org/officeDocument/2006/relationships/hyperlink" Target="https://www.genome.jp/entry/3.2.2.23" TargetMode="External"/><Relationship Id="rId1153" Type="http://schemas.openxmlformats.org/officeDocument/2006/relationships/hyperlink" Target="https://www.genome.jp/entry/2.5.1.7" TargetMode="External"/><Relationship Id="rId1598" Type="http://schemas.openxmlformats.org/officeDocument/2006/relationships/hyperlink" Target="https://www.genome.jp/entry/5.4.99.5" TargetMode="External"/><Relationship Id="rId97" Type="http://schemas.openxmlformats.org/officeDocument/2006/relationships/hyperlink" Target="https://www.genome.jp/entry/1.1.1.100" TargetMode="External"/><Relationship Id="rId730" Type="http://schemas.openxmlformats.org/officeDocument/2006/relationships/hyperlink" Target="https://www.genome.jp/entry/4.1.2.17" TargetMode="External"/><Relationship Id="rId828" Type="http://schemas.openxmlformats.org/officeDocument/2006/relationships/hyperlink" Target="https://www.genome.jp/entry/R00341" TargetMode="External"/><Relationship Id="rId1013" Type="http://schemas.openxmlformats.org/officeDocument/2006/relationships/hyperlink" Target="https://www.genome.jp/entry/R03656" TargetMode="External"/><Relationship Id="rId1360" Type="http://schemas.openxmlformats.org/officeDocument/2006/relationships/hyperlink" Target="https://www.genome.jp/entry/R03646" TargetMode="External"/><Relationship Id="rId1458" Type="http://schemas.openxmlformats.org/officeDocument/2006/relationships/hyperlink" Target="https://www.genome.jp/entry/4.2.1.59" TargetMode="External"/><Relationship Id="rId1665" Type="http://schemas.openxmlformats.org/officeDocument/2006/relationships/hyperlink" Target="https://www.genome.jp/entry/4.1.1.23" TargetMode="External"/><Relationship Id="rId1220" Type="http://schemas.openxmlformats.org/officeDocument/2006/relationships/hyperlink" Target="https://www.genome.jp/entry/R01132" TargetMode="External"/><Relationship Id="rId1318" Type="http://schemas.openxmlformats.org/officeDocument/2006/relationships/hyperlink" Target="https://www.genome.jp/entry/R07404" TargetMode="External"/><Relationship Id="rId1525" Type="http://schemas.openxmlformats.org/officeDocument/2006/relationships/hyperlink" Target="https://www.genome.jp/entry/R00674" TargetMode="External"/><Relationship Id="rId1732" Type="http://schemas.openxmlformats.org/officeDocument/2006/relationships/hyperlink" Target="https://www.genome.jp/entry/3.4.11.1" TargetMode="External"/><Relationship Id="rId24" Type="http://schemas.openxmlformats.org/officeDocument/2006/relationships/hyperlink" Target="https://www.genome.jp/entry/1.17.4.2" TargetMode="External"/><Relationship Id="rId173" Type="http://schemas.openxmlformats.org/officeDocument/2006/relationships/hyperlink" Target="https://www.genome.jp/entry/R05145" TargetMode="External"/><Relationship Id="rId380" Type="http://schemas.openxmlformats.org/officeDocument/2006/relationships/hyperlink" Target="https://www.genome.jp/entry/5.3.1.6" TargetMode="External"/><Relationship Id="rId240" Type="http://schemas.openxmlformats.org/officeDocument/2006/relationships/hyperlink" Target="https://www.genome.jp/entry/R00590" TargetMode="External"/><Relationship Id="rId478" Type="http://schemas.openxmlformats.org/officeDocument/2006/relationships/hyperlink" Target="https://www.genome.jp/entry/2.7.7.6" TargetMode="External"/><Relationship Id="rId685" Type="http://schemas.openxmlformats.org/officeDocument/2006/relationships/hyperlink" Target="https://www.genome.jp/entry/2.7.1.30" TargetMode="External"/><Relationship Id="rId892" Type="http://schemas.openxmlformats.org/officeDocument/2006/relationships/hyperlink" Target="https://www.genome.jp/entry/2.7.4.6" TargetMode="External"/><Relationship Id="rId100" Type="http://schemas.openxmlformats.org/officeDocument/2006/relationships/hyperlink" Target="https://www.genome.jp/entry/R04536" TargetMode="External"/><Relationship Id="rId338" Type="http://schemas.openxmlformats.org/officeDocument/2006/relationships/hyperlink" Target="https://www.genome.jp/entry/R00379" TargetMode="External"/><Relationship Id="rId545" Type="http://schemas.openxmlformats.org/officeDocument/2006/relationships/hyperlink" Target="https://www.genome.jp/entry/R00131" TargetMode="External"/><Relationship Id="rId752" Type="http://schemas.openxmlformats.org/officeDocument/2006/relationships/hyperlink" Target="https://www.genome.jp/entry/2.3.1.51" TargetMode="External"/><Relationship Id="rId1175" Type="http://schemas.openxmlformats.org/officeDocument/2006/relationships/hyperlink" Target="https://www.genome.jp/entry/2.7.1.17" TargetMode="External"/><Relationship Id="rId1382" Type="http://schemas.openxmlformats.org/officeDocument/2006/relationships/hyperlink" Target="https://www.genome.jp/entry/2.7.1.40" TargetMode="External"/><Relationship Id="rId405" Type="http://schemas.openxmlformats.org/officeDocument/2006/relationships/hyperlink" Target="https://www.genome.jp/entry/R03457" TargetMode="External"/><Relationship Id="rId612" Type="http://schemas.openxmlformats.org/officeDocument/2006/relationships/hyperlink" Target="https://www.genome.jp/entry/R01083" TargetMode="External"/><Relationship Id="rId1035" Type="http://schemas.openxmlformats.org/officeDocument/2006/relationships/hyperlink" Target="https://www.genome.jp/entry/R00767" TargetMode="External"/><Relationship Id="rId1242" Type="http://schemas.openxmlformats.org/officeDocument/2006/relationships/hyperlink" Target="https://www.genome.jp/entry/2.6.1.85" TargetMode="External"/><Relationship Id="rId1687" Type="http://schemas.openxmlformats.org/officeDocument/2006/relationships/hyperlink" Target="https://www.genome.jp/entry/2.1.1.198" TargetMode="External"/><Relationship Id="rId917" Type="http://schemas.openxmlformats.org/officeDocument/2006/relationships/hyperlink" Target="https://www.genome.jp/entry/R04560" TargetMode="External"/><Relationship Id="rId1102" Type="http://schemas.openxmlformats.org/officeDocument/2006/relationships/hyperlink" Target="https://www.genome.jp/entry/R06861" TargetMode="External"/><Relationship Id="rId1547" Type="http://schemas.openxmlformats.org/officeDocument/2006/relationships/hyperlink" Target="https://www.genome.jp/entry/R03508" TargetMode="External"/><Relationship Id="rId1754" Type="http://schemas.openxmlformats.org/officeDocument/2006/relationships/hyperlink" Target="https://www.genome.jp/entry/2.7.6.5" TargetMode="External"/><Relationship Id="rId46" Type="http://schemas.openxmlformats.org/officeDocument/2006/relationships/hyperlink" Target="https://www.genome.jp/entry/6.1.1.11" TargetMode="External"/><Relationship Id="rId1407" Type="http://schemas.openxmlformats.org/officeDocument/2006/relationships/hyperlink" Target="https://www.genome.jp/entry/R01826" TargetMode="External"/><Relationship Id="rId1614" Type="http://schemas.openxmlformats.org/officeDocument/2006/relationships/hyperlink" Target="https://www.genome.jp/entry/6.3.2.12" TargetMode="External"/><Relationship Id="rId1821" Type="http://schemas.openxmlformats.org/officeDocument/2006/relationships/hyperlink" Target="https://www.genome.jp/entry/2.3.1.181" TargetMode="External"/><Relationship Id="rId195" Type="http://schemas.openxmlformats.org/officeDocument/2006/relationships/hyperlink" Target="https://www.genome.jp/entry/R00440" TargetMode="External"/><Relationship Id="rId262" Type="http://schemas.openxmlformats.org/officeDocument/2006/relationships/hyperlink" Target="https://www.genome.jp/entry/3.6.1.67" TargetMode="External"/><Relationship Id="rId567" Type="http://schemas.openxmlformats.org/officeDocument/2006/relationships/hyperlink" Target="https://www.genome.jp/entry/R00188" TargetMode="External"/><Relationship Id="rId1197" Type="http://schemas.openxmlformats.org/officeDocument/2006/relationships/hyperlink" Target="https://www.genome.jp/entry/R02783" TargetMode="External"/><Relationship Id="rId122" Type="http://schemas.openxmlformats.org/officeDocument/2006/relationships/hyperlink" Target="https://www.genome.jp/entry/R00094" TargetMode="External"/><Relationship Id="rId774" Type="http://schemas.openxmlformats.org/officeDocument/2006/relationships/hyperlink" Target="https://www.genome.jp/entry/4.3.1.19" TargetMode="External"/><Relationship Id="rId981" Type="http://schemas.openxmlformats.org/officeDocument/2006/relationships/hyperlink" Target="https://www.genome.jp/entry/2.1.1.189" TargetMode="External"/><Relationship Id="rId1057" Type="http://schemas.openxmlformats.org/officeDocument/2006/relationships/hyperlink" Target="https://www.genome.jp/entry/R10052" TargetMode="External"/><Relationship Id="rId427" Type="http://schemas.openxmlformats.org/officeDocument/2006/relationships/hyperlink" Target="https://www.genome.jp/entry/R00086" TargetMode="External"/><Relationship Id="rId634" Type="http://schemas.openxmlformats.org/officeDocument/2006/relationships/hyperlink" Target="https://www.genome.jp/entry/3.1.3.11" TargetMode="External"/><Relationship Id="rId841" Type="http://schemas.openxmlformats.org/officeDocument/2006/relationships/hyperlink" Target="https://www.genome.jp/entry/1.3.5.4" TargetMode="External"/><Relationship Id="rId1264" Type="http://schemas.openxmlformats.org/officeDocument/2006/relationships/hyperlink" Target="https://www.genome.jp/entry/6.3.4.20" TargetMode="External"/><Relationship Id="rId1471" Type="http://schemas.openxmlformats.org/officeDocument/2006/relationships/hyperlink" Target="https://www.genome.jp/entry/R10117" TargetMode="External"/><Relationship Id="rId1569" Type="http://schemas.openxmlformats.org/officeDocument/2006/relationships/hyperlink" Target="https://www.genome.jp/entry/7.3.2.1" TargetMode="External"/><Relationship Id="rId701" Type="http://schemas.openxmlformats.org/officeDocument/2006/relationships/hyperlink" Target="https://www.genome.jp/entry/R02148" TargetMode="External"/><Relationship Id="rId939" Type="http://schemas.openxmlformats.org/officeDocument/2006/relationships/hyperlink" Target="https://www.genome.jp/entry/2.7.7.7" TargetMode="External"/><Relationship Id="rId1124" Type="http://schemas.openxmlformats.org/officeDocument/2006/relationships/hyperlink" Target="https://www.genome.jp/entry/4.2.1.59" TargetMode="External"/><Relationship Id="rId1331" Type="http://schemas.openxmlformats.org/officeDocument/2006/relationships/hyperlink" Target="https://www.genome.jp/entry/2.7.1.148" TargetMode="External"/><Relationship Id="rId1776" Type="http://schemas.openxmlformats.org/officeDocument/2006/relationships/hyperlink" Target="https://www.genome.jp/entry/2.3.1.266" TargetMode="External"/><Relationship Id="rId68" Type="http://schemas.openxmlformats.org/officeDocument/2006/relationships/hyperlink" Target="https://www.genome.jp/entry/2.7.1.48" TargetMode="External"/><Relationship Id="rId1429" Type="http://schemas.openxmlformats.org/officeDocument/2006/relationships/hyperlink" Target="https://www.genome.jp/entry/R10119" TargetMode="External"/><Relationship Id="rId1636" Type="http://schemas.openxmlformats.org/officeDocument/2006/relationships/hyperlink" Target="https://www.genome.jp/entry/R03270" TargetMode="External"/><Relationship Id="rId1703" Type="http://schemas.openxmlformats.org/officeDocument/2006/relationships/hyperlink" Target="https://www.genome.jp/entry/R11893" TargetMode="External"/><Relationship Id="rId284" Type="http://schemas.openxmlformats.org/officeDocument/2006/relationships/hyperlink" Target="https://www.genome.jp/entry/5.1.3.2" TargetMode="External"/><Relationship Id="rId491" Type="http://schemas.openxmlformats.org/officeDocument/2006/relationships/hyperlink" Target="https://www.genome.jp/entry/R01863" TargetMode="External"/><Relationship Id="rId144" Type="http://schemas.openxmlformats.org/officeDocument/2006/relationships/hyperlink" Target="https://www.genome.jp/entry/R00146" TargetMode="External"/><Relationship Id="rId589" Type="http://schemas.openxmlformats.org/officeDocument/2006/relationships/hyperlink" Target="https://www.genome.jp/entry/R01398" TargetMode="External"/><Relationship Id="rId796" Type="http://schemas.openxmlformats.org/officeDocument/2006/relationships/hyperlink" Target="https://www.genome.jp/entry/R02735" TargetMode="External"/><Relationship Id="rId351" Type="http://schemas.openxmlformats.org/officeDocument/2006/relationships/hyperlink" Target="https://www.genome.jp/entry/2.7.4.9" TargetMode="External"/><Relationship Id="rId449" Type="http://schemas.openxmlformats.org/officeDocument/2006/relationships/hyperlink" Target="https://www.genome.jp/entry/3.1.3.2" TargetMode="External"/><Relationship Id="rId656" Type="http://schemas.openxmlformats.org/officeDocument/2006/relationships/hyperlink" Target="https://www.genome.jp/entry/R05068" TargetMode="External"/><Relationship Id="rId863" Type="http://schemas.openxmlformats.org/officeDocument/2006/relationships/hyperlink" Target="https://www.genome.jp/entry/R02301" TargetMode="External"/><Relationship Id="rId1079" Type="http://schemas.openxmlformats.org/officeDocument/2006/relationships/hyperlink" Target="https://www.genome.jp/entry/R00377" TargetMode="External"/><Relationship Id="rId1286" Type="http://schemas.openxmlformats.org/officeDocument/2006/relationships/hyperlink" Target="https://www.genome.jp/entry/2.3.1.8" TargetMode="External"/><Relationship Id="rId1493" Type="http://schemas.openxmlformats.org/officeDocument/2006/relationships/hyperlink" Target="https://www.genome.jp/entry/R04639" TargetMode="External"/><Relationship Id="rId211" Type="http://schemas.openxmlformats.org/officeDocument/2006/relationships/hyperlink" Target="https://www.genome.jp/entry/R00851" TargetMode="External"/><Relationship Id="rId309" Type="http://schemas.openxmlformats.org/officeDocument/2006/relationships/hyperlink" Target="https://www.genome.jp/entry/R00191" TargetMode="External"/><Relationship Id="rId516" Type="http://schemas.openxmlformats.org/officeDocument/2006/relationships/hyperlink" Target="https://www.genome.jp/entry/2.7.2.3" TargetMode="External"/><Relationship Id="rId1146" Type="http://schemas.openxmlformats.org/officeDocument/2006/relationships/hyperlink" Target="https://www.genome.jp/entry/3.6.4.13" TargetMode="External"/><Relationship Id="rId1798" Type="http://schemas.openxmlformats.org/officeDocument/2006/relationships/hyperlink" Target="https://www.genome.jp/entry/R01323" TargetMode="External"/><Relationship Id="rId723" Type="http://schemas.openxmlformats.org/officeDocument/2006/relationships/hyperlink" Target="https://www.genome.jp/entry/R00844" TargetMode="External"/><Relationship Id="rId930" Type="http://schemas.openxmlformats.org/officeDocument/2006/relationships/hyperlink" Target="https://www.genome.jp/entry/R12803" TargetMode="External"/><Relationship Id="rId1006" Type="http://schemas.openxmlformats.org/officeDocument/2006/relationships/hyperlink" Target="https://www.genome.jp/entry/3.2.1.52" TargetMode="External"/><Relationship Id="rId1353" Type="http://schemas.openxmlformats.org/officeDocument/2006/relationships/hyperlink" Target="https://www.genome.jp/entry/2.2.1.6" TargetMode="External"/><Relationship Id="rId1560" Type="http://schemas.openxmlformats.org/officeDocument/2006/relationships/hyperlink" Target="https://www.genome.jp/entry/1.16.3.2" TargetMode="External"/><Relationship Id="rId1658" Type="http://schemas.openxmlformats.org/officeDocument/2006/relationships/hyperlink" Target="https://www.genome.jp/entry/R00377" TargetMode="External"/><Relationship Id="rId1213" Type="http://schemas.openxmlformats.org/officeDocument/2006/relationships/hyperlink" Target="https://www.genome.jp/entry/R04587" TargetMode="External"/><Relationship Id="rId1420" Type="http://schemas.openxmlformats.org/officeDocument/2006/relationships/hyperlink" Target="https://www.genome.jp/entry/2.3.1.41" TargetMode="External"/><Relationship Id="rId1518" Type="http://schemas.openxmlformats.org/officeDocument/2006/relationships/hyperlink" Target="https://www.genome.jp/entry/4.2.1.20" TargetMode="External"/><Relationship Id="rId1725" Type="http://schemas.openxmlformats.org/officeDocument/2006/relationships/hyperlink" Target="https://www.genome.jp/entry/2.4.99.6" TargetMode="External"/><Relationship Id="rId17" Type="http://schemas.openxmlformats.org/officeDocument/2006/relationships/hyperlink" Target="https://www.genome.jp/entry/R03474" TargetMode="External"/><Relationship Id="rId166" Type="http://schemas.openxmlformats.org/officeDocument/2006/relationships/hyperlink" Target="https://www.genome.jp/entry/2.1.1.72" TargetMode="External"/><Relationship Id="rId373" Type="http://schemas.openxmlformats.org/officeDocument/2006/relationships/hyperlink" Target="https://www.genome.jp/entry/3.6.1.9" TargetMode="External"/><Relationship Id="rId580" Type="http://schemas.openxmlformats.org/officeDocument/2006/relationships/hyperlink" Target="https://www.genome.jp/entry/R03018" TargetMode="External"/><Relationship Id="rId1" Type="http://schemas.openxmlformats.org/officeDocument/2006/relationships/hyperlink" Target="https://www.genome.jp/entry/4.2.1.8" TargetMode="External"/><Relationship Id="rId233" Type="http://schemas.openxmlformats.org/officeDocument/2006/relationships/hyperlink" Target="https://www.genome.jp/entry/4.2.99.20" TargetMode="External"/><Relationship Id="rId440" Type="http://schemas.openxmlformats.org/officeDocument/2006/relationships/hyperlink" Target="https://www.genome.jp/entry/2.1.1.170" TargetMode="External"/><Relationship Id="rId678" Type="http://schemas.openxmlformats.org/officeDocument/2006/relationships/hyperlink" Target="https://www.genome.jp/entry/R00848" TargetMode="External"/><Relationship Id="rId885" Type="http://schemas.openxmlformats.org/officeDocument/2006/relationships/hyperlink" Target="https://www.genome.jp/entry/R00124" TargetMode="External"/><Relationship Id="rId1070" Type="http://schemas.openxmlformats.org/officeDocument/2006/relationships/hyperlink" Target="https://www.genome.jp/entry/4.2.1.33" TargetMode="External"/><Relationship Id="rId300" Type="http://schemas.openxmlformats.org/officeDocument/2006/relationships/hyperlink" Target="https://www.genome.jp/entry/6.2.1.3" TargetMode="External"/><Relationship Id="rId538" Type="http://schemas.openxmlformats.org/officeDocument/2006/relationships/hyperlink" Target="https://www.genome.jp/entry/3.5.1.5" TargetMode="External"/><Relationship Id="rId745" Type="http://schemas.openxmlformats.org/officeDocument/2006/relationships/hyperlink" Target="https://www.genome.jp/entry/3.1.3.82" TargetMode="External"/><Relationship Id="rId952" Type="http://schemas.openxmlformats.org/officeDocument/2006/relationships/hyperlink" Target="https://www.genome.jp/entry/R03654" TargetMode="External"/><Relationship Id="rId1168" Type="http://schemas.openxmlformats.org/officeDocument/2006/relationships/hyperlink" Target="https://www.genome.jp/entry/R12986" TargetMode="External"/><Relationship Id="rId1375" Type="http://schemas.openxmlformats.org/officeDocument/2006/relationships/hyperlink" Target="https://www.genome.jp/entry/R00200" TargetMode="External"/><Relationship Id="rId1582" Type="http://schemas.openxmlformats.org/officeDocument/2006/relationships/hyperlink" Target="https://www.genome.jp/entry/R02110" TargetMode="External"/><Relationship Id="rId81" Type="http://schemas.openxmlformats.org/officeDocument/2006/relationships/hyperlink" Target="https://www.genome.jp/entry/R00378" TargetMode="External"/><Relationship Id="rId605" Type="http://schemas.openxmlformats.org/officeDocument/2006/relationships/hyperlink" Target="https://www.genome.jp/entry/R03929" TargetMode="External"/><Relationship Id="rId812" Type="http://schemas.openxmlformats.org/officeDocument/2006/relationships/hyperlink" Target="https://www.genome.jp/entry/R07234" TargetMode="External"/><Relationship Id="rId1028" Type="http://schemas.openxmlformats.org/officeDocument/2006/relationships/hyperlink" Target="https://www.genome.jp/entry/6.3.4.14" TargetMode="External"/><Relationship Id="rId1235" Type="http://schemas.openxmlformats.org/officeDocument/2006/relationships/hyperlink" Target="https://www.genome.jp/entry/R00734" TargetMode="External"/><Relationship Id="rId1442" Type="http://schemas.openxmlformats.org/officeDocument/2006/relationships/hyperlink" Target="https://www.genome.jp/entry/3.1.3.27" TargetMode="External"/><Relationship Id="rId1302" Type="http://schemas.openxmlformats.org/officeDocument/2006/relationships/hyperlink" Target="https://www.genome.jp/entry/R12621" TargetMode="External"/><Relationship Id="rId1747" Type="http://schemas.openxmlformats.org/officeDocument/2006/relationships/hyperlink" Target="https://www.genome.jp/entry/R00251" TargetMode="External"/><Relationship Id="rId39" Type="http://schemas.openxmlformats.org/officeDocument/2006/relationships/hyperlink" Target="https://www.genome.jp/entry/R01773" TargetMode="External"/><Relationship Id="rId1607" Type="http://schemas.openxmlformats.org/officeDocument/2006/relationships/hyperlink" Target="https://www.genome.jp/entry/3.1.2.6" TargetMode="External"/><Relationship Id="rId1814" Type="http://schemas.openxmlformats.org/officeDocument/2006/relationships/hyperlink" Target="https://www.genome.jp/entry/R12424" TargetMode="External"/><Relationship Id="rId188" Type="http://schemas.openxmlformats.org/officeDocument/2006/relationships/hyperlink" Target="https://www.genome.jp/entry/2.7.7.8" TargetMode="External"/><Relationship Id="rId395" Type="http://schemas.openxmlformats.org/officeDocument/2006/relationships/hyperlink" Target="https://www.genome.jp/entry/R03012" TargetMode="External"/><Relationship Id="rId255" Type="http://schemas.openxmlformats.org/officeDocument/2006/relationships/hyperlink" Target="https://www.genome.jp/entry/1.5.1.2" TargetMode="External"/><Relationship Id="rId462" Type="http://schemas.openxmlformats.org/officeDocument/2006/relationships/hyperlink" Target="https://www.genome.jp/entry/2.7.7.6" TargetMode="External"/><Relationship Id="rId1092" Type="http://schemas.openxmlformats.org/officeDocument/2006/relationships/hyperlink" Target="https://www.genome.jp/entry/R01078" TargetMode="External"/><Relationship Id="rId1397" Type="http://schemas.openxmlformats.org/officeDocument/2006/relationships/hyperlink" Target="https://www.genome.jp/entry/R10124" TargetMode="External"/><Relationship Id="rId115" Type="http://schemas.openxmlformats.org/officeDocument/2006/relationships/hyperlink" Target="https://www.genome.jp/entry/2.3.1.39" TargetMode="External"/><Relationship Id="rId322" Type="http://schemas.openxmlformats.org/officeDocument/2006/relationships/hyperlink" Target="https://www.genome.jp/entry/R01800" TargetMode="External"/><Relationship Id="rId767" Type="http://schemas.openxmlformats.org/officeDocument/2006/relationships/hyperlink" Target="https://www.genome.jp/entry/R00996" TargetMode="External"/><Relationship Id="rId974" Type="http://schemas.openxmlformats.org/officeDocument/2006/relationships/hyperlink" Target="https://www.genome.jp/entry/R03269" TargetMode="External"/><Relationship Id="rId627" Type="http://schemas.openxmlformats.org/officeDocument/2006/relationships/hyperlink" Target="https://www.genome.jp/entry/R02413" TargetMode="External"/><Relationship Id="rId834" Type="http://schemas.openxmlformats.org/officeDocument/2006/relationships/hyperlink" Target="https://www.genome.jp/entry/R03038" TargetMode="External"/><Relationship Id="rId1257" Type="http://schemas.openxmlformats.org/officeDocument/2006/relationships/hyperlink" Target="https://www.genome.jp/entry/5.3.1.28" TargetMode="External"/><Relationship Id="rId1464" Type="http://schemas.openxmlformats.org/officeDocument/2006/relationships/hyperlink" Target="https://www.genome.jp/entry/4.2.1.59" TargetMode="External"/><Relationship Id="rId1671" Type="http://schemas.openxmlformats.org/officeDocument/2006/relationships/hyperlink" Target="https://www.genome.jp/entry/3.5.1.2" TargetMode="External"/><Relationship Id="rId901" Type="http://schemas.openxmlformats.org/officeDocument/2006/relationships/hyperlink" Target="https://www.genome.jp/entry/R02093" TargetMode="External"/><Relationship Id="rId1117" Type="http://schemas.openxmlformats.org/officeDocument/2006/relationships/hyperlink" Target="https://www.genome.jp/entry/R04567" TargetMode="External"/><Relationship Id="rId1324" Type="http://schemas.openxmlformats.org/officeDocument/2006/relationships/hyperlink" Target="https://www.genome.jp/entry/R00899" TargetMode="External"/><Relationship Id="rId1531" Type="http://schemas.openxmlformats.org/officeDocument/2006/relationships/hyperlink" Target="https://www.genome.jp/entry/R04208" TargetMode="External"/><Relationship Id="rId1769" Type="http://schemas.openxmlformats.org/officeDocument/2006/relationships/hyperlink" Target="https://www.genome.jp/entry/R10813" TargetMode="External"/><Relationship Id="rId30" Type="http://schemas.openxmlformats.org/officeDocument/2006/relationships/hyperlink" Target="https://www.genome.jp/entry/5.2.1.8" TargetMode="External"/><Relationship Id="rId1629" Type="http://schemas.openxmlformats.org/officeDocument/2006/relationships/hyperlink" Target="https://www.genome.jp/entry/4.2.3.3" TargetMode="External"/><Relationship Id="rId277" Type="http://schemas.openxmlformats.org/officeDocument/2006/relationships/hyperlink" Target="https://www.genome.jp/entry/R01547" TargetMode="External"/><Relationship Id="rId484" Type="http://schemas.openxmlformats.org/officeDocument/2006/relationships/hyperlink" Target="https://www.genome.jp/entry/2.7.7.6" TargetMode="External"/><Relationship Id="rId137" Type="http://schemas.openxmlformats.org/officeDocument/2006/relationships/hyperlink" Target="https://www.genome.jp/entry/3.1.2.12" TargetMode="External"/><Relationship Id="rId344" Type="http://schemas.openxmlformats.org/officeDocument/2006/relationships/hyperlink" Target="https://www.genome.jp/entry/R00377" TargetMode="External"/><Relationship Id="rId691" Type="http://schemas.openxmlformats.org/officeDocument/2006/relationships/hyperlink" Target="https://www.genome.jp/entry/5.2.1.8" TargetMode="External"/><Relationship Id="rId789" Type="http://schemas.openxmlformats.org/officeDocument/2006/relationships/hyperlink" Target="https://www.genome.jp/entry/R00851" TargetMode="External"/><Relationship Id="rId996" Type="http://schemas.openxmlformats.org/officeDocument/2006/relationships/hyperlink" Target="https://www.genome.jp/entry/3.2.1.52" TargetMode="External"/><Relationship Id="rId551" Type="http://schemas.openxmlformats.org/officeDocument/2006/relationships/hyperlink" Target="https://www.genome.jp/entry/R13420" TargetMode="External"/><Relationship Id="rId649" Type="http://schemas.openxmlformats.org/officeDocument/2006/relationships/hyperlink" Target="https://www.genome.jp/entry/1.1.1.86" TargetMode="External"/><Relationship Id="rId856" Type="http://schemas.openxmlformats.org/officeDocument/2006/relationships/hyperlink" Target="https://www.genome.jp/entry/2.7.7.7" TargetMode="External"/><Relationship Id="rId1181" Type="http://schemas.openxmlformats.org/officeDocument/2006/relationships/hyperlink" Target="https://www.genome.jp/entry/2.2.1.2" TargetMode="External"/><Relationship Id="rId1279" Type="http://schemas.openxmlformats.org/officeDocument/2006/relationships/hyperlink" Target="https://www.genome.jp/entry/6.2.1.5" TargetMode="External"/><Relationship Id="rId1486" Type="http://schemas.openxmlformats.org/officeDocument/2006/relationships/hyperlink" Target="https://www.genome.jp/entry/2.10.1.1" TargetMode="External"/><Relationship Id="rId204" Type="http://schemas.openxmlformats.org/officeDocument/2006/relationships/hyperlink" Target="https://www.genome.jp/entry/4.3.3.7" TargetMode="External"/><Relationship Id="rId411" Type="http://schemas.openxmlformats.org/officeDocument/2006/relationships/hyperlink" Target="https://www.genome.jp/entry/R12152" TargetMode="External"/><Relationship Id="rId509" Type="http://schemas.openxmlformats.org/officeDocument/2006/relationships/hyperlink" Target="https://www.genome.jp/entry/R01068" TargetMode="External"/><Relationship Id="rId1041" Type="http://schemas.openxmlformats.org/officeDocument/2006/relationships/hyperlink" Target="https://www.genome.jp/entry/R01843" TargetMode="External"/><Relationship Id="rId1139" Type="http://schemas.openxmlformats.org/officeDocument/2006/relationships/hyperlink" Target="https://www.genome.jp/entry/R00158" TargetMode="External"/><Relationship Id="rId1346" Type="http://schemas.openxmlformats.org/officeDocument/2006/relationships/hyperlink" Target="https://www.genome.jp/entry/R00006" TargetMode="External"/><Relationship Id="rId1693" Type="http://schemas.openxmlformats.org/officeDocument/2006/relationships/hyperlink" Target="https://www.genome.jp/entry/R02018" TargetMode="External"/><Relationship Id="rId716" Type="http://schemas.openxmlformats.org/officeDocument/2006/relationships/hyperlink" Target="https://www.genome.jp/entry/4.6.1.1" TargetMode="External"/><Relationship Id="rId923" Type="http://schemas.openxmlformats.org/officeDocument/2006/relationships/hyperlink" Target="https://www.genome.jp/entry/3.6.4.13" TargetMode="External"/><Relationship Id="rId1553" Type="http://schemas.openxmlformats.org/officeDocument/2006/relationships/hyperlink" Target="https://www.genome.jp/entry/R00986" TargetMode="External"/><Relationship Id="rId1760" Type="http://schemas.openxmlformats.org/officeDocument/2006/relationships/hyperlink" Target="https://www.genome.jp/entry/2.7.7.6" TargetMode="External"/><Relationship Id="rId52" Type="http://schemas.openxmlformats.org/officeDocument/2006/relationships/hyperlink" Target="https://www.genome.jp/entry/2.1.1.264" TargetMode="External"/><Relationship Id="rId1206" Type="http://schemas.openxmlformats.org/officeDocument/2006/relationships/hyperlink" Target="https://www.genome.jp/entry/2.4.1.227" TargetMode="External"/><Relationship Id="rId1413" Type="http://schemas.openxmlformats.org/officeDocument/2006/relationships/hyperlink" Target="https://www.genome.jp/entry/R04726" TargetMode="External"/><Relationship Id="rId1620" Type="http://schemas.openxmlformats.org/officeDocument/2006/relationships/hyperlink" Target="https://www.genome.jp/entry/6.3.2.17" TargetMode="External"/><Relationship Id="rId1718" Type="http://schemas.openxmlformats.org/officeDocument/2006/relationships/hyperlink" Target="https://www.genome.jp/entry/R09395" TargetMode="External"/><Relationship Id="rId299" Type="http://schemas.openxmlformats.org/officeDocument/2006/relationships/hyperlink" Target="https://www.genome.jp/entry/R10648" TargetMode="External"/><Relationship Id="rId159" Type="http://schemas.openxmlformats.org/officeDocument/2006/relationships/hyperlink" Target="https://www.genome.jp/entry/4.2.3.4" TargetMode="External"/><Relationship Id="rId366" Type="http://schemas.openxmlformats.org/officeDocument/2006/relationships/hyperlink" Target="https://www.genome.jp/entry/R00662" TargetMode="External"/><Relationship Id="rId573" Type="http://schemas.openxmlformats.org/officeDocument/2006/relationships/hyperlink" Target="https://www.genome.jp/entry/R01334" TargetMode="External"/><Relationship Id="rId780" Type="http://schemas.openxmlformats.org/officeDocument/2006/relationships/hyperlink" Target="https://www.genome.jp/entry/2.7.7.7" TargetMode="External"/><Relationship Id="rId226" Type="http://schemas.openxmlformats.org/officeDocument/2006/relationships/hyperlink" Target="https://www.genome.jp/entry/R05578" TargetMode="External"/><Relationship Id="rId433" Type="http://schemas.openxmlformats.org/officeDocument/2006/relationships/hyperlink" Target="https://www.genome.jp/entry/R00086" TargetMode="External"/><Relationship Id="rId878" Type="http://schemas.openxmlformats.org/officeDocument/2006/relationships/hyperlink" Target="https://www.genome.jp/entry/3.4.11.23" TargetMode="External"/><Relationship Id="rId1063" Type="http://schemas.openxmlformats.org/officeDocument/2006/relationships/hyperlink" Target="https://www.genome.jp/entry/R04001" TargetMode="External"/><Relationship Id="rId1270" Type="http://schemas.openxmlformats.org/officeDocument/2006/relationships/hyperlink" Target="https://www.genome.jp/entry/2.6.1.42" TargetMode="External"/><Relationship Id="rId640" Type="http://schemas.openxmlformats.org/officeDocument/2006/relationships/hyperlink" Target="https://www.genome.jp/entry/R05633" TargetMode="External"/><Relationship Id="rId738" Type="http://schemas.openxmlformats.org/officeDocument/2006/relationships/hyperlink" Target="https://www.genome.jp/entry/2.7.1.51" TargetMode="External"/><Relationship Id="rId945" Type="http://schemas.openxmlformats.org/officeDocument/2006/relationships/hyperlink" Target="https://www.genome.jp/entry/2.7.7.7" TargetMode="External"/><Relationship Id="rId1368" Type="http://schemas.openxmlformats.org/officeDocument/2006/relationships/hyperlink" Target="https://www.genome.jp/entry/R03321" TargetMode="External"/><Relationship Id="rId1575" Type="http://schemas.openxmlformats.org/officeDocument/2006/relationships/hyperlink" Target="https://www.genome.jp/entry/2.4.1.21" TargetMode="External"/><Relationship Id="rId1782" Type="http://schemas.openxmlformats.org/officeDocument/2006/relationships/hyperlink" Target="https://www.genome.jp/entry/2.7.7.7" TargetMode="External"/><Relationship Id="rId74" Type="http://schemas.openxmlformats.org/officeDocument/2006/relationships/hyperlink" Target="https://www.genome.jp/entry/2.7.7.7" TargetMode="External"/><Relationship Id="rId500" Type="http://schemas.openxmlformats.org/officeDocument/2006/relationships/hyperlink" Target="https://www.genome.jp/entry/2.4.2.1" TargetMode="External"/><Relationship Id="rId805" Type="http://schemas.openxmlformats.org/officeDocument/2006/relationships/hyperlink" Target="https://www.genome.jp/entry/R00137" TargetMode="External"/><Relationship Id="rId1130" Type="http://schemas.openxmlformats.org/officeDocument/2006/relationships/hyperlink" Target="https://www.genome.jp/entry/4.2.1.59" TargetMode="External"/><Relationship Id="rId1228" Type="http://schemas.openxmlformats.org/officeDocument/2006/relationships/hyperlink" Target="https://www.genome.jp/entry/R09372" TargetMode="External"/><Relationship Id="rId1435" Type="http://schemas.openxmlformats.org/officeDocument/2006/relationships/hyperlink" Target="https://www.genome.jp/entry/R05644" TargetMode="External"/><Relationship Id="rId1642" Type="http://schemas.openxmlformats.org/officeDocument/2006/relationships/hyperlink" Target="https://www.genome.jp/entry/R03815" TargetMode="External"/><Relationship Id="rId1502" Type="http://schemas.openxmlformats.org/officeDocument/2006/relationships/hyperlink" Target="https://www.genome.jp/entry/6.3.3.3" TargetMode="External"/><Relationship Id="rId1807" Type="http://schemas.openxmlformats.org/officeDocument/2006/relationships/hyperlink" Target="https://www.genome.jp/entry/6.2.1.22" TargetMode="External"/><Relationship Id="rId290" Type="http://schemas.openxmlformats.org/officeDocument/2006/relationships/hyperlink" Target="https://www.genome.jp/entry/R03655" TargetMode="External"/><Relationship Id="rId388" Type="http://schemas.openxmlformats.org/officeDocument/2006/relationships/hyperlink" Target="https://www.genome.jp/entry/2.4.2.17" TargetMode="External"/><Relationship Id="rId150" Type="http://schemas.openxmlformats.org/officeDocument/2006/relationships/hyperlink" Target="https://www.genome.jp/entry/R05075" TargetMode="External"/><Relationship Id="rId595" Type="http://schemas.openxmlformats.org/officeDocument/2006/relationships/hyperlink" Target="https://www.genome.jp/entry/R12185" TargetMode="External"/><Relationship Id="rId248" Type="http://schemas.openxmlformats.org/officeDocument/2006/relationships/hyperlink" Target="https://www.genome.jp/entry/R04112" TargetMode="External"/><Relationship Id="rId455" Type="http://schemas.openxmlformats.org/officeDocument/2006/relationships/hyperlink" Target="https://www.genome.jp/entry/3.4.25.2" TargetMode="External"/><Relationship Id="rId662" Type="http://schemas.openxmlformats.org/officeDocument/2006/relationships/hyperlink" Target="https://www.genome.jp/entry/R00849" TargetMode="External"/><Relationship Id="rId1085" Type="http://schemas.openxmlformats.org/officeDocument/2006/relationships/hyperlink" Target="https://www.genome.jp/entry/3.4.23.36" TargetMode="External"/><Relationship Id="rId1292" Type="http://schemas.openxmlformats.org/officeDocument/2006/relationships/hyperlink" Target="https://www.genome.jp/entry/1.1.1.37" TargetMode="External"/><Relationship Id="rId108" Type="http://schemas.openxmlformats.org/officeDocument/2006/relationships/hyperlink" Target="https://www.genome.jp/entry/R04964" TargetMode="External"/><Relationship Id="rId315" Type="http://schemas.openxmlformats.org/officeDocument/2006/relationships/hyperlink" Target="https://www.genome.jp/entry/R04448" TargetMode="External"/><Relationship Id="rId522" Type="http://schemas.openxmlformats.org/officeDocument/2006/relationships/hyperlink" Target="https://www.genome.jp/entry/2.7.1.21" TargetMode="External"/><Relationship Id="rId967" Type="http://schemas.openxmlformats.org/officeDocument/2006/relationships/hyperlink" Target="https://www.genome.jp/entry/3.1.11.5" TargetMode="External"/><Relationship Id="rId1152" Type="http://schemas.openxmlformats.org/officeDocument/2006/relationships/hyperlink" Target="https://www.genome.jp/entry/R00573" TargetMode="External"/><Relationship Id="rId1597" Type="http://schemas.openxmlformats.org/officeDocument/2006/relationships/hyperlink" Target="https://www.genome.jp/entry/R01728" TargetMode="External"/><Relationship Id="rId96" Type="http://schemas.openxmlformats.org/officeDocument/2006/relationships/hyperlink" Target="https://www.genome.jp/entry/R04533" TargetMode="External"/><Relationship Id="rId827" Type="http://schemas.openxmlformats.org/officeDocument/2006/relationships/hyperlink" Target="https://www.genome.jp/entry/4.1.1.49" TargetMode="External"/><Relationship Id="rId1012" Type="http://schemas.openxmlformats.org/officeDocument/2006/relationships/hyperlink" Target="https://www.genome.jp/entry/6.1.1.5" TargetMode="External"/><Relationship Id="rId1457" Type="http://schemas.openxmlformats.org/officeDocument/2006/relationships/hyperlink" Target="https://www.genome.jp/entry/R04428" TargetMode="External"/><Relationship Id="rId1664" Type="http://schemas.openxmlformats.org/officeDocument/2006/relationships/hyperlink" Target="https://www.genome.jp/entry/R00966" TargetMode="External"/><Relationship Id="rId1317" Type="http://schemas.openxmlformats.org/officeDocument/2006/relationships/hyperlink" Target="https://www.genome.jp/entry/6.3.4.18" TargetMode="External"/><Relationship Id="rId1524" Type="http://schemas.openxmlformats.org/officeDocument/2006/relationships/hyperlink" Target="https://www.genome.jp/entry/4.2.1.20" TargetMode="External"/><Relationship Id="rId1731" Type="http://schemas.openxmlformats.org/officeDocument/2006/relationships/hyperlink" Target="https://www.genome.jp/entry/7.5.2.5" TargetMode="External"/><Relationship Id="rId23" Type="http://schemas.openxmlformats.org/officeDocument/2006/relationships/hyperlink" Target="https://www.genome.jp/entry/R02020" TargetMode="External"/><Relationship Id="rId1829" Type="http://schemas.openxmlformats.org/officeDocument/2006/relationships/hyperlink" Target="https://www.genome.jp/entry/R01983" TargetMode="External"/><Relationship Id="rId172" Type="http://schemas.openxmlformats.org/officeDocument/2006/relationships/hyperlink" Target="https://www.genome.jp/entry/6.3.4.15" TargetMode="External"/><Relationship Id="rId477" Type="http://schemas.openxmlformats.org/officeDocument/2006/relationships/hyperlink" Target="https://www.genome.jp/entry/R00435" TargetMode="External"/><Relationship Id="rId684" Type="http://schemas.openxmlformats.org/officeDocument/2006/relationships/hyperlink" Target="https://www.genome.jp/entry/R01470" TargetMode="External"/><Relationship Id="rId337" Type="http://schemas.openxmlformats.org/officeDocument/2006/relationships/hyperlink" Target="https://www.genome.jp/entry/2.7.7.7" TargetMode="External"/><Relationship Id="rId891" Type="http://schemas.openxmlformats.org/officeDocument/2006/relationships/hyperlink" Target="https://www.genome.jp/entry/R00330" TargetMode="External"/><Relationship Id="rId989" Type="http://schemas.openxmlformats.org/officeDocument/2006/relationships/hyperlink" Target="https://www.genome.jp/entry/R04586" TargetMode="External"/><Relationship Id="rId544" Type="http://schemas.openxmlformats.org/officeDocument/2006/relationships/hyperlink" Target="https://www.genome.jp/entry/3.5.1.5" TargetMode="External"/><Relationship Id="rId751" Type="http://schemas.openxmlformats.org/officeDocument/2006/relationships/hyperlink" Target="https://www.genome.jp/entry/R03661" TargetMode="External"/><Relationship Id="rId849" Type="http://schemas.openxmlformats.org/officeDocument/2006/relationships/hyperlink" Target="https://www.genome.jp/entry/R00311" TargetMode="External"/><Relationship Id="rId1174" Type="http://schemas.openxmlformats.org/officeDocument/2006/relationships/hyperlink" Target="https://www.genome.jp/entry/R01432" TargetMode="External"/><Relationship Id="rId1381" Type="http://schemas.openxmlformats.org/officeDocument/2006/relationships/hyperlink" Target="https://www.genome.jp/entry/R00659" TargetMode="External"/><Relationship Id="rId1479" Type="http://schemas.openxmlformats.org/officeDocument/2006/relationships/hyperlink" Target="https://www.genome.jp/entry/R03067" TargetMode="External"/><Relationship Id="rId1686" Type="http://schemas.openxmlformats.org/officeDocument/2006/relationships/hyperlink" Target="https://www.genome.jp/entry/R00704" TargetMode="External"/><Relationship Id="rId404" Type="http://schemas.openxmlformats.org/officeDocument/2006/relationships/hyperlink" Target="https://www.genome.jp/entry/4.2.1.19" TargetMode="External"/><Relationship Id="rId611" Type="http://schemas.openxmlformats.org/officeDocument/2006/relationships/hyperlink" Target="https://www.genome.jp/entry/4.3.2.2" TargetMode="External"/><Relationship Id="rId1034" Type="http://schemas.openxmlformats.org/officeDocument/2006/relationships/hyperlink" Target="https://www.genome.jp/entry/2.7.1.11" TargetMode="External"/><Relationship Id="rId1241" Type="http://schemas.openxmlformats.org/officeDocument/2006/relationships/hyperlink" Target="https://www.genome.jp/entry/R00256" TargetMode="External"/><Relationship Id="rId1339" Type="http://schemas.openxmlformats.org/officeDocument/2006/relationships/hyperlink" Target="https://www.genome.jp/entry/2.7.7.72" TargetMode="External"/><Relationship Id="rId709" Type="http://schemas.openxmlformats.org/officeDocument/2006/relationships/hyperlink" Target="https://www.genome.jp/entry/R11100" TargetMode="External"/><Relationship Id="rId916" Type="http://schemas.openxmlformats.org/officeDocument/2006/relationships/hyperlink" Target="https://www.genome.jp/entry/2.1.2.3" TargetMode="External"/><Relationship Id="rId1101" Type="http://schemas.openxmlformats.org/officeDocument/2006/relationships/hyperlink" Target="https://www.genome.jp/entry/2.2.1.1" TargetMode="External"/><Relationship Id="rId1546" Type="http://schemas.openxmlformats.org/officeDocument/2006/relationships/hyperlink" Target="https://www.genome.jp/entry/4.1.1.48" TargetMode="External"/><Relationship Id="rId1753" Type="http://schemas.openxmlformats.org/officeDocument/2006/relationships/hyperlink" Target="https://www.genome.jp/entry/3.6.4.12" TargetMode="External"/><Relationship Id="rId45" Type="http://schemas.openxmlformats.org/officeDocument/2006/relationships/hyperlink" Target="https://www.genome.jp/entry/R02734" TargetMode="External"/><Relationship Id="rId1406" Type="http://schemas.openxmlformats.org/officeDocument/2006/relationships/hyperlink" Target="https://www.genome.jp/entry/2.5.1.54" TargetMode="External"/><Relationship Id="rId1613" Type="http://schemas.openxmlformats.org/officeDocument/2006/relationships/hyperlink" Target="https://www.genome.jp/entry/R02237" TargetMode="External"/><Relationship Id="rId1820" Type="http://schemas.openxmlformats.org/officeDocument/2006/relationships/hyperlink" Target="https://www.genome.jp/entry/R12428" TargetMode="External"/><Relationship Id="rId194" Type="http://schemas.openxmlformats.org/officeDocument/2006/relationships/hyperlink" Target="https://www.genome.jp/entry/2.7.7.8" TargetMode="External"/><Relationship Id="rId261" Type="http://schemas.openxmlformats.org/officeDocument/2006/relationships/hyperlink" Target="https://www.genome.jp/entry/3.1.22.4" TargetMode="External"/><Relationship Id="rId499" Type="http://schemas.openxmlformats.org/officeDocument/2006/relationships/hyperlink" Target="https://www.genome.jp/entry/R01969" TargetMode="External"/><Relationship Id="rId359" Type="http://schemas.openxmlformats.org/officeDocument/2006/relationships/hyperlink" Target="https://www.genome.jp/entry/3.6.1.9" TargetMode="External"/><Relationship Id="rId566" Type="http://schemas.openxmlformats.org/officeDocument/2006/relationships/hyperlink" Target="https://www.genome.jp/entry/3.1.3.7" TargetMode="External"/><Relationship Id="rId773" Type="http://schemas.openxmlformats.org/officeDocument/2006/relationships/hyperlink" Target="https://www.genome.jp/entry/R00220" TargetMode="External"/><Relationship Id="rId1196" Type="http://schemas.openxmlformats.org/officeDocument/2006/relationships/hyperlink" Target="https://www.genome.jp/entry/6.3.2.9" TargetMode="External"/><Relationship Id="rId121" Type="http://schemas.openxmlformats.org/officeDocument/2006/relationships/hyperlink" Target="https://www.genome.jp/entry/1.8.1.7" TargetMode="External"/><Relationship Id="rId219" Type="http://schemas.openxmlformats.org/officeDocument/2006/relationships/hyperlink" Target="https://www.genome.jp/entry/1.3.1.98" TargetMode="External"/><Relationship Id="rId426" Type="http://schemas.openxmlformats.org/officeDocument/2006/relationships/hyperlink" Target="https://www.genome.jp/entry/7.1.2.2" TargetMode="External"/><Relationship Id="rId633" Type="http://schemas.openxmlformats.org/officeDocument/2006/relationships/hyperlink" Target="https://www.genome.jp/entry/R04780" TargetMode="External"/><Relationship Id="rId980" Type="http://schemas.openxmlformats.org/officeDocument/2006/relationships/hyperlink" Target="https://www.genome.jp/entry/R11896" TargetMode="External"/><Relationship Id="rId1056" Type="http://schemas.openxmlformats.org/officeDocument/2006/relationships/hyperlink" Target="https://www.genome.jp/entry/1.1.1.85" TargetMode="External"/><Relationship Id="rId1263" Type="http://schemas.openxmlformats.org/officeDocument/2006/relationships/hyperlink" Target="https://www.genome.jp/entry/R09959" TargetMode="External"/><Relationship Id="rId840" Type="http://schemas.openxmlformats.org/officeDocument/2006/relationships/hyperlink" Target="https://www.genome.jp/entry/2.4.1.129" TargetMode="External"/><Relationship Id="rId938" Type="http://schemas.openxmlformats.org/officeDocument/2006/relationships/hyperlink" Target="https://www.genome.jp/entry/R03657" TargetMode="External"/><Relationship Id="rId1470" Type="http://schemas.openxmlformats.org/officeDocument/2006/relationships/hyperlink" Target="https://www.genome.jp/entry/4.2.1.59" TargetMode="External"/><Relationship Id="rId1568" Type="http://schemas.openxmlformats.org/officeDocument/2006/relationships/hyperlink" Target="https://www.genome.jp/entry/7.3.2.1" TargetMode="External"/><Relationship Id="rId1775" Type="http://schemas.openxmlformats.org/officeDocument/2006/relationships/hyperlink" Target="https://www.genome.jp/entry/R00519" TargetMode="External"/><Relationship Id="rId67" Type="http://schemas.openxmlformats.org/officeDocument/2006/relationships/hyperlink" Target="https://www.genome.jp/entry/R00968" TargetMode="External"/><Relationship Id="rId700" Type="http://schemas.openxmlformats.org/officeDocument/2006/relationships/hyperlink" Target="https://www.genome.jp/entry/3.1.3.6" TargetMode="External"/><Relationship Id="rId1123" Type="http://schemas.openxmlformats.org/officeDocument/2006/relationships/hyperlink" Target="https://www.genome.jp/entry/R04535" TargetMode="External"/><Relationship Id="rId1330" Type="http://schemas.openxmlformats.org/officeDocument/2006/relationships/hyperlink" Target="https://www.genome.jp/entry/R02918" TargetMode="External"/><Relationship Id="rId1428" Type="http://schemas.openxmlformats.org/officeDocument/2006/relationships/hyperlink" Target="https://www.genome.jp/entry/2.3.1.41" TargetMode="External"/><Relationship Id="rId1635" Type="http://schemas.openxmlformats.org/officeDocument/2006/relationships/hyperlink" Target="https://www.genome.jp/entry/1.2.4.1" TargetMode="External"/><Relationship Id="rId1702" Type="http://schemas.openxmlformats.org/officeDocument/2006/relationships/hyperlink" Target="https://www.genome.jp/entry/1.17.4.1" TargetMode="External"/><Relationship Id="rId283" Type="http://schemas.openxmlformats.org/officeDocument/2006/relationships/hyperlink" Target="https://www.genome.jp/entry/R00418" TargetMode="External"/><Relationship Id="rId490" Type="http://schemas.openxmlformats.org/officeDocument/2006/relationships/hyperlink" Target="https://www.genome.jp/entry/2.4.2.1" TargetMode="External"/><Relationship Id="rId143" Type="http://schemas.openxmlformats.org/officeDocument/2006/relationships/hyperlink" Target="https://www.genome.jp/entry/1.4.1.4" TargetMode="External"/><Relationship Id="rId350" Type="http://schemas.openxmlformats.org/officeDocument/2006/relationships/hyperlink" Target="https://www.genome.jp/entry/R02094" TargetMode="External"/><Relationship Id="rId588" Type="http://schemas.openxmlformats.org/officeDocument/2006/relationships/hyperlink" Target="https://www.genome.jp/entry/2.1.3.3" TargetMode="External"/><Relationship Id="rId795" Type="http://schemas.openxmlformats.org/officeDocument/2006/relationships/hyperlink" Target="https://www.genome.jp/entry/5.1.1.7" TargetMode="External"/><Relationship Id="rId9" Type="http://schemas.openxmlformats.org/officeDocument/2006/relationships/hyperlink" Target="https://www.genome.jp/entry/R00435" TargetMode="External"/><Relationship Id="rId210" Type="http://schemas.openxmlformats.org/officeDocument/2006/relationships/hyperlink" Target="https://www.genome.jp/entry/2.3.1.15" TargetMode="External"/><Relationship Id="rId448" Type="http://schemas.openxmlformats.org/officeDocument/2006/relationships/hyperlink" Target="https://www.genome.jp/entry/R02135" TargetMode="External"/><Relationship Id="rId655" Type="http://schemas.openxmlformats.org/officeDocument/2006/relationships/hyperlink" Target="https://www.genome.jp/entry/1.1.1.86" TargetMode="External"/><Relationship Id="rId862" Type="http://schemas.openxmlformats.org/officeDocument/2006/relationships/hyperlink" Target="https://www.genome.jp/entry/6.3.3.2" TargetMode="External"/><Relationship Id="rId1078" Type="http://schemas.openxmlformats.org/officeDocument/2006/relationships/hyperlink" Target="https://www.genome.jp/entry/2.7.7.7" TargetMode="External"/><Relationship Id="rId1285" Type="http://schemas.openxmlformats.org/officeDocument/2006/relationships/hyperlink" Target="https://www.genome.jp/entry/R10806" TargetMode="External"/><Relationship Id="rId1492" Type="http://schemas.openxmlformats.org/officeDocument/2006/relationships/hyperlink" Target="https://www.genome.jp/entry/3.5.4.16" TargetMode="External"/><Relationship Id="rId308" Type="http://schemas.openxmlformats.org/officeDocument/2006/relationships/hyperlink" Target="https://www.genome.jp/entry/3.1.4.53" TargetMode="External"/><Relationship Id="rId515" Type="http://schemas.openxmlformats.org/officeDocument/2006/relationships/hyperlink" Target="https://www.genome.jp/entry/R02568" TargetMode="External"/><Relationship Id="rId722" Type="http://schemas.openxmlformats.org/officeDocument/2006/relationships/hyperlink" Target="https://www.genome.jp/entry/1.1.1.94" TargetMode="External"/><Relationship Id="rId1145" Type="http://schemas.openxmlformats.org/officeDocument/2006/relationships/hyperlink" Target="https://www.genome.jp/entry/R05712" TargetMode="External"/><Relationship Id="rId1352" Type="http://schemas.openxmlformats.org/officeDocument/2006/relationships/hyperlink" Target="https://www.genome.jp/entry/R03050" TargetMode="External"/><Relationship Id="rId1797" Type="http://schemas.openxmlformats.org/officeDocument/2006/relationships/hyperlink" Target="https://www.genome.jp/entry/2.8.3.10" TargetMode="External"/><Relationship Id="rId89" Type="http://schemas.openxmlformats.org/officeDocument/2006/relationships/hyperlink" Target="https://www.genome.jp/entry/4.1.3.3" TargetMode="External"/><Relationship Id="rId1005" Type="http://schemas.openxmlformats.org/officeDocument/2006/relationships/hyperlink" Target="https://www.genome.jp/entry/R10831" TargetMode="External"/><Relationship Id="rId1212" Type="http://schemas.openxmlformats.org/officeDocument/2006/relationships/hyperlink" Target="https://www.genome.jp/entry/3.5.1.108" TargetMode="External"/><Relationship Id="rId1657" Type="http://schemas.openxmlformats.org/officeDocument/2006/relationships/hyperlink" Target="https://www.genome.jp/entry/2.7.7.7" TargetMode="External"/><Relationship Id="rId1517" Type="http://schemas.openxmlformats.org/officeDocument/2006/relationships/hyperlink" Target="https://www.genome.jp/entry/5.4.99.26" TargetMode="External"/><Relationship Id="rId1724" Type="http://schemas.openxmlformats.org/officeDocument/2006/relationships/hyperlink" Target="https://www.genome.jp/entry/7.3.2.5" TargetMode="External"/><Relationship Id="rId16" Type="http://schemas.openxmlformats.org/officeDocument/2006/relationships/hyperlink" Target="https://www.genome.jp/entry/2.7.7.89" TargetMode="External"/><Relationship Id="rId165" Type="http://schemas.openxmlformats.org/officeDocument/2006/relationships/hyperlink" Target="https://www.genome.jp/entry/3.4.24.70" TargetMode="External"/><Relationship Id="rId372" Type="http://schemas.openxmlformats.org/officeDocument/2006/relationships/hyperlink" Target="https://www.genome.jp/entry/R00160" TargetMode="External"/><Relationship Id="rId677" Type="http://schemas.openxmlformats.org/officeDocument/2006/relationships/hyperlink" Target="https://www.genome.jp/entry/1.1.5.3" TargetMode="External"/><Relationship Id="rId232" Type="http://schemas.openxmlformats.org/officeDocument/2006/relationships/hyperlink" Target="https://www.genome.jp/entry/R08229" TargetMode="External"/><Relationship Id="rId884" Type="http://schemas.openxmlformats.org/officeDocument/2006/relationships/hyperlink" Target="https://www.genome.jp/entry/2.7.4.6" TargetMode="External"/><Relationship Id="rId537" Type="http://schemas.openxmlformats.org/officeDocument/2006/relationships/hyperlink" Target="https://www.genome.jp/entry/R06134" TargetMode="External"/><Relationship Id="rId744" Type="http://schemas.openxmlformats.org/officeDocument/2006/relationships/hyperlink" Target="https://www.genome.jp/entry/3.4.21.105" TargetMode="External"/><Relationship Id="rId951" Type="http://schemas.openxmlformats.org/officeDocument/2006/relationships/hyperlink" Target="https://www.genome.jp/entry/6.1.1.14" TargetMode="External"/><Relationship Id="rId1167" Type="http://schemas.openxmlformats.org/officeDocument/2006/relationships/hyperlink" Target="https://www.genome.jp/entry/5.3.1.5" TargetMode="External"/><Relationship Id="rId1374" Type="http://schemas.openxmlformats.org/officeDocument/2006/relationships/hyperlink" Target="https://www.genome.jp/entry/2.7.1.40" TargetMode="External"/><Relationship Id="rId1581" Type="http://schemas.openxmlformats.org/officeDocument/2006/relationships/hyperlink" Target="https://www.genome.jp/entry/2.4.1.18" TargetMode="External"/><Relationship Id="rId1679" Type="http://schemas.openxmlformats.org/officeDocument/2006/relationships/hyperlink" Target="https://www.genome.jp/entry/4.3.3.6" TargetMode="External"/><Relationship Id="rId80" Type="http://schemas.openxmlformats.org/officeDocument/2006/relationships/hyperlink" Target="https://www.genome.jp/entry/2.7.7.7" TargetMode="External"/><Relationship Id="rId604" Type="http://schemas.openxmlformats.org/officeDocument/2006/relationships/hyperlink" Target="https://www.genome.jp/entry/3.1.4.16" TargetMode="External"/><Relationship Id="rId811" Type="http://schemas.openxmlformats.org/officeDocument/2006/relationships/hyperlink" Target="https://www.genome.jp/entry/2.1.1.171" TargetMode="External"/><Relationship Id="rId1027" Type="http://schemas.openxmlformats.org/officeDocument/2006/relationships/hyperlink" Target="https://www.genome.jp/entry/R00742" TargetMode="External"/><Relationship Id="rId1234" Type="http://schemas.openxmlformats.org/officeDocument/2006/relationships/hyperlink" Target="https://www.genome.jp/entry/2.6.1.9" TargetMode="External"/><Relationship Id="rId1441" Type="http://schemas.openxmlformats.org/officeDocument/2006/relationships/hyperlink" Target="https://www.genome.jp/entry/R00617" TargetMode="External"/><Relationship Id="rId909" Type="http://schemas.openxmlformats.org/officeDocument/2006/relationships/hyperlink" Target="https://www.genome.jp/entry/R12853" TargetMode="External"/><Relationship Id="rId1301" Type="http://schemas.openxmlformats.org/officeDocument/2006/relationships/hyperlink" Target="https://www.genome.jp/entry/3.2.2.9" TargetMode="External"/><Relationship Id="rId1539" Type="http://schemas.openxmlformats.org/officeDocument/2006/relationships/hyperlink" Target="https://www.genome.jp/entry/R01082" TargetMode="External"/><Relationship Id="rId1746" Type="http://schemas.openxmlformats.org/officeDocument/2006/relationships/hyperlink" Target="https://www.genome.jp/entry/3.5.2.9" TargetMode="External"/><Relationship Id="rId38" Type="http://schemas.openxmlformats.org/officeDocument/2006/relationships/hyperlink" Target="https://www.genome.jp/entry/1.1.1.3" TargetMode="External"/><Relationship Id="rId1606" Type="http://schemas.openxmlformats.org/officeDocument/2006/relationships/hyperlink" Target="https://www.genome.jp/entry/R04090" TargetMode="External"/><Relationship Id="rId1813" Type="http://schemas.openxmlformats.org/officeDocument/2006/relationships/hyperlink" Target="https://www.genome.jp/entry/2.8.1.8" TargetMode="External"/><Relationship Id="rId187" Type="http://schemas.openxmlformats.org/officeDocument/2006/relationships/hyperlink" Target="https://www.genome.jp/entry/R07282" TargetMode="External"/><Relationship Id="rId394" Type="http://schemas.openxmlformats.org/officeDocument/2006/relationships/hyperlink" Target="https://www.genome.jp/entry/1.1.1.23" TargetMode="External"/><Relationship Id="rId254" Type="http://schemas.openxmlformats.org/officeDocument/2006/relationships/hyperlink" Target="https://www.genome.jp/entry/R01251" TargetMode="External"/><Relationship Id="rId699" Type="http://schemas.openxmlformats.org/officeDocument/2006/relationships/hyperlink" Target="https://www.genome.jp/entry/R01877" TargetMode="External"/><Relationship Id="rId1091" Type="http://schemas.openxmlformats.org/officeDocument/2006/relationships/hyperlink" Target="https://www.genome.jp/entry/2.8.1.6" TargetMode="External"/><Relationship Id="rId114" Type="http://schemas.openxmlformats.org/officeDocument/2006/relationships/hyperlink" Target="https://www.genome.jp/entry/R10120" TargetMode="External"/><Relationship Id="rId461" Type="http://schemas.openxmlformats.org/officeDocument/2006/relationships/hyperlink" Target="https://www.genome.jp/entry/R02750" TargetMode="External"/><Relationship Id="rId559" Type="http://schemas.openxmlformats.org/officeDocument/2006/relationships/hyperlink" Target="https://www.genome.jp/entry/R10716" TargetMode="External"/><Relationship Id="rId766" Type="http://schemas.openxmlformats.org/officeDocument/2006/relationships/hyperlink" Target="https://www.genome.jp/entry/4.3.1.19" TargetMode="External"/><Relationship Id="rId1189" Type="http://schemas.openxmlformats.org/officeDocument/2006/relationships/hyperlink" Target="https://www.genome.jp/entry/R04573" TargetMode="External"/><Relationship Id="rId1396" Type="http://schemas.openxmlformats.org/officeDocument/2006/relationships/hyperlink" Target="https://www.genome.jp/entry/2.3.1.47" TargetMode="External"/><Relationship Id="rId321" Type="http://schemas.openxmlformats.org/officeDocument/2006/relationships/hyperlink" Target="https://www.genome.jp/entry/2.7.8.8" TargetMode="External"/><Relationship Id="rId419" Type="http://schemas.openxmlformats.org/officeDocument/2006/relationships/hyperlink" Target="https://www.genome.jp/entry/R12152" TargetMode="External"/><Relationship Id="rId626" Type="http://schemas.openxmlformats.org/officeDocument/2006/relationships/hyperlink" Target="https://www.genome.jp/entry/1.1.1.25" TargetMode="External"/><Relationship Id="rId973" Type="http://schemas.openxmlformats.org/officeDocument/2006/relationships/hyperlink" Target="https://www.genome.jp/entry/4.1.1.36" TargetMode="External"/><Relationship Id="rId1049" Type="http://schemas.openxmlformats.org/officeDocument/2006/relationships/hyperlink" Target="https://www.genome.jp/entry/R03239" TargetMode="External"/><Relationship Id="rId1256" Type="http://schemas.openxmlformats.org/officeDocument/2006/relationships/hyperlink" Target="https://www.genome.jp/entry/R05645" TargetMode="External"/><Relationship Id="rId833" Type="http://schemas.openxmlformats.org/officeDocument/2006/relationships/hyperlink" Target="https://www.genome.jp/entry/6.1.1.7" TargetMode="External"/><Relationship Id="rId1116" Type="http://schemas.openxmlformats.org/officeDocument/2006/relationships/hyperlink" Target="https://www.genome.jp/entry/2.3.1.129" TargetMode="External"/><Relationship Id="rId1463" Type="http://schemas.openxmlformats.org/officeDocument/2006/relationships/hyperlink" Target="https://www.genome.jp/entry/R04544" TargetMode="External"/><Relationship Id="rId1670" Type="http://schemas.openxmlformats.org/officeDocument/2006/relationships/hyperlink" Target="https://www.genome.jp/entry/R01665" TargetMode="External"/><Relationship Id="rId1768" Type="http://schemas.openxmlformats.org/officeDocument/2006/relationships/hyperlink" Target="https://www.genome.jp/entry/2.7.7.6" TargetMode="External"/><Relationship Id="rId900" Type="http://schemas.openxmlformats.org/officeDocument/2006/relationships/hyperlink" Target="https://www.genome.jp/entry/2.7.4.6" TargetMode="External"/><Relationship Id="rId1323" Type="http://schemas.openxmlformats.org/officeDocument/2006/relationships/hyperlink" Target="https://www.genome.jp/entry/3.4.11.2" TargetMode="External"/><Relationship Id="rId1530" Type="http://schemas.openxmlformats.org/officeDocument/2006/relationships/hyperlink" Target="https://www.genome.jp/entry/6.3.3.1" TargetMode="External"/><Relationship Id="rId1628" Type="http://schemas.openxmlformats.org/officeDocument/2006/relationships/hyperlink" Target="https://www.genome.jp/entry/R03313" TargetMode="External"/><Relationship Id="rId276" Type="http://schemas.openxmlformats.org/officeDocument/2006/relationships/hyperlink" Target="https://www.genome.jp/entry/2.7.4.3" TargetMode="External"/><Relationship Id="rId483" Type="http://schemas.openxmlformats.org/officeDocument/2006/relationships/hyperlink" Target="https://www.genome.jp/entry/R00443" TargetMode="External"/><Relationship Id="rId690" Type="http://schemas.openxmlformats.org/officeDocument/2006/relationships/hyperlink" Target="https://www.genome.jp/entry/R01229" TargetMode="External"/><Relationship Id="rId136" Type="http://schemas.openxmlformats.org/officeDocument/2006/relationships/hyperlink" Target="https://www.genome.jp/entry/R01201" TargetMode="External"/><Relationship Id="rId343" Type="http://schemas.openxmlformats.org/officeDocument/2006/relationships/hyperlink" Target="https://www.genome.jp/entry/2.7.7.7" TargetMode="External"/><Relationship Id="rId550" Type="http://schemas.openxmlformats.org/officeDocument/2006/relationships/hyperlink" Target="https://www.genome.jp/entry/3.5.1.5" TargetMode="External"/><Relationship Id="rId788" Type="http://schemas.openxmlformats.org/officeDocument/2006/relationships/hyperlink" Target="https://www.genome.jp/entry/2.3.1.15" TargetMode="External"/><Relationship Id="rId995" Type="http://schemas.openxmlformats.org/officeDocument/2006/relationships/hyperlink" Target="https://www.genome.jp/entry/R06004" TargetMode="External"/><Relationship Id="rId1180" Type="http://schemas.openxmlformats.org/officeDocument/2006/relationships/hyperlink" Target="https://www.genome.jp/entry/R01066" TargetMode="External"/><Relationship Id="rId203" Type="http://schemas.openxmlformats.org/officeDocument/2006/relationships/hyperlink" Target="https://www.genome.jp/entry/R12570" TargetMode="External"/><Relationship Id="rId648" Type="http://schemas.openxmlformats.org/officeDocument/2006/relationships/hyperlink" Target="https://www.genome.jp/entry/R01931" TargetMode="External"/><Relationship Id="rId855" Type="http://schemas.openxmlformats.org/officeDocument/2006/relationships/hyperlink" Target="https://www.genome.jp/entry/R00376" TargetMode="External"/><Relationship Id="rId1040" Type="http://schemas.openxmlformats.org/officeDocument/2006/relationships/hyperlink" Target="https://www.genome.jp/entry/2.7.1.11" TargetMode="External"/><Relationship Id="rId1278" Type="http://schemas.openxmlformats.org/officeDocument/2006/relationships/hyperlink" Target="https://www.genome.jp/entry/R02404" TargetMode="External"/><Relationship Id="rId1485" Type="http://schemas.openxmlformats.org/officeDocument/2006/relationships/hyperlink" Target="https://www.genome.jp/entry/R07459" TargetMode="External"/><Relationship Id="rId1692" Type="http://schemas.openxmlformats.org/officeDocument/2006/relationships/hyperlink" Target="https://www.genome.jp/entry/1.17.4.1" TargetMode="External"/><Relationship Id="rId410" Type="http://schemas.openxmlformats.org/officeDocument/2006/relationships/hyperlink" Target="https://www.genome.jp/entry/4.3.2.10" TargetMode="External"/><Relationship Id="rId508" Type="http://schemas.openxmlformats.org/officeDocument/2006/relationships/hyperlink" Target="https://www.genome.jp/entry/4.1.2.13" TargetMode="External"/><Relationship Id="rId715" Type="http://schemas.openxmlformats.org/officeDocument/2006/relationships/hyperlink" Target="https://www.genome.jp/entry/R04273" TargetMode="External"/><Relationship Id="rId922" Type="http://schemas.openxmlformats.org/officeDocument/2006/relationships/hyperlink" Target="https://www.genome.jp/entry/R00130" TargetMode="External"/><Relationship Id="rId1138" Type="http://schemas.openxmlformats.org/officeDocument/2006/relationships/hyperlink" Target="https://www.genome.jp/entry/2.7.4.22" TargetMode="External"/><Relationship Id="rId1345" Type="http://schemas.openxmlformats.org/officeDocument/2006/relationships/hyperlink" Target="https://www.genome.jp/entry/2.2.1.6" TargetMode="External"/><Relationship Id="rId1552" Type="http://schemas.openxmlformats.org/officeDocument/2006/relationships/hyperlink" Target="https://www.genome.jp/entry/4.1.3.27" TargetMode="External"/><Relationship Id="rId1205" Type="http://schemas.openxmlformats.org/officeDocument/2006/relationships/hyperlink" Target="https://www.genome.jp/entry/R06172" TargetMode="External"/><Relationship Id="rId51" Type="http://schemas.openxmlformats.org/officeDocument/2006/relationships/hyperlink" Target="https://www.genome.jp/entry/R07234" TargetMode="External"/><Relationship Id="rId1412" Type="http://schemas.openxmlformats.org/officeDocument/2006/relationships/hyperlink" Target="https://www.genome.jp/entry/2.3.1.41" TargetMode="External"/><Relationship Id="rId1717" Type="http://schemas.openxmlformats.org/officeDocument/2006/relationships/hyperlink" Target="https://www.genome.jp/entry/2.8.1.12" TargetMode="External"/><Relationship Id="rId298" Type="http://schemas.openxmlformats.org/officeDocument/2006/relationships/hyperlink" Target="https://www.genome.jp/entry/2.3.1.234" TargetMode="External"/><Relationship Id="rId158" Type="http://schemas.openxmlformats.org/officeDocument/2006/relationships/hyperlink" Target="https://www.genome.jp/entry/R02412" TargetMode="External"/><Relationship Id="rId365" Type="http://schemas.openxmlformats.org/officeDocument/2006/relationships/hyperlink" Target="https://www.genome.jp/entry/3.6.1.9" TargetMode="External"/><Relationship Id="rId572" Type="http://schemas.openxmlformats.org/officeDocument/2006/relationships/hyperlink" Target="https://www.genome.jp/entry/3.1.3.18" TargetMode="External"/><Relationship Id="rId225" Type="http://schemas.openxmlformats.org/officeDocument/2006/relationships/hyperlink" Target="https://www.genome.jp/entry/6.1.1.17" TargetMode="External"/><Relationship Id="rId432" Type="http://schemas.openxmlformats.org/officeDocument/2006/relationships/hyperlink" Target="https://www.genome.jp/entry/7.1.2.2" TargetMode="External"/><Relationship Id="rId877" Type="http://schemas.openxmlformats.org/officeDocument/2006/relationships/hyperlink" Target="https://www.genome.jp/entry/R06513" TargetMode="External"/><Relationship Id="rId1062" Type="http://schemas.openxmlformats.org/officeDocument/2006/relationships/hyperlink" Target="https://www.genome.jp/entry/4.2.1.33" TargetMode="External"/><Relationship Id="rId737" Type="http://schemas.openxmlformats.org/officeDocument/2006/relationships/hyperlink" Target="https://www.genome.jp/entry/R03241" TargetMode="External"/><Relationship Id="rId944" Type="http://schemas.openxmlformats.org/officeDocument/2006/relationships/hyperlink" Target="https://www.genome.jp/entry/R00376" TargetMode="External"/><Relationship Id="rId1367" Type="http://schemas.openxmlformats.org/officeDocument/2006/relationships/hyperlink" Target="https://www.genome.jp/entry/5.3.1.9" TargetMode="External"/><Relationship Id="rId1574" Type="http://schemas.openxmlformats.org/officeDocument/2006/relationships/hyperlink" Target="https://www.genome.jp/entry/1.6.1.2" TargetMode="External"/><Relationship Id="rId1781" Type="http://schemas.openxmlformats.org/officeDocument/2006/relationships/hyperlink" Target="https://www.genome.jp/entry/R00375" TargetMode="External"/><Relationship Id="rId73" Type="http://schemas.openxmlformats.org/officeDocument/2006/relationships/hyperlink" Target="https://www.genome.jp/entry/R00379" TargetMode="External"/><Relationship Id="rId804" Type="http://schemas.openxmlformats.org/officeDocument/2006/relationships/hyperlink" Target="https://www.genome.jp/entry/2.7.7.1" TargetMode="External"/><Relationship Id="rId1227" Type="http://schemas.openxmlformats.org/officeDocument/2006/relationships/hyperlink" Target="https://www.genome.jp/entry/1.8.1.9" TargetMode="External"/><Relationship Id="rId1434" Type="http://schemas.openxmlformats.org/officeDocument/2006/relationships/hyperlink" Target="https://www.genome.jp/entry/2.7.7.70" TargetMode="External"/><Relationship Id="rId1641" Type="http://schemas.openxmlformats.org/officeDocument/2006/relationships/hyperlink" Target="https://www.genome.jp/entry/1.8.1.4" TargetMode="External"/><Relationship Id="rId1501" Type="http://schemas.openxmlformats.org/officeDocument/2006/relationships/hyperlink" Target="https://www.genome.jp/entry/R12933" TargetMode="External"/><Relationship Id="rId1739" Type="http://schemas.openxmlformats.org/officeDocument/2006/relationships/hyperlink" Target="https://www.genome.jp/entry/2.7.3.9" TargetMode="External"/><Relationship Id="rId1806" Type="http://schemas.openxmlformats.org/officeDocument/2006/relationships/hyperlink" Target="https://www.genome.jp/entry/R00362" TargetMode="External"/><Relationship Id="rId387" Type="http://schemas.openxmlformats.org/officeDocument/2006/relationships/hyperlink" Target="https://www.genome.jp/entry/R08198" TargetMode="External"/><Relationship Id="rId594" Type="http://schemas.openxmlformats.org/officeDocument/2006/relationships/hyperlink" Target="https://www.genome.jp/entry/2.7.2.2" TargetMode="External"/><Relationship Id="rId247" Type="http://schemas.openxmlformats.org/officeDocument/2006/relationships/hyperlink" Target="https://www.genome.jp/entry/3.5.1.28" TargetMode="External"/><Relationship Id="rId899" Type="http://schemas.openxmlformats.org/officeDocument/2006/relationships/hyperlink" Target="https://www.genome.jp/entry/R01857" TargetMode="External"/><Relationship Id="rId1084" Type="http://schemas.openxmlformats.org/officeDocument/2006/relationships/hyperlink" Target="https://www.genome.jp/entry/3.1.26.5" TargetMode="External"/><Relationship Id="rId107" Type="http://schemas.openxmlformats.org/officeDocument/2006/relationships/hyperlink" Target="https://www.genome.jp/entry/1.1.1.100" TargetMode="External"/><Relationship Id="rId454" Type="http://schemas.openxmlformats.org/officeDocument/2006/relationships/hyperlink" Target="https://www.genome.jp/entry/R01010" TargetMode="External"/><Relationship Id="rId661" Type="http://schemas.openxmlformats.org/officeDocument/2006/relationships/hyperlink" Target="https://www.genome.jp/entry/1.1.5.3" TargetMode="External"/><Relationship Id="rId759" Type="http://schemas.openxmlformats.org/officeDocument/2006/relationships/hyperlink" Target="https://www.genome.jp/entry/R04549" TargetMode="External"/><Relationship Id="rId966" Type="http://schemas.openxmlformats.org/officeDocument/2006/relationships/hyperlink" Target="https://www.genome.jp/entry/R01187" TargetMode="External"/><Relationship Id="rId1291" Type="http://schemas.openxmlformats.org/officeDocument/2006/relationships/hyperlink" Target="https://www.genome.jp/entry/R00342" TargetMode="External"/><Relationship Id="rId1389" Type="http://schemas.openxmlformats.org/officeDocument/2006/relationships/hyperlink" Target="https://www.genome.jp/entry/R02320" TargetMode="External"/><Relationship Id="rId1596" Type="http://schemas.openxmlformats.org/officeDocument/2006/relationships/hyperlink" Target="https://www.genome.jp/entry/1.3.1.12" TargetMode="External"/><Relationship Id="rId314" Type="http://schemas.openxmlformats.org/officeDocument/2006/relationships/hyperlink" Target="https://www.genome.jp/entry/2.7.1.50" TargetMode="External"/><Relationship Id="rId521" Type="http://schemas.openxmlformats.org/officeDocument/2006/relationships/hyperlink" Target="https://www.genome.jp/entry/R02099" TargetMode="External"/><Relationship Id="rId619" Type="http://schemas.openxmlformats.org/officeDocument/2006/relationships/hyperlink" Target="https://www.genome.jp/entry/1.2.1.11" TargetMode="External"/><Relationship Id="rId1151" Type="http://schemas.openxmlformats.org/officeDocument/2006/relationships/hyperlink" Target="https://www.genome.jp/entry/6.3.4.2" TargetMode="External"/><Relationship Id="rId1249" Type="http://schemas.openxmlformats.org/officeDocument/2006/relationships/hyperlink" Target="https://www.genome.jp/entry/R04771" TargetMode="External"/><Relationship Id="rId95" Type="http://schemas.openxmlformats.org/officeDocument/2006/relationships/hyperlink" Target="https://www.genome.jp/entry/1.1.1.100" TargetMode="External"/><Relationship Id="rId826" Type="http://schemas.openxmlformats.org/officeDocument/2006/relationships/hyperlink" Target="https://www.genome.jp/entry/R05688" TargetMode="External"/><Relationship Id="rId1011" Type="http://schemas.openxmlformats.org/officeDocument/2006/relationships/hyperlink" Target="https://www.genome.jp/entry/R12963" TargetMode="External"/><Relationship Id="rId1109" Type="http://schemas.openxmlformats.org/officeDocument/2006/relationships/hyperlink" Target="https://www.genome.jp/entry/1.8.5.3" TargetMode="External"/><Relationship Id="rId1456" Type="http://schemas.openxmlformats.org/officeDocument/2006/relationships/hyperlink" Target="https://www.genome.jp/entry/4.2.1.59" TargetMode="External"/><Relationship Id="rId1663" Type="http://schemas.openxmlformats.org/officeDocument/2006/relationships/hyperlink" Target="https://www.genome.jp/entry/2.4.2.9" TargetMode="External"/><Relationship Id="rId1316" Type="http://schemas.openxmlformats.org/officeDocument/2006/relationships/hyperlink" Target="https://www.genome.jp/entry/R01135" TargetMode="External"/><Relationship Id="rId1523" Type="http://schemas.openxmlformats.org/officeDocument/2006/relationships/hyperlink" Target="https://www.genome.jp/entry/R02722" TargetMode="External"/><Relationship Id="rId1730" Type="http://schemas.openxmlformats.org/officeDocument/2006/relationships/hyperlink" Target="https://www.genome.jp/entry/7.5.2.5" TargetMode="External"/><Relationship Id="rId22" Type="http://schemas.openxmlformats.org/officeDocument/2006/relationships/hyperlink" Target="https://www.genome.jp/entry/1.17.4.2" TargetMode="External"/><Relationship Id="rId1828" Type="http://schemas.openxmlformats.org/officeDocument/2006/relationships/hyperlink" Target="https://www.genome.jp/entry/5.3.1.12" TargetMode="External"/><Relationship Id="rId171" Type="http://schemas.openxmlformats.org/officeDocument/2006/relationships/hyperlink" Target="https://www.genome.jp/entry/R01074" TargetMode="External"/><Relationship Id="rId269" Type="http://schemas.openxmlformats.org/officeDocument/2006/relationships/hyperlink" Target="https://www.genome.jp/entry/R00429" TargetMode="External"/><Relationship Id="rId476" Type="http://schemas.openxmlformats.org/officeDocument/2006/relationships/hyperlink" Target="https://www.genome.jp/entry/2.7.7.6" TargetMode="External"/><Relationship Id="rId683" Type="http://schemas.openxmlformats.org/officeDocument/2006/relationships/hyperlink" Target="https://www.genome.jp/entry/3.1.4.46" TargetMode="External"/><Relationship Id="rId890" Type="http://schemas.openxmlformats.org/officeDocument/2006/relationships/hyperlink" Target="https://www.genome.jp/entry/2.7.4.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selection activeCell="B1" sqref="B1"/>
    </sheetView>
  </sheetViews>
  <sheetFormatPr defaultColWidth="12.6328125" defaultRowHeight="15" customHeight="1" x14ac:dyDescent="0.25"/>
  <cols>
    <col min="1" max="1" width="18.453125" customWidth="1"/>
    <col min="2" max="2" width="17.90625" customWidth="1"/>
    <col min="3" max="3" width="16.26953125" customWidth="1"/>
    <col min="4" max="6" width="12.6328125" customWidth="1"/>
  </cols>
  <sheetData>
    <row r="1" spans="1:3" ht="15.75" customHeight="1" x14ac:dyDescent="0.35">
      <c r="A1" s="1" t="s">
        <v>0</v>
      </c>
      <c r="B1" s="2" t="s">
        <v>1</v>
      </c>
      <c r="C1" s="1"/>
    </row>
    <row r="2" spans="1:3" ht="15.75" customHeight="1" x14ac:dyDescent="0.35">
      <c r="A2" s="1" t="s">
        <v>2</v>
      </c>
      <c r="B2" s="3" t="s">
        <v>3</v>
      </c>
      <c r="C2" s="1"/>
    </row>
    <row r="3" spans="1:3" ht="15.75" customHeight="1" x14ac:dyDescent="0.35">
      <c r="A3" s="1" t="s">
        <v>4</v>
      </c>
      <c r="B3" s="3" t="s">
        <v>5</v>
      </c>
      <c r="C3" s="1"/>
    </row>
    <row r="4" spans="1:3" ht="15.75" customHeight="1" x14ac:dyDescent="0.35">
      <c r="A4" s="1" t="s">
        <v>6</v>
      </c>
      <c r="B4" s="4"/>
      <c r="C4" s="1"/>
    </row>
    <row r="5" spans="1:3" ht="15.75" customHeight="1" x14ac:dyDescent="0.35">
      <c r="A5" s="1" t="s">
        <v>7</v>
      </c>
      <c r="B5" s="5" t="s">
        <v>8</v>
      </c>
      <c r="C5" s="1"/>
    </row>
    <row r="6" spans="1:3" ht="15.75" customHeight="1" x14ac:dyDescent="0.35">
      <c r="A6" s="1" t="s">
        <v>9</v>
      </c>
      <c r="B6" s="2" t="s">
        <v>10</v>
      </c>
      <c r="C6" s="1"/>
    </row>
    <row r="7" spans="1:3" ht="15.75" customHeight="1" x14ac:dyDescent="0.35">
      <c r="A7" s="1"/>
      <c r="B7" s="6" t="s">
        <v>11</v>
      </c>
      <c r="C7" s="6" t="s">
        <v>12</v>
      </c>
    </row>
    <row r="8" spans="1:3" ht="15.75" customHeight="1" x14ac:dyDescent="0.35">
      <c r="A8" s="1" t="s">
        <v>13</v>
      </c>
      <c r="B8" s="7" t="s">
        <v>14</v>
      </c>
      <c r="C8" s="8" t="s">
        <v>15</v>
      </c>
    </row>
    <row r="9" spans="1:3" ht="15.75" customHeight="1" x14ac:dyDescent="0.35">
      <c r="A9" s="1" t="s">
        <v>16</v>
      </c>
      <c r="B9" s="9" t="s">
        <v>14</v>
      </c>
      <c r="C9" s="8" t="s">
        <v>15</v>
      </c>
    </row>
    <row r="10" spans="1:3" ht="15.75" customHeight="1" x14ac:dyDescent="0.35">
      <c r="A10" s="1" t="s">
        <v>17</v>
      </c>
      <c r="B10" s="9">
        <v>1</v>
      </c>
      <c r="C10" s="8">
        <v>1</v>
      </c>
    </row>
    <row r="11" spans="1:3" ht="15.75" customHeight="1" x14ac:dyDescent="0.35">
      <c r="A11" s="1" t="s">
        <v>18</v>
      </c>
      <c r="B11" s="9">
        <v>1</v>
      </c>
      <c r="C11" s="8">
        <v>1</v>
      </c>
    </row>
    <row r="12" spans="1:3" ht="15.75" customHeight="1" x14ac:dyDescent="0.35">
      <c r="A12" s="10" t="s">
        <v>19</v>
      </c>
      <c r="B12" s="9" t="s">
        <v>15</v>
      </c>
      <c r="C12" s="8" t="s">
        <v>15</v>
      </c>
    </row>
    <row r="13" spans="1:3" ht="15.75" customHeight="1" x14ac:dyDescent="0.35">
      <c r="A13" s="10" t="s">
        <v>20</v>
      </c>
      <c r="B13" s="9">
        <v>1</v>
      </c>
      <c r="C13" s="8">
        <v>1</v>
      </c>
    </row>
    <row r="14" spans="1:3" ht="15.75" customHeight="1" x14ac:dyDescent="0.35">
      <c r="A14" s="10" t="s">
        <v>21</v>
      </c>
      <c r="B14" s="9">
        <v>1</v>
      </c>
      <c r="C14" s="8">
        <v>1</v>
      </c>
    </row>
    <row r="15" spans="1:3" ht="15.75" customHeight="1" x14ac:dyDescent="0.35">
      <c r="A15" s="10" t="s">
        <v>22</v>
      </c>
      <c r="B15" s="9" t="s">
        <v>15</v>
      </c>
      <c r="C15" s="8" t="s">
        <v>15</v>
      </c>
    </row>
    <row r="16" spans="1:3" ht="15.75" customHeight="1" x14ac:dyDescent="0.35">
      <c r="A16" s="10" t="s">
        <v>23</v>
      </c>
      <c r="B16" s="9">
        <v>1</v>
      </c>
      <c r="C16" s="8">
        <v>1</v>
      </c>
    </row>
    <row r="17" spans="1:4" ht="15.75" customHeight="1" x14ac:dyDescent="0.35">
      <c r="A17" s="10" t="s">
        <v>24</v>
      </c>
      <c r="B17" s="9">
        <v>38</v>
      </c>
      <c r="C17" s="8">
        <v>38</v>
      </c>
    </row>
    <row r="18" spans="1:4" ht="15.75" customHeight="1" x14ac:dyDescent="0.25">
      <c r="A18" s="10" t="s">
        <v>25</v>
      </c>
      <c r="B18" s="6" t="s">
        <v>26</v>
      </c>
      <c r="C18" s="6" t="s">
        <v>26</v>
      </c>
      <c r="D18" s="11"/>
    </row>
    <row r="19" spans="1:4" ht="15.75" customHeight="1" x14ac:dyDescent="0.35">
      <c r="A19" s="10" t="s">
        <v>27</v>
      </c>
      <c r="B19" s="9">
        <v>1889</v>
      </c>
      <c r="C19" s="8">
        <v>1896</v>
      </c>
    </row>
    <row r="20" spans="1:4" ht="15.75" customHeight="1" x14ac:dyDescent="0.35">
      <c r="A20" s="10" t="s">
        <v>28</v>
      </c>
      <c r="B20" s="9">
        <v>1756</v>
      </c>
      <c r="C20" s="8">
        <v>1768</v>
      </c>
    </row>
    <row r="21" spans="1:4" ht="15.75" customHeight="1" x14ac:dyDescent="0.35">
      <c r="A21" s="1"/>
      <c r="B21" s="12"/>
      <c r="C21" s="1"/>
    </row>
    <row r="22" spans="1:4" ht="15.75" customHeight="1" x14ac:dyDescent="0.35">
      <c r="A22" s="10" t="s">
        <v>29</v>
      </c>
      <c r="B22" s="13" t="s">
        <v>10</v>
      </c>
      <c r="C22" s="14" t="s">
        <v>30</v>
      </c>
      <c r="D22" s="11"/>
    </row>
    <row r="23" spans="1:4" ht="15.75" customHeight="1" x14ac:dyDescent="0.35">
      <c r="A23" s="1"/>
      <c r="B23" s="12"/>
      <c r="C23" s="1"/>
    </row>
    <row r="24" spans="1:4" ht="15.75" customHeight="1" x14ac:dyDescent="0.35">
      <c r="A24" s="1" t="s">
        <v>31</v>
      </c>
      <c r="B24" s="12"/>
      <c r="C24" s="1"/>
    </row>
    <row r="25" spans="1:4" ht="15.75" customHeight="1" x14ac:dyDescent="0.35">
      <c r="A25" s="1" t="s">
        <v>32</v>
      </c>
      <c r="B25" s="15">
        <v>0.99170000000000003</v>
      </c>
      <c r="C25" s="1"/>
    </row>
    <row r="26" spans="1:4" ht="15.75" customHeight="1" x14ac:dyDescent="0.35">
      <c r="A26" s="1" t="s">
        <v>33</v>
      </c>
      <c r="B26" s="15">
        <v>2.0000000000000001E-4</v>
      </c>
      <c r="C26" s="1"/>
    </row>
    <row r="27" spans="1:4" ht="15.75" customHeight="1" x14ac:dyDescent="0.35">
      <c r="A27" s="1"/>
      <c r="B27" s="12"/>
      <c r="C27" s="1"/>
    </row>
    <row r="28" spans="1:4" ht="15.75" customHeight="1" x14ac:dyDescent="0.35">
      <c r="A28" s="1"/>
      <c r="B28" s="12"/>
      <c r="C28" s="1"/>
    </row>
    <row r="29" spans="1:4" ht="15.75" customHeight="1" x14ac:dyDescent="0.35">
      <c r="A29" s="1"/>
      <c r="B29" s="12"/>
      <c r="C29" s="1"/>
    </row>
    <row r="30" spans="1:4" ht="15.75" customHeight="1" x14ac:dyDescent="0.35">
      <c r="A30" s="1"/>
      <c r="B30" s="12"/>
      <c r="C30" s="1"/>
    </row>
    <row r="31" spans="1:4" ht="15.75" customHeight="1" x14ac:dyDescent="0.35">
      <c r="A31" s="1"/>
      <c r="B31" s="12"/>
      <c r="C31" s="1"/>
    </row>
    <row r="32" spans="1:4" ht="15.75" customHeight="1" x14ac:dyDescent="0.35">
      <c r="A32" s="1"/>
      <c r="B32" s="12"/>
      <c r="C32" s="1"/>
    </row>
    <row r="33" spans="1:3" ht="15.75" customHeight="1" x14ac:dyDescent="0.35">
      <c r="A33" s="1"/>
      <c r="B33" s="12"/>
      <c r="C33" s="1"/>
    </row>
    <row r="34" spans="1:3" ht="15.75" customHeight="1" x14ac:dyDescent="0.35">
      <c r="A34" s="1"/>
      <c r="B34" s="12"/>
      <c r="C34" s="1"/>
    </row>
    <row r="35" spans="1:3" ht="15.75" customHeight="1" x14ac:dyDescent="0.35">
      <c r="A35" s="1"/>
      <c r="B35" s="12"/>
      <c r="C35" s="1"/>
    </row>
    <row r="36" spans="1:3" ht="15.75" customHeight="1" x14ac:dyDescent="0.35">
      <c r="A36" s="1"/>
      <c r="B36" s="12"/>
      <c r="C36" s="1"/>
    </row>
    <row r="37" spans="1:3" ht="15.75" customHeight="1" x14ac:dyDescent="0.35">
      <c r="A37" s="1"/>
      <c r="B37" s="12"/>
      <c r="C37" s="1"/>
    </row>
    <row r="38" spans="1:3" ht="15.75" customHeight="1" x14ac:dyDescent="0.35">
      <c r="A38" s="1"/>
      <c r="B38" s="12"/>
      <c r="C38" s="1"/>
    </row>
    <row r="39" spans="1:3" ht="15.75" customHeight="1" x14ac:dyDescent="0.35">
      <c r="A39" s="1"/>
      <c r="B39" s="12"/>
      <c r="C39" s="1"/>
    </row>
    <row r="40" spans="1:3" ht="15.75" customHeight="1" x14ac:dyDescent="0.35">
      <c r="A40" s="1"/>
      <c r="B40" s="12"/>
      <c r="C40" s="1"/>
    </row>
    <row r="41" spans="1:3" ht="15.75" customHeight="1" x14ac:dyDescent="0.35">
      <c r="A41" s="1"/>
      <c r="B41" s="12"/>
      <c r="C41" s="1"/>
    </row>
    <row r="42" spans="1:3" ht="15.75" customHeight="1" x14ac:dyDescent="0.35">
      <c r="A42" s="1"/>
      <c r="B42" s="12"/>
      <c r="C42" s="1"/>
    </row>
    <row r="43" spans="1:3" ht="15.75" customHeight="1" x14ac:dyDescent="0.35">
      <c r="A43" s="1"/>
      <c r="B43" s="12"/>
      <c r="C43" s="1"/>
    </row>
    <row r="44" spans="1:3" ht="15.75" customHeight="1" x14ac:dyDescent="0.35">
      <c r="A44" s="1"/>
      <c r="B44" s="12"/>
      <c r="C44" s="1"/>
    </row>
    <row r="45" spans="1:3" ht="15.75" customHeight="1" x14ac:dyDescent="0.35">
      <c r="A45" s="1"/>
      <c r="B45" s="12"/>
      <c r="C45" s="1"/>
    </row>
    <row r="46" spans="1:3" ht="15.75" customHeight="1" x14ac:dyDescent="0.35">
      <c r="A46" s="1"/>
      <c r="B46" s="12"/>
      <c r="C46" s="1"/>
    </row>
    <row r="47" spans="1:3" ht="15.75" customHeight="1" x14ac:dyDescent="0.35">
      <c r="A47" s="1"/>
      <c r="B47" s="12"/>
      <c r="C47" s="1"/>
    </row>
    <row r="48" spans="1:3" ht="15.75" customHeight="1" x14ac:dyDescent="0.35">
      <c r="A48" s="1"/>
      <c r="B48" s="12"/>
      <c r="C48" s="1"/>
    </row>
    <row r="49" spans="1:3" ht="15.75" customHeight="1" x14ac:dyDescent="0.35">
      <c r="A49" s="1"/>
      <c r="B49" s="12"/>
      <c r="C49" s="1"/>
    </row>
    <row r="50" spans="1:3" ht="15.75" customHeight="1" x14ac:dyDescent="0.35">
      <c r="A50" s="1"/>
      <c r="B50" s="12"/>
      <c r="C50" s="1"/>
    </row>
    <row r="51" spans="1:3" ht="15.75" customHeight="1" x14ac:dyDescent="0.35">
      <c r="A51" s="1"/>
      <c r="B51" s="12"/>
      <c r="C51" s="1"/>
    </row>
    <row r="52" spans="1:3" ht="15.75" customHeight="1" x14ac:dyDescent="0.35">
      <c r="A52" s="1"/>
      <c r="B52" s="12"/>
      <c r="C52" s="1"/>
    </row>
    <row r="53" spans="1:3" ht="15.75" customHeight="1" x14ac:dyDescent="0.35">
      <c r="A53" s="1"/>
      <c r="B53" s="12"/>
      <c r="C53" s="1"/>
    </row>
    <row r="54" spans="1:3" ht="15.75" customHeight="1" x14ac:dyDescent="0.35">
      <c r="A54" s="1"/>
      <c r="B54" s="12"/>
      <c r="C54" s="1"/>
    </row>
    <row r="55" spans="1:3" ht="15.75" customHeight="1" x14ac:dyDescent="0.35">
      <c r="A55" s="1"/>
      <c r="B55" s="12"/>
      <c r="C55" s="1"/>
    </row>
    <row r="56" spans="1:3" ht="15.75" customHeight="1" x14ac:dyDescent="0.35">
      <c r="A56" s="1"/>
      <c r="B56" s="12"/>
      <c r="C56" s="1"/>
    </row>
    <row r="57" spans="1:3" ht="15.75" customHeight="1" x14ac:dyDescent="0.35">
      <c r="A57" s="1"/>
      <c r="B57" s="12"/>
      <c r="C57" s="1"/>
    </row>
    <row r="58" spans="1:3" ht="15.75" customHeight="1" x14ac:dyDescent="0.35">
      <c r="A58" s="1"/>
      <c r="B58" s="12"/>
      <c r="C58" s="1"/>
    </row>
    <row r="59" spans="1:3" ht="15.75" customHeight="1" x14ac:dyDescent="0.35">
      <c r="A59" s="1"/>
      <c r="B59" s="12"/>
      <c r="C59" s="1"/>
    </row>
    <row r="60" spans="1:3" ht="15.75" customHeight="1" x14ac:dyDescent="0.35">
      <c r="A60" s="1"/>
      <c r="B60" s="12"/>
      <c r="C60" s="1"/>
    </row>
    <row r="61" spans="1:3" ht="15.75" customHeight="1" x14ac:dyDescent="0.35">
      <c r="A61" s="1"/>
      <c r="B61" s="12"/>
      <c r="C61" s="1"/>
    </row>
    <row r="62" spans="1:3" ht="15.75" customHeight="1" x14ac:dyDescent="0.35">
      <c r="A62" s="1"/>
      <c r="B62" s="12"/>
      <c r="C62" s="1"/>
    </row>
    <row r="63" spans="1:3" ht="15.75" customHeight="1" x14ac:dyDescent="0.35">
      <c r="A63" s="1"/>
      <c r="B63" s="12"/>
      <c r="C63" s="1"/>
    </row>
    <row r="64" spans="1:3" ht="15.75" customHeight="1" x14ac:dyDescent="0.35">
      <c r="A64" s="1"/>
      <c r="B64" s="12"/>
      <c r="C64" s="1"/>
    </row>
    <row r="65" spans="1:3" ht="15.75" customHeight="1" x14ac:dyDescent="0.35">
      <c r="A65" s="1"/>
      <c r="B65" s="12"/>
      <c r="C65" s="1"/>
    </row>
    <row r="66" spans="1:3" ht="15.75" customHeight="1" x14ac:dyDescent="0.35">
      <c r="A66" s="1"/>
      <c r="B66" s="12"/>
      <c r="C66" s="1"/>
    </row>
    <row r="67" spans="1:3" ht="15.75" customHeight="1" x14ac:dyDescent="0.35">
      <c r="A67" s="1"/>
      <c r="B67" s="12"/>
      <c r="C67" s="1"/>
    </row>
    <row r="68" spans="1:3" ht="15.75" customHeight="1" x14ac:dyDescent="0.35">
      <c r="A68" s="1"/>
      <c r="B68" s="12"/>
      <c r="C68" s="1"/>
    </row>
    <row r="69" spans="1:3" ht="15.75" customHeight="1" x14ac:dyDescent="0.35">
      <c r="A69" s="1"/>
      <c r="B69" s="12"/>
      <c r="C69" s="1"/>
    </row>
    <row r="70" spans="1:3" ht="15.75" customHeight="1" x14ac:dyDescent="0.35">
      <c r="A70" s="1"/>
      <c r="B70" s="12"/>
      <c r="C70" s="1"/>
    </row>
    <row r="71" spans="1:3" ht="15.75" customHeight="1" x14ac:dyDescent="0.35">
      <c r="A71" s="1"/>
      <c r="B71" s="12"/>
      <c r="C71" s="1"/>
    </row>
    <row r="72" spans="1:3" ht="15.75" customHeight="1" x14ac:dyDescent="0.35">
      <c r="A72" s="1"/>
      <c r="B72" s="12"/>
      <c r="C72" s="1"/>
    </row>
    <row r="73" spans="1:3" ht="15.75" customHeight="1" x14ac:dyDescent="0.35">
      <c r="A73" s="1"/>
      <c r="B73" s="12"/>
      <c r="C73" s="1"/>
    </row>
    <row r="74" spans="1:3" ht="15.75" customHeight="1" x14ac:dyDescent="0.35">
      <c r="A74" s="1"/>
      <c r="B74" s="12"/>
      <c r="C74" s="1"/>
    </row>
    <row r="75" spans="1:3" ht="15.75" customHeight="1" x14ac:dyDescent="0.35">
      <c r="A75" s="1"/>
      <c r="B75" s="12"/>
      <c r="C75" s="1"/>
    </row>
    <row r="76" spans="1:3" ht="15.75" customHeight="1" x14ac:dyDescent="0.35">
      <c r="A76" s="1"/>
      <c r="B76" s="12"/>
      <c r="C76" s="1"/>
    </row>
    <row r="77" spans="1:3" ht="15.75" customHeight="1" x14ac:dyDescent="0.35">
      <c r="A77" s="1"/>
      <c r="B77" s="12"/>
      <c r="C77" s="1"/>
    </row>
    <row r="78" spans="1:3" ht="15.75" customHeight="1" x14ac:dyDescent="0.35">
      <c r="A78" s="1"/>
      <c r="B78" s="12"/>
      <c r="C78" s="1"/>
    </row>
    <row r="79" spans="1:3" ht="15.75" customHeight="1" x14ac:dyDescent="0.35">
      <c r="A79" s="1"/>
      <c r="B79" s="12"/>
      <c r="C79" s="1"/>
    </row>
    <row r="80" spans="1:3" ht="15.75" customHeight="1" x14ac:dyDescent="0.35">
      <c r="A80" s="1"/>
      <c r="B80" s="12"/>
      <c r="C80" s="1"/>
    </row>
    <row r="81" spans="1:3" ht="15.75" customHeight="1" x14ac:dyDescent="0.35">
      <c r="A81" s="1"/>
      <c r="B81" s="12"/>
      <c r="C81" s="1"/>
    </row>
    <row r="82" spans="1:3" ht="15.75" customHeight="1" x14ac:dyDescent="0.35">
      <c r="A82" s="1"/>
      <c r="B82" s="12"/>
      <c r="C82" s="1"/>
    </row>
    <row r="83" spans="1:3" ht="15.75" customHeight="1" x14ac:dyDescent="0.35">
      <c r="A83" s="1"/>
      <c r="B83" s="12"/>
      <c r="C83" s="1"/>
    </row>
    <row r="84" spans="1:3" ht="15.75" customHeight="1" x14ac:dyDescent="0.35">
      <c r="A84" s="1"/>
      <c r="B84" s="12"/>
      <c r="C84" s="1"/>
    </row>
    <row r="85" spans="1:3" ht="15.75" customHeight="1" x14ac:dyDescent="0.35">
      <c r="A85" s="1"/>
      <c r="B85" s="12"/>
      <c r="C85" s="1"/>
    </row>
    <row r="86" spans="1:3" ht="15.75" customHeight="1" x14ac:dyDescent="0.35">
      <c r="A86" s="1"/>
      <c r="B86" s="12"/>
      <c r="C86" s="1"/>
    </row>
    <row r="87" spans="1:3" ht="15.75" customHeight="1" x14ac:dyDescent="0.35">
      <c r="A87" s="1"/>
      <c r="B87" s="12"/>
      <c r="C87" s="1"/>
    </row>
    <row r="88" spans="1:3" ht="15.75" customHeight="1" x14ac:dyDescent="0.35">
      <c r="A88" s="1"/>
      <c r="B88" s="12"/>
      <c r="C88" s="1"/>
    </row>
    <row r="89" spans="1:3" ht="15.75" customHeight="1" x14ac:dyDescent="0.35">
      <c r="A89" s="1"/>
      <c r="B89" s="12"/>
      <c r="C89" s="1"/>
    </row>
    <row r="90" spans="1:3" ht="15.75" customHeight="1" x14ac:dyDescent="0.35">
      <c r="A90" s="1"/>
      <c r="B90" s="12"/>
      <c r="C90" s="1"/>
    </row>
    <row r="91" spans="1:3" ht="15.75" customHeight="1" x14ac:dyDescent="0.35">
      <c r="A91" s="1"/>
      <c r="B91" s="12"/>
      <c r="C91" s="1"/>
    </row>
    <row r="92" spans="1:3" ht="15.75" customHeight="1" x14ac:dyDescent="0.35">
      <c r="A92" s="1"/>
      <c r="B92" s="12"/>
      <c r="C92" s="1"/>
    </row>
    <row r="93" spans="1:3" ht="15.75" customHeight="1" x14ac:dyDescent="0.35">
      <c r="A93" s="1"/>
      <c r="B93" s="12"/>
      <c r="C93" s="1"/>
    </row>
    <row r="94" spans="1:3" ht="15.75" customHeight="1" x14ac:dyDescent="0.35">
      <c r="A94" s="1"/>
      <c r="B94" s="12"/>
      <c r="C94" s="1"/>
    </row>
    <row r="95" spans="1:3" ht="15.75" customHeight="1" x14ac:dyDescent="0.35">
      <c r="A95" s="1"/>
      <c r="B95" s="12"/>
      <c r="C95" s="1"/>
    </row>
    <row r="96" spans="1:3" ht="15.75" customHeight="1" x14ac:dyDescent="0.35">
      <c r="A96" s="1"/>
      <c r="B96" s="12"/>
      <c r="C96" s="1"/>
    </row>
    <row r="97" spans="1:3" ht="15.75" customHeight="1" x14ac:dyDescent="0.35">
      <c r="A97" s="1"/>
      <c r="B97" s="12"/>
      <c r="C97" s="1"/>
    </row>
    <row r="98" spans="1:3" ht="15.75" customHeight="1" x14ac:dyDescent="0.35">
      <c r="A98" s="1"/>
      <c r="B98" s="12"/>
      <c r="C98" s="1"/>
    </row>
    <row r="99" spans="1:3" ht="15.75" customHeight="1" x14ac:dyDescent="0.35">
      <c r="A99" s="1"/>
      <c r="B99" s="12"/>
      <c r="C99" s="1"/>
    </row>
    <row r="100" spans="1:3" ht="15.75" customHeight="1" x14ac:dyDescent="0.35">
      <c r="A100" s="1"/>
      <c r="B100" s="12"/>
      <c r="C100" s="1"/>
    </row>
    <row r="101" spans="1:3" ht="15.75" customHeight="1" x14ac:dyDescent="0.35">
      <c r="A101" s="1"/>
      <c r="B101" s="12"/>
      <c r="C101" s="1"/>
    </row>
    <row r="102" spans="1:3" ht="15.75" customHeight="1" x14ac:dyDescent="0.35">
      <c r="A102" s="1"/>
      <c r="B102" s="12"/>
      <c r="C102" s="1"/>
    </row>
    <row r="103" spans="1:3" ht="15.75" customHeight="1" x14ac:dyDescent="0.35">
      <c r="A103" s="1"/>
      <c r="B103" s="12"/>
      <c r="C103" s="1"/>
    </row>
    <row r="104" spans="1:3" ht="15.75" customHeight="1" x14ac:dyDescent="0.35">
      <c r="A104" s="1"/>
      <c r="B104" s="12"/>
      <c r="C104" s="1"/>
    </row>
    <row r="105" spans="1:3" ht="15.75" customHeight="1" x14ac:dyDescent="0.35">
      <c r="A105" s="1"/>
      <c r="B105" s="12"/>
      <c r="C105" s="1"/>
    </row>
    <row r="106" spans="1:3" ht="15.75" customHeight="1" x14ac:dyDescent="0.35">
      <c r="A106" s="1"/>
      <c r="B106" s="12"/>
      <c r="C106" s="1"/>
    </row>
    <row r="107" spans="1:3" ht="15.75" customHeight="1" x14ac:dyDescent="0.35">
      <c r="A107" s="1"/>
      <c r="B107" s="12"/>
      <c r="C107" s="1"/>
    </row>
    <row r="108" spans="1:3" ht="15.75" customHeight="1" x14ac:dyDescent="0.35">
      <c r="A108" s="1"/>
      <c r="B108" s="12"/>
      <c r="C108" s="1"/>
    </row>
    <row r="109" spans="1:3" ht="15.75" customHeight="1" x14ac:dyDescent="0.35">
      <c r="A109" s="1"/>
      <c r="B109" s="12"/>
      <c r="C109" s="1"/>
    </row>
    <row r="110" spans="1:3" ht="15.75" customHeight="1" x14ac:dyDescent="0.35">
      <c r="A110" s="1"/>
      <c r="B110" s="12"/>
      <c r="C110" s="1"/>
    </row>
    <row r="111" spans="1:3" ht="15.75" customHeight="1" x14ac:dyDescent="0.35">
      <c r="A111" s="1"/>
      <c r="B111" s="12"/>
      <c r="C111" s="1"/>
    </row>
    <row r="112" spans="1:3" ht="15.75" customHeight="1" x14ac:dyDescent="0.35">
      <c r="A112" s="1"/>
      <c r="B112" s="12"/>
      <c r="C112" s="1"/>
    </row>
    <row r="113" spans="1:3" ht="15.75" customHeight="1" x14ac:dyDescent="0.35">
      <c r="A113" s="1"/>
      <c r="B113" s="12"/>
      <c r="C113" s="1"/>
    </row>
    <row r="114" spans="1:3" ht="15.75" customHeight="1" x14ac:dyDescent="0.35">
      <c r="A114" s="1"/>
      <c r="B114" s="12"/>
      <c r="C114" s="1"/>
    </row>
    <row r="115" spans="1:3" ht="15.75" customHeight="1" x14ac:dyDescent="0.35">
      <c r="A115" s="1"/>
      <c r="B115" s="12"/>
      <c r="C115" s="1"/>
    </row>
    <row r="116" spans="1:3" ht="15.75" customHeight="1" x14ac:dyDescent="0.35">
      <c r="A116" s="1"/>
      <c r="B116" s="12"/>
      <c r="C116" s="1"/>
    </row>
    <row r="117" spans="1:3" ht="15.75" customHeight="1" x14ac:dyDescent="0.35">
      <c r="A117" s="1"/>
      <c r="B117" s="12"/>
      <c r="C117" s="1"/>
    </row>
    <row r="118" spans="1:3" ht="15.75" customHeight="1" x14ac:dyDescent="0.35">
      <c r="A118" s="1"/>
      <c r="B118" s="12"/>
      <c r="C118" s="1"/>
    </row>
    <row r="119" spans="1:3" ht="15.75" customHeight="1" x14ac:dyDescent="0.35">
      <c r="A119" s="1"/>
      <c r="B119" s="12"/>
      <c r="C119" s="1"/>
    </row>
    <row r="120" spans="1:3" ht="15.75" customHeight="1" x14ac:dyDescent="0.35">
      <c r="A120" s="1"/>
      <c r="B120" s="12"/>
      <c r="C120" s="1"/>
    </row>
    <row r="121" spans="1:3" ht="15.75" customHeight="1" x14ac:dyDescent="0.35">
      <c r="A121" s="1"/>
      <c r="B121" s="12"/>
      <c r="C121" s="1"/>
    </row>
    <row r="122" spans="1:3" ht="15.75" customHeight="1" x14ac:dyDescent="0.35">
      <c r="A122" s="1"/>
      <c r="B122" s="12"/>
      <c r="C122" s="1"/>
    </row>
    <row r="123" spans="1:3" ht="15.75" customHeight="1" x14ac:dyDescent="0.35">
      <c r="A123" s="1"/>
      <c r="B123" s="12"/>
      <c r="C123" s="1"/>
    </row>
    <row r="124" spans="1:3" ht="15.75" customHeight="1" x14ac:dyDescent="0.35">
      <c r="A124" s="1"/>
      <c r="B124" s="12"/>
      <c r="C124" s="1"/>
    </row>
    <row r="125" spans="1:3" ht="15.75" customHeight="1" x14ac:dyDescent="0.35">
      <c r="A125" s="1"/>
      <c r="B125" s="12"/>
      <c r="C125" s="1"/>
    </row>
    <row r="126" spans="1:3" ht="15.75" customHeight="1" x14ac:dyDescent="0.35">
      <c r="A126" s="1"/>
      <c r="B126" s="12"/>
      <c r="C126" s="1"/>
    </row>
    <row r="127" spans="1:3" ht="15.75" customHeight="1" x14ac:dyDescent="0.35">
      <c r="A127" s="1"/>
      <c r="B127" s="12"/>
      <c r="C127" s="1"/>
    </row>
    <row r="128" spans="1:3" ht="15.75" customHeight="1" x14ac:dyDescent="0.35">
      <c r="A128" s="1"/>
      <c r="B128" s="12"/>
      <c r="C128" s="1"/>
    </row>
    <row r="129" spans="1:3" ht="15.75" customHeight="1" x14ac:dyDescent="0.35">
      <c r="A129" s="1"/>
      <c r="B129" s="12"/>
      <c r="C129" s="1"/>
    </row>
    <row r="130" spans="1:3" ht="15.75" customHeight="1" x14ac:dyDescent="0.35">
      <c r="A130" s="1"/>
      <c r="B130" s="12"/>
      <c r="C130" s="1"/>
    </row>
    <row r="131" spans="1:3" ht="15.75" customHeight="1" x14ac:dyDescent="0.35">
      <c r="A131" s="1"/>
      <c r="B131" s="12"/>
      <c r="C131" s="1"/>
    </row>
    <row r="132" spans="1:3" ht="15.75" customHeight="1" x14ac:dyDescent="0.35">
      <c r="A132" s="1"/>
      <c r="B132" s="12"/>
      <c r="C132" s="1"/>
    </row>
    <row r="133" spans="1:3" ht="15.75" customHeight="1" x14ac:dyDescent="0.35">
      <c r="A133" s="1"/>
      <c r="B133" s="12"/>
      <c r="C133" s="1"/>
    </row>
    <row r="134" spans="1:3" ht="15.75" customHeight="1" x14ac:dyDescent="0.35">
      <c r="A134" s="1"/>
      <c r="B134" s="12"/>
      <c r="C134" s="1"/>
    </row>
    <row r="135" spans="1:3" ht="15.75" customHeight="1" x14ac:dyDescent="0.35">
      <c r="A135" s="1"/>
      <c r="B135" s="12"/>
      <c r="C135" s="1"/>
    </row>
    <row r="136" spans="1:3" ht="15.75" customHeight="1" x14ac:dyDescent="0.35">
      <c r="A136" s="1"/>
      <c r="B136" s="12"/>
      <c r="C136" s="1"/>
    </row>
    <row r="137" spans="1:3" ht="15.75" customHeight="1" x14ac:dyDescent="0.35">
      <c r="A137" s="1"/>
      <c r="B137" s="12"/>
      <c r="C137" s="1"/>
    </row>
    <row r="138" spans="1:3" ht="15.75" customHeight="1" x14ac:dyDescent="0.35">
      <c r="A138" s="1"/>
      <c r="B138" s="12"/>
      <c r="C138" s="1"/>
    </row>
    <row r="139" spans="1:3" ht="15.75" customHeight="1" x14ac:dyDescent="0.35">
      <c r="A139" s="1"/>
      <c r="B139" s="12"/>
      <c r="C139" s="1"/>
    </row>
    <row r="140" spans="1:3" ht="15.75" customHeight="1" x14ac:dyDescent="0.35">
      <c r="A140" s="1"/>
      <c r="B140" s="12"/>
      <c r="C140" s="1"/>
    </row>
    <row r="141" spans="1:3" ht="15.75" customHeight="1" x14ac:dyDescent="0.35">
      <c r="A141" s="1"/>
      <c r="B141" s="12"/>
      <c r="C141" s="1"/>
    </row>
    <row r="142" spans="1:3" ht="15.75" customHeight="1" x14ac:dyDescent="0.35">
      <c r="A142" s="1"/>
      <c r="B142" s="12"/>
      <c r="C142" s="1"/>
    </row>
    <row r="143" spans="1:3" ht="15.75" customHeight="1" x14ac:dyDescent="0.35">
      <c r="A143" s="1"/>
      <c r="B143" s="12"/>
      <c r="C143" s="1"/>
    </row>
    <row r="144" spans="1:3" ht="15.75" customHeight="1" x14ac:dyDescent="0.35">
      <c r="A144" s="1"/>
      <c r="B144" s="12"/>
      <c r="C144" s="1"/>
    </row>
    <row r="145" spans="1:3" ht="15.75" customHeight="1" x14ac:dyDescent="0.35">
      <c r="A145" s="1"/>
      <c r="B145" s="12"/>
      <c r="C145" s="1"/>
    </row>
    <row r="146" spans="1:3" ht="15.75" customHeight="1" x14ac:dyDescent="0.35">
      <c r="A146" s="1"/>
      <c r="B146" s="12"/>
      <c r="C146" s="1"/>
    </row>
    <row r="147" spans="1:3" ht="15.75" customHeight="1" x14ac:dyDescent="0.35">
      <c r="A147" s="1"/>
      <c r="B147" s="12"/>
      <c r="C147" s="1"/>
    </row>
    <row r="148" spans="1:3" ht="15.75" customHeight="1" x14ac:dyDescent="0.35">
      <c r="A148" s="1"/>
      <c r="B148" s="12"/>
      <c r="C148" s="1"/>
    </row>
    <row r="149" spans="1:3" ht="15.75" customHeight="1" x14ac:dyDescent="0.35">
      <c r="A149" s="1"/>
      <c r="B149" s="12"/>
      <c r="C149" s="1"/>
    </row>
    <row r="150" spans="1:3" ht="15.75" customHeight="1" x14ac:dyDescent="0.35">
      <c r="A150" s="1"/>
      <c r="B150" s="12"/>
      <c r="C150" s="1"/>
    </row>
    <row r="151" spans="1:3" ht="15.75" customHeight="1" x14ac:dyDescent="0.35">
      <c r="A151" s="1"/>
      <c r="B151" s="12"/>
      <c r="C151" s="1"/>
    </row>
    <row r="152" spans="1:3" ht="15.75" customHeight="1" x14ac:dyDescent="0.35">
      <c r="A152" s="1"/>
      <c r="B152" s="12"/>
      <c r="C152" s="1"/>
    </row>
    <row r="153" spans="1:3" ht="15.75" customHeight="1" x14ac:dyDescent="0.35">
      <c r="A153" s="1"/>
      <c r="B153" s="12"/>
      <c r="C153" s="1"/>
    </row>
    <row r="154" spans="1:3" ht="15.75" customHeight="1" x14ac:dyDescent="0.35">
      <c r="A154" s="1"/>
      <c r="B154" s="12"/>
      <c r="C154" s="1"/>
    </row>
    <row r="155" spans="1:3" ht="15.75" customHeight="1" x14ac:dyDescent="0.35">
      <c r="A155" s="1"/>
      <c r="B155" s="12"/>
      <c r="C155" s="1"/>
    </row>
    <row r="156" spans="1:3" ht="15.75" customHeight="1" x14ac:dyDescent="0.35">
      <c r="A156" s="1"/>
      <c r="B156" s="12"/>
      <c r="C156" s="1"/>
    </row>
    <row r="157" spans="1:3" ht="15.75" customHeight="1" x14ac:dyDescent="0.35">
      <c r="A157" s="1"/>
      <c r="B157" s="12"/>
      <c r="C157" s="1"/>
    </row>
    <row r="158" spans="1:3" ht="15.75" customHeight="1" x14ac:dyDescent="0.35">
      <c r="A158" s="1"/>
      <c r="B158" s="12"/>
      <c r="C158" s="1"/>
    </row>
    <row r="159" spans="1:3" ht="15.75" customHeight="1" x14ac:dyDescent="0.35">
      <c r="A159" s="1"/>
      <c r="B159" s="12"/>
      <c r="C159" s="1"/>
    </row>
    <row r="160" spans="1:3" ht="15.75" customHeight="1" x14ac:dyDescent="0.35">
      <c r="A160" s="1"/>
      <c r="B160" s="12"/>
      <c r="C160" s="1"/>
    </row>
    <row r="161" spans="1:3" ht="15.75" customHeight="1" x14ac:dyDescent="0.35">
      <c r="A161" s="1"/>
      <c r="B161" s="12"/>
      <c r="C161" s="1"/>
    </row>
    <row r="162" spans="1:3" ht="15.75" customHeight="1" x14ac:dyDescent="0.35">
      <c r="A162" s="1"/>
      <c r="B162" s="12"/>
      <c r="C162" s="1"/>
    </row>
    <row r="163" spans="1:3" ht="15.75" customHeight="1" x14ac:dyDescent="0.35">
      <c r="A163" s="1"/>
      <c r="B163" s="12"/>
      <c r="C163" s="1"/>
    </row>
    <row r="164" spans="1:3" ht="15.75" customHeight="1" x14ac:dyDescent="0.35">
      <c r="A164" s="1"/>
      <c r="B164" s="12"/>
      <c r="C164" s="1"/>
    </row>
    <row r="165" spans="1:3" ht="15.75" customHeight="1" x14ac:dyDescent="0.35">
      <c r="A165" s="1"/>
      <c r="B165" s="12"/>
      <c r="C165" s="1"/>
    </row>
    <row r="166" spans="1:3" ht="15.75" customHeight="1" x14ac:dyDescent="0.35">
      <c r="A166" s="1"/>
      <c r="B166" s="12"/>
      <c r="C166" s="1"/>
    </row>
    <row r="167" spans="1:3" ht="15.75" customHeight="1" x14ac:dyDescent="0.35">
      <c r="A167" s="1"/>
      <c r="B167" s="12"/>
      <c r="C167" s="1"/>
    </row>
    <row r="168" spans="1:3" ht="15.75" customHeight="1" x14ac:dyDescent="0.35">
      <c r="A168" s="1"/>
      <c r="B168" s="12"/>
      <c r="C168" s="1"/>
    </row>
    <row r="169" spans="1:3" ht="15.75" customHeight="1" x14ac:dyDescent="0.35">
      <c r="A169" s="1"/>
      <c r="B169" s="12"/>
      <c r="C169" s="1"/>
    </row>
    <row r="170" spans="1:3" ht="15.75" customHeight="1" x14ac:dyDescent="0.35">
      <c r="A170" s="1"/>
      <c r="B170" s="12"/>
      <c r="C170" s="1"/>
    </row>
    <row r="171" spans="1:3" ht="15.75" customHeight="1" x14ac:dyDescent="0.35">
      <c r="A171" s="1"/>
      <c r="B171" s="12"/>
      <c r="C171" s="1"/>
    </row>
    <row r="172" spans="1:3" ht="15.75" customHeight="1" x14ac:dyDescent="0.35">
      <c r="A172" s="1"/>
      <c r="B172" s="12"/>
      <c r="C172" s="1"/>
    </row>
    <row r="173" spans="1:3" ht="15.75" customHeight="1" x14ac:dyDescent="0.35">
      <c r="A173" s="1"/>
      <c r="B173" s="12"/>
      <c r="C173" s="1"/>
    </row>
    <row r="174" spans="1:3" ht="15.75" customHeight="1" x14ac:dyDescent="0.35">
      <c r="A174" s="1"/>
      <c r="B174" s="12"/>
      <c r="C174" s="1"/>
    </row>
    <row r="175" spans="1:3" ht="15.75" customHeight="1" x14ac:dyDescent="0.35">
      <c r="A175" s="1"/>
      <c r="B175" s="12"/>
      <c r="C175" s="1"/>
    </row>
    <row r="176" spans="1:3" ht="15.75" customHeight="1" x14ac:dyDescent="0.35">
      <c r="A176" s="1"/>
      <c r="B176" s="12"/>
      <c r="C176" s="1"/>
    </row>
    <row r="177" spans="1:3" ht="15.75" customHeight="1" x14ac:dyDescent="0.35">
      <c r="A177" s="1"/>
      <c r="B177" s="12"/>
      <c r="C177" s="1"/>
    </row>
    <row r="178" spans="1:3" ht="15.75" customHeight="1" x14ac:dyDescent="0.35">
      <c r="A178" s="1"/>
      <c r="B178" s="12"/>
      <c r="C178" s="1"/>
    </row>
    <row r="179" spans="1:3" ht="15.75" customHeight="1" x14ac:dyDescent="0.35">
      <c r="A179" s="1"/>
      <c r="B179" s="12"/>
      <c r="C179" s="1"/>
    </row>
    <row r="180" spans="1:3" ht="15.75" customHeight="1" x14ac:dyDescent="0.35">
      <c r="A180" s="1"/>
      <c r="B180" s="12"/>
      <c r="C180" s="1"/>
    </row>
    <row r="181" spans="1:3" ht="15.75" customHeight="1" x14ac:dyDescent="0.35">
      <c r="A181" s="1"/>
      <c r="B181" s="12"/>
      <c r="C181" s="1"/>
    </row>
    <row r="182" spans="1:3" ht="15.75" customHeight="1" x14ac:dyDescent="0.35">
      <c r="A182" s="1"/>
      <c r="B182" s="12"/>
      <c r="C182" s="1"/>
    </row>
    <row r="183" spans="1:3" ht="15.75" customHeight="1" x14ac:dyDescent="0.35">
      <c r="A183" s="1"/>
      <c r="B183" s="12"/>
      <c r="C183" s="1"/>
    </row>
    <row r="184" spans="1:3" ht="15.75" customHeight="1" x14ac:dyDescent="0.35">
      <c r="A184" s="1"/>
      <c r="B184" s="12"/>
      <c r="C184" s="1"/>
    </row>
    <row r="185" spans="1:3" ht="15.75" customHeight="1" x14ac:dyDescent="0.35">
      <c r="A185" s="1"/>
      <c r="B185" s="12"/>
      <c r="C185" s="1"/>
    </row>
    <row r="186" spans="1:3" ht="15.75" customHeight="1" x14ac:dyDescent="0.35">
      <c r="A186" s="1"/>
      <c r="B186" s="12"/>
      <c r="C186" s="1"/>
    </row>
    <row r="187" spans="1:3" ht="15.75" customHeight="1" x14ac:dyDescent="0.35">
      <c r="A187" s="1"/>
      <c r="B187" s="12"/>
      <c r="C187" s="1"/>
    </row>
    <row r="188" spans="1:3" ht="15.75" customHeight="1" x14ac:dyDescent="0.35">
      <c r="A188" s="1"/>
      <c r="B188" s="12"/>
      <c r="C188" s="1"/>
    </row>
    <row r="189" spans="1:3" ht="15.75" customHeight="1" x14ac:dyDescent="0.35">
      <c r="A189" s="1"/>
      <c r="B189" s="12"/>
      <c r="C189" s="1"/>
    </row>
    <row r="190" spans="1:3" ht="15.75" customHeight="1" x14ac:dyDescent="0.35">
      <c r="A190" s="1"/>
      <c r="B190" s="12"/>
      <c r="C190" s="1"/>
    </row>
    <row r="191" spans="1:3" ht="15.75" customHeight="1" x14ac:dyDescent="0.35">
      <c r="A191" s="1"/>
      <c r="B191" s="12"/>
      <c r="C191" s="1"/>
    </row>
    <row r="192" spans="1:3" ht="15.75" customHeight="1" x14ac:dyDescent="0.35">
      <c r="A192" s="1"/>
      <c r="B192" s="12"/>
      <c r="C192" s="1"/>
    </row>
    <row r="193" spans="1:3" ht="15.75" customHeight="1" x14ac:dyDescent="0.35">
      <c r="A193" s="1"/>
      <c r="B193" s="12"/>
      <c r="C193" s="1"/>
    </row>
    <row r="194" spans="1:3" ht="15.75" customHeight="1" x14ac:dyDescent="0.35">
      <c r="A194" s="1"/>
      <c r="B194" s="12"/>
      <c r="C194" s="1"/>
    </row>
    <row r="195" spans="1:3" ht="15.75" customHeight="1" x14ac:dyDescent="0.35">
      <c r="A195" s="1"/>
      <c r="B195" s="12"/>
      <c r="C195" s="1"/>
    </row>
    <row r="196" spans="1:3" ht="15.75" customHeight="1" x14ac:dyDescent="0.35">
      <c r="A196" s="1"/>
      <c r="B196" s="12"/>
      <c r="C196" s="1"/>
    </row>
    <row r="197" spans="1:3" ht="15.75" customHeight="1" x14ac:dyDescent="0.35">
      <c r="A197" s="1"/>
      <c r="B197" s="12"/>
      <c r="C197" s="1"/>
    </row>
    <row r="198" spans="1:3" ht="15.75" customHeight="1" x14ac:dyDescent="0.35">
      <c r="A198" s="1"/>
      <c r="B198" s="12"/>
      <c r="C198" s="1"/>
    </row>
    <row r="199" spans="1:3" ht="15.75" customHeight="1" x14ac:dyDescent="0.35">
      <c r="A199" s="1"/>
      <c r="B199" s="12"/>
      <c r="C199" s="1"/>
    </row>
    <row r="200" spans="1:3" ht="15.75" customHeight="1" x14ac:dyDescent="0.35">
      <c r="A200" s="1"/>
      <c r="B200" s="12"/>
      <c r="C200" s="1"/>
    </row>
    <row r="201" spans="1:3" ht="15.75" customHeight="1" x14ac:dyDescent="0.35">
      <c r="A201" s="1"/>
      <c r="B201" s="12"/>
      <c r="C201" s="1"/>
    </row>
    <row r="202" spans="1:3" ht="15.75" customHeight="1" x14ac:dyDescent="0.35">
      <c r="A202" s="1"/>
      <c r="B202" s="12"/>
      <c r="C202" s="1"/>
    </row>
    <row r="203" spans="1:3" ht="15.75" customHeight="1" x14ac:dyDescent="0.35">
      <c r="A203" s="1"/>
      <c r="B203" s="12"/>
      <c r="C203" s="1"/>
    </row>
    <row r="204" spans="1:3" ht="15.75" customHeight="1" x14ac:dyDescent="0.35">
      <c r="A204" s="1"/>
      <c r="B204" s="12"/>
      <c r="C204" s="1"/>
    </row>
    <row r="205" spans="1:3" ht="15.75" customHeight="1" x14ac:dyDescent="0.35">
      <c r="A205" s="1"/>
      <c r="B205" s="12"/>
      <c r="C205" s="1"/>
    </row>
    <row r="206" spans="1:3" ht="15.75" customHeight="1" x14ac:dyDescent="0.35">
      <c r="A206" s="1"/>
      <c r="B206" s="12"/>
      <c r="C206" s="1"/>
    </row>
    <row r="207" spans="1:3" ht="15.75" customHeight="1" x14ac:dyDescent="0.35">
      <c r="A207" s="1"/>
      <c r="B207" s="12"/>
      <c r="C207" s="1"/>
    </row>
    <row r="208" spans="1:3" ht="15.75" customHeight="1" x14ac:dyDescent="0.35">
      <c r="A208" s="1"/>
      <c r="B208" s="12"/>
      <c r="C208" s="1"/>
    </row>
    <row r="209" spans="1:3" ht="15.75" customHeight="1" x14ac:dyDescent="0.35">
      <c r="A209" s="1"/>
      <c r="B209" s="12"/>
      <c r="C209" s="1"/>
    </row>
    <row r="210" spans="1:3" ht="15.75" customHeight="1" x14ac:dyDescent="0.35">
      <c r="A210" s="1"/>
      <c r="B210" s="12"/>
      <c r="C210" s="1"/>
    </row>
    <row r="211" spans="1:3" ht="15.75" customHeight="1" x14ac:dyDescent="0.35">
      <c r="A211" s="1"/>
      <c r="B211" s="12"/>
      <c r="C211" s="1"/>
    </row>
    <row r="212" spans="1:3" ht="15.75" customHeight="1" x14ac:dyDescent="0.35">
      <c r="A212" s="1"/>
      <c r="B212" s="12"/>
      <c r="C212" s="1"/>
    </row>
    <row r="213" spans="1:3" ht="15.75" customHeight="1" x14ac:dyDescent="0.35">
      <c r="A213" s="1"/>
      <c r="B213" s="12"/>
      <c r="C213" s="1"/>
    </row>
    <row r="214" spans="1:3" ht="15.75" customHeight="1" x14ac:dyDescent="0.35">
      <c r="A214" s="1"/>
      <c r="B214" s="12"/>
      <c r="C214" s="1"/>
    </row>
    <row r="215" spans="1:3" ht="15.75" customHeight="1" x14ac:dyDescent="0.35">
      <c r="A215" s="1"/>
      <c r="B215" s="12"/>
      <c r="C215" s="1"/>
    </row>
    <row r="216" spans="1:3" ht="15.75" customHeight="1" x14ac:dyDescent="0.35">
      <c r="A216" s="1"/>
      <c r="B216" s="12"/>
      <c r="C216" s="1"/>
    </row>
    <row r="217" spans="1:3" ht="15.75" customHeight="1" x14ac:dyDescent="0.35">
      <c r="A217" s="1"/>
      <c r="B217" s="12"/>
      <c r="C217" s="1"/>
    </row>
    <row r="218" spans="1:3" ht="15.75" customHeight="1" x14ac:dyDescent="0.35">
      <c r="A218" s="1"/>
      <c r="B218" s="12"/>
      <c r="C218" s="1"/>
    </row>
    <row r="219" spans="1:3" ht="15.75" customHeight="1" x14ac:dyDescent="0.35">
      <c r="A219" s="1"/>
      <c r="B219" s="12"/>
      <c r="C219" s="1"/>
    </row>
    <row r="220" spans="1:3" ht="15.75" customHeight="1" x14ac:dyDescent="0.35">
      <c r="A220" s="1"/>
      <c r="B220" s="12"/>
      <c r="C220" s="1"/>
    </row>
    <row r="221" spans="1:3" ht="15.75" customHeight="1" x14ac:dyDescent="0.35">
      <c r="A221" s="1"/>
      <c r="B221" s="12"/>
      <c r="C221" s="1"/>
    </row>
    <row r="222" spans="1:3" ht="15.75" customHeight="1" x14ac:dyDescent="0.35">
      <c r="A222" s="1"/>
      <c r="B222" s="12"/>
      <c r="C222" s="1"/>
    </row>
    <row r="223" spans="1:3" ht="15.75" customHeight="1" x14ac:dyDescent="0.35">
      <c r="A223" s="1"/>
      <c r="B223" s="12"/>
      <c r="C223" s="1"/>
    </row>
    <row r="224" spans="1:3" ht="15.75" customHeight="1" x14ac:dyDescent="0.35">
      <c r="A224" s="1"/>
      <c r="B224" s="12"/>
      <c r="C224" s="1"/>
    </row>
    <row r="225" spans="1:3" ht="15.75" customHeight="1" x14ac:dyDescent="0.35">
      <c r="A225" s="1"/>
      <c r="B225" s="12"/>
      <c r="C225" s="1"/>
    </row>
    <row r="226" spans="1:3" ht="15.75" customHeight="1" x14ac:dyDescent="0.35">
      <c r="A226" s="1"/>
      <c r="B226" s="12"/>
      <c r="C226" s="1"/>
    </row>
    <row r="227" spans="1:3" ht="15.75" customHeight="1" x14ac:dyDescent="0.35">
      <c r="A227" s="1"/>
      <c r="B227" s="12"/>
      <c r="C227" s="1"/>
    </row>
    <row r="228" spans="1:3" ht="15.75" customHeight="1" x14ac:dyDescent="0.35">
      <c r="A228" s="1"/>
      <c r="B228" s="12"/>
      <c r="C228" s="1"/>
    </row>
    <row r="229" spans="1:3" ht="15.75" customHeight="1" x14ac:dyDescent="0.35">
      <c r="A229" s="1"/>
      <c r="B229" s="12"/>
      <c r="C229" s="1"/>
    </row>
    <row r="230" spans="1:3" ht="15.75" customHeight="1" x14ac:dyDescent="0.35">
      <c r="A230" s="1"/>
      <c r="B230" s="12"/>
      <c r="C230" s="1"/>
    </row>
    <row r="231" spans="1:3" ht="15.75" customHeight="1" x14ac:dyDescent="0.35">
      <c r="A231" s="1"/>
      <c r="B231" s="12"/>
      <c r="C231" s="1"/>
    </row>
    <row r="232" spans="1:3" ht="15.75" customHeight="1" x14ac:dyDescent="0.35">
      <c r="A232" s="1"/>
      <c r="B232" s="12"/>
      <c r="C232" s="1"/>
    </row>
    <row r="233" spans="1:3" ht="15.75" customHeight="1" x14ac:dyDescent="0.35">
      <c r="A233" s="1"/>
      <c r="B233" s="12"/>
      <c r="C233" s="1"/>
    </row>
    <row r="234" spans="1:3" ht="15.75" customHeight="1" x14ac:dyDescent="0.35">
      <c r="A234" s="1"/>
      <c r="B234" s="12"/>
      <c r="C234" s="1"/>
    </row>
    <row r="235" spans="1:3" ht="15.75" customHeight="1" x14ac:dyDescent="0.35">
      <c r="A235" s="1"/>
      <c r="B235" s="12"/>
      <c r="C235" s="1"/>
    </row>
    <row r="236" spans="1:3" ht="15.75" customHeight="1" x14ac:dyDescent="0.35">
      <c r="A236" s="1"/>
      <c r="B236" s="12"/>
      <c r="C236" s="1"/>
    </row>
    <row r="237" spans="1:3" ht="15.75" customHeight="1" x14ac:dyDescent="0.35">
      <c r="A237" s="1"/>
      <c r="B237" s="12"/>
      <c r="C237" s="1"/>
    </row>
    <row r="238" spans="1:3" ht="15.75" customHeight="1" x14ac:dyDescent="0.35">
      <c r="A238" s="1"/>
      <c r="B238" s="12"/>
      <c r="C238" s="1"/>
    </row>
    <row r="239" spans="1:3" ht="15.75" customHeight="1" x14ac:dyDescent="0.35">
      <c r="A239" s="1"/>
      <c r="B239" s="12"/>
      <c r="C239" s="1"/>
    </row>
    <row r="240" spans="1:3" ht="15.75" customHeight="1" x14ac:dyDescent="0.35">
      <c r="A240" s="1"/>
      <c r="B240" s="12"/>
      <c r="C240" s="1"/>
    </row>
    <row r="241" spans="1:3" ht="15.75" customHeight="1" x14ac:dyDescent="0.35">
      <c r="A241" s="1"/>
      <c r="B241" s="12"/>
      <c r="C241" s="1"/>
    </row>
    <row r="242" spans="1:3" ht="15.75" customHeight="1" x14ac:dyDescent="0.35">
      <c r="A242" s="1"/>
      <c r="B242" s="12"/>
      <c r="C242" s="1"/>
    </row>
    <row r="243" spans="1:3" ht="15.75" customHeight="1" x14ac:dyDescent="0.35">
      <c r="A243" s="1"/>
      <c r="B243" s="12"/>
      <c r="C243" s="1"/>
    </row>
    <row r="244" spans="1:3" ht="15.75" customHeight="1" x14ac:dyDescent="0.35">
      <c r="A244" s="1"/>
      <c r="B244" s="12"/>
      <c r="C244" s="1"/>
    </row>
    <row r="245" spans="1:3" ht="15.75" customHeight="1" x14ac:dyDescent="0.35">
      <c r="A245" s="1"/>
      <c r="B245" s="12"/>
      <c r="C245" s="1"/>
    </row>
    <row r="246" spans="1:3" ht="15.75" customHeight="1" x14ac:dyDescent="0.35">
      <c r="A246" s="1"/>
      <c r="B246" s="12"/>
      <c r="C246" s="1"/>
    </row>
    <row r="247" spans="1:3" ht="15.75" customHeight="1" x14ac:dyDescent="0.35">
      <c r="A247" s="1"/>
      <c r="B247" s="12"/>
      <c r="C247" s="1"/>
    </row>
    <row r="248" spans="1:3" ht="15.75" customHeight="1" x14ac:dyDescent="0.35">
      <c r="A248" s="1"/>
      <c r="B248" s="12"/>
      <c r="C248" s="1"/>
    </row>
    <row r="249" spans="1:3" ht="15.75" customHeight="1" x14ac:dyDescent="0.35">
      <c r="A249" s="1"/>
      <c r="B249" s="12"/>
      <c r="C249" s="1"/>
    </row>
    <row r="250" spans="1:3" ht="15.75" customHeight="1" x14ac:dyDescent="0.35">
      <c r="A250" s="1"/>
      <c r="B250" s="12"/>
      <c r="C250" s="1"/>
    </row>
    <row r="251" spans="1:3" ht="15.75" customHeight="1" x14ac:dyDescent="0.35">
      <c r="A251" s="1"/>
      <c r="B251" s="12"/>
      <c r="C251" s="1"/>
    </row>
    <row r="252" spans="1:3" ht="15.75" customHeight="1" x14ac:dyDescent="0.35">
      <c r="A252" s="1"/>
      <c r="B252" s="12"/>
      <c r="C252" s="1"/>
    </row>
    <row r="253" spans="1:3" ht="15.75" customHeight="1" x14ac:dyDescent="0.35">
      <c r="A253" s="1"/>
      <c r="B253" s="12"/>
      <c r="C253" s="1"/>
    </row>
    <row r="254" spans="1:3" ht="15.75" customHeight="1" x14ac:dyDescent="0.35">
      <c r="A254" s="1"/>
      <c r="B254" s="12"/>
      <c r="C254" s="1"/>
    </row>
    <row r="255" spans="1:3" ht="15.75" customHeight="1" x14ac:dyDescent="0.35">
      <c r="A255" s="1"/>
      <c r="B255" s="12"/>
      <c r="C255" s="1"/>
    </row>
    <row r="256" spans="1:3" ht="15.75" customHeight="1" x14ac:dyDescent="0.35">
      <c r="A256" s="1"/>
      <c r="B256" s="12"/>
      <c r="C256" s="1"/>
    </row>
    <row r="257" spans="1:3" ht="15.75" customHeight="1" x14ac:dyDescent="0.35">
      <c r="A257" s="1"/>
      <c r="B257" s="12"/>
      <c r="C257" s="1"/>
    </row>
    <row r="258" spans="1:3" ht="15.75" customHeight="1" x14ac:dyDescent="0.35">
      <c r="A258" s="1"/>
      <c r="B258" s="12"/>
      <c r="C258" s="1"/>
    </row>
    <row r="259" spans="1:3" ht="15.75" customHeight="1" x14ac:dyDescent="0.35">
      <c r="A259" s="1"/>
      <c r="B259" s="12"/>
      <c r="C259" s="1"/>
    </row>
    <row r="260" spans="1:3" ht="15.75" customHeight="1" x14ac:dyDescent="0.35">
      <c r="A260" s="1"/>
      <c r="B260" s="12"/>
      <c r="C260" s="1"/>
    </row>
    <row r="261" spans="1:3" ht="15.75" customHeight="1" x14ac:dyDescent="0.35">
      <c r="A261" s="1"/>
      <c r="B261" s="12"/>
      <c r="C261" s="1"/>
    </row>
    <row r="262" spans="1:3" ht="15.75" customHeight="1" x14ac:dyDescent="0.35">
      <c r="A262" s="1"/>
      <c r="B262" s="12"/>
      <c r="C262" s="1"/>
    </row>
    <row r="263" spans="1:3" ht="15.75" customHeight="1" x14ac:dyDescent="0.35">
      <c r="A263" s="1"/>
      <c r="B263" s="12"/>
      <c r="C263" s="1"/>
    </row>
    <row r="264" spans="1:3" ht="15.75" customHeight="1" x14ac:dyDescent="0.35">
      <c r="A264" s="1"/>
      <c r="B264" s="12"/>
      <c r="C264" s="1"/>
    </row>
    <row r="265" spans="1:3" ht="15.75" customHeight="1" x14ac:dyDescent="0.35">
      <c r="A265" s="1"/>
      <c r="B265" s="12"/>
      <c r="C265" s="1"/>
    </row>
    <row r="266" spans="1:3" ht="15.75" customHeight="1" x14ac:dyDescent="0.35">
      <c r="A266" s="1"/>
      <c r="B266" s="12"/>
      <c r="C266" s="1"/>
    </row>
    <row r="267" spans="1:3" ht="15.75" customHeight="1" x14ac:dyDescent="0.35">
      <c r="A267" s="1"/>
      <c r="B267" s="12"/>
      <c r="C267" s="1"/>
    </row>
    <row r="268" spans="1:3" ht="15.75" customHeight="1" x14ac:dyDescent="0.35">
      <c r="A268" s="1"/>
      <c r="B268" s="12"/>
      <c r="C268" s="1"/>
    </row>
    <row r="269" spans="1:3" ht="15.75" customHeight="1" x14ac:dyDescent="0.35">
      <c r="A269" s="1"/>
      <c r="B269" s="12"/>
      <c r="C269" s="1"/>
    </row>
    <row r="270" spans="1:3" ht="15.75" customHeight="1" x14ac:dyDescent="0.35">
      <c r="A270" s="1"/>
      <c r="B270" s="12"/>
      <c r="C270" s="1"/>
    </row>
    <row r="271" spans="1:3" ht="15.75" customHeight="1" x14ac:dyDescent="0.35">
      <c r="A271" s="1"/>
      <c r="B271" s="12"/>
      <c r="C271" s="1"/>
    </row>
    <row r="272" spans="1:3" ht="15.75" customHeight="1" x14ac:dyDescent="0.35">
      <c r="A272" s="1"/>
      <c r="B272" s="12"/>
      <c r="C272" s="1"/>
    </row>
    <row r="273" spans="1:3" ht="15.75" customHeight="1" x14ac:dyDescent="0.35">
      <c r="A273" s="1"/>
      <c r="B273" s="12"/>
      <c r="C273" s="1"/>
    </row>
    <row r="274" spans="1:3" ht="15.75" customHeight="1" x14ac:dyDescent="0.35">
      <c r="A274" s="1"/>
      <c r="B274" s="12"/>
      <c r="C274" s="1"/>
    </row>
    <row r="275" spans="1:3" ht="15.75" customHeight="1" x14ac:dyDescent="0.35">
      <c r="A275" s="1"/>
      <c r="B275" s="12"/>
      <c r="C275" s="1"/>
    </row>
    <row r="276" spans="1:3" ht="15.75" customHeight="1" x14ac:dyDescent="0.35">
      <c r="A276" s="1"/>
      <c r="B276" s="12"/>
      <c r="C276" s="1"/>
    </row>
    <row r="277" spans="1:3" ht="15.75" customHeight="1" x14ac:dyDescent="0.35">
      <c r="A277" s="1"/>
      <c r="B277" s="12"/>
      <c r="C277" s="1"/>
    </row>
    <row r="278" spans="1:3" ht="15.75" customHeight="1" x14ac:dyDescent="0.35">
      <c r="A278" s="1"/>
      <c r="B278" s="12"/>
      <c r="C278" s="1"/>
    </row>
    <row r="279" spans="1:3" ht="15.75" customHeight="1" x14ac:dyDescent="0.35">
      <c r="A279" s="1"/>
      <c r="B279" s="12"/>
      <c r="C279" s="1"/>
    </row>
    <row r="280" spans="1:3" ht="15.75" customHeight="1" x14ac:dyDescent="0.35">
      <c r="A280" s="1"/>
      <c r="B280" s="12"/>
      <c r="C280" s="1"/>
    </row>
    <row r="281" spans="1:3" ht="15.75" customHeight="1" x14ac:dyDescent="0.35">
      <c r="A281" s="1"/>
      <c r="B281" s="12"/>
      <c r="C281" s="1"/>
    </row>
    <row r="282" spans="1:3" ht="15.75" customHeight="1" x14ac:dyDescent="0.35">
      <c r="A282" s="1"/>
      <c r="B282" s="12"/>
      <c r="C282" s="1"/>
    </row>
    <row r="283" spans="1:3" ht="15.75" customHeight="1" x14ac:dyDescent="0.35">
      <c r="A283" s="1"/>
      <c r="B283" s="12"/>
      <c r="C283" s="1"/>
    </row>
    <row r="284" spans="1:3" ht="15.75" customHeight="1" x14ac:dyDescent="0.35">
      <c r="A284" s="1"/>
      <c r="B284" s="12"/>
      <c r="C284" s="1"/>
    </row>
    <row r="285" spans="1:3" ht="15.75" customHeight="1" x14ac:dyDescent="0.35">
      <c r="A285" s="1"/>
      <c r="B285" s="12"/>
      <c r="C285" s="1"/>
    </row>
    <row r="286" spans="1:3" ht="15.75" customHeight="1" x14ac:dyDescent="0.35">
      <c r="A286" s="1"/>
      <c r="B286" s="12"/>
      <c r="C286" s="1"/>
    </row>
    <row r="287" spans="1:3" ht="15.75" customHeight="1" x14ac:dyDescent="0.35">
      <c r="A287" s="1"/>
      <c r="B287" s="12"/>
      <c r="C287" s="1"/>
    </row>
    <row r="288" spans="1:3" ht="15.75" customHeight="1" x14ac:dyDescent="0.35">
      <c r="A288" s="1"/>
      <c r="B288" s="12"/>
      <c r="C288" s="1"/>
    </row>
    <row r="289" spans="1:3" ht="15.75" customHeight="1" x14ac:dyDescent="0.35">
      <c r="A289" s="1"/>
      <c r="B289" s="12"/>
      <c r="C289" s="1"/>
    </row>
    <row r="290" spans="1:3" ht="15.75" customHeight="1" x14ac:dyDescent="0.35">
      <c r="A290" s="1"/>
      <c r="B290" s="12"/>
      <c r="C290" s="1"/>
    </row>
    <row r="291" spans="1:3" ht="15.75" customHeight="1" x14ac:dyDescent="0.35">
      <c r="A291" s="1"/>
      <c r="B291" s="12"/>
      <c r="C291" s="1"/>
    </row>
    <row r="292" spans="1:3" ht="15.75" customHeight="1" x14ac:dyDescent="0.35">
      <c r="A292" s="1"/>
      <c r="B292" s="12"/>
      <c r="C292" s="1"/>
    </row>
    <row r="293" spans="1:3" ht="15.75" customHeight="1" x14ac:dyDescent="0.35">
      <c r="A293" s="1"/>
      <c r="B293" s="12"/>
      <c r="C293" s="1"/>
    </row>
    <row r="294" spans="1:3" ht="15.75" customHeight="1" x14ac:dyDescent="0.35">
      <c r="A294" s="1"/>
      <c r="B294" s="12"/>
      <c r="C294" s="1"/>
    </row>
    <row r="295" spans="1:3" ht="15.75" customHeight="1" x14ac:dyDescent="0.35">
      <c r="A295" s="1"/>
      <c r="B295" s="12"/>
      <c r="C295" s="1"/>
    </row>
    <row r="296" spans="1:3" ht="15.75" customHeight="1" x14ac:dyDescent="0.35">
      <c r="A296" s="1"/>
      <c r="B296" s="12"/>
      <c r="C296" s="1"/>
    </row>
    <row r="297" spans="1:3" ht="15.75" customHeight="1" x14ac:dyDescent="0.35">
      <c r="A297" s="1"/>
      <c r="B297" s="12"/>
      <c r="C297" s="1"/>
    </row>
    <row r="298" spans="1:3" ht="15.75" customHeight="1" x14ac:dyDescent="0.35">
      <c r="A298" s="1"/>
      <c r="B298" s="12"/>
      <c r="C298" s="1"/>
    </row>
    <row r="299" spans="1:3" ht="15.75" customHeight="1" x14ac:dyDescent="0.35">
      <c r="A299" s="1"/>
      <c r="B299" s="12"/>
      <c r="C299" s="1"/>
    </row>
    <row r="300" spans="1:3" ht="15.75" customHeight="1" x14ac:dyDescent="0.35">
      <c r="A300" s="1"/>
      <c r="B300" s="12"/>
      <c r="C300" s="1"/>
    </row>
    <row r="301" spans="1:3" ht="15.75" customHeight="1" x14ac:dyDescent="0.35">
      <c r="A301" s="1"/>
      <c r="B301" s="12"/>
      <c r="C301" s="1"/>
    </row>
    <row r="302" spans="1:3" ht="15.75" customHeight="1" x14ac:dyDescent="0.35">
      <c r="A302" s="1"/>
      <c r="B302" s="12"/>
      <c r="C302" s="1"/>
    </row>
    <row r="303" spans="1:3" ht="15.75" customHeight="1" x14ac:dyDescent="0.35">
      <c r="A303" s="1"/>
      <c r="B303" s="12"/>
      <c r="C303" s="1"/>
    </row>
    <row r="304" spans="1:3" ht="15.75" customHeight="1" x14ac:dyDescent="0.35">
      <c r="A304" s="1"/>
      <c r="B304" s="12"/>
      <c r="C304" s="1"/>
    </row>
    <row r="305" spans="1:3" ht="15.75" customHeight="1" x14ac:dyDescent="0.35">
      <c r="A305" s="1"/>
      <c r="B305" s="12"/>
      <c r="C305" s="1"/>
    </row>
    <row r="306" spans="1:3" ht="15.75" customHeight="1" x14ac:dyDescent="0.35">
      <c r="A306" s="1"/>
      <c r="B306" s="12"/>
      <c r="C306" s="1"/>
    </row>
    <row r="307" spans="1:3" ht="15.75" customHeight="1" x14ac:dyDescent="0.35">
      <c r="A307" s="1"/>
      <c r="B307" s="12"/>
      <c r="C307" s="1"/>
    </row>
    <row r="308" spans="1:3" ht="15.75" customHeight="1" x14ac:dyDescent="0.35">
      <c r="A308" s="1"/>
      <c r="B308" s="12"/>
      <c r="C308" s="1"/>
    </row>
    <row r="309" spans="1:3" ht="15.75" customHeight="1" x14ac:dyDescent="0.35">
      <c r="A309" s="1"/>
      <c r="B309" s="12"/>
      <c r="C309" s="1"/>
    </row>
    <row r="310" spans="1:3" ht="15.75" customHeight="1" x14ac:dyDescent="0.35">
      <c r="A310" s="1"/>
      <c r="B310" s="12"/>
      <c r="C310" s="1"/>
    </row>
    <row r="311" spans="1:3" ht="15.75" customHeight="1" x14ac:dyDescent="0.35">
      <c r="A311" s="1"/>
      <c r="B311" s="12"/>
      <c r="C311" s="1"/>
    </row>
    <row r="312" spans="1:3" ht="15.75" customHeight="1" x14ac:dyDescent="0.35">
      <c r="A312" s="1"/>
      <c r="B312" s="12"/>
      <c r="C312" s="1"/>
    </row>
    <row r="313" spans="1:3" ht="15.75" customHeight="1" x14ac:dyDescent="0.35">
      <c r="A313" s="1"/>
      <c r="B313" s="12"/>
      <c r="C313" s="1"/>
    </row>
    <row r="314" spans="1:3" ht="15.75" customHeight="1" x14ac:dyDescent="0.35">
      <c r="A314" s="1"/>
      <c r="B314" s="12"/>
      <c r="C314" s="1"/>
    </row>
    <row r="315" spans="1:3" ht="15.75" customHeight="1" x14ac:dyDescent="0.35">
      <c r="A315" s="1"/>
      <c r="B315" s="12"/>
      <c r="C315" s="1"/>
    </row>
    <row r="316" spans="1:3" ht="15.75" customHeight="1" x14ac:dyDescent="0.35">
      <c r="A316" s="1"/>
      <c r="B316" s="12"/>
      <c r="C316" s="1"/>
    </row>
    <row r="317" spans="1:3" ht="15.75" customHeight="1" x14ac:dyDescent="0.35">
      <c r="A317" s="1"/>
      <c r="B317" s="12"/>
      <c r="C317" s="1"/>
    </row>
    <row r="318" spans="1:3" ht="15.75" customHeight="1" x14ac:dyDescent="0.35">
      <c r="A318" s="1"/>
      <c r="B318" s="12"/>
      <c r="C318" s="1"/>
    </row>
    <row r="319" spans="1:3" ht="15.75" customHeight="1" x14ac:dyDescent="0.35">
      <c r="A319" s="1"/>
      <c r="B319" s="12"/>
      <c r="C319" s="1"/>
    </row>
    <row r="320" spans="1:3" ht="15.75" customHeight="1" x14ac:dyDescent="0.35">
      <c r="A320" s="1"/>
      <c r="B320" s="12"/>
      <c r="C320" s="1"/>
    </row>
    <row r="321" spans="1:3" ht="15.75" customHeight="1" x14ac:dyDescent="0.35">
      <c r="A321" s="1"/>
      <c r="B321" s="12"/>
      <c r="C321" s="1"/>
    </row>
    <row r="322" spans="1:3" ht="15.75" customHeight="1" x14ac:dyDescent="0.35">
      <c r="A322" s="1"/>
      <c r="B322" s="12"/>
      <c r="C322" s="1"/>
    </row>
    <row r="323" spans="1:3" ht="15.75" customHeight="1" x14ac:dyDescent="0.35">
      <c r="A323" s="1"/>
      <c r="B323" s="12"/>
      <c r="C323" s="1"/>
    </row>
    <row r="324" spans="1:3" ht="15.75" customHeight="1" x14ac:dyDescent="0.35">
      <c r="A324" s="1"/>
      <c r="B324" s="12"/>
      <c r="C324" s="1"/>
    </row>
    <row r="325" spans="1:3" ht="15.75" customHeight="1" x14ac:dyDescent="0.35">
      <c r="A325" s="1"/>
      <c r="B325" s="12"/>
      <c r="C325" s="1"/>
    </row>
    <row r="326" spans="1:3" ht="15.75" customHeight="1" x14ac:dyDescent="0.35">
      <c r="A326" s="1"/>
      <c r="B326" s="12"/>
      <c r="C326" s="1"/>
    </row>
    <row r="327" spans="1:3" ht="15.75" customHeight="1" x14ac:dyDescent="0.35">
      <c r="A327" s="1"/>
      <c r="B327" s="12"/>
      <c r="C327" s="1"/>
    </row>
    <row r="328" spans="1:3" ht="15.75" customHeight="1" x14ac:dyDescent="0.35">
      <c r="A328" s="1"/>
      <c r="B328" s="12"/>
      <c r="C328" s="1"/>
    </row>
    <row r="329" spans="1:3" ht="15.75" customHeight="1" x14ac:dyDescent="0.35">
      <c r="A329" s="1"/>
      <c r="B329" s="12"/>
      <c r="C329" s="1"/>
    </row>
    <row r="330" spans="1:3" ht="15.75" customHeight="1" x14ac:dyDescent="0.35">
      <c r="A330" s="1"/>
      <c r="B330" s="12"/>
      <c r="C330" s="1"/>
    </row>
    <row r="331" spans="1:3" ht="15.75" customHeight="1" x14ac:dyDescent="0.35">
      <c r="A331" s="1"/>
      <c r="B331" s="12"/>
      <c r="C331" s="1"/>
    </row>
    <row r="332" spans="1:3" ht="15.75" customHeight="1" x14ac:dyDescent="0.35">
      <c r="A332" s="1"/>
      <c r="B332" s="12"/>
      <c r="C332" s="1"/>
    </row>
    <row r="333" spans="1:3" ht="15.75" customHeight="1" x14ac:dyDescent="0.35">
      <c r="A333" s="1"/>
      <c r="B333" s="12"/>
      <c r="C333" s="1"/>
    </row>
    <row r="334" spans="1:3" ht="15.75" customHeight="1" x14ac:dyDescent="0.35">
      <c r="A334" s="1"/>
      <c r="B334" s="12"/>
      <c r="C334" s="1"/>
    </row>
    <row r="335" spans="1:3" ht="15.75" customHeight="1" x14ac:dyDescent="0.35">
      <c r="A335" s="1"/>
      <c r="B335" s="12"/>
      <c r="C335" s="1"/>
    </row>
    <row r="336" spans="1:3" ht="15.75" customHeight="1" x14ac:dyDescent="0.35">
      <c r="A336" s="1"/>
      <c r="B336" s="12"/>
      <c r="C336" s="1"/>
    </row>
    <row r="337" spans="1:3" ht="15.75" customHeight="1" x14ac:dyDescent="0.35">
      <c r="A337" s="1"/>
      <c r="B337" s="12"/>
      <c r="C337" s="1"/>
    </row>
    <row r="338" spans="1:3" ht="15.75" customHeight="1" x14ac:dyDescent="0.35">
      <c r="A338" s="1"/>
      <c r="B338" s="12"/>
      <c r="C338" s="1"/>
    </row>
    <row r="339" spans="1:3" ht="15.75" customHeight="1" x14ac:dyDescent="0.35">
      <c r="A339" s="1"/>
      <c r="B339" s="12"/>
      <c r="C339" s="1"/>
    </row>
    <row r="340" spans="1:3" ht="15.75" customHeight="1" x14ac:dyDescent="0.35">
      <c r="A340" s="1"/>
      <c r="B340" s="12"/>
      <c r="C340" s="1"/>
    </row>
    <row r="341" spans="1:3" ht="15.75" customHeight="1" x14ac:dyDescent="0.35">
      <c r="A341" s="1"/>
      <c r="B341" s="12"/>
      <c r="C341" s="1"/>
    </row>
    <row r="342" spans="1:3" ht="15.75" customHeight="1" x14ac:dyDescent="0.35">
      <c r="A342" s="1"/>
      <c r="B342" s="12"/>
      <c r="C342" s="1"/>
    </row>
    <row r="343" spans="1:3" ht="15.75" customHeight="1" x14ac:dyDescent="0.35">
      <c r="A343" s="1"/>
      <c r="B343" s="12"/>
      <c r="C343" s="1"/>
    </row>
    <row r="344" spans="1:3" ht="15.75" customHeight="1" x14ac:dyDescent="0.35">
      <c r="A344" s="1"/>
      <c r="B344" s="12"/>
      <c r="C344" s="1"/>
    </row>
    <row r="345" spans="1:3" ht="15.75" customHeight="1" x14ac:dyDescent="0.35">
      <c r="A345" s="1"/>
      <c r="B345" s="12"/>
      <c r="C345" s="1"/>
    </row>
    <row r="346" spans="1:3" ht="15.75" customHeight="1" x14ac:dyDescent="0.35">
      <c r="A346" s="1"/>
      <c r="B346" s="12"/>
      <c r="C346" s="1"/>
    </row>
    <row r="347" spans="1:3" ht="15.75" customHeight="1" x14ac:dyDescent="0.35">
      <c r="A347" s="1"/>
      <c r="B347" s="12"/>
      <c r="C347" s="1"/>
    </row>
    <row r="348" spans="1:3" ht="15.75" customHeight="1" x14ac:dyDescent="0.35">
      <c r="A348" s="1"/>
      <c r="B348" s="12"/>
      <c r="C348" s="1"/>
    </row>
    <row r="349" spans="1:3" ht="15.75" customHeight="1" x14ac:dyDescent="0.35">
      <c r="A349" s="1"/>
      <c r="B349" s="12"/>
      <c r="C349" s="1"/>
    </row>
    <row r="350" spans="1:3" ht="15.75" customHeight="1" x14ac:dyDescent="0.35">
      <c r="A350" s="1"/>
      <c r="B350" s="12"/>
      <c r="C350" s="1"/>
    </row>
    <row r="351" spans="1:3" ht="15.75" customHeight="1" x14ac:dyDescent="0.35">
      <c r="A351" s="1"/>
      <c r="B351" s="12"/>
      <c r="C351" s="1"/>
    </row>
    <row r="352" spans="1:3" ht="15.75" customHeight="1" x14ac:dyDescent="0.35">
      <c r="A352" s="1"/>
      <c r="B352" s="12"/>
      <c r="C352" s="1"/>
    </row>
    <row r="353" spans="1:3" ht="15.75" customHeight="1" x14ac:dyDescent="0.35">
      <c r="A353" s="1"/>
      <c r="B353" s="12"/>
      <c r="C353" s="1"/>
    </row>
    <row r="354" spans="1:3" ht="15.75" customHeight="1" x14ac:dyDescent="0.35">
      <c r="A354" s="1"/>
      <c r="B354" s="12"/>
      <c r="C354" s="1"/>
    </row>
    <row r="355" spans="1:3" ht="15.75" customHeight="1" x14ac:dyDescent="0.35">
      <c r="A355" s="1"/>
      <c r="B355" s="12"/>
      <c r="C355" s="1"/>
    </row>
    <row r="356" spans="1:3" ht="15.75" customHeight="1" x14ac:dyDescent="0.35">
      <c r="A356" s="1"/>
      <c r="B356" s="12"/>
      <c r="C356" s="1"/>
    </row>
    <row r="357" spans="1:3" ht="15.75" customHeight="1" x14ac:dyDescent="0.35">
      <c r="A357" s="1"/>
      <c r="B357" s="12"/>
      <c r="C357" s="1"/>
    </row>
    <row r="358" spans="1:3" ht="15.75" customHeight="1" x14ac:dyDescent="0.35">
      <c r="A358" s="1"/>
      <c r="B358" s="12"/>
      <c r="C358" s="1"/>
    </row>
    <row r="359" spans="1:3" ht="15.75" customHeight="1" x14ac:dyDescent="0.35">
      <c r="A359" s="1"/>
      <c r="B359" s="12"/>
      <c r="C359" s="1"/>
    </row>
    <row r="360" spans="1:3" ht="15.75" customHeight="1" x14ac:dyDescent="0.35">
      <c r="A360" s="1"/>
      <c r="B360" s="12"/>
      <c r="C360" s="1"/>
    </row>
    <row r="361" spans="1:3" ht="15.75" customHeight="1" x14ac:dyDescent="0.35">
      <c r="A361" s="1"/>
      <c r="B361" s="12"/>
      <c r="C361" s="1"/>
    </row>
    <row r="362" spans="1:3" ht="15.75" customHeight="1" x14ac:dyDescent="0.35">
      <c r="A362" s="1"/>
      <c r="B362" s="12"/>
      <c r="C362" s="1"/>
    </row>
    <row r="363" spans="1:3" ht="15.75" customHeight="1" x14ac:dyDescent="0.35">
      <c r="A363" s="1"/>
      <c r="B363" s="12"/>
      <c r="C363" s="1"/>
    </row>
    <row r="364" spans="1:3" ht="15.75" customHeight="1" x14ac:dyDescent="0.35">
      <c r="A364" s="1"/>
      <c r="B364" s="12"/>
      <c r="C364" s="1"/>
    </row>
    <row r="365" spans="1:3" ht="15.75" customHeight="1" x14ac:dyDescent="0.35">
      <c r="A365" s="1"/>
      <c r="B365" s="12"/>
      <c r="C365" s="1"/>
    </row>
    <row r="366" spans="1:3" ht="15.75" customHeight="1" x14ac:dyDescent="0.35">
      <c r="A366" s="1"/>
      <c r="B366" s="12"/>
      <c r="C366" s="1"/>
    </row>
    <row r="367" spans="1:3" ht="15.75" customHeight="1" x14ac:dyDescent="0.35">
      <c r="A367" s="1"/>
      <c r="B367" s="12"/>
      <c r="C367" s="1"/>
    </row>
    <row r="368" spans="1:3" ht="15.75" customHeight="1" x14ac:dyDescent="0.35">
      <c r="A368" s="1"/>
      <c r="B368" s="12"/>
      <c r="C368" s="1"/>
    </row>
    <row r="369" spans="1:3" ht="15.75" customHeight="1" x14ac:dyDescent="0.35">
      <c r="A369" s="1"/>
      <c r="B369" s="12"/>
      <c r="C369" s="1"/>
    </row>
    <row r="370" spans="1:3" ht="15.75" customHeight="1" x14ac:dyDescent="0.35">
      <c r="A370" s="1"/>
      <c r="B370" s="12"/>
      <c r="C370" s="1"/>
    </row>
    <row r="371" spans="1:3" ht="15.75" customHeight="1" x14ac:dyDescent="0.35">
      <c r="A371" s="1"/>
      <c r="B371" s="12"/>
      <c r="C371" s="1"/>
    </row>
    <row r="372" spans="1:3" ht="15.75" customHeight="1" x14ac:dyDescent="0.35">
      <c r="A372" s="1"/>
      <c r="B372" s="12"/>
      <c r="C372" s="1"/>
    </row>
    <row r="373" spans="1:3" ht="15.75" customHeight="1" x14ac:dyDescent="0.35">
      <c r="A373" s="1"/>
      <c r="B373" s="12"/>
      <c r="C373" s="1"/>
    </row>
    <row r="374" spans="1:3" ht="15.75" customHeight="1" x14ac:dyDescent="0.35">
      <c r="A374" s="1"/>
      <c r="B374" s="12"/>
      <c r="C374" s="1"/>
    </row>
    <row r="375" spans="1:3" ht="15.75" customHeight="1" x14ac:dyDescent="0.35">
      <c r="A375" s="1"/>
      <c r="B375" s="12"/>
      <c r="C375" s="1"/>
    </row>
    <row r="376" spans="1:3" ht="15.75" customHeight="1" x14ac:dyDescent="0.35">
      <c r="A376" s="1"/>
      <c r="B376" s="12"/>
      <c r="C376" s="1"/>
    </row>
    <row r="377" spans="1:3" ht="15.75" customHeight="1" x14ac:dyDescent="0.35">
      <c r="A377" s="1"/>
      <c r="B377" s="12"/>
      <c r="C377" s="1"/>
    </row>
    <row r="378" spans="1:3" ht="15.75" customHeight="1" x14ac:dyDescent="0.35">
      <c r="A378" s="1"/>
      <c r="B378" s="12"/>
      <c r="C378" s="1"/>
    </row>
    <row r="379" spans="1:3" ht="15.75" customHeight="1" x14ac:dyDescent="0.35">
      <c r="A379" s="1"/>
      <c r="B379" s="12"/>
      <c r="C379" s="1"/>
    </row>
    <row r="380" spans="1:3" ht="15.75" customHeight="1" x14ac:dyDescent="0.35">
      <c r="A380" s="1"/>
      <c r="B380" s="12"/>
      <c r="C380" s="1"/>
    </row>
    <row r="381" spans="1:3" ht="15.75" customHeight="1" x14ac:dyDescent="0.35">
      <c r="A381" s="1"/>
      <c r="B381" s="12"/>
      <c r="C381" s="1"/>
    </row>
    <row r="382" spans="1:3" ht="15.75" customHeight="1" x14ac:dyDescent="0.35">
      <c r="A382" s="1"/>
      <c r="B382" s="12"/>
      <c r="C382" s="1"/>
    </row>
    <row r="383" spans="1:3" ht="15.75" customHeight="1" x14ac:dyDescent="0.35">
      <c r="A383" s="1"/>
      <c r="B383" s="12"/>
      <c r="C383" s="1"/>
    </row>
    <row r="384" spans="1:3" ht="15.75" customHeight="1" x14ac:dyDescent="0.35">
      <c r="A384" s="1"/>
      <c r="B384" s="12"/>
      <c r="C384" s="1"/>
    </row>
    <row r="385" spans="1:3" ht="15.75" customHeight="1" x14ac:dyDescent="0.35">
      <c r="A385" s="1"/>
      <c r="B385" s="12"/>
      <c r="C385" s="1"/>
    </row>
    <row r="386" spans="1:3" ht="15.75" customHeight="1" x14ac:dyDescent="0.35">
      <c r="A386" s="1"/>
      <c r="B386" s="12"/>
      <c r="C386" s="1"/>
    </row>
    <row r="387" spans="1:3" ht="15.75" customHeight="1" x14ac:dyDescent="0.35">
      <c r="A387" s="1"/>
      <c r="B387" s="12"/>
      <c r="C387" s="1"/>
    </row>
    <row r="388" spans="1:3" ht="15.75" customHeight="1" x14ac:dyDescent="0.35">
      <c r="A388" s="1"/>
      <c r="B388" s="12"/>
      <c r="C388" s="1"/>
    </row>
    <row r="389" spans="1:3" ht="15.75" customHeight="1" x14ac:dyDescent="0.35">
      <c r="A389" s="1"/>
      <c r="B389" s="12"/>
      <c r="C389" s="1"/>
    </row>
    <row r="390" spans="1:3" ht="15.75" customHeight="1" x14ac:dyDescent="0.35">
      <c r="A390" s="1"/>
      <c r="B390" s="12"/>
      <c r="C390" s="1"/>
    </row>
    <row r="391" spans="1:3" ht="15.75" customHeight="1" x14ac:dyDescent="0.35">
      <c r="A391" s="1"/>
      <c r="B391" s="12"/>
      <c r="C391" s="1"/>
    </row>
    <row r="392" spans="1:3" ht="15.75" customHeight="1" x14ac:dyDescent="0.35">
      <c r="A392" s="1"/>
      <c r="B392" s="12"/>
      <c r="C392" s="1"/>
    </row>
    <row r="393" spans="1:3" ht="15.75" customHeight="1" x14ac:dyDescent="0.35">
      <c r="A393" s="1"/>
      <c r="B393" s="12"/>
      <c r="C393" s="1"/>
    </row>
    <row r="394" spans="1:3" ht="15.75" customHeight="1" x14ac:dyDescent="0.35">
      <c r="A394" s="1"/>
      <c r="B394" s="12"/>
      <c r="C394" s="1"/>
    </row>
    <row r="395" spans="1:3" ht="15.75" customHeight="1" x14ac:dyDescent="0.35">
      <c r="A395" s="1"/>
      <c r="B395" s="12"/>
      <c r="C395" s="1"/>
    </row>
    <row r="396" spans="1:3" ht="15.75" customHeight="1" x14ac:dyDescent="0.35">
      <c r="A396" s="1"/>
      <c r="B396" s="12"/>
      <c r="C396" s="1"/>
    </row>
    <row r="397" spans="1:3" ht="15.75" customHeight="1" x14ac:dyDescent="0.35">
      <c r="A397" s="1"/>
      <c r="B397" s="12"/>
      <c r="C397" s="1"/>
    </row>
    <row r="398" spans="1:3" ht="15.75" customHeight="1" x14ac:dyDescent="0.35">
      <c r="A398" s="1"/>
      <c r="B398" s="12"/>
      <c r="C398" s="1"/>
    </row>
    <row r="399" spans="1:3" ht="15.75" customHeight="1" x14ac:dyDescent="0.35">
      <c r="A399" s="1"/>
      <c r="B399" s="12"/>
      <c r="C399" s="1"/>
    </row>
    <row r="400" spans="1:3" ht="15.75" customHeight="1" x14ac:dyDescent="0.35">
      <c r="A400" s="1"/>
      <c r="B400" s="12"/>
      <c r="C400" s="1"/>
    </row>
    <row r="401" spans="1:3" ht="15.75" customHeight="1" x14ac:dyDescent="0.35">
      <c r="A401" s="1"/>
      <c r="B401" s="12"/>
      <c r="C401" s="1"/>
    </row>
    <row r="402" spans="1:3" ht="15.75" customHeight="1" x14ac:dyDescent="0.35">
      <c r="A402" s="1"/>
      <c r="B402" s="12"/>
      <c r="C402" s="1"/>
    </row>
    <row r="403" spans="1:3" ht="15.75" customHeight="1" x14ac:dyDescent="0.35">
      <c r="A403" s="1"/>
      <c r="B403" s="12"/>
      <c r="C403" s="1"/>
    </row>
    <row r="404" spans="1:3" ht="15.75" customHeight="1" x14ac:dyDescent="0.35">
      <c r="A404" s="1"/>
      <c r="B404" s="12"/>
      <c r="C404" s="1"/>
    </row>
    <row r="405" spans="1:3" ht="15.75" customHeight="1" x14ac:dyDescent="0.35">
      <c r="A405" s="1"/>
      <c r="B405" s="12"/>
      <c r="C405" s="1"/>
    </row>
    <row r="406" spans="1:3" ht="15.75" customHeight="1" x14ac:dyDescent="0.35">
      <c r="A406" s="1"/>
      <c r="B406" s="12"/>
      <c r="C406" s="1"/>
    </row>
    <row r="407" spans="1:3" ht="15.75" customHeight="1" x14ac:dyDescent="0.35">
      <c r="A407" s="1"/>
      <c r="B407" s="12"/>
      <c r="C407" s="1"/>
    </row>
    <row r="408" spans="1:3" ht="15.75" customHeight="1" x14ac:dyDescent="0.35">
      <c r="A408" s="1"/>
      <c r="B408" s="12"/>
      <c r="C408" s="1"/>
    </row>
    <row r="409" spans="1:3" ht="15.75" customHeight="1" x14ac:dyDescent="0.35">
      <c r="A409" s="1"/>
      <c r="B409" s="12"/>
      <c r="C409" s="1"/>
    </row>
    <row r="410" spans="1:3" ht="15.75" customHeight="1" x14ac:dyDescent="0.35">
      <c r="A410" s="1"/>
      <c r="B410" s="12"/>
      <c r="C410" s="1"/>
    </row>
    <row r="411" spans="1:3" ht="15.75" customHeight="1" x14ac:dyDescent="0.35">
      <c r="A411" s="1"/>
      <c r="B411" s="12"/>
      <c r="C411" s="1"/>
    </row>
    <row r="412" spans="1:3" ht="15.75" customHeight="1" x14ac:dyDescent="0.35">
      <c r="A412" s="1"/>
      <c r="B412" s="12"/>
      <c r="C412" s="1"/>
    </row>
    <row r="413" spans="1:3" ht="15.75" customHeight="1" x14ac:dyDescent="0.35">
      <c r="A413" s="1"/>
      <c r="B413" s="12"/>
      <c r="C413" s="1"/>
    </row>
    <row r="414" spans="1:3" ht="15.75" customHeight="1" x14ac:dyDescent="0.35">
      <c r="A414" s="1"/>
      <c r="B414" s="12"/>
      <c r="C414" s="1"/>
    </row>
    <row r="415" spans="1:3" ht="15.75" customHeight="1" x14ac:dyDescent="0.35">
      <c r="A415" s="1"/>
      <c r="B415" s="12"/>
      <c r="C415" s="1"/>
    </row>
    <row r="416" spans="1:3" ht="15.75" customHeight="1" x14ac:dyDescent="0.35">
      <c r="A416" s="1"/>
      <c r="B416" s="12"/>
      <c r="C416" s="1"/>
    </row>
    <row r="417" spans="1:3" ht="15.75" customHeight="1" x14ac:dyDescent="0.35">
      <c r="A417" s="1"/>
      <c r="B417" s="12"/>
      <c r="C417" s="1"/>
    </row>
    <row r="418" spans="1:3" ht="15.75" customHeight="1" x14ac:dyDescent="0.35">
      <c r="A418" s="1"/>
      <c r="B418" s="12"/>
      <c r="C418" s="1"/>
    </row>
    <row r="419" spans="1:3" ht="15.75" customHeight="1" x14ac:dyDescent="0.35">
      <c r="A419" s="1"/>
      <c r="B419" s="12"/>
      <c r="C419" s="1"/>
    </row>
    <row r="420" spans="1:3" ht="15.75" customHeight="1" x14ac:dyDescent="0.35">
      <c r="A420" s="1"/>
      <c r="B420" s="12"/>
      <c r="C420" s="1"/>
    </row>
    <row r="421" spans="1:3" ht="15.75" customHeight="1" x14ac:dyDescent="0.35">
      <c r="A421" s="1"/>
      <c r="B421" s="12"/>
      <c r="C421" s="1"/>
    </row>
    <row r="422" spans="1:3" ht="15.75" customHeight="1" x14ac:dyDescent="0.35">
      <c r="A422" s="1"/>
      <c r="B422" s="12"/>
      <c r="C422" s="1"/>
    </row>
    <row r="423" spans="1:3" ht="15.75" customHeight="1" x14ac:dyDescent="0.35">
      <c r="A423" s="1"/>
      <c r="B423" s="12"/>
      <c r="C423" s="1"/>
    </row>
    <row r="424" spans="1:3" ht="15.75" customHeight="1" x14ac:dyDescent="0.35">
      <c r="A424" s="1"/>
      <c r="B424" s="12"/>
      <c r="C424" s="1"/>
    </row>
    <row r="425" spans="1:3" ht="15.75" customHeight="1" x14ac:dyDescent="0.35">
      <c r="A425" s="1"/>
      <c r="B425" s="12"/>
      <c r="C425" s="1"/>
    </row>
    <row r="426" spans="1:3" ht="15.75" customHeight="1" x14ac:dyDescent="0.35">
      <c r="A426" s="1"/>
      <c r="B426" s="12"/>
      <c r="C426" s="1"/>
    </row>
    <row r="427" spans="1:3" ht="15.75" customHeight="1" x14ac:dyDescent="0.35">
      <c r="A427" s="1"/>
      <c r="B427" s="12"/>
      <c r="C427" s="1"/>
    </row>
    <row r="428" spans="1:3" ht="15.75" customHeight="1" x14ac:dyDescent="0.35">
      <c r="A428" s="1"/>
      <c r="B428" s="12"/>
      <c r="C428" s="1"/>
    </row>
    <row r="429" spans="1:3" ht="15.75" customHeight="1" x14ac:dyDescent="0.35">
      <c r="A429" s="1"/>
      <c r="B429" s="12"/>
      <c r="C429" s="1"/>
    </row>
    <row r="430" spans="1:3" ht="15.75" customHeight="1" x14ac:dyDescent="0.35">
      <c r="A430" s="1"/>
      <c r="B430" s="12"/>
      <c r="C430" s="1"/>
    </row>
    <row r="431" spans="1:3" ht="15.75" customHeight="1" x14ac:dyDescent="0.35">
      <c r="A431" s="1"/>
      <c r="B431" s="12"/>
      <c r="C431" s="1"/>
    </row>
    <row r="432" spans="1:3" ht="15.75" customHeight="1" x14ac:dyDescent="0.35">
      <c r="A432" s="1"/>
      <c r="B432" s="12"/>
      <c r="C432" s="1"/>
    </row>
    <row r="433" spans="1:3" ht="15.75" customHeight="1" x14ac:dyDescent="0.35">
      <c r="A433" s="1"/>
      <c r="B433" s="12"/>
      <c r="C433" s="1"/>
    </row>
    <row r="434" spans="1:3" ht="15.75" customHeight="1" x14ac:dyDescent="0.35">
      <c r="A434" s="1"/>
      <c r="B434" s="12"/>
      <c r="C434" s="1"/>
    </row>
    <row r="435" spans="1:3" ht="15.75" customHeight="1" x14ac:dyDescent="0.35">
      <c r="A435" s="1"/>
      <c r="B435" s="12"/>
      <c r="C435" s="1"/>
    </row>
    <row r="436" spans="1:3" ht="15.75" customHeight="1" x14ac:dyDescent="0.35">
      <c r="A436" s="1"/>
      <c r="B436" s="12"/>
      <c r="C436" s="1"/>
    </row>
    <row r="437" spans="1:3" ht="15.75" customHeight="1" x14ac:dyDescent="0.35">
      <c r="A437" s="1"/>
      <c r="B437" s="12"/>
      <c r="C437" s="1"/>
    </row>
    <row r="438" spans="1:3" ht="15.75" customHeight="1" x14ac:dyDescent="0.35">
      <c r="A438" s="1"/>
      <c r="B438" s="12"/>
      <c r="C438" s="1"/>
    </row>
    <row r="439" spans="1:3" ht="15.75" customHeight="1" x14ac:dyDescent="0.35">
      <c r="A439" s="1"/>
      <c r="B439" s="12"/>
      <c r="C439" s="1"/>
    </row>
    <row r="440" spans="1:3" ht="15.75" customHeight="1" x14ac:dyDescent="0.35">
      <c r="A440" s="1"/>
      <c r="B440" s="12"/>
      <c r="C440" s="1"/>
    </row>
    <row r="441" spans="1:3" ht="15.75" customHeight="1" x14ac:dyDescent="0.35">
      <c r="A441" s="1"/>
      <c r="B441" s="12"/>
      <c r="C441" s="1"/>
    </row>
    <row r="442" spans="1:3" ht="15.75" customHeight="1" x14ac:dyDescent="0.35">
      <c r="A442" s="1"/>
      <c r="B442" s="12"/>
      <c r="C442" s="1"/>
    </row>
    <row r="443" spans="1:3" ht="15.75" customHeight="1" x14ac:dyDescent="0.35">
      <c r="A443" s="1"/>
      <c r="B443" s="12"/>
      <c r="C443" s="1"/>
    </row>
    <row r="444" spans="1:3" ht="15.75" customHeight="1" x14ac:dyDescent="0.35">
      <c r="A444" s="1"/>
      <c r="B444" s="12"/>
      <c r="C444" s="1"/>
    </row>
    <row r="445" spans="1:3" ht="15.75" customHeight="1" x14ac:dyDescent="0.35">
      <c r="A445" s="1"/>
      <c r="B445" s="12"/>
      <c r="C445" s="1"/>
    </row>
    <row r="446" spans="1:3" ht="15.75" customHeight="1" x14ac:dyDescent="0.35">
      <c r="A446" s="1"/>
      <c r="B446" s="12"/>
      <c r="C446" s="1"/>
    </row>
    <row r="447" spans="1:3" ht="15.75" customHeight="1" x14ac:dyDescent="0.35">
      <c r="A447" s="1"/>
      <c r="B447" s="12"/>
      <c r="C447" s="1"/>
    </row>
    <row r="448" spans="1:3" ht="15.75" customHeight="1" x14ac:dyDescent="0.35">
      <c r="A448" s="1"/>
      <c r="B448" s="12"/>
      <c r="C448" s="1"/>
    </row>
    <row r="449" spans="1:3" ht="15.75" customHeight="1" x14ac:dyDescent="0.35">
      <c r="A449" s="1"/>
      <c r="B449" s="12"/>
      <c r="C449" s="1"/>
    </row>
    <row r="450" spans="1:3" ht="15.75" customHeight="1" x14ac:dyDescent="0.35">
      <c r="A450" s="1"/>
      <c r="B450" s="12"/>
      <c r="C450" s="1"/>
    </row>
    <row r="451" spans="1:3" ht="15.75" customHeight="1" x14ac:dyDescent="0.35">
      <c r="A451" s="1"/>
      <c r="B451" s="12"/>
      <c r="C451" s="1"/>
    </row>
    <row r="452" spans="1:3" ht="15.75" customHeight="1" x14ac:dyDescent="0.35">
      <c r="A452" s="1"/>
      <c r="B452" s="12"/>
      <c r="C452" s="1"/>
    </row>
    <row r="453" spans="1:3" ht="15.75" customHeight="1" x14ac:dyDescent="0.35">
      <c r="A453" s="1"/>
      <c r="B453" s="12"/>
      <c r="C453" s="1"/>
    </row>
    <row r="454" spans="1:3" ht="15.75" customHeight="1" x14ac:dyDescent="0.35">
      <c r="A454" s="1"/>
      <c r="B454" s="12"/>
      <c r="C454" s="1"/>
    </row>
    <row r="455" spans="1:3" ht="15.75" customHeight="1" x14ac:dyDescent="0.35">
      <c r="A455" s="1"/>
      <c r="B455" s="12"/>
      <c r="C455" s="1"/>
    </row>
    <row r="456" spans="1:3" ht="15.75" customHeight="1" x14ac:dyDescent="0.35">
      <c r="A456" s="1"/>
      <c r="B456" s="12"/>
      <c r="C456" s="1"/>
    </row>
    <row r="457" spans="1:3" ht="15.75" customHeight="1" x14ac:dyDescent="0.35">
      <c r="A457" s="1"/>
      <c r="B457" s="12"/>
      <c r="C457" s="1"/>
    </row>
    <row r="458" spans="1:3" ht="15.75" customHeight="1" x14ac:dyDescent="0.35">
      <c r="A458" s="1"/>
      <c r="B458" s="12"/>
      <c r="C458" s="1"/>
    </row>
    <row r="459" spans="1:3" ht="15.75" customHeight="1" x14ac:dyDescent="0.35">
      <c r="A459" s="1"/>
      <c r="B459" s="12"/>
      <c r="C459" s="1"/>
    </row>
    <row r="460" spans="1:3" ht="15.75" customHeight="1" x14ac:dyDescent="0.35">
      <c r="A460" s="1"/>
      <c r="B460" s="12"/>
      <c r="C460" s="1"/>
    </row>
    <row r="461" spans="1:3" ht="15.75" customHeight="1" x14ac:dyDescent="0.35">
      <c r="A461" s="1"/>
      <c r="B461" s="12"/>
      <c r="C461" s="1"/>
    </row>
    <row r="462" spans="1:3" ht="15.75" customHeight="1" x14ac:dyDescent="0.35">
      <c r="A462" s="1"/>
      <c r="B462" s="12"/>
      <c r="C462" s="1"/>
    </row>
    <row r="463" spans="1:3" ht="15.75" customHeight="1" x14ac:dyDescent="0.35">
      <c r="A463" s="1"/>
      <c r="B463" s="12"/>
      <c r="C463" s="1"/>
    </row>
    <row r="464" spans="1:3" ht="15.75" customHeight="1" x14ac:dyDescent="0.35">
      <c r="A464" s="1"/>
      <c r="B464" s="12"/>
      <c r="C464" s="1"/>
    </row>
    <row r="465" spans="1:3" ht="15.75" customHeight="1" x14ac:dyDescent="0.35">
      <c r="A465" s="1"/>
      <c r="B465" s="12"/>
      <c r="C465" s="1"/>
    </row>
    <row r="466" spans="1:3" ht="15.75" customHeight="1" x14ac:dyDescent="0.35">
      <c r="A466" s="1"/>
      <c r="B466" s="12"/>
      <c r="C466" s="1"/>
    </row>
    <row r="467" spans="1:3" ht="15.75" customHeight="1" x14ac:dyDescent="0.35">
      <c r="A467" s="1"/>
      <c r="B467" s="12"/>
      <c r="C467" s="1"/>
    </row>
    <row r="468" spans="1:3" ht="15.75" customHeight="1" x14ac:dyDescent="0.35">
      <c r="A468" s="1"/>
      <c r="B468" s="12"/>
      <c r="C468" s="1"/>
    </row>
    <row r="469" spans="1:3" ht="15.75" customHeight="1" x14ac:dyDescent="0.35">
      <c r="A469" s="1"/>
      <c r="B469" s="12"/>
      <c r="C469" s="1"/>
    </row>
    <row r="470" spans="1:3" ht="15.75" customHeight="1" x14ac:dyDescent="0.35">
      <c r="A470" s="1"/>
      <c r="B470" s="12"/>
      <c r="C470" s="1"/>
    </row>
    <row r="471" spans="1:3" ht="15.75" customHeight="1" x14ac:dyDescent="0.35">
      <c r="A471" s="1"/>
      <c r="B471" s="12"/>
      <c r="C471" s="1"/>
    </row>
    <row r="472" spans="1:3" ht="15.75" customHeight="1" x14ac:dyDescent="0.35">
      <c r="A472" s="1"/>
      <c r="B472" s="12"/>
      <c r="C472" s="1"/>
    </row>
    <row r="473" spans="1:3" ht="15.75" customHeight="1" x14ac:dyDescent="0.35">
      <c r="A473" s="1"/>
      <c r="B473" s="12"/>
      <c r="C473" s="1"/>
    </row>
    <row r="474" spans="1:3" ht="15.75" customHeight="1" x14ac:dyDescent="0.35">
      <c r="A474" s="1"/>
      <c r="B474" s="12"/>
      <c r="C474" s="1"/>
    </row>
    <row r="475" spans="1:3" ht="15.75" customHeight="1" x14ac:dyDescent="0.35">
      <c r="A475" s="1"/>
      <c r="B475" s="12"/>
      <c r="C475" s="1"/>
    </row>
    <row r="476" spans="1:3" ht="15.75" customHeight="1" x14ac:dyDescent="0.35">
      <c r="A476" s="1"/>
      <c r="B476" s="12"/>
      <c r="C476" s="1"/>
    </row>
    <row r="477" spans="1:3" ht="15.75" customHeight="1" x14ac:dyDescent="0.35">
      <c r="A477" s="1"/>
      <c r="B477" s="12"/>
      <c r="C477" s="1"/>
    </row>
    <row r="478" spans="1:3" ht="15.75" customHeight="1" x14ac:dyDescent="0.35">
      <c r="A478" s="1"/>
      <c r="B478" s="12"/>
      <c r="C478" s="1"/>
    </row>
    <row r="479" spans="1:3" ht="15.75" customHeight="1" x14ac:dyDescent="0.35">
      <c r="A479" s="1"/>
      <c r="B479" s="12"/>
      <c r="C479" s="1"/>
    </row>
    <row r="480" spans="1:3" ht="15.75" customHeight="1" x14ac:dyDescent="0.35">
      <c r="A480" s="1"/>
      <c r="B480" s="12"/>
      <c r="C480" s="1"/>
    </row>
    <row r="481" spans="1:3" ht="15.75" customHeight="1" x14ac:dyDescent="0.35">
      <c r="A481" s="1"/>
      <c r="B481" s="12"/>
      <c r="C481" s="1"/>
    </row>
    <row r="482" spans="1:3" ht="15.75" customHeight="1" x14ac:dyDescent="0.35">
      <c r="A482" s="1"/>
      <c r="B482" s="12"/>
      <c r="C482" s="1"/>
    </row>
    <row r="483" spans="1:3" ht="15.75" customHeight="1" x14ac:dyDescent="0.35">
      <c r="A483" s="1"/>
      <c r="B483" s="12"/>
      <c r="C483" s="1"/>
    </row>
    <row r="484" spans="1:3" ht="15.75" customHeight="1" x14ac:dyDescent="0.35">
      <c r="A484" s="1"/>
      <c r="B484" s="12"/>
      <c r="C484" s="1"/>
    </row>
    <row r="485" spans="1:3" ht="15.75" customHeight="1" x14ac:dyDescent="0.35">
      <c r="A485" s="1"/>
      <c r="B485" s="12"/>
      <c r="C485" s="1"/>
    </row>
    <row r="486" spans="1:3" ht="15.75" customHeight="1" x14ac:dyDescent="0.35">
      <c r="A486" s="1"/>
      <c r="B486" s="12"/>
      <c r="C486" s="1"/>
    </row>
    <row r="487" spans="1:3" ht="15.75" customHeight="1" x14ac:dyDescent="0.35">
      <c r="A487" s="1"/>
      <c r="B487" s="12"/>
      <c r="C487" s="1"/>
    </row>
    <row r="488" spans="1:3" ht="15.75" customHeight="1" x14ac:dyDescent="0.35">
      <c r="A488" s="1"/>
      <c r="B488" s="12"/>
      <c r="C488" s="1"/>
    </row>
    <row r="489" spans="1:3" ht="15.75" customHeight="1" x14ac:dyDescent="0.35">
      <c r="A489" s="1"/>
      <c r="B489" s="12"/>
      <c r="C489" s="1"/>
    </row>
    <row r="490" spans="1:3" ht="15.75" customHeight="1" x14ac:dyDescent="0.35">
      <c r="A490" s="1"/>
      <c r="B490" s="12"/>
      <c r="C490" s="1"/>
    </row>
    <row r="491" spans="1:3" ht="15.75" customHeight="1" x14ac:dyDescent="0.35">
      <c r="A491" s="1"/>
      <c r="B491" s="12"/>
      <c r="C491" s="1"/>
    </row>
    <row r="492" spans="1:3" ht="15.75" customHeight="1" x14ac:dyDescent="0.35">
      <c r="A492" s="1"/>
      <c r="B492" s="12"/>
      <c r="C492" s="1"/>
    </row>
    <row r="493" spans="1:3" ht="15.75" customHeight="1" x14ac:dyDescent="0.35">
      <c r="A493" s="1"/>
      <c r="B493" s="12"/>
      <c r="C493" s="1"/>
    </row>
    <row r="494" spans="1:3" ht="15.75" customHeight="1" x14ac:dyDescent="0.35">
      <c r="A494" s="1"/>
      <c r="B494" s="12"/>
      <c r="C494" s="1"/>
    </row>
    <row r="495" spans="1:3" ht="15.75" customHeight="1" x14ac:dyDescent="0.35">
      <c r="A495" s="1"/>
      <c r="B495" s="12"/>
      <c r="C495" s="1"/>
    </row>
    <row r="496" spans="1:3" ht="15.75" customHeight="1" x14ac:dyDescent="0.35">
      <c r="A496" s="1"/>
      <c r="B496" s="12"/>
      <c r="C496" s="1"/>
    </row>
    <row r="497" spans="1:3" ht="15.75" customHeight="1" x14ac:dyDescent="0.35">
      <c r="A497" s="1"/>
      <c r="B497" s="12"/>
      <c r="C497" s="1"/>
    </row>
    <row r="498" spans="1:3" ht="15.75" customHeight="1" x14ac:dyDescent="0.35">
      <c r="A498" s="1"/>
      <c r="B498" s="12"/>
      <c r="C498" s="1"/>
    </row>
    <row r="499" spans="1:3" ht="15.75" customHeight="1" x14ac:dyDescent="0.35">
      <c r="A499" s="1"/>
      <c r="B499" s="12"/>
      <c r="C499" s="1"/>
    </row>
    <row r="500" spans="1:3" ht="15.75" customHeight="1" x14ac:dyDescent="0.35">
      <c r="A500" s="1"/>
      <c r="B500" s="12"/>
      <c r="C500" s="1"/>
    </row>
    <row r="501" spans="1:3" ht="15.75" customHeight="1" x14ac:dyDescent="0.35">
      <c r="A501" s="1"/>
      <c r="B501" s="12"/>
      <c r="C501" s="1"/>
    </row>
    <row r="502" spans="1:3" ht="15.75" customHeight="1" x14ac:dyDescent="0.35">
      <c r="A502" s="1"/>
      <c r="B502" s="12"/>
      <c r="C502" s="1"/>
    </row>
    <row r="503" spans="1:3" ht="15.75" customHeight="1" x14ac:dyDescent="0.35">
      <c r="A503" s="1"/>
      <c r="B503" s="12"/>
      <c r="C503" s="1"/>
    </row>
    <row r="504" spans="1:3" ht="15.75" customHeight="1" x14ac:dyDescent="0.35">
      <c r="A504" s="1"/>
      <c r="B504" s="12"/>
      <c r="C504" s="1"/>
    </row>
    <row r="505" spans="1:3" ht="15.75" customHeight="1" x14ac:dyDescent="0.35">
      <c r="A505" s="1"/>
      <c r="B505" s="12"/>
      <c r="C505" s="1"/>
    </row>
    <row r="506" spans="1:3" ht="15.75" customHeight="1" x14ac:dyDescent="0.35">
      <c r="A506" s="1"/>
      <c r="B506" s="12"/>
      <c r="C506" s="1"/>
    </row>
    <row r="507" spans="1:3" ht="15.75" customHeight="1" x14ac:dyDescent="0.35">
      <c r="A507" s="1"/>
      <c r="B507" s="12"/>
      <c r="C507" s="1"/>
    </row>
    <row r="508" spans="1:3" ht="15.75" customHeight="1" x14ac:dyDescent="0.35">
      <c r="A508" s="1"/>
      <c r="B508" s="12"/>
      <c r="C508" s="1"/>
    </row>
    <row r="509" spans="1:3" ht="15.75" customHeight="1" x14ac:dyDescent="0.35">
      <c r="A509" s="1"/>
      <c r="B509" s="12"/>
      <c r="C509" s="1"/>
    </row>
    <row r="510" spans="1:3" ht="15.75" customHeight="1" x14ac:dyDescent="0.35">
      <c r="A510" s="1"/>
      <c r="B510" s="12"/>
      <c r="C510" s="1"/>
    </row>
    <row r="511" spans="1:3" ht="15.75" customHeight="1" x14ac:dyDescent="0.35">
      <c r="A511" s="1"/>
      <c r="B511" s="12"/>
      <c r="C511" s="1"/>
    </row>
    <row r="512" spans="1:3" ht="15.75" customHeight="1" x14ac:dyDescent="0.35">
      <c r="A512" s="1"/>
      <c r="B512" s="12"/>
      <c r="C512" s="1"/>
    </row>
    <row r="513" spans="1:3" ht="15.75" customHeight="1" x14ac:dyDescent="0.35">
      <c r="A513" s="1"/>
      <c r="B513" s="12"/>
      <c r="C513" s="1"/>
    </row>
    <row r="514" spans="1:3" ht="15.75" customHeight="1" x14ac:dyDescent="0.35">
      <c r="A514" s="1"/>
      <c r="B514" s="12"/>
      <c r="C514" s="1"/>
    </row>
    <row r="515" spans="1:3" ht="15.75" customHeight="1" x14ac:dyDescent="0.35">
      <c r="A515" s="1"/>
      <c r="B515" s="12"/>
      <c r="C515" s="1"/>
    </row>
    <row r="516" spans="1:3" ht="15.75" customHeight="1" x14ac:dyDescent="0.35">
      <c r="A516" s="1"/>
      <c r="B516" s="12"/>
      <c r="C516" s="1"/>
    </row>
    <row r="517" spans="1:3" ht="15.75" customHeight="1" x14ac:dyDescent="0.35">
      <c r="A517" s="1"/>
      <c r="B517" s="12"/>
      <c r="C517" s="1"/>
    </row>
    <row r="518" spans="1:3" ht="15.75" customHeight="1" x14ac:dyDescent="0.35">
      <c r="A518" s="1"/>
      <c r="B518" s="12"/>
      <c r="C518" s="1"/>
    </row>
    <row r="519" spans="1:3" ht="15.75" customHeight="1" x14ac:dyDescent="0.35">
      <c r="A519" s="1"/>
      <c r="B519" s="12"/>
      <c r="C519" s="1"/>
    </row>
    <row r="520" spans="1:3" ht="15.75" customHeight="1" x14ac:dyDescent="0.35">
      <c r="A520" s="1"/>
      <c r="B520" s="12"/>
      <c r="C520" s="1"/>
    </row>
    <row r="521" spans="1:3" ht="15.75" customHeight="1" x14ac:dyDescent="0.35">
      <c r="A521" s="1"/>
      <c r="B521" s="12"/>
      <c r="C521" s="1"/>
    </row>
    <row r="522" spans="1:3" ht="15.75" customHeight="1" x14ac:dyDescent="0.35">
      <c r="A522" s="1"/>
      <c r="B522" s="12"/>
      <c r="C522" s="1"/>
    </row>
    <row r="523" spans="1:3" ht="15.75" customHeight="1" x14ac:dyDescent="0.35">
      <c r="A523" s="1"/>
      <c r="B523" s="12"/>
      <c r="C523" s="1"/>
    </row>
    <row r="524" spans="1:3" ht="15.75" customHeight="1" x14ac:dyDescent="0.35">
      <c r="A524" s="1"/>
      <c r="B524" s="12"/>
      <c r="C524" s="1"/>
    </row>
    <row r="525" spans="1:3" ht="15.75" customHeight="1" x14ac:dyDescent="0.35">
      <c r="A525" s="1"/>
      <c r="B525" s="12"/>
      <c r="C525" s="1"/>
    </row>
    <row r="526" spans="1:3" ht="15.75" customHeight="1" x14ac:dyDescent="0.35">
      <c r="A526" s="1"/>
      <c r="B526" s="12"/>
      <c r="C526" s="1"/>
    </row>
    <row r="527" spans="1:3" ht="15.75" customHeight="1" x14ac:dyDescent="0.35">
      <c r="A527" s="1"/>
      <c r="B527" s="12"/>
      <c r="C527" s="1"/>
    </row>
    <row r="528" spans="1:3" ht="15.75" customHeight="1" x14ac:dyDescent="0.35">
      <c r="A528" s="1"/>
      <c r="B528" s="12"/>
      <c r="C528" s="1"/>
    </row>
    <row r="529" spans="1:3" ht="15.75" customHeight="1" x14ac:dyDescent="0.35">
      <c r="A529" s="1"/>
      <c r="B529" s="12"/>
      <c r="C529" s="1"/>
    </row>
    <row r="530" spans="1:3" ht="15.75" customHeight="1" x14ac:dyDescent="0.35">
      <c r="A530" s="1"/>
      <c r="B530" s="12"/>
      <c r="C530" s="1"/>
    </row>
    <row r="531" spans="1:3" ht="15.75" customHeight="1" x14ac:dyDescent="0.35">
      <c r="A531" s="1"/>
      <c r="B531" s="12"/>
      <c r="C531" s="1"/>
    </row>
    <row r="532" spans="1:3" ht="15.75" customHeight="1" x14ac:dyDescent="0.35">
      <c r="A532" s="1"/>
      <c r="B532" s="12"/>
      <c r="C532" s="1"/>
    </row>
    <row r="533" spans="1:3" ht="15.75" customHeight="1" x14ac:dyDescent="0.35">
      <c r="A533" s="1"/>
      <c r="B533" s="12"/>
      <c r="C533" s="1"/>
    </row>
    <row r="534" spans="1:3" ht="15.75" customHeight="1" x14ac:dyDescent="0.35">
      <c r="A534" s="1"/>
      <c r="B534" s="12"/>
      <c r="C534" s="1"/>
    </row>
    <row r="535" spans="1:3" ht="15.75" customHeight="1" x14ac:dyDescent="0.35">
      <c r="A535" s="1"/>
      <c r="B535" s="12"/>
      <c r="C535" s="1"/>
    </row>
    <row r="536" spans="1:3" ht="15.75" customHeight="1" x14ac:dyDescent="0.35">
      <c r="A536" s="1"/>
      <c r="B536" s="12"/>
      <c r="C536" s="1"/>
    </row>
    <row r="537" spans="1:3" ht="15.75" customHeight="1" x14ac:dyDescent="0.35">
      <c r="A537" s="1"/>
      <c r="B537" s="12"/>
      <c r="C537" s="1"/>
    </row>
    <row r="538" spans="1:3" ht="15.75" customHeight="1" x14ac:dyDescent="0.35">
      <c r="A538" s="1"/>
      <c r="B538" s="12"/>
      <c r="C538" s="1"/>
    </row>
    <row r="539" spans="1:3" ht="15.75" customHeight="1" x14ac:dyDescent="0.35">
      <c r="A539" s="1"/>
      <c r="B539" s="12"/>
      <c r="C539" s="1"/>
    </row>
    <row r="540" spans="1:3" ht="15.75" customHeight="1" x14ac:dyDescent="0.35">
      <c r="A540" s="1"/>
      <c r="B540" s="12"/>
      <c r="C540" s="1"/>
    </row>
    <row r="541" spans="1:3" ht="15.75" customHeight="1" x14ac:dyDescent="0.35">
      <c r="A541" s="1"/>
      <c r="B541" s="12"/>
      <c r="C541" s="1"/>
    </row>
    <row r="542" spans="1:3" ht="15.75" customHeight="1" x14ac:dyDescent="0.35">
      <c r="A542" s="1"/>
      <c r="B542" s="12"/>
      <c r="C542" s="1"/>
    </row>
    <row r="543" spans="1:3" ht="15.75" customHeight="1" x14ac:dyDescent="0.35">
      <c r="A543" s="1"/>
      <c r="B543" s="12"/>
      <c r="C543" s="1"/>
    </row>
    <row r="544" spans="1:3" ht="15.75" customHeight="1" x14ac:dyDescent="0.35">
      <c r="A544" s="1"/>
      <c r="B544" s="12"/>
      <c r="C544" s="1"/>
    </row>
    <row r="545" spans="1:3" ht="15.75" customHeight="1" x14ac:dyDescent="0.35">
      <c r="A545" s="1"/>
      <c r="B545" s="12"/>
      <c r="C545" s="1"/>
    </row>
    <row r="546" spans="1:3" ht="15.75" customHeight="1" x14ac:dyDescent="0.35">
      <c r="A546" s="1"/>
      <c r="B546" s="12"/>
      <c r="C546" s="1"/>
    </row>
    <row r="547" spans="1:3" ht="15.75" customHeight="1" x14ac:dyDescent="0.35">
      <c r="A547" s="1"/>
      <c r="B547" s="12"/>
      <c r="C547" s="1"/>
    </row>
    <row r="548" spans="1:3" ht="15.75" customHeight="1" x14ac:dyDescent="0.35">
      <c r="A548" s="1"/>
      <c r="B548" s="12"/>
      <c r="C548" s="1"/>
    </row>
    <row r="549" spans="1:3" ht="15.75" customHeight="1" x14ac:dyDescent="0.35">
      <c r="A549" s="1"/>
      <c r="B549" s="12"/>
      <c r="C549" s="1"/>
    </row>
    <row r="550" spans="1:3" ht="15.75" customHeight="1" x14ac:dyDescent="0.35">
      <c r="A550" s="1"/>
      <c r="B550" s="12"/>
      <c r="C550" s="1"/>
    </row>
    <row r="551" spans="1:3" ht="15.75" customHeight="1" x14ac:dyDescent="0.35">
      <c r="A551" s="1"/>
      <c r="B551" s="12"/>
      <c r="C551" s="1"/>
    </row>
    <row r="552" spans="1:3" ht="15.75" customHeight="1" x14ac:dyDescent="0.35">
      <c r="A552" s="1"/>
      <c r="B552" s="12"/>
      <c r="C552" s="1"/>
    </row>
    <row r="553" spans="1:3" ht="15.75" customHeight="1" x14ac:dyDescent="0.35">
      <c r="A553" s="1"/>
      <c r="B553" s="12"/>
      <c r="C553" s="1"/>
    </row>
    <row r="554" spans="1:3" ht="15.75" customHeight="1" x14ac:dyDescent="0.35">
      <c r="A554" s="1"/>
      <c r="B554" s="12"/>
      <c r="C554" s="1"/>
    </row>
    <row r="555" spans="1:3" ht="15.75" customHeight="1" x14ac:dyDescent="0.35">
      <c r="A555" s="1"/>
      <c r="B555" s="12"/>
      <c r="C555" s="1"/>
    </row>
    <row r="556" spans="1:3" ht="15.75" customHeight="1" x14ac:dyDescent="0.35">
      <c r="A556" s="1"/>
      <c r="B556" s="12"/>
      <c r="C556" s="1"/>
    </row>
    <row r="557" spans="1:3" ht="15.75" customHeight="1" x14ac:dyDescent="0.35">
      <c r="A557" s="1"/>
      <c r="B557" s="12"/>
      <c r="C557" s="1"/>
    </row>
    <row r="558" spans="1:3" ht="15.75" customHeight="1" x14ac:dyDescent="0.35">
      <c r="A558" s="1"/>
      <c r="B558" s="12"/>
      <c r="C558" s="1"/>
    </row>
    <row r="559" spans="1:3" ht="15.75" customHeight="1" x14ac:dyDescent="0.35">
      <c r="A559" s="1"/>
      <c r="B559" s="12"/>
      <c r="C559" s="1"/>
    </row>
    <row r="560" spans="1:3" ht="15.75" customHeight="1" x14ac:dyDescent="0.35">
      <c r="A560" s="1"/>
      <c r="B560" s="12"/>
      <c r="C560" s="1"/>
    </row>
    <row r="561" spans="1:3" ht="15.75" customHeight="1" x14ac:dyDescent="0.35">
      <c r="A561" s="1"/>
      <c r="B561" s="12"/>
      <c r="C561" s="1"/>
    </row>
    <row r="562" spans="1:3" ht="15.75" customHeight="1" x14ac:dyDescent="0.35">
      <c r="A562" s="1"/>
      <c r="B562" s="12"/>
      <c r="C562" s="1"/>
    </row>
    <row r="563" spans="1:3" ht="15.75" customHeight="1" x14ac:dyDescent="0.35">
      <c r="A563" s="1"/>
      <c r="B563" s="12"/>
      <c r="C563" s="1"/>
    </row>
    <row r="564" spans="1:3" ht="15.75" customHeight="1" x14ac:dyDescent="0.35">
      <c r="A564" s="1"/>
      <c r="B564" s="12"/>
      <c r="C564" s="1"/>
    </row>
    <row r="565" spans="1:3" ht="15.75" customHeight="1" x14ac:dyDescent="0.35">
      <c r="A565" s="1"/>
      <c r="B565" s="12"/>
      <c r="C565" s="1"/>
    </row>
    <row r="566" spans="1:3" ht="15.75" customHeight="1" x14ac:dyDescent="0.35">
      <c r="A566" s="1"/>
      <c r="B566" s="12"/>
      <c r="C566" s="1"/>
    </row>
    <row r="567" spans="1:3" ht="15.75" customHeight="1" x14ac:dyDescent="0.35">
      <c r="A567" s="1"/>
      <c r="B567" s="12"/>
      <c r="C567" s="1"/>
    </row>
    <row r="568" spans="1:3" ht="15.75" customHeight="1" x14ac:dyDescent="0.35">
      <c r="A568" s="1"/>
      <c r="B568" s="12"/>
      <c r="C568" s="1"/>
    </row>
    <row r="569" spans="1:3" ht="15.75" customHeight="1" x14ac:dyDescent="0.35">
      <c r="A569" s="1"/>
      <c r="B569" s="12"/>
      <c r="C569" s="1"/>
    </row>
    <row r="570" spans="1:3" ht="15.75" customHeight="1" x14ac:dyDescent="0.35">
      <c r="A570" s="1"/>
      <c r="B570" s="12"/>
      <c r="C570" s="1"/>
    </row>
    <row r="571" spans="1:3" ht="15.75" customHeight="1" x14ac:dyDescent="0.35">
      <c r="A571" s="1"/>
      <c r="B571" s="12"/>
      <c r="C571" s="1"/>
    </row>
    <row r="572" spans="1:3" ht="15.75" customHeight="1" x14ac:dyDescent="0.35">
      <c r="A572" s="1"/>
      <c r="B572" s="12"/>
      <c r="C572" s="1"/>
    </row>
    <row r="573" spans="1:3" ht="15.75" customHeight="1" x14ac:dyDescent="0.35">
      <c r="A573" s="1"/>
      <c r="B573" s="12"/>
      <c r="C573" s="1"/>
    </row>
    <row r="574" spans="1:3" ht="15.75" customHeight="1" x14ac:dyDescent="0.35">
      <c r="A574" s="1"/>
      <c r="B574" s="12"/>
      <c r="C574" s="1"/>
    </row>
    <row r="575" spans="1:3" ht="15.75" customHeight="1" x14ac:dyDescent="0.35">
      <c r="A575" s="1"/>
      <c r="B575" s="12"/>
      <c r="C575" s="1"/>
    </row>
    <row r="576" spans="1:3" ht="15.75" customHeight="1" x14ac:dyDescent="0.35">
      <c r="A576" s="1"/>
      <c r="B576" s="12"/>
      <c r="C576" s="1"/>
    </row>
    <row r="577" spans="1:3" ht="15.75" customHeight="1" x14ac:dyDescent="0.35">
      <c r="A577" s="1"/>
      <c r="B577" s="12"/>
      <c r="C577" s="1"/>
    </row>
    <row r="578" spans="1:3" ht="15.75" customHeight="1" x14ac:dyDescent="0.35">
      <c r="A578" s="1"/>
      <c r="B578" s="12"/>
      <c r="C578" s="1"/>
    </row>
    <row r="579" spans="1:3" ht="15.75" customHeight="1" x14ac:dyDescent="0.35">
      <c r="A579" s="1"/>
      <c r="B579" s="12"/>
      <c r="C579" s="1"/>
    </row>
    <row r="580" spans="1:3" ht="15.75" customHeight="1" x14ac:dyDescent="0.35">
      <c r="A580" s="1"/>
      <c r="B580" s="12"/>
      <c r="C580" s="1"/>
    </row>
    <row r="581" spans="1:3" ht="15.75" customHeight="1" x14ac:dyDescent="0.35">
      <c r="A581" s="1"/>
      <c r="B581" s="12"/>
      <c r="C581" s="1"/>
    </row>
    <row r="582" spans="1:3" ht="15.75" customHeight="1" x14ac:dyDescent="0.35">
      <c r="A582" s="1"/>
      <c r="B582" s="12"/>
      <c r="C582" s="1"/>
    </row>
    <row r="583" spans="1:3" ht="15.75" customHeight="1" x14ac:dyDescent="0.35">
      <c r="A583" s="1"/>
      <c r="B583" s="12"/>
      <c r="C583" s="1"/>
    </row>
    <row r="584" spans="1:3" ht="15.75" customHeight="1" x14ac:dyDescent="0.35">
      <c r="A584" s="1"/>
      <c r="B584" s="12"/>
      <c r="C584" s="1"/>
    </row>
    <row r="585" spans="1:3" ht="15.75" customHeight="1" x14ac:dyDescent="0.35">
      <c r="A585" s="1"/>
      <c r="B585" s="12"/>
      <c r="C585" s="1"/>
    </row>
    <row r="586" spans="1:3" ht="15.75" customHeight="1" x14ac:dyDescent="0.35">
      <c r="A586" s="1"/>
      <c r="B586" s="12"/>
      <c r="C586" s="1"/>
    </row>
    <row r="587" spans="1:3" ht="15.75" customHeight="1" x14ac:dyDescent="0.35">
      <c r="A587" s="1"/>
      <c r="B587" s="12"/>
      <c r="C587" s="1"/>
    </row>
    <row r="588" spans="1:3" ht="15.75" customHeight="1" x14ac:dyDescent="0.35">
      <c r="A588" s="1"/>
      <c r="B588" s="12"/>
      <c r="C588" s="1"/>
    </row>
    <row r="589" spans="1:3" ht="15.75" customHeight="1" x14ac:dyDescent="0.35">
      <c r="A589" s="1"/>
      <c r="B589" s="12"/>
      <c r="C589" s="1"/>
    </row>
    <row r="590" spans="1:3" ht="15.75" customHeight="1" x14ac:dyDescent="0.35">
      <c r="A590" s="1"/>
      <c r="B590" s="12"/>
      <c r="C590" s="1"/>
    </row>
    <row r="591" spans="1:3" ht="15.75" customHeight="1" x14ac:dyDescent="0.35">
      <c r="A591" s="1"/>
      <c r="B591" s="12"/>
      <c r="C591" s="1"/>
    </row>
    <row r="592" spans="1:3" ht="15.75" customHeight="1" x14ac:dyDescent="0.35">
      <c r="A592" s="1"/>
      <c r="B592" s="12"/>
      <c r="C592" s="1"/>
    </row>
    <row r="593" spans="1:3" ht="15.75" customHeight="1" x14ac:dyDescent="0.35">
      <c r="A593" s="1"/>
      <c r="B593" s="12"/>
      <c r="C593" s="1"/>
    </row>
    <row r="594" spans="1:3" ht="15.75" customHeight="1" x14ac:dyDescent="0.35">
      <c r="A594" s="1"/>
      <c r="B594" s="12"/>
      <c r="C594" s="1"/>
    </row>
    <row r="595" spans="1:3" ht="15.75" customHeight="1" x14ac:dyDescent="0.35">
      <c r="A595" s="1"/>
      <c r="B595" s="12"/>
      <c r="C595" s="1"/>
    </row>
    <row r="596" spans="1:3" ht="15.75" customHeight="1" x14ac:dyDescent="0.35">
      <c r="A596" s="1"/>
      <c r="B596" s="12"/>
      <c r="C596" s="1"/>
    </row>
    <row r="597" spans="1:3" ht="15.75" customHeight="1" x14ac:dyDescent="0.35">
      <c r="A597" s="1"/>
      <c r="B597" s="12"/>
      <c r="C597" s="1"/>
    </row>
    <row r="598" spans="1:3" ht="15.75" customHeight="1" x14ac:dyDescent="0.35">
      <c r="A598" s="1"/>
      <c r="B598" s="12"/>
      <c r="C598" s="1"/>
    </row>
    <row r="599" spans="1:3" ht="15.75" customHeight="1" x14ac:dyDescent="0.35">
      <c r="A599" s="1"/>
      <c r="B599" s="12"/>
      <c r="C599" s="1"/>
    </row>
    <row r="600" spans="1:3" ht="15.75" customHeight="1" x14ac:dyDescent="0.35">
      <c r="A600" s="1"/>
      <c r="B600" s="12"/>
      <c r="C600" s="1"/>
    </row>
    <row r="601" spans="1:3" ht="15.75" customHeight="1" x14ac:dyDescent="0.35">
      <c r="A601" s="1"/>
      <c r="B601" s="12"/>
      <c r="C601" s="1"/>
    </row>
    <row r="602" spans="1:3" ht="15.75" customHeight="1" x14ac:dyDescent="0.35">
      <c r="A602" s="1"/>
      <c r="B602" s="12"/>
      <c r="C602" s="1"/>
    </row>
    <row r="603" spans="1:3" ht="15.75" customHeight="1" x14ac:dyDescent="0.35">
      <c r="A603" s="1"/>
      <c r="B603" s="12"/>
      <c r="C603" s="1"/>
    </row>
    <row r="604" spans="1:3" ht="15.75" customHeight="1" x14ac:dyDescent="0.35">
      <c r="A604" s="1"/>
      <c r="B604" s="12"/>
      <c r="C604" s="1"/>
    </row>
    <row r="605" spans="1:3" ht="15.75" customHeight="1" x14ac:dyDescent="0.35">
      <c r="A605" s="1"/>
      <c r="B605" s="12"/>
      <c r="C605" s="1"/>
    </row>
    <row r="606" spans="1:3" ht="15.75" customHeight="1" x14ac:dyDescent="0.35">
      <c r="A606" s="1"/>
      <c r="B606" s="12"/>
      <c r="C606" s="1"/>
    </row>
    <row r="607" spans="1:3" ht="15.75" customHeight="1" x14ac:dyDescent="0.35">
      <c r="A607" s="1"/>
      <c r="B607" s="12"/>
      <c r="C607" s="1"/>
    </row>
    <row r="608" spans="1:3" ht="15.75" customHeight="1" x14ac:dyDescent="0.35">
      <c r="A608" s="1"/>
      <c r="B608" s="12"/>
      <c r="C608" s="1"/>
    </row>
    <row r="609" spans="1:3" ht="15.75" customHeight="1" x14ac:dyDescent="0.35">
      <c r="A609" s="1"/>
      <c r="B609" s="12"/>
      <c r="C609" s="1"/>
    </row>
    <row r="610" spans="1:3" ht="15.75" customHeight="1" x14ac:dyDescent="0.35">
      <c r="A610" s="1"/>
      <c r="B610" s="12"/>
      <c r="C610" s="1"/>
    </row>
    <row r="611" spans="1:3" ht="15.75" customHeight="1" x14ac:dyDescent="0.35">
      <c r="A611" s="1"/>
      <c r="B611" s="12"/>
      <c r="C611" s="1"/>
    </row>
    <row r="612" spans="1:3" ht="15.75" customHeight="1" x14ac:dyDescent="0.35">
      <c r="A612" s="1"/>
      <c r="B612" s="12"/>
      <c r="C612" s="1"/>
    </row>
    <row r="613" spans="1:3" ht="15.75" customHeight="1" x14ac:dyDescent="0.35">
      <c r="A613" s="1"/>
      <c r="B613" s="12"/>
      <c r="C613" s="1"/>
    </row>
    <row r="614" spans="1:3" ht="15.75" customHeight="1" x14ac:dyDescent="0.35">
      <c r="A614" s="1"/>
      <c r="B614" s="12"/>
      <c r="C614" s="1"/>
    </row>
    <row r="615" spans="1:3" ht="15.75" customHeight="1" x14ac:dyDescent="0.35">
      <c r="A615" s="1"/>
      <c r="B615" s="12"/>
      <c r="C615" s="1"/>
    </row>
    <row r="616" spans="1:3" ht="15.75" customHeight="1" x14ac:dyDescent="0.35">
      <c r="A616" s="1"/>
      <c r="B616" s="12"/>
      <c r="C616" s="1"/>
    </row>
    <row r="617" spans="1:3" ht="15.75" customHeight="1" x14ac:dyDescent="0.35">
      <c r="A617" s="1"/>
      <c r="B617" s="12"/>
      <c r="C617" s="1"/>
    </row>
    <row r="618" spans="1:3" ht="15.75" customHeight="1" x14ac:dyDescent="0.35">
      <c r="A618" s="1"/>
      <c r="B618" s="12"/>
      <c r="C618" s="1"/>
    </row>
    <row r="619" spans="1:3" ht="15.75" customHeight="1" x14ac:dyDescent="0.35">
      <c r="A619" s="1"/>
      <c r="B619" s="12"/>
      <c r="C619" s="1"/>
    </row>
    <row r="620" spans="1:3" ht="15.75" customHeight="1" x14ac:dyDescent="0.35">
      <c r="A620" s="1"/>
      <c r="B620" s="12"/>
      <c r="C620" s="1"/>
    </row>
    <row r="621" spans="1:3" ht="15.75" customHeight="1" x14ac:dyDescent="0.35">
      <c r="A621" s="1"/>
      <c r="B621" s="12"/>
      <c r="C621" s="1"/>
    </row>
    <row r="622" spans="1:3" ht="15.75" customHeight="1" x14ac:dyDescent="0.35">
      <c r="A622" s="1"/>
      <c r="B622" s="12"/>
      <c r="C622" s="1"/>
    </row>
    <row r="623" spans="1:3" ht="15.75" customHeight="1" x14ac:dyDescent="0.35">
      <c r="A623" s="1"/>
      <c r="B623" s="12"/>
      <c r="C623" s="1"/>
    </row>
    <row r="624" spans="1:3" ht="15.75" customHeight="1" x14ac:dyDescent="0.35">
      <c r="A624" s="1"/>
      <c r="B624" s="12"/>
      <c r="C624" s="1"/>
    </row>
    <row r="625" spans="1:3" ht="15.75" customHeight="1" x14ac:dyDescent="0.35">
      <c r="A625" s="1"/>
      <c r="B625" s="12"/>
      <c r="C625" s="1"/>
    </row>
    <row r="626" spans="1:3" ht="15.75" customHeight="1" x14ac:dyDescent="0.35">
      <c r="A626" s="1"/>
      <c r="B626" s="12"/>
      <c r="C626" s="1"/>
    </row>
    <row r="627" spans="1:3" ht="15.75" customHeight="1" x14ac:dyDescent="0.35">
      <c r="A627" s="1"/>
      <c r="B627" s="12"/>
      <c r="C627" s="1"/>
    </row>
    <row r="628" spans="1:3" ht="15.75" customHeight="1" x14ac:dyDescent="0.35">
      <c r="A628" s="1"/>
      <c r="B628" s="12"/>
      <c r="C628" s="1"/>
    </row>
    <row r="629" spans="1:3" ht="15.75" customHeight="1" x14ac:dyDescent="0.35">
      <c r="A629" s="1"/>
      <c r="B629" s="12"/>
      <c r="C629" s="1"/>
    </row>
    <row r="630" spans="1:3" ht="15.75" customHeight="1" x14ac:dyDescent="0.35">
      <c r="A630" s="1"/>
      <c r="B630" s="12"/>
      <c r="C630" s="1"/>
    </row>
    <row r="631" spans="1:3" ht="15.75" customHeight="1" x14ac:dyDescent="0.35">
      <c r="A631" s="1"/>
      <c r="B631" s="12"/>
      <c r="C631" s="1"/>
    </row>
    <row r="632" spans="1:3" ht="15.75" customHeight="1" x14ac:dyDescent="0.35">
      <c r="A632" s="1"/>
      <c r="B632" s="12"/>
      <c r="C632" s="1"/>
    </row>
    <row r="633" spans="1:3" ht="15.75" customHeight="1" x14ac:dyDescent="0.35">
      <c r="A633" s="1"/>
      <c r="B633" s="12"/>
      <c r="C633" s="1"/>
    </row>
    <row r="634" spans="1:3" ht="15.75" customHeight="1" x14ac:dyDescent="0.35">
      <c r="A634" s="1"/>
      <c r="B634" s="12"/>
      <c r="C634" s="1"/>
    </row>
    <row r="635" spans="1:3" ht="15.75" customHeight="1" x14ac:dyDescent="0.35">
      <c r="A635" s="1"/>
      <c r="B635" s="12"/>
      <c r="C635" s="1"/>
    </row>
    <row r="636" spans="1:3" ht="15.75" customHeight="1" x14ac:dyDescent="0.35">
      <c r="A636" s="1"/>
      <c r="B636" s="12"/>
      <c r="C636" s="1"/>
    </row>
    <row r="637" spans="1:3" ht="15.75" customHeight="1" x14ac:dyDescent="0.35">
      <c r="A637" s="1"/>
      <c r="B637" s="12"/>
      <c r="C637" s="1"/>
    </row>
    <row r="638" spans="1:3" ht="15.75" customHeight="1" x14ac:dyDescent="0.35">
      <c r="A638" s="1"/>
      <c r="B638" s="12"/>
      <c r="C638" s="1"/>
    </row>
    <row r="639" spans="1:3" ht="15.75" customHeight="1" x14ac:dyDescent="0.35">
      <c r="A639" s="1"/>
      <c r="B639" s="12"/>
      <c r="C639" s="1"/>
    </row>
    <row r="640" spans="1:3" ht="15.75" customHeight="1" x14ac:dyDescent="0.35">
      <c r="A640" s="1"/>
      <c r="B640" s="12"/>
      <c r="C640" s="1"/>
    </row>
    <row r="641" spans="1:3" ht="15.75" customHeight="1" x14ac:dyDescent="0.35">
      <c r="A641" s="1"/>
      <c r="B641" s="12"/>
      <c r="C641" s="1"/>
    </row>
    <row r="642" spans="1:3" ht="15.75" customHeight="1" x14ac:dyDescent="0.35">
      <c r="A642" s="1"/>
      <c r="B642" s="12"/>
      <c r="C642" s="1"/>
    </row>
    <row r="643" spans="1:3" ht="15.75" customHeight="1" x14ac:dyDescent="0.35">
      <c r="A643" s="1"/>
      <c r="B643" s="12"/>
      <c r="C643" s="1"/>
    </row>
    <row r="644" spans="1:3" ht="15.75" customHeight="1" x14ac:dyDescent="0.35">
      <c r="A644" s="1"/>
      <c r="B644" s="12"/>
      <c r="C644" s="1"/>
    </row>
    <row r="645" spans="1:3" ht="15.75" customHeight="1" x14ac:dyDescent="0.35">
      <c r="A645" s="1"/>
      <c r="B645" s="12"/>
      <c r="C645" s="1"/>
    </row>
    <row r="646" spans="1:3" ht="15.75" customHeight="1" x14ac:dyDescent="0.35">
      <c r="A646" s="1"/>
      <c r="B646" s="12"/>
      <c r="C646" s="1"/>
    </row>
    <row r="647" spans="1:3" ht="15.75" customHeight="1" x14ac:dyDescent="0.35">
      <c r="A647" s="1"/>
      <c r="B647" s="12"/>
      <c r="C647" s="1"/>
    </row>
    <row r="648" spans="1:3" ht="15.75" customHeight="1" x14ac:dyDescent="0.35">
      <c r="A648" s="1"/>
      <c r="B648" s="12"/>
      <c r="C648" s="1"/>
    </row>
    <row r="649" spans="1:3" ht="15.75" customHeight="1" x14ac:dyDescent="0.35">
      <c r="A649" s="1"/>
      <c r="B649" s="12"/>
      <c r="C649" s="1"/>
    </row>
    <row r="650" spans="1:3" ht="15.75" customHeight="1" x14ac:dyDescent="0.35">
      <c r="A650" s="1"/>
      <c r="B650" s="12"/>
      <c r="C650" s="1"/>
    </row>
    <row r="651" spans="1:3" ht="15.75" customHeight="1" x14ac:dyDescent="0.35">
      <c r="A651" s="1"/>
      <c r="B651" s="12"/>
      <c r="C651" s="1"/>
    </row>
    <row r="652" spans="1:3" ht="15.75" customHeight="1" x14ac:dyDescent="0.35">
      <c r="A652" s="1"/>
      <c r="B652" s="12"/>
      <c r="C652" s="1"/>
    </row>
    <row r="653" spans="1:3" ht="15.75" customHeight="1" x14ac:dyDescent="0.35">
      <c r="A653" s="1"/>
      <c r="B653" s="12"/>
      <c r="C653" s="1"/>
    </row>
    <row r="654" spans="1:3" ht="15.75" customHeight="1" x14ac:dyDescent="0.35">
      <c r="A654" s="1"/>
      <c r="B654" s="12"/>
      <c r="C654" s="1"/>
    </row>
    <row r="655" spans="1:3" ht="15.75" customHeight="1" x14ac:dyDescent="0.35">
      <c r="A655" s="1"/>
      <c r="B655" s="12"/>
      <c r="C655" s="1"/>
    </row>
    <row r="656" spans="1:3" ht="15.75" customHeight="1" x14ac:dyDescent="0.35">
      <c r="A656" s="1"/>
      <c r="B656" s="12"/>
      <c r="C656" s="1"/>
    </row>
    <row r="657" spans="1:3" ht="15.75" customHeight="1" x14ac:dyDescent="0.35">
      <c r="A657" s="1"/>
      <c r="B657" s="12"/>
      <c r="C657" s="1"/>
    </row>
    <row r="658" spans="1:3" ht="15.75" customHeight="1" x14ac:dyDescent="0.35">
      <c r="A658" s="1"/>
      <c r="B658" s="12"/>
      <c r="C658" s="1"/>
    </row>
    <row r="659" spans="1:3" ht="15.75" customHeight="1" x14ac:dyDescent="0.35">
      <c r="A659" s="1"/>
      <c r="B659" s="12"/>
      <c r="C659" s="1"/>
    </row>
    <row r="660" spans="1:3" ht="15.75" customHeight="1" x14ac:dyDescent="0.35">
      <c r="A660" s="1"/>
      <c r="B660" s="12"/>
      <c r="C660" s="1"/>
    </row>
    <row r="661" spans="1:3" ht="15.75" customHeight="1" x14ac:dyDescent="0.35">
      <c r="A661" s="1"/>
      <c r="B661" s="12"/>
      <c r="C661" s="1"/>
    </row>
    <row r="662" spans="1:3" ht="15.75" customHeight="1" x14ac:dyDescent="0.35">
      <c r="A662" s="1"/>
      <c r="B662" s="12"/>
      <c r="C662" s="1"/>
    </row>
    <row r="663" spans="1:3" ht="15.75" customHeight="1" x14ac:dyDescent="0.35">
      <c r="A663" s="1"/>
      <c r="B663" s="12"/>
      <c r="C663" s="1"/>
    </row>
    <row r="664" spans="1:3" ht="15.75" customHeight="1" x14ac:dyDescent="0.35">
      <c r="A664" s="1"/>
      <c r="B664" s="12"/>
      <c r="C664" s="1"/>
    </row>
    <row r="665" spans="1:3" ht="15.75" customHeight="1" x14ac:dyDescent="0.35">
      <c r="A665" s="1"/>
      <c r="B665" s="12"/>
      <c r="C665" s="1"/>
    </row>
    <row r="666" spans="1:3" ht="15.75" customHeight="1" x14ac:dyDescent="0.35">
      <c r="A666" s="1"/>
      <c r="B666" s="12"/>
      <c r="C666" s="1"/>
    </row>
    <row r="667" spans="1:3" ht="15.75" customHeight="1" x14ac:dyDescent="0.35">
      <c r="A667" s="1"/>
      <c r="B667" s="12"/>
      <c r="C667" s="1"/>
    </row>
    <row r="668" spans="1:3" ht="15.75" customHeight="1" x14ac:dyDescent="0.35">
      <c r="A668" s="1"/>
      <c r="B668" s="12"/>
      <c r="C668" s="1"/>
    </row>
    <row r="669" spans="1:3" ht="15.75" customHeight="1" x14ac:dyDescent="0.35">
      <c r="A669" s="1"/>
      <c r="B669" s="12"/>
      <c r="C669" s="1"/>
    </row>
    <row r="670" spans="1:3" ht="15.75" customHeight="1" x14ac:dyDescent="0.35">
      <c r="A670" s="1"/>
      <c r="B670" s="12"/>
      <c r="C670" s="1"/>
    </row>
    <row r="671" spans="1:3" ht="15.75" customHeight="1" x14ac:dyDescent="0.35">
      <c r="A671" s="1"/>
      <c r="B671" s="12"/>
      <c r="C671" s="1"/>
    </row>
    <row r="672" spans="1:3" ht="15.75" customHeight="1" x14ac:dyDescent="0.35">
      <c r="A672" s="1"/>
      <c r="B672" s="12"/>
      <c r="C672" s="1"/>
    </row>
    <row r="673" spans="1:3" ht="15.75" customHeight="1" x14ac:dyDescent="0.35">
      <c r="A673" s="1"/>
      <c r="B673" s="12"/>
      <c r="C673" s="1"/>
    </row>
    <row r="674" spans="1:3" ht="15.75" customHeight="1" x14ac:dyDescent="0.35">
      <c r="A674" s="1"/>
      <c r="B674" s="12"/>
      <c r="C674" s="1"/>
    </row>
    <row r="675" spans="1:3" ht="15.75" customHeight="1" x14ac:dyDescent="0.35">
      <c r="A675" s="1"/>
      <c r="B675" s="12"/>
      <c r="C675" s="1"/>
    </row>
    <row r="676" spans="1:3" ht="15.75" customHeight="1" x14ac:dyDescent="0.35">
      <c r="A676" s="1"/>
      <c r="B676" s="12"/>
      <c r="C676" s="1"/>
    </row>
    <row r="677" spans="1:3" ht="15.75" customHeight="1" x14ac:dyDescent="0.35">
      <c r="A677" s="1"/>
      <c r="B677" s="12"/>
      <c r="C677" s="1"/>
    </row>
    <row r="678" spans="1:3" ht="15.75" customHeight="1" x14ac:dyDescent="0.35">
      <c r="A678" s="1"/>
      <c r="B678" s="12"/>
      <c r="C678" s="1"/>
    </row>
    <row r="679" spans="1:3" ht="15.75" customHeight="1" x14ac:dyDescent="0.35">
      <c r="A679" s="1"/>
      <c r="B679" s="12"/>
      <c r="C679" s="1"/>
    </row>
    <row r="680" spans="1:3" ht="15.75" customHeight="1" x14ac:dyDescent="0.35">
      <c r="A680" s="1"/>
      <c r="B680" s="12"/>
      <c r="C680" s="1"/>
    </row>
    <row r="681" spans="1:3" ht="15.75" customHeight="1" x14ac:dyDescent="0.35">
      <c r="A681" s="1"/>
      <c r="B681" s="12"/>
      <c r="C681" s="1"/>
    </row>
    <row r="682" spans="1:3" ht="15.75" customHeight="1" x14ac:dyDescent="0.35">
      <c r="A682" s="1"/>
      <c r="B682" s="12"/>
      <c r="C682" s="1"/>
    </row>
    <row r="683" spans="1:3" ht="15.75" customHeight="1" x14ac:dyDescent="0.35">
      <c r="A683" s="1"/>
      <c r="B683" s="12"/>
      <c r="C683" s="1"/>
    </row>
    <row r="684" spans="1:3" ht="15.75" customHeight="1" x14ac:dyDescent="0.35">
      <c r="A684" s="1"/>
      <c r="B684" s="12"/>
      <c r="C684" s="1"/>
    </row>
    <row r="685" spans="1:3" ht="15.75" customHeight="1" x14ac:dyDescent="0.35">
      <c r="A685" s="1"/>
      <c r="B685" s="12"/>
      <c r="C685" s="1"/>
    </row>
    <row r="686" spans="1:3" ht="15.75" customHeight="1" x14ac:dyDescent="0.35">
      <c r="A686" s="1"/>
      <c r="B686" s="12"/>
      <c r="C686" s="1"/>
    </row>
    <row r="687" spans="1:3" ht="15.75" customHeight="1" x14ac:dyDescent="0.35">
      <c r="A687" s="1"/>
      <c r="B687" s="12"/>
      <c r="C687" s="1"/>
    </row>
    <row r="688" spans="1:3" ht="15.75" customHeight="1" x14ac:dyDescent="0.35">
      <c r="A688" s="1"/>
      <c r="B688" s="12"/>
      <c r="C688" s="1"/>
    </row>
    <row r="689" spans="1:3" ht="15.75" customHeight="1" x14ac:dyDescent="0.35">
      <c r="A689" s="1"/>
      <c r="B689" s="12"/>
      <c r="C689" s="1"/>
    </row>
    <row r="690" spans="1:3" ht="15.75" customHeight="1" x14ac:dyDescent="0.35">
      <c r="A690" s="1"/>
      <c r="B690" s="12"/>
      <c r="C690" s="1"/>
    </row>
    <row r="691" spans="1:3" ht="15.75" customHeight="1" x14ac:dyDescent="0.35">
      <c r="A691" s="1"/>
      <c r="B691" s="12"/>
      <c r="C691" s="1"/>
    </row>
    <row r="692" spans="1:3" ht="15.75" customHeight="1" x14ac:dyDescent="0.35">
      <c r="A692" s="1"/>
      <c r="B692" s="12"/>
      <c r="C692" s="1"/>
    </row>
    <row r="693" spans="1:3" ht="15.75" customHeight="1" x14ac:dyDescent="0.35">
      <c r="A693" s="1"/>
      <c r="B693" s="12"/>
      <c r="C693" s="1"/>
    </row>
    <row r="694" spans="1:3" ht="15.75" customHeight="1" x14ac:dyDescent="0.35">
      <c r="A694" s="1"/>
      <c r="B694" s="12"/>
      <c r="C694" s="1"/>
    </row>
    <row r="695" spans="1:3" ht="15.75" customHeight="1" x14ac:dyDescent="0.35">
      <c r="A695" s="1"/>
      <c r="B695" s="12"/>
      <c r="C695" s="1"/>
    </row>
    <row r="696" spans="1:3" ht="15.75" customHeight="1" x14ac:dyDescent="0.35">
      <c r="A696" s="1"/>
      <c r="B696" s="12"/>
      <c r="C696" s="1"/>
    </row>
    <row r="697" spans="1:3" ht="15.75" customHeight="1" x14ac:dyDescent="0.35">
      <c r="A697" s="1"/>
      <c r="B697" s="12"/>
      <c r="C697" s="1"/>
    </row>
    <row r="698" spans="1:3" ht="15.75" customHeight="1" x14ac:dyDescent="0.35">
      <c r="A698" s="1"/>
      <c r="B698" s="12"/>
      <c r="C698" s="1"/>
    </row>
    <row r="699" spans="1:3" ht="15.75" customHeight="1" x14ac:dyDescent="0.35">
      <c r="A699" s="1"/>
      <c r="B699" s="12"/>
      <c r="C699" s="1"/>
    </row>
    <row r="700" spans="1:3" ht="15.75" customHeight="1" x14ac:dyDescent="0.35">
      <c r="A700" s="1"/>
      <c r="B700" s="12"/>
      <c r="C700" s="1"/>
    </row>
    <row r="701" spans="1:3" ht="15.75" customHeight="1" x14ac:dyDescent="0.35">
      <c r="A701" s="1"/>
      <c r="B701" s="12"/>
      <c r="C701" s="1"/>
    </row>
    <row r="702" spans="1:3" ht="15.75" customHeight="1" x14ac:dyDescent="0.35">
      <c r="A702" s="1"/>
      <c r="B702" s="12"/>
      <c r="C702" s="1"/>
    </row>
    <row r="703" spans="1:3" ht="15.75" customHeight="1" x14ac:dyDescent="0.35">
      <c r="A703" s="1"/>
      <c r="B703" s="12"/>
      <c r="C703" s="1"/>
    </row>
    <row r="704" spans="1:3" ht="15.75" customHeight="1" x14ac:dyDescent="0.35">
      <c r="A704" s="1"/>
      <c r="B704" s="12"/>
      <c r="C704" s="1"/>
    </row>
    <row r="705" spans="1:3" ht="15.75" customHeight="1" x14ac:dyDescent="0.35">
      <c r="A705" s="1"/>
      <c r="B705" s="12"/>
      <c r="C705" s="1"/>
    </row>
    <row r="706" spans="1:3" ht="15.75" customHeight="1" x14ac:dyDescent="0.35">
      <c r="A706" s="1"/>
      <c r="B706" s="12"/>
      <c r="C706" s="1"/>
    </row>
    <row r="707" spans="1:3" ht="15.75" customHeight="1" x14ac:dyDescent="0.35">
      <c r="A707" s="1"/>
      <c r="B707" s="12"/>
      <c r="C707" s="1"/>
    </row>
    <row r="708" spans="1:3" ht="15.75" customHeight="1" x14ac:dyDescent="0.35">
      <c r="A708" s="1"/>
      <c r="B708" s="12"/>
      <c r="C708" s="1"/>
    </row>
    <row r="709" spans="1:3" ht="15.75" customHeight="1" x14ac:dyDescent="0.35">
      <c r="A709" s="1"/>
      <c r="B709" s="12"/>
      <c r="C709" s="1"/>
    </row>
    <row r="710" spans="1:3" ht="15.75" customHeight="1" x14ac:dyDescent="0.35">
      <c r="A710" s="1"/>
      <c r="B710" s="12"/>
      <c r="C710" s="1"/>
    </row>
    <row r="711" spans="1:3" ht="15.75" customHeight="1" x14ac:dyDescent="0.35">
      <c r="A711" s="1"/>
      <c r="B711" s="12"/>
      <c r="C711" s="1"/>
    </row>
    <row r="712" spans="1:3" ht="15.75" customHeight="1" x14ac:dyDescent="0.35">
      <c r="A712" s="1"/>
      <c r="B712" s="12"/>
      <c r="C712" s="1"/>
    </row>
    <row r="713" spans="1:3" ht="15.75" customHeight="1" x14ac:dyDescent="0.35">
      <c r="A713" s="1"/>
      <c r="B713" s="12"/>
      <c r="C713" s="1"/>
    </row>
    <row r="714" spans="1:3" ht="15.75" customHeight="1" x14ac:dyDescent="0.35">
      <c r="A714" s="1"/>
      <c r="B714" s="12"/>
      <c r="C714" s="1"/>
    </row>
    <row r="715" spans="1:3" ht="15.75" customHeight="1" x14ac:dyDescent="0.35">
      <c r="A715" s="1"/>
      <c r="B715" s="12"/>
      <c r="C715" s="1"/>
    </row>
    <row r="716" spans="1:3" ht="15.75" customHeight="1" x14ac:dyDescent="0.35">
      <c r="A716" s="1"/>
      <c r="B716" s="12"/>
      <c r="C716" s="1"/>
    </row>
    <row r="717" spans="1:3" ht="15.75" customHeight="1" x14ac:dyDescent="0.35">
      <c r="A717" s="1"/>
      <c r="B717" s="12"/>
      <c r="C717" s="1"/>
    </row>
    <row r="718" spans="1:3" ht="15.75" customHeight="1" x14ac:dyDescent="0.35">
      <c r="A718" s="1"/>
      <c r="B718" s="12"/>
      <c r="C718" s="1"/>
    </row>
    <row r="719" spans="1:3" ht="15.75" customHeight="1" x14ac:dyDescent="0.35">
      <c r="A719" s="1"/>
      <c r="B719" s="12"/>
      <c r="C719" s="1"/>
    </row>
    <row r="720" spans="1:3" ht="15.75" customHeight="1" x14ac:dyDescent="0.35">
      <c r="A720" s="1"/>
      <c r="B720" s="12"/>
      <c r="C720" s="1"/>
    </row>
    <row r="721" spans="1:3" ht="15.75" customHeight="1" x14ac:dyDescent="0.35">
      <c r="A721" s="1"/>
      <c r="B721" s="12"/>
      <c r="C721" s="1"/>
    </row>
    <row r="722" spans="1:3" ht="15.75" customHeight="1" x14ac:dyDescent="0.35">
      <c r="A722" s="1"/>
      <c r="B722" s="12"/>
      <c r="C722" s="1"/>
    </row>
    <row r="723" spans="1:3" ht="15.75" customHeight="1" x14ac:dyDescent="0.35">
      <c r="A723" s="1"/>
      <c r="B723" s="12"/>
      <c r="C723" s="1"/>
    </row>
    <row r="724" spans="1:3" ht="15.75" customHeight="1" x14ac:dyDescent="0.35">
      <c r="A724" s="1"/>
      <c r="B724" s="12"/>
      <c r="C724" s="1"/>
    </row>
    <row r="725" spans="1:3" ht="15.75" customHeight="1" x14ac:dyDescent="0.35">
      <c r="A725" s="1"/>
      <c r="B725" s="12"/>
      <c r="C725" s="1"/>
    </row>
    <row r="726" spans="1:3" ht="15.75" customHeight="1" x14ac:dyDescent="0.35">
      <c r="A726" s="1"/>
      <c r="B726" s="12"/>
      <c r="C726" s="1"/>
    </row>
    <row r="727" spans="1:3" ht="15.75" customHeight="1" x14ac:dyDescent="0.35">
      <c r="A727" s="1"/>
      <c r="B727" s="12"/>
      <c r="C727" s="1"/>
    </row>
    <row r="728" spans="1:3" ht="15.75" customHeight="1" x14ac:dyDescent="0.35">
      <c r="A728" s="1"/>
      <c r="B728" s="12"/>
      <c r="C728" s="1"/>
    </row>
    <row r="729" spans="1:3" ht="15.75" customHeight="1" x14ac:dyDescent="0.35">
      <c r="A729" s="1"/>
      <c r="B729" s="12"/>
      <c r="C729" s="1"/>
    </row>
    <row r="730" spans="1:3" ht="15.75" customHeight="1" x14ac:dyDescent="0.35">
      <c r="A730" s="1"/>
      <c r="B730" s="12"/>
      <c r="C730" s="1"/>
    </row>
    <row r="731" spans="1:3" ht="15.75" customHeight="1" x14ac:dyDescent="0.35">
      <c r="A731" s="1"/>
      <c r="B731" s="12"/>
      <c r="C731" s="1"/>
    </row>
    <row r="732" spans="1:3" ht="15.75" customHeight="1" x14ac:dyDescent="0.35">
      <c r="A732" s="1"/>
      <c r="B732" s="12"/>
      <c r="C732" s="1"/>
    </row>
    <row r="733" spans="1:3" ht="15.75" customHeight="1" x14ac:dyDescent="0.35">
      <c r="A733" s="1"/>
      <c r="B733" s="12"/>
      <c r="C733" s="1"/>
    </row>
    <row r="734" spans="1:3" ht="15.75" customHeight="1" x14ac:dyDescent="0.35">
      <c r="A734" s="1"/>
      <c r="B734" s="12"/>
      <c r="C734" s="1"/>
    </row>
    <row r="735" spans="1:3" ht="15.75" customHeight="1" x14ac:dyDescent="0.35">
      <c r="A735" s="1"/>
      <c r="B735" s="12"/>
      <c r="C735" s="1"/>
    </row>
    <row r="736" spans="1:3" ht="15.75" customHeight="1" x14ac:dyDescent="0.35">
      <c r="A736" s="1"/>
      <c r="B736" s="12"/>
      <c r="C736" s="1"/>
    </row>
    <row r="737" spans="1:3" ht="15.75" customHeight="1" x14ac:dyDescent="0.35">
      <c r="A737" s="1"/>
      <c r="B737" s="12"/>
      <c r="C737" s="1"/>
    </row>
    <row r="738" spans="1:3" ht="15.75" customHeight="1" x14ac:dyDescent="0.35">
      <c r="A738" s="1"/>
      <c r="B738" s="12"/>
      <c r="C738" s="1"/>
    </row>
    <row r="739" spans="1:3" ht="15.75" customHeight="1" x14ac:dyDescent="0.35">
      <c r="A739" s="1"/>
      <c r="B739" s="12"/>
      <c r="C739" s="1"/>
    </row>
    <row r="740" spans="1:3" ht="15.75" customHeight="1" x14ac:dyDescent="0.35">
      <c r="A740" s="1"/>
      <c r="B740" s="12"/>
      <c r="C740" s="1"/>
    </row>
    <row r="741" spans="1:3" ht="15.75" customHeight="1" x14ac:dyDescent="0.35">
      <c r="A741" s="1"/>
      <c r="B741" s="12"/>
      <c r="C741" s="1"/>
    </row>
    <row r="742" spans="1:3" ht="15.75" customHeight="1" x14ac:dyDescent="0.35">
      <c r="A742" s="1"/>
      <c r="B742" s="12"/>
      <c r="C742" s="1"/>
    </row>
    <row r="743" spans="1:3" ht="15.75" customHeight="1" x14ac:dyDescent="0.35">
      <c r="A743" s="1"/>
      <c r="B743" s="12"/>
      <c r="C743" s="1"/>
    </row>
    <row r="744" spans="1:3" ht="15.75" customHeight="1" x14ac:dyDescent="0.35">
      <c r="A744" s="1"/>
      <c r="B744" s="12"/>
      <c r="C744" s="1"/>
    </row>
    <row r="745" spans="1:3" ht="15.75" customHeight="1" x14ac:dyDescent="0.35">
      <c r="A745" s="1"/>
      <c r="B745" s="12"/>
      <c r="C745" s="1"/>
    </row>
    <row r="746" spans="1:3" ht="15.75" customHeight="1" x14ac:dyDescent="0.35">
      <c r="A746" s="1"/>
      <c r="B746" s="12"/>
      <c r="C746" s="1"/>
    </row>
    <row r="747" spans="1:3" ht="15.75" customHeight="1" x14ac:dyDescent="0.35">
      <c r="A747" s="1"/>
      <c r="B747" s="12"/>
      <c r="C747" s="1"/>
    </row>
    <row r="748" spans="1:3" ht="15.75" customHeight="1" x14ac:dyDescent="0.35">
      <c r="A748" s="1"/>
      <c r="B748" s="12"/>
      <c r="C748" s="1"/>
    </row>
    <row r="749" spans="1:3" ht="15.75" customHeight="1" x14ac:dyDescent="0.35">
      <c r="A749" s="1"/>
      <c r="B749" s="12"/>
      <c r="C749" s="1"/>
    </row>
    <row r="750" spans="1:3" ht="15.75" customHeight="1" x14ac:dyDescent="0.35">
      <c r="A750" s="1"/>
      <c r="B750" s="12"/>
      <c r="C750" s="1"/>
    </row>
    <row r="751" spans="1:3" ht="15.75" customHeight="1" x14ac:dyDescent="0.35">
      <c r="A751" s="1"/>
      <c r="B751" s="12"/>
      <c r="C751" s="1"/>
    </row>
    <row r="752" spans="1:3" ht="15.75" customHeight="1" x14ac:dyDescent="0.35">
      <c r="A752" s="1"/>
      <c r="B752" s="12"/>
      <c r="C752" s="1"/>
    </row>
    <row r="753" spans="1:3" ht="15.75" customHeight="1" x14ac:dyDescent="0.35">
      <c r="A753" s="1"/>
      <c r="B753" s="12"/>
      <c r="C753" s="1"/>
    </row>
    <row r="754" spans="1:3" ht="15.75" customHeight="1" x14ac:dyDescent="0.35">
      <c r="A754" s="1"/>
      <c r="B754" s="12"/>
      <c r="C754" s="1"/>
    </row>
    <row r="755" spans="1:3" ht="15.75" customHeight="1" x14ac:dyDescent="0.35">
      <c r="A755" s="1"/>
      <c r="B755" s="12"/>
      <c r="C755" s="1"/>
    </row>
    <row r="756" spans="1:3" ht="15.75" customHeight="1" x14ac:dyDescent="0.35">
      <c r="A756" s="1"/>
      <c r="B756" s="12"/>
      <c r="C756" s="1"/>
    </row>
    <row r="757" spans="1:3" ht="15.75" customHeight="1" x14ac:dyDescent="0.35">
      <c r="A757" s="1"/>
      <c r="B757" s="12"/>
      <c r="C757" s="1"/>
    </row>
    <row r="758" spans="1:3" ht="15.75" customHeight="1" x14ac:dyDescent="0.35">
      <c r="A758" s="1"/>
      <c r="B758" s="12"/>
      <c r="C758" s="1"/>
    </row>
    <row r="759" spans="1:3" ht="15.75" customHeight="1" x14ac:dyDescent="0.35">
      <c r="A759" s="1"/>
      <c r="B759" s="12"/>
      <c r="C759" s="1"/>
    </row>
    <row r="760" spans="1:3" ht="15.75" customHeight="1" x14ac:dyDescent="0.35">
      <c r="A760" s="1"/>
      <c r="B760" s="12"/>
      <c r="C760" s="1"/>
    </row>
    <row r="761" spans="1:3" ht="15.75" customHeight="1" x14ac:dyDescent="0.35">
      <c r="A761" s="1"/>
      <c r="B761" s="12"/>
      <c r="C761" s="1"/>
    </row>
    <row r="762" spans="1:3" ht="15.75" customHeight="1" x14ac:dyDescent="0.35">
      <c r="A762" s="1"/>
      <c r="B762" s="12"/>
      <c r="C762" s="1"/>
    </row>
    <row r="763" spans="1:3" ht="15.75" customHeight="1" x14ac:dyDescent="0.35">
      <c r="A763" s="1"/>
      <c r="B763" s="12"/>
      <c r="C763" s="1"/>
    </row>
    <row r="764" spans="1:3" ht="15.75" customHeight="1" x14ac:dyDescent="0.35">
      <c r="A764" s="1"/>
      <c r="B764" s="12"/>
      <c r="C764" s="1"/>
    </row>
    <row r="765" spans="1:3" ht="15.75" customHeight="1" x14ac:dyDescent="0.35">
      <c r="A765" s="1"/>
      <c r="B765" s="12"/>
      <c r="C765" s="1"/>
    </row>
    <row r="766" spans="1:3" ht="15.75" customHeight="1" x14ac:dyDescent="0.35">
      <c r="A766" s="1"/>
      <c r="B766" s="12"/>
      <c r="C766" s="1"/>
    </row>
    <row r="767" spans="1:3" ht="15.75" customHeight="1" x14ac:dyDescent="0.35">
      <c r="A767" s="1"/>
      <c r="B767" s="12"/>
      <c r="C767" s="1"/>
    </row>
    <row r="768" spans="1:3" ht="15.75" customHeight="1" x14ac:dyDescent="0.35">
      <c r="A768" s="1"/>
      <c r="B768" s="12"/>
      <c r="C768" s="1"/>
    </row>
    <row r="769" spans="1:3" ht="15.75" customHeight="1" x14ac:dyDescent="0.35">
      <c r="A769" s="1"/>
      <c r="B769" s="12"/>
      <c r="C769" s="1"/>
    </row>
    <row r="770" spans="1:3" ht="15.75" customHeight="1" x14ac:dyDescent="0.35">
      <c r="A770" s="1"/>
      <c r="B770" s="12"/>
      <c r="C770" s="1"/>
    </row>
    <row r="771" spans="1:3" ht="15.75" customHeight="1" x14ac:dyDescent="0.35">
      <c r="A771" s="1"/>
      <c r="B771" s="12"/>
      <c r="C771" s="1"/>
    </row>
    <row r="772" spans="1:3" ht="15.75" customHeight="1" x14ac:dyDescent="0.35">
      <c r="A772" s="1"/>
      <c r="B772" s="12"/>
      <c r="C772" s="1"/>
    </row>
    <row r="773" spans="1:3" ht="15.75" customHeight="1" x14ac:dyDescent="0.35">
      <c r="A773" s="1"/>
      <c r="B773" s="12"/>
      <c r="C773" s="1"/>
    </row>
    <row r="774" spans="1:3" ht="15.75" customHeight="1" x14ac:dyDescent="0.35">
      <c r="A774" s="1"/>
      <c r="B774" s="12"/>
      <c r="C774" s="1"/>
    </row>
    <row r="775" spans="1:3" ht="15.75" customHeight="1" x14ac:dyDescent="0.35">
      <c r="A775" s="1"/>
      <c r="B775" s="12"/>
      <c r="C775" s="1"/>
    </row>
    <row r="776" spans="1:3" ht="15.75" customHeight="1" x14ac:dyDescent="0.35">
      <c r="A776" s="1"/>
      <c r="B776" s="12"/>
      <c r="C776" s="1"/>
    </row>
    <row r="777" spans="1:3" ht="15.75" customHeight="1" x14ac:dyDescent="0.35">
      <c r="A777" s="1"/>
      <c r="B777" s="12"/>
      <c r="C777" s="1"/>
    </row>
    <row r="778" spans="1:3" ht="15.75" customHeight="1" x14ac:dyDescent="0.35">
      <c r="A778" s="1"/>
      <c r="B778" s="12"/>
      <c r="C778" s="1"/>
    </row>
    <row r="779" spans="1:3" ht="15.75" customHeight="1" x14ac:dyDescent="0.35">
      <c r="A779" s="1"/>
      <c r="B779" s="12"/>
      <c r="C779" s="1"/>
    </row>
    <row r="780" spans="1:3" ht="15.75" customHeight="1" x14ac:dyDescent="0.35">
      <c r="A780" s="1"/>
      <c r="B780" s="12"/>
      <c r="C780" s="1"/>
    </row>
    <row r="781" spans="1:3" ht="15.75" customHeight="1" x14ac:dyDescent="0.35">
      <c r="A781" s="1"/>
      <c r="B781" s="12"/>
      <c r="C781" s="1"/>
    </row>
    <row r="782" spans="1:3" ht="15.75" customHeight="1" x14ac:dyDescent="0.35">
      <c r="A782" s="1"/>
      <c r="B782" s="12"/>
      <c r="C782" s="1"/>
    </row>
    <row r="783" spans="1:3" ht="15.75" customHeight="1" x14ac:dyDescent="0.35">
      <c r="A783" s="1"/>
      <c r="B783" s="12"/>
      <c r="C783" s="1"/>
    </row>
    <row r="784" spans="1:3" ht="15.75" customHeight="1" x14ac:dyDescent="0.35">
      <c r="A784" s="1"/>
      <c r="B784" s="12"/>
      <c r="C784" s="1"/>
    </row>
    <row r="785" spans="1:3" ht="15.75" customHeight="1" x14ac:dyDescent="0.35">
      <c r="A785" s="1"/>
      <c r="B785" s="12"/>
      <c r="C785" s="1"/>
    </row>
    <row r="786" spans="1:3" ht="15.75" customHeight="1" x14ac:dyDescent="0.35">
      <c r="A786" s="1"/>
      <c r="B786" s="12"/>
      <c r="C786" s="1"/>
    </row>
    <row r="787" spans="1:3" ht="15.75" customHeight="1" x14ac:dyDescent="0.35">
      <c r="A787" s="1"/>
      <c r="B787" s="12"/>
      <c r="C787" s="1"/>
    </row>
    <row r="788" spans="1:3" ht="15.75" customHeight="1" x14ac:dyDescent="0.35">
      <c r="A788" s="1"/>
      <c r="B788" s="12"/>
      <c r="C788" s="1"/>
    </row>
    <row r="789" spans="1:3" ht="15.75" customHeight="1" x14ac:dyDescent="0.35">
      <c r="A789" s="1"/>
      <c r="B789" s="12"/>
      <c r="C789" s="1"/>
    </row>
    <row r="790" spans="1:3" ht="15.75" customHeight="1" x14ac:dyDescent="0.35">
      <c r="A790" s="1"/>
      <c r="B790" s="12"/>
      <c r="C790" s="1"/>
    </row>
    <row r="791" spans="1:3" ht="15.75" customHeight="1" x14ac:dyDescent="0.35">
      <c r="A791" s="1"/>
      <c r="B791" s="12"/>
      <c r="C791" s="1"/>
    </row>
    <row r="792" spans="1:3" ht="15.75" customHeight="1" x14ac:dyDescent="0.35">
      <c r="A792" s="1"/>
      <c r="B792" s="12"/>
      <c r="C792" s="1"/>
    </row>
    <row r="793" spans="1:3" ht="15.75" customHeight="1" x14ac:dyDescent="0.35">
      <c r="A793" s="1"/>
      <c r="B793" s="12"/>
      <c r="C793" s="1"/>
    </row>
    <row r="794" spans="1:3" ht="15.75" customHeight="1" x14ac:dyDescent="0.35">
      <c r="A794" s="1"/>
      <c r="B794" s="12"/>
      <c r="C794" s="1"/>
    </row>
    <row r="795" spans="1:3" ht="15.75" customHeight="1" x14ac:dyDescent="0.35">
      <c r="A795" s="1"/>
      <c r="B795" s="12"/>
      <c r="C795" s="1"/>
    </row>
    <row r="796" spans="1:3" ht="15.75" customHeight="1" x14ac:dyDescent="0.35">
      <c r="A796" s="1"/>
      <c r="B796" s="12"/>
      <c r="C796" s="1"/>
    </row>
    <row r="797" spans="1:3" ht="15.75" customHeight="1" x14ac:dyDescent="0.35">
      <c r="A797" s="1"/>
      <c r="B797" s="12"/>
      <c r="C797" s="1"/>
    </row>
    <row r="798" spans="1:3" ht="15.75" customHeight="1" x14ac:dyDescent="0.35">
      <c r="A798" s="1"/>
      <c r="B798" s="12"/>
      <c r="C798" s="1"/>
    </row>
    <row r="799" spans="1:3" ht="15.75" customHeight="1" x14ac:dyDescent="0.35">
      <c r="A799" s="1"/>
      <c r="B799" s="12"/>
      <c r="C799" s="1"/>
    </row>
    <row r="800" spans="1:3" ht="15.75" customHeight="1" x14ac:dyDescent="0.35">
      <c r="A800" s="1"/>
      <c r="B800" s="12"/>
      <c r="C800" s="1"/>
    </row>
    <row r="801" spans="1:3" ht="15.75" customHeight="1" x14ac:dyDescent="0.35">
      <c r="A801" s="1"/>
      <c r="B801" s="12"/>
      <c r="C801" s="1"/>
    </row>
    <row r="802" spans="1:3" ht="15.75" customHeight="1" x14ac:dyDescent="0.35">
      <c r="A802" s="1"/>
      <c r="B802" s="12"/>
      <c r="C802" s="1"/>
    </row>
    <row r="803" spans="1:3" ht="15.75" customHeight="1" x14ac:dyDescent="0.35">
      <c r="A803" s="1"/>
      <c r="B803" s="12"/>
      <c r="C803" s="1"/>
    </row>
    <row r="804" spans="1:3" ht="15.75" customHeight="1" x14ac:dyDescent="0.35">
      <c r="A804" s="1"/>
      <c r="B804" s="12"/>
      <c r="C804" s="1"/>
    </row>
    <row r="805" spans="1:3" ht="15.75" customHeight="1" x14ac:dyDescent="0.35">
      <c r="A805" s="1"/>
      <c r="B805" s="12"/>
      <c r="C805" s="1"/>
    </row>
    <row r="806" spans="1:3" ht="15.75" customHeight="1" x14ac:dyDescent="0.35">
      <c r="A806" s="1"/>
      <c r="B806" s="12"/>
      <c r="C806" s="1"/>
    </row>
    <row r="807" spans="1:3" ht="15.75" customHeight="1" x14ac:dyDescent="0.35">
      <c r="A807" s="1"/>
      <c r="B807" s="12"/>
      <c r="C807" s="1"/>
    </row>
    <row r="808" spans="1:3" ht="15.75" customHeight="1" x14ac:dyDescent="0.35">
      <c r="A808" s="1"/>
      <c r="B808" s="12"/>
      <c r="C808" s="1"/>
    </row>
    <row r="809" spans="1:3" ht="15.75" customHeight="1" x14ac:dyDescent="0.35">
      <c r="A809" s="1"/>
      <c r="B809" s="12"/>
      <c r="C809" s="1"/>
    </row>
    <row r="810" spans="1:3" ht="15.75" customHeight="1" x14ac:dyDescent="0.35">
      <c r="A810" s="1"/>
      <c r="B810" s="12"/>
      <c r="C810" s="1"/>
    </row>
    <row r="811" spans="1:3" ht="15.75" customHeight="1" x14ac:dyDescent="0.35">
      <c r="A811" s="1"/>
      <c r="B811" s="12"/>
      <c r="C811" s="1"/>
    </row>
    <row r="812" spans="1:3" ht="15.75" customHeight="1" x14ac:dyDescent="0.35">
      <c r="A812" s="1"/>
      <c r="B812" s="12"/>
      <c r="C812" s="1"/>
    </row>
    <row r="813" spans="1:3" ht="15.75" customHeight="1" x14ac:dyDescent="0.35">
      <c r="A813" s="1"/>
      <c r="B813" s="12"/>
      <c r="C813" s="1"/>
    </row>
    <row r="814" spans="1:3" ht="15.75" customHeight="1" x14ac:dyDescent="0.35">
      <c r="A814" s="1"/>
      <c r="B814" s="12"/>
      <c r="C814" s="1"/>
    </row>
    <row r="815" spans="1:3" ht="15.75" customHeight="1" x14ac:dyDescent="0.35">
      <c r="A815" s="1"/>
      <c r="B815" s="12"/>
      <c r="C815" s="1"/>
    </row>
    <row r="816" spans="1:3" ht="15.75" customHeight="1" x14ac:dyDescent="0.35">
      <c r="A816" s="1"/>
      <c r="B816" s="12"/>
      <c r="C816" s="1"/>
    </row>
    <row r="817" spans="1:3" ht="15.75" customHeight="1" x14ac:dyDescent="0.35">
      <c r="A817" s="1"/>
      <c r="B817" s="12"/>
      <c r="C817" s="1"/>
    </row>
    <row r="818" spans="1:3" ht="15.75" customHeight="1" x14ac:dyDescent="0.35">
      <c r="A818" s="1"/>
      <c r="B818" s="12"/>
      <c r="C818" s="1"/>
    </row>
    <row r="819" spans="1:3" ht="15.75" customHeight="1" x14ac:dyDescent="0.35">
      <c r="A819" s="1"/>
      <c r="B819" s="12"/>
      <c r="C819" s="1"/>
    </row>
    <row r="820" spans="1:3" ht="15.75" customHeight="1" x14ac:dyDescent="0.35">
      <c r="A820" s="1"/>
      <c r="B820" s="12"/>
      <c r="C820" s="1"/>
    </row>
    <row r="821" spans="1:3" ht="15.75" customHeight="1" x14ac:dyDescent="0.35">
      <c r="A821" s="1"/>
      <c r="B821" s="12"/>
      <c r="C821" s="1"/>
    </row>
    <row r="822" spans="1:3" ht="15.75" customHeight="1" x14ac:dyDescent="0.35">
      <c r="A822" s="1"/>
      <c r="B822" s="12"/>
      <c r="C822" s="1"/>
    </row>
    <row r="823" spans="1:3" ht="15.75" customHeight="1" x14ac:dyDescent="0.35">
      <c r="A823" s="1"/>
      <c r="B823" s="12"/>
      <c r="C823" s="1"/>
    </row>
    <row r="824" spans="1:3" ht="15.75" customHeight="1" x14ac:dyDescent="0.35">
      <c r="A824" s="1"/>
      <c r="B824" s="12"/>
      <c r="C824" s="1"/>
    </row>
    <row r="825" spans="1:3" ht="15.75" customHeight="1" x14ac:dyDescent="0.35">
      <c r="A825" s="1"/>
      <c r="B825" s="12"/>
      <c r="C825" s="1"/>
    </row>
    <row r="826" spans="1:3" ht="15.75" customHeight="1" x14ac:dyDescent="0.35">
      <c r="A826" s="1"/>
      <c r="B826" s="12"/>
      <c r="C826" s="1"/>
    </row>
    <row r="827" spans="1:3" ht="15.75" customHeight="1" x14ac:dyDescent="0.35">
      <c r="A827" s="1"/>
      <c r="B827" s="12"/>
      <c r="C827" s="1"/>
    </row>
    <row r="828" spans="1:3" ht="15.75" customHeight="1" x14ac:dyDescent="0.35">
      <c r="A828" s="1"/>
      <c r="B828" s="12"/>
      <c r="C828" s="1"/>
    </row>
    <row r="829" spans="1:3" ht="15.75" customHeight="1" x14ac:dyDescent="0.35">
      <c r="A829" s="1"/>
      <c r="B829" s="12"/>
      <c r="C829" s="1"/>
    </row>
    <row r="830" spans="1:3" ht="15.75" customHeight="1" x14ac:dyDescent="0.35">
      <c r="A830" s="1"/>
      <c r="B830" s="12"/>
      <c r="C830" s="1"/>
    </row>
    <row r="831" spans="1:3" ht="15.75" customHeight="1" x14ac:dyDescent="0.35">
      <c r="A831" s="1"/>
      <c r="B831" s="12"/>
      <c r="C831" s="1"/>
    </row>
    <row r="832" spans="1:3" ht="15.75" customHeight="1" x14ac:dyDescent="0.35">
      <c r="A832" s="1"/>
      <c r="B832" s="12"/>
      <c r="C832" s="1"/>
    </row>
    <row r="833" spans="1:3" ht="15.75" customHeight="1" x14ac:dyDescent="0.35">
      <c r="A833" s="1"/>
      <c r="B833" s="12"/>
      <c r="C833" s="1"/>
    </row>
    <row r="834" spans="1:3" ht="15.75" customHeight="1" x14ac:dyDescent="0.35">
      <c r="A834" s="1"/>
      <c r="B834" s="12"/>
      <c r="C834" s="1"/>
    </row>
    <row r="835" spans="1:3" ht="15.75" customHeight="1" x14ac:dyDescent="0.35">
      <c r="A835" s="1"/>
      <c r="B835" s="12"/>
      <c r="C835" s="1"/>
    </row>
    <row r="836" spans="1:3" ht="15.75" customHeight="1" x14ac:dyDescent="0.35">
      <c r="A836" s="1"/>
      <c r="B836" s="12"/>
      <c r="C836" s="1"/>
    </row>
    <row r="837" spans="1:3" ht="15.75" customHeight="1" x14ac:dyDescent="0.35">
      <c r="A837" s="1"/>
      <c r="B837" s="12"/>
      <c r="C837" s="1"/>
    </row>
    <row r="838" spans="1:3" ht="15.75" customHeight="1" x14ac:dyDescent="0.35">
      <c r="A838" s="1"/>
      <c r="B838" s="12"/>
      <c r="C838" s="1"/>
    </row>
    <row r="839" spans="1:3" ht="15.75" customHeight="1" x14ac:dyDescent="0.35">
      <c r="A839" s="1"/>
      <c r="B839" s="12"/>
      <c r="C839" s="1"/>
    </row>
    <row r="840" spans="1:3" ht="15.75" customHeight="1" x14ac:dyDescent="0.35">
      <c r="A840" s="1"/>
      <c r="B840" s="12"/>
      <c r="C840" s="1"/>
    </row>
    <row r="841" spans="1:3" ht="15.75" customHeight="1" x14ac:dyDescent="0.35">
      <c r="A841" s="1"/>
      <c r="B841" s="12"/>
      <c r="C841" s="1"/>
    </row>
    <row r="842" spans="1:3" ht="15.75" customHeight="1" x14ac:dyDescent="0.35">
      <c r="A842" s="1"/>
      <c r="B842" s="12"/>
      <c r="C842" s="1"/>
    </row>
    <row r="843" spans="1:3" ht="15.75" customHeight="1" x14ac:dyDescent="0.35">
      <c r="A843" s="1"/>
      <c r="B843" s="12"/>
      <c r="C843" s="1"/>
    </row>
    <row r="844" spans="1:3" ht="15.75" customHeight="1" x14ac:dyDescent="0.35">
      <c r="A844" s="1"/>
      <c r="B844" s="12"/>
      <c r="C844" s="1"/>
    </row>
    <row r="845" spans="1:3" ht="15.75" customHeight="1" x14ac:dyDescent="0.35">
      <c r="A845" s="1"/>
      <c r="B845" s="12"/>
      <c r="C845" s="1"/>
    </row>
    <row r="846" spans="1:3" ht="15.75" customHeight="1" x14ac:dyDescent="0.35">
      <c r="A846" s="1"/>
      <c r="B846" s="12"/>
      <c r="C846" s="1"/>
    </row>
    <row r="847" spans="1:3" ht="15.75" customHeight="1" x14ac:dyDescent="0.35">
      <c r="A847" s="1"/>
      <c r="B847" s="12"/>
      <c r="C847" s="1"/>
    </row>
    <row r="848" spans="1:3" ht="15.75" customHeight="1" x14ac:dyDescent="0.35">
      <c r="A848" s="1"/>
      <c r="B848" s="12"/>
      <c r="C848" s="1"/>
    </row>
    <row r="849" spans="1:3" ht="15.75" customHeight="1" x14ac:dyDescent="0.35">
      <c r="A849" s="1"/>
      <c r="B849" s="12"/>
      <c r="C849" s="1"/>
    </row>
    <row r="850" spans="1:3" ht="15.75" customHeight="1" x14ac:dyDescent="0.35">
      <c r="A850" s="1"/>
      <c r="B850" s="12"/>
      <c r="C850" s="1"/>
    </row>
    <row r="851" spans="1:3" ht="15.75" customHeight="1" x14ac:dyDescent="0.35">
      <c r="A851" s="1"/>
      <c r="B851" s="12"/>
      <c r="C851" s="1"/>
    </row>
    <row r="852" spans="1:3" ht="15.75" customHeight="1" x14ac:dyDescent="0.35">
      <c r="A852" s="1"/>
      <c r="B852" s="12"/>
      <c r="C852" s="1"/>
    </row>
    <row r="853" spans="1:3" ht="15.75" customHeight="1" x14ac:dyDescent="0.35">
      <c r="A853" s="1"/>
      <c r="B853" s="12"/>
      <c r="C853" s="1"/>
    </row>
    <row r="854" spans="1:3" ht="15.75" customHeight="1" x14ac:dyDescent="0.35">
      <c r="A854" s="1"/>
      <c r="B854" s="12"/>
      <c r="C854" s="1"/>
    </row>
    <row r="855" spans="1:3" ht="15.75" customHeight="1" x14ac:dyDescent="0.35">
      <c r="A855" s="1"/>
      <c r="B855" s="12"/>
      <c r="C855" s="1"/>
    </row>
    <row r="856" spans="1:3" ht="15.75" customHeight="1" x14ac:dyDescent="0.35">
      <c r="A856" s="1"/>
      <c r="B856" s="12"/>
      <c r="C856" s="1"/>
    </row>
    <row r="857" spans="1:3" ht="15.75" customHeight="1" x14ac:dyDescent="0.35">
      <c r="A857" s="1"/>
      <c r="B857" s="12"/>
      <c r="C857" s="1"/>
    </row>
    <row r="858" spans="1:3" ht="15.75" customHeight="1" x14ac:dyDescent="0.35">
      <c r="A858" s="1"/>
      <c r="B858" s="12"/>
      <c r="C858" s="1"/>
    </row>
    <row r="859" spans="1:3" ht="15.75" customHeight="1" x14ac:dyDescent="0.35">
      <c r="A859" s="1"/>
      <c r="B859" s="12"/>
      <c r="C859" s="1"/>
    </row>
    <row r="860" spans="1:3" ht="15.75" customHeight="1" x14ac:dyDescent="0.35">
      <c r="A860" s="1"/>
      <c r="B860" s="12"/>
      <c r="C860" s="1"/>
    </row>
    <row r="861" spans="1:3" ht="15.75" customHeight="1" x14ac:dyDescent="0.35">
      <c r="A861" s="1"/>
      <c r="B861" s="12"/>
      <c r="C861" s="1"/>
    </row>
    <row r="862" spans="1:3" ht="15.75" customHeight="1" x14ac:dyDescent="0.35">
      <c r="A862" s="1"/>
      <c r="B862" s="12"/>
      <c r="C862" s="1"/>
    </row>
    <row r="863" spans="1:3" ht="15.75" customHeight="1" x14ac:dyDescent="0.35">
      <c r="A863" s="1"/>
      <c r="B863" s="12"/>
      <c r="C863" s="1"/>
    </row>
    <row r="864" spans="1:3" ht="15.75" customHeight="1" x14ac:dyDescent="0.35">
      <c r="A864" s="1"/>
      <c r="B864" s="12"/>
      <c r="C864" s="1"/>
    </row>
    <row r="865" spans="1:3" ht="15.75" customHeight="1" x14ac:dyDescent="0.35">
      <c r="A865" s="1"/>
      <c r="B865" s="12"/>
      <c r="C865" s="1"/>
    </row>
    <row r="866" spans="1:3" ht="15.75" customHeight="1" x14ac:dyDescent="0.35">
      <c r="A866" s="1"/>
      <c r="B866" s="12"/>
      <c r="C866" s="1"/>
    </row>
    <row r="867" spans="1:3" ht="15.75" customHeight="1" x14ac:dyDescent="0.35">
      <c r="A867" s="1"/>
      <c r="B867" s="12"/>
      <c r="C867" s="1"/>
    </row>
    <row r="868" spans="1:3" ht="15.75" customHeight="1" x14ac:dyDescent="0.35">
      <c r="A868" s="1"/>
      <c r="B868" s="12"/>
      <c r="C868" s="1"/>
    </row>
    <row r="869" spans="1:3" ht="15.75" customHeight="1" x14ac:dyDescent="0.35">
      <c r="A869" s="1"/>
      <c r="B869" s="12"/>
      <c r="C869" s="1"/>
    </row>
    <row r="870" spans="1:3" ht="15.75" customHeight="1" x14ac:dyDescent="0.35">
      <c r="A870" s="1"/>
      <c r="B870" s="12"/>
      <c r="C870" s="1"/>
    </row>
    <row r="871" spans="1:3" ht="15.75" customHeight="1" x14ac:dyDescent="0.35">
      <c r="A871" s="1"/>
      <c r="B871" s="12"/>
      <c r="C871" s="1"/>
    </row>
    <row r="872" spans="1:3" ht="15.75" customHeight="1" x14ac:dyDescent="0.35">
      <c r="A872" s="1"/>
      <c r="B872" s="12"/>
      <c r="C872" s="1"/>
    </row>
    <row r="873" spans="1:3" ht="15.75" customHeight="1" x14ac:dyDescent="0.35">
      <c r="A873" s="1"/>
      <c r="B873" s="12"/>
      <c r="C873" s="1"/>
    </row>
    <row r="874" spans="1:3" ht="15.75" customHeight="1" x14ac:dyDescent="0.35">
      <c r="A874" s="1"/>
      <c r="B874" s="12"/>
      <c r="C874" s="1"/>
    </row>
    <row r="875" spans="1:3" ht="15.75" customHeight="1" x14ac:dyDescent="0.35">
      <c r="A875" s="1"/>
      <c r="B875" s="12"/>
      <c r="C875" s="1"/>
    </row>
    <row r="876" spans="1:3" ht="15.75" customHeight="1" x14ac:dyDescent="0.35">
      <c r="A876" s="1"/>
      <c r="B876" s="12"/>
      <c r="C876" s="1"/>
    </row>
    <row r="877" spans="1:3" ht="15.75" customHeight="1" x14ac:dyDescent="0.35">
      <c r="A877" s="1"/>
      <c r="B877" s="12"/>
      <c r="C877" s="1"/>
    </row>
    <row r="878" spans="1:3" ht="15.75" customHeight="1" x14ac:dyDescent="0.35">
      <c r="A878" s="1"/>
      <c r="B878" s="12"/>
      <c r="C878" s="1"/>
    </row>
    <row r="879" spans="1:3" ht="15.75" customHeight="1" x14ac:dyDescent="0.35">
      <c r="A879" s="1"/>
      <c r="B879" s="12"/>
      <c r="C879" s="1"/>
    </row>
    <row r="880" spans="1:3" ht="15.75" customHeight="1" x14ac:dyDescent="0.35">
      <c r="A880" s="1"/>
      <c r="B880" s="12"/>
      <c r="C880" s="1"/>
    </row>
    <row r="881" spans="1:3" ht="15.75" customHeight="1" x14ac:dyDescent="0.35">
      <c r="A881" s="1"/>
      <c r="B881" s="12"/>
      <c r="C881" s="1"/>
    </row>
    <row r="882" spans="1:3" ht="15.75" customHeight="1" x14ac:dyDescent="0.35">
      <c r="A882" s="1"/>
      <c r="B882" s="12"/>
      <c r="C882" s="1"/>
    </row>
    <row r="883" spans="1:3" ht="15.75" customHeight="1" x14ac:dyDescent="0.35">
      <c r="A883" s="1"/>
      <c r="B883" s="12"/>
      <c r="C883" s="1"/>
    </row>
    <row r="884" spans="1:3" ht="15.75" customHeight="1" x14ac:dyDescent="0.35">
      <c r="A884" s="1"/>
      <c r="B884" s="12"/>
      <c r="C884" s="1"/>
    </row>
    <row r="885" spans="1:3" ht="15.75" customHeight="1" x14ac:dyDescent="0.35">
      <c r="A885" s="1"/>
      <c r="B885" s="12"/>
      <c r="C885" s="1"/>
    </row>
    <row r="886" spans="1:3" ht="15.75" customHeight="1" x14ac:dyDescent="0.35">
      <c r="A886" s="1"/>
      <c r="B886" s="12"/>
      <c r="C886" s="1"/>
    </row>
    <row r="887" spans="1:3" ht="15.75" customHeight="1" x14ac:dyDescent="0.35">
      <c r="A887" s="1"/>
      <c r="B887" s="12"/>
      <c r="C887" s="1"/>
    </row>
    <row r="888" spans="1:3" ht="15.75" customHeight="1" x14ac:dyDescent="0.35">
      <c r="A888" s="1"/>
      <c r="B888" s="12"/>
      <c r="C888" s="1"/>
    </row>
    <row r="889" spans="1:3" ht="15.75" customHeight="1" x14ac:dyDescent="0.35">
      <c r="A889" s="1"/>
      <c r="B889" s="12"/>
      <c r="C889" s="1"/>
    </row>
    <row r="890" spans="1:3" ht="15.75" customHeight="1" x14ac:dyDescent="0.35">
      <c r="A890" s="1"/>
      <c r="B890" s="12"/>
      <c r="C890" s="1"/>
    </row>
    <row r="891" spans="1:3" ht="15.75" customHeight="1" x14ac:dyDescent="0.35">
      <c r="A891" s="1"/>
      <c r="B891" s="12"/>
      <c r="C891" s="1"/>
    </row>
    <row r="892" spans="1:3" ht="15.75" customHeight="1" x14ac:dyDescent="0.35">
      <c r="A892" s="1"/>
      <c r="B892" s="12"/>
      <c r="C892" s="1"/>
    </row>
    <row r="893" spans="1:3" ht="15.75" customHeight="1" x14ac:dyDescent="0.35">
      <c r="A893" s="1"/>
      <c r="B893" s="12"/>
      <c r="C893" s="1"/>
    </row>
    <row r="894" spans="1:3" ht="15.75" customHeight="1" x14ac:dyDescent="0.35">
      <c r="A894" s="1"/>
      <c r="B894" s="12"/>
      <c r="C894" s="1"/>
    </row>
    <row r="895" spans="1:3" ht="15.75" customHeight="1" x14ac:dyDescent="0.35">
      <c r="A895" s="1"/>
      <c r="B895" s="12"/>
      <c r="C895" s="1"/>
    </row>
    <row r="896" spans="1:3" ht="15.75" customHeight="1" x14ac:dyDescent="0.35">
      <c r="A896" s="1"/>
      <c r="B896" s="12"/>
      <c r="C896" s="1"/>
    </row>
    <row r="897" spans="1:3" ht="15.75" customHeight="1" x14ac:dyDescent="0.35">
      <c r="A897" s="1"/>
      <c r="B897" s="12"/>
      <c r="C897" s="1"/>
    </row>
    <row r="898" spans="1:3" ht="15.75" customHeight="1" x14ac:dyDescent="0.35">
      <c r="A898" s="1"/>
      <c r="B898" s="12"/>
      <c r="C898" s="1"/>
    </row>
    <row r="899" spans="1:3" ht="15.75" customHeight="1" x14ac:dyDescent="0.35">
      <c r="A899" s="1"/>
      <c r="B899" s="12"/>
      <c r="C899" s="1"/>
    </row>
    <row r="900" spans="1:3" ht="15.75" customHeight="1" x14ac:dyDescent="0.35">
      <c r="A900" s="1"/>
      <c r="B900" s="12"/>
      <c r="C900" s="1"/>
    </row>
    <row r="901" spans="1:3" ht="15.75" customHeight="1" x14ac:dyDescent="0.35">
      <c r="A901" s="1"/>
      <c r="B901" s="12"/>
      <c r="C901" s="1"/>
    </row>
    <row r="902" spans="1:3" ht="15.75" customHeight="1" x14ac:dyDescent="0.35">
      <c r="A902" s="1"/>
      <c r="B902" s="12"/>
      <c r="C902" s="1"/>
    </row>
    <row r="903" spans="1:3" ht="15.75" customHeight="1" x14ac:dyDescent="0.35">
      <c r="A903" s="1"/>
      <c r="B903" s="12"/>
      <c r="C903" s="1"/>
    </row>
    <row r="904" spans="1:3" ht="15.75" customHeight="1" x14ac:dyDescent="0.35">
      <c r="A904" s="1"/>
      <c r="B904" s="12"/>
      <c r="C904" s="1"/>
    </row>
    <row r="905" spans="1:3" ht="15.75" customHeight="1" x14ac:dyDescent="0.35">
      <c r="A905" s="1"/>
      <c r="B905" s="12"/>
      <c r="C905" s="1"/>
    </row>
    <row r="906" spans="1:3" ht="15.75" customHeight="1" x14ac:dyDescent="0.35">
      <c r="A906" s="1"/>
      <c r="B906" s="12"/>
      <c r="C906" s="1"/>
    </row>
    <row r="907" spans="1:3" ht="15.75" customHeight="1" x14ac:dyDescent="0.35">
      <c r="A907" s="1"/>
      <c r="B907" s="12"/>
      <c r="C907" s="1"/>
    </row>
    <row r="908" spans="1:3" ht="15.75" customHeight="1" x14ac:dyDescent="0.35">
      <c r="A908" s="1"/>
      <c r="B908" s="12"/>
      <c r="C908" s="1"/>
    </row>
    <row r="909" spans="1:3" ht="15.75" customHeight="1" x14ac:dyDescent="0.35">
      <c r="A909" s="1"/>
      <c r="B909" s="12"/>
      <c r="C909" s="1"/>
    </row>
    <row r="910" spans="1:3" ht="15.75" customHeight="1" x14ac:dyDescent="0.35">
      <c r="A910" s="1"/>
      <c r="B910" s="12"/>
      <c r="C910" s="1"/>
    </row>
    <row r="911" spans="1:3" ht="15.75" customHeight="1" x14ac:dyDescent="0.35">
      <c r="A911" s="1"/>
      <c r="B911" s="12"/>
      <c r="C911" s="1"/>
    </row>
    <row r="912" spans="1:3" ht="15.75" customHeight="1" x14ac:dyDescent="0.35">
      <c r="A912" s="1"/>
      <c r="B912" s="12"/>
      <c r="C912" s="1"/>
    </row>
    <row r="913" spans="1:3" ht="15.75" customHeight="1" x14ac:dyDescent="0.35">
      <c r="A913" s="1"/>
      <c r="B913" s="12"/>
      <c r="C913" s="1"/>
    </row>
    <row r="914" spans="1:3" ht="15.75" customHeight="1" x14ac:dyDescent="0.35">
      <c r="A914" s="1"/>
      <c r="B914" s="12"/>
      <c r="C914" s="1"/>
    </row>
    <row r="915" spans="1:3" ht="15.75" customHeight="1" x14ac:dyDescent="0.35">
      <c r="A915" s="1"/>
      <c r="B915" s="12"/>
      <c r="C915" s="1"/>
    </row>
    <row r="916" spans="1:3" ht="15.75" customHeight="1" x14ac:dyDescent="0.35">
      <c r="A916" s="1"/>
      <c r="B916" s="12"/>
      <c r="C916" s="1"/>
    </row>
    <row r="917" spans="1:3" ht="15.75" customHeight="1" x14ac:dyDescent="0.35">
      <c r="A917" s="1"/>
      <c r="B917" s="12"/>
      <c r="C917" s="1"/>
    </row>
    <row r="918" spans="1:3" ht="15.75" customHeight="1" x14ac:dyDescent="0.35">
      <c r="A918" s="1"/>
      <c r="B918" s="12"/>
      <c r="C918" s="1"/>
    </row>
    <row r="919" spans="1:3" ht="15.75" customHeight="1" x14ac:dyDescent="0.35">
      <c r="A919" s="1"/>
      <c r="B919" s="12"/>
      <c r="C919" s="1"/>
    </row>
    <row r="920" spans="1:3" ht="15.75" customHeight="1" x14ac:dyDescent="0.35">
      <c r="A920" s="1"/>
      <c r="B920" s="12"/>
      <c r="C920" s="1"/>
    </row>
    <row r="921" spans="1:3" ht="15.75" customHeight="1" x14ac:dyDescent="0.35">
      <c r="A921" s="1"/>
      <c r="B921" s="12"/>
      <c r="C921" s="1"/>
    </row>
    <row r="922" spans="1:3" ht="15.75" customHeight="1" x14ac:dyDescent="0.35">
      <c r="A922" s="1"/>
      <c r="B922" s="12"/>
      <c r="C922" s="1"/>
    </row>
    <row r="923" spans="1:3" ht="15.75" customHeight="1" x14ac:dyDescent="0.35">
      <c r="A923" s="1"/>
      <c r="B923" s="12"/>
      <c r="C923" s="1"/>
    </row>
    <row r="924" spans="1:3" ht="15.75" customHeight="1" x14ac:dyDescent="0.35">
      <c r="A924" s="1"/>
      <c r="B924" s="12"/>
      <c r="C924" s="1"/>
    </row>
    <row r="925" spans="1:3" ht="15.75" customHeight="1" x14ac:dyDescent="0.35">
      <c r="A925" s="1"/>
      <c r="B925" s="12"/>
      <c r="C925" s="1"/>
    </row>
    <row r="926" spans="1:3" ht="15.75" customHeight="1" x14ac:dyDescent="0.35">
      <c r="A926" s="1"/>
      <c r="B926" s="12"/>
      <c r="C926" s="1"/>
    </row>
    <row r="927" spans="1:3" ht="15.75" customHeight="1" x14ac:dyDescent="0.35">
      <c r="A927" s="1"/>
      <c r="B927" s="12"/>
      <c r="C927" s="1"/>
    </row>
    <row r="928" spans="1:3" ht="15.75" customHeight="1" x14ac:dyDescent="0.35">
      <c r="A928" s="1"/>
      <c r="B928" s="12"/>
      <c r="C928" s="1"/>
    </row>
    <row r="929" spans="1:3" ht="15.75" customHeight="1" x14ac:dyDescent="0.35">
      <c r="A929" s="1"/>
      <c r="B929" s="12"/>
      <c r="C929" s="1"/>
    </row>
    <row r="930" spans="1:3" ht="15.75" customHeight="1" x14ac:dyDescent="0.35">
      <c r="A930" s="1"/>
      <c r="B930" s="12"/>
      <c r="C930" s="1"/>
    </row>
    <row r="931" spans="1:3" ht="15.75" customHeight="1" x14ac:dyDescent="0.35">
      <c r="A931" s="1"/>
      <c r="B931" s="12"/>
      <c r="C931" s="1"/>
    </row>
    <row r="932" spans="1:3" ht="15.75" customHeight="1" x14ac:dyDescent="0.35">
      <c r="A932" s="1"/>
      <c r="B932" s="12"/>
      <c r="C932" s="1"/>
    </row>
    <row r="933" spans="1:3" ht="15.75" customHeight="1" x14ac:dyDescent="0.35">
      <c r="A933" s="1"/>
      <c r="B933" s="12"/>
      <c r="C933" s="1"/>
    </row>
    <row r="934" spans="1:3" ht="15.75" customHeight="1" x14ac:dyDescent="0.35">
      <c r="A934" s="1"/>
      <c r="B934" s="12"/>
      <c r="C934" s="1"/>
    </row>
    <row r="935" spans="1:3" ht="15.75" customHeight="1" x14ac:dyDescent="0.35">
      <c r="A935" s="1"/>
      <c r="B935" s="12"/>
      <c r="C935" s="1"/>
    </row>
    <row r="936" spans="1:3" ht="15.75" customHeight="1" x14ac:dyDescent="0.35">
      <c r="A936" s="1"/>
      <c r="B936" s="12"/>
      <c r="C936" s="1"/>
    </row>
    <row r="937" spans="1:3" ht="15.75" customHeight="1" x14ac:dyDescent="0.35">
      <c r="A937" s="1"/>
      <c r="B937" s="12"/>
      <c r="C937" s="1"/>
    </row>
    <row r="938" spans="1:3" ht="15.75" customHeight="1" x14ac:dyDescent="0.35">
      <c r="A938" s="1"/>
      <c r="B938" s="12"/>
      <c r="C938" s="1"/>
    </row>
    <row r="939" spans="1:3" ht="15.75" customHeight="1" x14ac:dyDescent="0.35">
      <c r="A939" s="1"/>
      <c r="B939" s="12"/>
      <c r="C939" s="1"/>
    </row>
    <row r="940" spans="1:3" ht="15.75" customHeight="1" x14ac:dyDescent="0.35">
      <c r="A940" s="1"/>
      <c r="B940" s="12"/>
      <c r="C940" s="1"/>
    </row>
    <row r="941" spans="1:3" ht="15.75" customHeight="1" x14ac:dyDescent="0.35">
      <c r="A941" s="1"/>
      <c r="B941" s="12"/>
      <c r="C941" s="1"/>
    </row>
    <row r="942" spans="1:3" ht="15.75" customHeight="1" x14ac:dyDescent="0.35">
      <c r="A942" s="1"/>
      <c r="B942" s="12"/>
      <c r="C942" s="1"/>
    </row>
    <row r="943" spans="1:3" ht="15.75" customHeight="1" x14ac:dyDescent="0.35">
      <c r="A943" s="1"/>
      <c r="B943" s="12"/>
      <c r="C943" s="1"/>
    </row>
    <row r="944" spans="1:3" ht="15.75" customHeight="1" x14ac:dyDescent="0.35">
      <c r="A944" s="1"/>
      <c r="B944" s="12"/>
      <c r="C944" s="1"/>
    </row>
    <row r="945" spans="1:3" ht="15.75" customHeight="1" x14ac:dyDescent="0.35">
      <c r="A945" s="1"/>
      <c r="B945" s="12"/>
      <c r="C945" s="1"/>
    </row>
    <row r="946" spans="1:3" ht="15.75" customHeight="1" x14ac:dyDescent="0.35">
      <c r="A946" s="1"/>
      <c r="B946" s="12"/>
      <c r="C946" s="1"/>
    </row>
    <row r="947" spans="1:3" ht="15.75" customHeight="1" x14ac:dyDescent="0.35">
      <c r="A947" s="1"/>
      <c r="B947" s="12"/>
      <c r="C947" s="1"/>
    </row>
    <row r="948" spans="1:3" ht="15.75" customHeight="1" x14ac:dyDescent="0.35">
      <c r="A948" s="1"/>
      <c r="B948" s="12"/>
      <c r="C948" s="1"/>
    </row>
    <row r="949" spans="1:3" ht="15.75" customHeight="1" x14ac:dyDescent="0.35">
      <c r="A949" s="1"/>
      <c r="B949" s="12"/>
      <c r="C949" s="1"/>
    </row>
    <row r="950" spans="1:3" ht="15.75" customHeight="1" x14ac:dyDescent="0.35">
      <c r="A950" s="1"/>
      <c r="B950" s="12"/>
      <c r="C950" s="1"/>
    </row>
    <row r="951" spans="1:3" ht="15.75" customHeight="1" x14ac:dyDescent="0.35">
      <c r="A951" s="1"/>
      <c r="B951" s="12"/>
      <c r="C951" s="1"/>
    </row>
    <row r="952" spans="1:3" ht="15.75" customHeight="1" x14ac:dyDescent="0.35">
      <c r="A952" s="1"/>
      <c r="B952" s="12"/>
      <c r="C952" s="1"/>
    </row>
    <row r="953" spans="1:3" ht="15.75" customHeight="1" x14ac:dyDescent="0.35">
      <c r="A953" s="1"/>
      <c r="B953" s="12"/>
      <c r="C953" s="1"/>
    </row>
    <row r="954" spans="1:3" ht="15.75" customHeight="1" x14ac:dyDescent="0.35">
      <c r="A954" s="1"/>
      <c r="B954" s="12"/>
      <c r="C954" s="1"/>
    </row>
    <row r="955" spans="1:3" ht="15.75" customHeight="1" x14ac:dyDescent="0.35">
      <c r="A955" s="1"/>
      <c r="B955" s="12"/>
      <c r="C955" s="1"/>
    </row>
    <row r="956" spans="1:3" ht="15.75" customHeight="1" x14ac:dyDescent="0.35">
      <c r="A956" s="1"/>
      <c r="B956" s="12"/>
      <c r="C956" s="1"/>
    </row>
    <row r="957" spans="1:3" ht="15.75" customHeight="1" x14ac:dyDescent="0.35">
      <c r="A957" s="1"/>
      <c r="B957" s="12"/>
      <c r="C957" s="1"/>
    </row>
    <row r="958" spans="1:3" ht="15.75" customHeight="1" x14ac:dyDescent="0.35">
      <c r="A958" s="1"/>
      <c r="B958" s="12"/>
      <c r="C958" s="1"/>
    </row>
    <row r="959" spans="1:3" ht="15.75" customHeight="1" x14ac:dyDescent="0.35">
      <c r="A959" s="1"/>
      <c r="B959" s="12"/>
      <c r="C959" s="1"/>
    </row>
    <row r="960" spans="1:3" ht="15.75" customHeight="1" x14ac:dyDescent="0.35">
      <c r="A960" s="1"/>
      <c r="B960" s="12"/>
      <c r="C960" s="1"/>
    </row>
    <row r="961" spans="1:3" ht="15.75" customHeight="1" x14ac:dyDescent="0.35">
      <c r="A961" s="1"/>
      <c r="B961" s="12"/>
      <c r="C961" s="1"/>
    </row>
    <row r="962" spans="1:3" ht="15.75" customHeight="1" x14ac:dyDescent="0.35">
      <c r="A962" s="1"/>
      <c r="B962" s="12"/>
      <c r="C962" s="1"/>
    </row>
    <row r="963" spans="1:3" ht="15.75" customHeight="1" x14ac:dyDescent="0.35">
      <c r="A963" s="1"/>
      <c r="B963" s="12"/>
      <c r="C963" s="1"/>
    </row>
    <row r="964" spans="1:3" ht="15.75" customHeight="1" x14ac:dyDescent="0.35">
      <c r="A964" s="1"/>
      <c r="B964" s="12"/>
      <c r="C964" s="1"/>
    </row>
    <row r="965" spans="1:3" ht="15.75" customHeight="1" x14ac:dyDescent="0.35">
      <c r="A965" s="1"/>
      <c r="B965" s="12"/>
      <c r="C965" s="1"/>
    </row>
    <row r="966" spans="1:3" ht="15.75" customHeight="1" x14ac:dyDescent="0.35">
      <c r="A966" s="1"/>
      <c r="B966" s="12"/>
      <c r="C966" s="1"/>
    </row>
    <row r="967" spans="1:3" ht="15.75" customHeight="1" x14ac:dyDescent="0.35">
      <c r="A967" s="1"/>
      <c r="B967" s="12"/>
      <c r="C967" s="1"/>
    </row>
    <row r="968" spans="1:3" ht="15.75" customHeight="1" x14ac:dyDescent="0.35">
      <c r="A968" s="1"/>
      <c r="B968" s="12"/>
      <c r="C968" s="1"/>
    </row>
    <row r="969" spans="1:3" ht="15.75" customHeight="1" x14ac:dyDescent="0.35">
      <c r="A969" s="1"/>
      <c r="B969" s="12"/>
      <c r="C969" s="1"/>
    </row>
    <row r="970" spans="1:3" ht="15.75" customHeight="1" x14ac:dyDescent="0.35">
      <c r="A970" s="1"/>
      <c r="B970" s="12"/>
      <c r="C970" s="1"/>
    </row>
    <row r="971" spans="1:3" ht="15.75" customHeight="1" x14ac:dyDescent="0.35">
      <c r="A971" s="1"/>
      <c r="B971" s="12"/>
      <c r="C971" s="1"/>
    </row>
    <row r="972" spans="1:3" ht="15.75" customHeight="1" x14ac:dyDescent="0.35">
      <c r="A972" s="1"/>
      <c r="B972" s="12"/>
      <c r="C972" s="1"/>
    </row>
    <row r="973" spans="1:3" ht="15.75" customHeight="1" x14ac:dyDescent="0.35">
      <c r="A973" s="1"/>
      <c r="B973" s="12"/>
      <c r="C973" s="1"/>
    </row>
    <row r="974" spans="1:3" ht="15.75" customHeight="1" x14ac:dyDescent="0.35">
      <c r="A974" s="1"/>
      <c r="B974" s="12"/>
      <c r="C974" s="1"/>
    </row>
    <row r="975" spans="1:3" ht="15.75" customHeight="1" x14ac:dyDescent="0.35">
      <c r="A975" s="1"/>
      <c r="B975" s="12"/>
      <c r="C975" s="1"/>
    </row>
    <row r="976" spans="1:3" ht="15.75" customHeight="1" x14ac:dyDescent="0.35">
      <c r="A976" s="1"/>
      <c r="B976" s="12"/>
      <c r="C976" s="1"/>
    </row>
    <row r="977" spans="1:3" ht="15.75" customHeight="1" x14ac:dyDescent="0.35">
      <c r="A977" s="1"/>
      <c r="B977" s="12"/>
      <c r="C977" s="1"/>
    </row>
    <row r="978" spans="1:3" ht="15.75" customHeight="1" x14ac:dyDescent="0.35">
      <c r="A978" s="1"/>
      <c r="B978" s="12"/>
      <c r="C978" s="1"/>
    </row>
    <row r="979" spans="1:3" ht="15.75" customHeight="1" x14ac:dyDescent="0.35">
      <c r="A979" s="1"/>
      <c r="B979" s="12"/>
      <c r="C979" s="1"/>
    </row>
    <row r="980" spans="1:3" ht="15.75" customHeight="1" x14ac:dyDescent="0.35">
      <c r="A980" s="1"/>
      <c r="B980" s="12"/>
      <c r="C980" s="1"/>
    </row>
    <row r="981" spans="1:3" ht="15.75" customHeight="1" x14ac:dyDescent="0.35">
      <c r="A981" s="1"/>
      <c r="B981" s="12"/>
      <c r="C981" s="1"/>
    </row>
    <row r="982" spans="1:3" ht="15.75" customHeight="1" x14ac:dyDescent="0.35">
      <c r="A982" s="1"/>
      <c r="B982" s="12"/>
      <c r="C982" s="1"/>
    </row>
    <row r="983" spans="1:3" ht="15.75" customHeight="1" x14ac:dyDescent="0.35">
      <c r="A983" s="1"/>
      <c r="B983" s="12"/>
      <c r="C983" s="1"/>
    </row>
    <row r="984" spans="1:3" ht="15.75" customHeight="1" x14ac:dyDescent="0.35">
      <c r="A984" s="1"/>
      <c r="B984" s="12"/>
      <c r="C984" s="1"/>
    </row>
    <row r="985" spans="1:3" ht="15.75" customHeight="1" x14ac:dyDescent="0.35">
      <c r="A985" s="1"/>
      <c r="B985" s="12"/>
      <c r="C985" s="1"/>
    </row>
    <row r="986" spans="1:3" ht="15.75" customHeight="1" x14ac:dyDescent="0.35">
      <c r="A986" s="1"/>
      <c r="B986" s="12"/>
      <c r="C986" s="1"/>
    </row>
    <row r="987" spans="1:3" ht="15.75" customHeight="1" x14ac:dyDescent="0.35">
      <c r="A987" s="1"/>
      <c r="B987" s="12"/>
      <c r="C987" s="1"/>
    </row>
    <row r="988" spans="1:3" ht="15.75" customHeight="1" x14ac:dyDescent="0.35">
      <c r="A988" s="1"/>
      <c r="B988" s="12"/>
      <c r="C988" s="1"/>
    </row>
    <row r="989" spans="1:3" ht="15.75" customHeight="1" x14ac:dyDescent="0.35">
      <c r="A989" s="1"/>
      <c r="B989" s="12"/>
      <c r="C989" s="1"/>
    </row>
    <row r="990" spans="1:3" ht="15.75" customHeight="1" x14ac:dyDescent="0.35">
      <c r="A990" s="1"/>
      <c r="B990" s="12"/>
      <c r="C990" s="1"/>
    </row>
    <row r="991" spans="1:3" ht="15.75" customHeight="1" x14ac:dyDescent="0.35">
      <c r="A991" s="1"/>
      <c r="B991" s="12"/>
      <c r="C991" s="1"/>
    </row>
    <row r="992" spans="1:3" ht="15.75" customHeight="1" x14ac:dyDescent="0.35">
      <c r="A992" s="1"/>
      <c r="B992" s="12"/>
      <c r="C992" s="1"/>
    </row>
    <row r="993" spans="1:3" ht="15.75" customHeight="1" x14ac:dyDescent="0.35">
      <c r="A993" s="1"/>
      <c r="B993" s="12"/>
      <c r="C993" s="1"/>
    </row>
    <row r="994" spans="1:3" ht="15.75" customHeight="1" x14ac:dyDescent="0.35">
      <c r="A994" s="1"/>
      <c r="B994" s="12"/>
      <c r="C994" s="1"/>
    </row>
    <row r="995" spans="1:3" ht="15.75" customHeight="1" x14ac:dyDescent="0.35">
      <c r="A995" s="1"/>
      <c r="B995" s="12"/>
      <c r="C995" s="1"/>
    </row>
    <row r="996" spans="1:3" ht="15.75" customHeight="1" x14ac:dyDescent="0.35">
      <c r="A996" s="1"/>
      <c r="B996" s="12"/>
      <c r="C996" s="1"/>
    </row>
    <row r="997" spans="1:3" ht="15.75" customHeight="1" x14ac:dyDescent="0.35">
      <c r="A997" s="1"/>
      <c r="B997" s="12"/>
      <c r="C997" s="1"/>
    </row>
    <row r="998" spans="1:3" ht="15.75" customHeight="1" x14ac:dyDescent="0.35">
      <c r="A998" s="1"/>
      <c r="B998" s="12"/>
      <c r="C998" s="1"/>
    </row>
    <row r="999" spans="1:3" ht="15.75" customHeight="1" x14ac:dyDescent="0.35">
      <c r="A999" s="1"/>
      <c r="B999" s="12"/>
      <c r="C999" s="1"/>
    </row>
    <row r="1000" spans="1:3" ht="15.75" customHeight="1" x14ac:dyDescent="0.35">
      <c r="A1000" s="1"/>
      <c r="B1000" s="12"/>
      <c r="C1000" s="1"/>
    </row>
  </sheetData>
  <hyperlinks>
    <hyperlink ref="B1" r:id="rId1" xr:uid="{00000000-0004-0000-0000-000000000000}"/>
    <hyperlink ref="B6" r:id="rId2" xr:uid="{00000000-0004-0000-0000-000001000000}"/>
    <hyperlink ref="B22" r:id="rId3" xr:uid="{00000000-0004-0000-0000-000002000000}"/>
    <hyperlink ref="C22" r:id="rId4" xr:uid="{00000000-0004-0000-0000-000003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897"/>
  <sheetViews>
    <sheetView workbookViewId="0"/>
  </sheetViews>
  <sheetFormatPr defaultColWidth="12.6328125" defaultRowHeight="15" customHeight="1" x14ac:dyDescent="0.25"/>
  <cols>
    <col min="1" max="5" width="12.6328125" customWidth="1"/>
    <col min="6" max="6" width="53.08984375" customWidth="1"/>
    <col min="7" max="7" width="29.6328125" customWidth="1"/>
    <col min="13" max="13" width="56.6328125" customWidth="1"/>
  </cols>
  <sheetData>
    <row r="1" spans="1:15" ht="15.75" customHeight="1" x14ac:dyDescent="0.25">
      <c r="A1" s="16" t="s">
        <v>34</v>
      </c>
      <c r="B1" s="16" t="s">
        <v>35</v>
      </c>
      <c r="C1" s="16" t="s">
        <v>36</v>
      </c>
      <c r="D1" s="16" t="s">
        <v>29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  <c r="M1" s="16" t="s">
        <v>45</v>
      </c>
      <c r="N1" s="16" t="s">
        <v>46</v>
      </c>
      <c r="O1" s="16" t="s">
        <v>47</v>
      </c>
    </row>
    <row r="2" spans="1:15" ht="15.75" customHeight="1" x14ac:dyDescent="0.25">
      <c r="A2" s="16" t="s">
        <v>30</v>
      </c>
      <c r="B2" s="16">
        <v>1131</v>
      </c>
      <c r="C2" s="16">
        <v>1880</v>
      </c>
      <c r="E2" s="16" t="s">
        <v>48</v>
      </c>
      <c r="F2" s="16" t="s">
        <v>49</v>
      </c>
      <c r="I2" s="16" t="s">
        <v>50</v>
      </c>
      <c r="L2" s="16" t="s">
        <v>51</v>
      </c>
      <c r="M2" s="16" t="s">
        <v>49</v>
      </c>
      <c r="N2" s="16">
        <v>249</v>
      </c>
      <c r="O2" s="16" t="s">
        <v>52</v>
      </c>
    </row>
    <row r="3" spans="1:15" ht="15.75" customHeight="1" x14ac:dyDescent="0.25">
      <c r="A3" s="16" t="s">
        <v>30</v>
      </c>
      <c r="B3" s="16">
        <v>1908</v>
      </c>
      <c r="C3" s="16">
        <v>3092</v>
      </c>
      <c r="E3" s="16" t="s">
        <v>48</v>
      </c>
      <c r="F3" s="16" t="s">
        <v>53</v>
      </c>
      <c r="G3" s="16" t="s">
        <v>54</v>
      </c>
      <c r="I3" s="16" t="s">
        <v>50</v>
      </c>
      <c r="L3" s="16" t="s">
        <v>55</v>
      </c>
      <c r="M3" s="16" t="s">
        <v>53</v>
      </c>
      <c r="N3" s="16">
        <v>394</v>
      </c>
      <c r="O3" s="16" t="s">
        <v>56</v>
      </c>
    </row>
    <row r="4" spans="1:15" ht="15.75" customHeight="1" x14ac:dyDescent="0.25">
      <c r="A4" s="16" t="s">
        <v>30</v>
      </c>
      <c r="B4" s="16">
        <v>3145</v>
      </c>
      <c r="C4" s="16">
        <v>3858</v>
      </c>
      <c r="E4" s="16" t="s">
        <v>57</v>
      </c>
      <c r="F4" s="16" t="s">
        <v>58</v>
      </c>
      <c r="I4" s="16" t="s">
        <v>50</v>
      </c>
      <c r="L4" s="16" t="s">
        <v>59</v>
      </c>
      <c r="M4" s="16" t="s">
        <v>58</v>
      </c>
      <c r="N4" s="16">
        <v>237</v>
      </c>
      <c r="O4" s="16" t="s">
        <v>60</v>
      </c>
    </row>
    <row r="5" spans="1:15" ht="15.75" customHeight="1" x14ac:dyDescent="0.25">
      <c r="A5" s="16" t="s">
        <v>30</v>
      </c>
      <c r="B5" s="16">
        <v>3956</v>
      </c>
      <c r="C5" s="16">
        <v>5785</v>
      </c>
      <c r="E5" s="16" t="s">
        <v>57</v>
      </c>
      <c r="F5" s="16" t="s">
        <v>61</v>
      </c>
      <c r="G5" s="16" t="s">
        <v>62</v>
      </c>
      <c r="I5" s="16" t="s">
        <v>50</v>
      </c>
      <c r="L5" s="16" t="s">
        <v>63</v>
      </c>
      <c r="M5" s="16" t="s">
        <v>61</v>
      </c>
      <c r="N5" s="16">
        <v>609</v>
      </c>
      <c r="O5" s="16" t="s">
        <v>64</v>
      </c>
    </row>
    <row r="6" spans="1:15" ht="15.75" customHeight="1" x14ac:dyDescent="0.25">
      <c r="A6" s="16" t="s">
        <v>30</v>
      </c>
      <c r="B6" s="16">
        <v>5931</v>
      </c>
      <c r="C6" s="16">
        <v>6695</v>
      </c>
      <c r="E6" s="16" t="s">
        <v>57</v>
      </c>
      <c r="F6" s="16" t="s">
        <v>65</v>
      </c>
      <c r="G6" s="16" t="s">
        <v>66</v>
      </c>
      <c r="I6" s="16" t="s">
        <v>50</v>
      </c>
      <c r="L6" s="16" t="s">
        <v>67</v>
      </c>
      <c r="M6" s="16" t="s">
        <v>65</v>
      </c>
      <c r="N6" s="16">
        <v>254</v>
      </c>
      <c r="O6" s="16" t="s">
        <v>68</v>
      </c>
    </row>
    <row r="7" spans="1:15" ht="15.75" customHeight="1" x14ac:dyDescent="0.25">
      <c r="A7" s="16" t="s">
        <v>30</v>
      </c>
      <c r="B7" s="16">
        <v>6766</v>
      </c>
      <c r="C7" s="16">
        <v>7764</v>
      </c>
      <c r="E7" s="16" t="s">
        <v>57</v>
      </c>
      <c r="F7" s="16" t="s">
        <v>69</v>
      </c>
      <c r="G7" s="16" t="s">
        <v>70</v>
      </c>
      <c r="I7" s="16" t="s">
        <v>50</v>
      </c>
      <c r="L7" s="16" t="s">
        <v>71</v>
      </c>
      <c r="M7" s="16" t="s">
        <v>69</v>
      </c>
      <c r="N7" s="16">
        <v>332</v>
      </c>
      <c r="O7" s="16" t="s">
        <v>72</v>
      </c>
    </row>
    <row r="8" spans="1:15" ht="15.75" customHeight="1" x14ac:dyDescent="0.25">
      <c r="A8" s="16" t="s">
        <v>30</v>
      </c>
      <c r="B8" s="16">
        <v>7837</v>
      </c>
      <c r="C8" s="16">
        <v>9600</v>
      </c>
      <c r="E8" s="16" t="s">
        <v>57</v>
      </c>
      <c r="F8" s="16" t="s">
        <v>73</v>
      </c>
      <c r="G8" s="16" t="s">
        <v>74</v>
      </c>
      <c r="I8" s="16" t="s">
        <v>50</v>
      </c>
      <c r="L8" s="16" t="s">
        <v>75</v>
      </c>
      <c r="M8" s="16" t="s">
        <v>73</v>
      </c>
      <c r="N8" s="16">
        <v>587</v>
      </c>
      <c r="O8" s="16" t="s">
        <v>76</v>
      </c>
    </row>
    <row r="9" spans="1:15" ht="15.75" customHeight="1" x14ac:dyDescent="0.25">
      <c r="A9" s="16" t="s">
        <v>30</v>
      </c>
      <c r="B9" s="16">
        <v>9641</v>
      </c>
      <c r="C9" s="16">
        <v>12007</v>
      </c>
      <c r="E9" s="16" t="s">
        <v>57</v>
      </c>
      <c r="F9" s="16" t="s">
        <v>77</v>
      </c>
      <c r="I9" s="16" t="s">
        <v>50</v>
      </c>
      <c r="L9" s="16" t="s">
        <v>78</v>
      </c>
      <c r="M9" s="16" t="s">
        <v>77</v>
      </c>
      <c r="N9" s="16">
        <v>788</v>
      </c>
      <c r="O9" s="16" t="s">
        <v>79</v>
      </c>
    </row>
    <row r="10" spans="1:15" ht="15.75" customHeight="1" x14ac:dyDescent="0.25">
      <c r="A10" s="16" t="s">
        <v>30</v>
      </c>
      <c r="B10" s="16">
        <v>12266</v>
      </c>
      <c r="C10" s="16">
        <v>12703</v>
      </c>
      <c r="E10" s="16" t="s">
        <v>48</v>
      </c>
      <c r="F10" s="16" t="s">
        <v>80</v>
      </c>
      <c r="G10" s="16" t="s">
        <v>81</v>
      </c>
      <c r="I10" s="16" t="s">
        <v>50</v>
      </c>
      <c r="L10" s="16" t="s">
        <v>82</v>
      </c>
      <c r="M10" s="16" t="s">
        <v>80</v>
      </c>
      <c r="N10" s="16">
        <v>145</v>
      </c>
      <c r="O10" s="16" t="s">
        <v>83</v>
      </c>
    </row>
    <row r="11" spans="1:15" ht="15.75" customHeight="1" x14ac:dyDescent="0.25">
      <c r="A11" s="16" t="s">
        <v>30</v>
      </c>
      <c r="B11" s="16">
        <v>12951</v>
      </c>
      <c r="C11" s="16">
        <v>14309</v>
      </c>
      <c r="E11" s="16" t="s">
        <v>48</v>
      </c>
      <c r="F11" s="16" t="s">
        <v>84</v>
      </c>
      <c r="G11" s="16" t="s">
        <v>85</v>
      </c>
      <c r="I11" s="16" t="s">
        <v>50</v>
      </c>
      <c r="L11" s="16" t="s">
        <v>86</v>
      </c>
      <c r="M11" s="16" t="s">
        <v>84</v>
      </c>
      <c r="N11" s="16">
        <v>452</v>
      </c>
      <c r="O11" s="16" t="s">
        <v>87</v>
      </c>
    </row>
    <row r="12" spans="1:15" ht="15.75" customHeight="1" x14ac:dyDescent="0.25">
      <c r="A12" s="16" t="s">
        <v>30</v>
      </c>
      <c r="B12" s="16">
        <v>14318</v>
      </c>
      <c r="C12" s="16">
        <v>14800</v>
      </c>
      <c r="E12" s="16" t="s">
        <v>48</v>
      </c>
      <c r="F12" s="16" t="s">
        <v>88</v>
      </c>
      <c r="G12" s="16" t="s">
        <v>89</v>
      </c>
      <c r="I12" s="16" t="s">
        <v>50</v>
      </c>
      <c r="L12" s="16" t="s">
        <v>90</v>
      </c>
      <c r="M12" s="16" t="s">
        <v>88</v>
      </c>
      <c r="N12" s="16">
        <v>160</v>
      </c>
      <c r="O12" s="16" t="s">
        <v>91</v>
      </c>
    </row>
    <row r="13" spans="1:15" ht="15.75" customHeight="1" x14ac:dyDescent="0.25">
      <c r="A13" s="16" t="s">
        <v>30</v>
      </c>
      <c r="B13" s="16">
        <v>14876</v>
      </c>
      <c r="C13" s="16">
        <v>15352</v>
      </c>
      <c r="E13" s="16" t="s">
        <v>48</v>
      </c>
      <c r="F13" s="16" t="s">
        <v>92</v>
      </c>
      <c r="G13" s="16" t="s">
        <v>93</v>
      </c>
      <c r="I13" s="16" t="s">
        <v>50</v>
      </c>
      <c r="L13" s="16" t="s">
        <v>94</v>
      </c>
      <c r="M13" s="16" t="s">
        <v>92</v>
      </c>
      <c r="N13" s="16">
        <v>158</v>
      </c>
      <c r="O13" s="16" t="s">
        <v>95</v>
      </c>
    </row>
    <row r="14" spans="1:15" ht="15.75" customHeight="1" x14ac:dyDescent="0.25">
      <c r="A14" s="16" t="s">
        <v>30</v>
      </c>
      <c r="B14" s="16">
        <v>15360</v>
      </c>
      <c r="C14" s="16">
        <v>16658</v>
      </c>
      <c r="E14" s="16" t="s">
        <v>48</v>
      </c>
      <c r="F14" s="16" t="s">
        <v>96</v>
      </c>
      <c r="I14" s="16" t="s">
        <v>50</v>
      </c>
      <c r="L14" s="16" t="s">
        <v>97</v>
      </c>
      <c r="M14" s="16" t="s">
        <v>96</v>
      </c>
      <c r="N14" s="16">
        <v>432</v>
      </c>
      <c r="O14" s="16" t="s">
        <v>98</v>
      </c>
    </row>
    <row r="15" spans="1:15" ht="15.75" customHeight="1" x14ac:dyDescent="0.25">
      <c r="A15" s="16" t="s">
        <v>30</v>
      </c>
      <c r="B15" s="16">
        <v>16659</v>
      </c>
      <c r="C15" s="16">
        <v>18548</v>
      </c>
      <c r="E15" s="16" t="s">
        <v>48</v>
      </c>
      <c r="F15" s="16" t="s">
        <v>99</v>
      </c>
      <c r="G15" s="16" t="s">
        <v>100</v>
      </c>
      <c r="I15" s="16" t="s">
        <v>50</v>
      </c>
      <c r="L15" s="16" t="s">
        <v>101</v>
      </c>
      <c r="M15" s="16" t="s">
        <v>99</v>
      </c>
      <c r="N15" s="16">
        <v>629</v>
      </c>
      <c r="O15" s="16" t="s">
        <v>102</v>
      </c>
    </row>
    <row r="16" spans="1:15" ht="15.75" customHeight="1" x14ac:dyDescent="0.25">
      <c r="A16" s="16" t="s">
        <v>30</v>
      </c>
      <c r="B16" s="16">
        <v>18556</v>
      </c>
      <c r="C16" s="16">
        <v>19491</v>
      </c>
      <c r="E16" s="16" t="s">
        <v>48</v>
      </c>
      <c r="F16" s="16" t="s">
        <v>103</v>
      </c>
      <c r="G16" s="16" t="s">
        <v>104</v>
      </c>
      <c r="I16" s="16" t="s">
        <v>50</v>
      </c>
      <c r="L16" s="16" t="s">
        <v>105</v>
      </c>
      <c r="M16" s="16" t="s">
        <v>103</v>
      </c>
      <c r="N16" s="16">
        <v>311</v>
      </c>
      <c r="O16" s="16" t="s">
        <v>106</v>
      </c>
    </row>
    <row r="17" spans="1:15" ht="15.75" customHeight="1" x14ac:dyDescent="0.25">
      <c r="A17" s="16" t="s">
        <v>30</v>
      </c>
      <c r="B17" s="16">
        <v>19497</v>
      </c>
      <c r="C17" s="16">
        <v>22442</v>
      </c>
      <c r="E17" s="16" t="s">
        <v>48</v>
      </c>
      <c r="F17" s="16" t="s">
        <v>107</v>
      </c>
      <c r="G17" s="16" t="s">
        <v>108</v>
      </c>
      <c r="I17" s="16" t="s">
        <v>50</v>
      </c>
      <c r="L17" s="16" t="s">
        <v>109</v>
      </c>
      <c r="M17" s="16" t="s">
        <v>107</v>
      </c>
      <c r="N17" s="16">
        <v>981</v>
      </c>
      <c r="O17" s="16" t="s">
        <v>110</v>
      </c>
    </row>
    <row r="18" spans="1:15" ht="15.75" customHeight="1" x14ac:dyDescent="0.25">
      <c r="A18" s="16" t="s">
        <v>30</v>
      </c>
      <c r="B18" s="16">
        <v>22527</v>
      </c>
      <c r="C18" s="16">
        <v>24203</v>
      </c>
      <c r="E18" s="16" t="s">
        <v>57</v>
      </c>
      <c r="F18" s="16" t="s">
        <v>111</v>
      </c>
      <c r="G18" s="16" t="s">
        <v>112</v>
      </c>
      <c r="I18" s="16" t="s">
        <v>50</v>
      </c>
      <c r="L18" s="16" t="s">
        <v>113</v>
      </c>
      <c r="M18" s="16" t="s">
        <v>111</v>
      </c>
      <c r="N18" s="16">
        <v>558</v>
      </c>
      <c r="O18" s="16" t="s">
        <v>114</v>
      </c>
    </row>
    <row r="19" spans="1:15" ht="15.75" customHeight="1" x14ac:dyDescent="0.25">
      <c r="A19" s="16" t="s">
        <v>30</v>
      </c>
      <c r="B19" s="16">
        <v>24315</v>
      </c>
      <c r="C19" s="16">
        <v>25205</v>
      </c>
      <c r="E19" s="16" t="s">
        <v>57</v>
      </c>
      <c r="F19" s="16" t="s">
        <v>115</v>
      </c>
      <c r="I19" s="16" t="s">
        <v>50</v>
      </c>
      <c r="L19" s="16" t="s">
        <v>116</v>
      </c>
      <c r="M19" s="16" t="s">
        <v>115</v>
      </c>
      <c r="N19" s="16">
        <v>296</v>
      </c>
      <c r="O19" s="16" t="s">
        <v>117</v>
      </c>
    </row>
    <row r="20" spans="1:15" ht="15.75" customHeight="1" x14ac:dyDescent="0.25">
      <c r="A20" s="16" t="s">
        <v>30</v>
      </c>
      <c r="B20" s="16">
        <v>25305</v>
      </c>
      <c r="C20" s="16">
        <v>25901</v>
      </c>
      <c r="E20" s="16" t="s">
        <v>48</v>
      </c>
      <c r="F20" s="16" t="s">
        <v>118</v>
      </c>
      <c r="G20" s="16" t="s">
        <v>119</v>
      </c>
      <c r="I20" s="16" t="s">
        <v>50</v>
      </c>
      <c r="L20" s="16" t="s">
        <v>120</v>
      </c>
      <c r="M20" s="16" t="s">
        <v>118</v>
      </c>
      <c r="N20" s="16">
        <v>198</v>
      </c>
      <c r="O20" s="16" t="s">
        <v>121</v>
      </c>
    </row>
    <row r="21" spans="1:15" ht="15.75" customHeight="1" x14ac:dyDescent="0.25">
      <c r="A21" s="16" t="s">
        <v>30</v>
      </c>
      <c r="B21" s="16">
        <v>25914</v>
      </c>
      <c r="C21" s="16">
        <v>26258</v>
      </c>
      <c r="E21" s="16" t="s">
        <v>57</v>
      </c>
      <c r="F21" s="16" t="s">
        <v>122</v>
      </c>
      <c r="I21" s="16" t="s">
        <v>50</v>
      </c>
      <c r="L21" s="16" t="s">
        <v>123</v>
      </c>
      <c r="M21" s="16" t="s">
        <v>122</v>
      </c>
      <c r="N21" s="16">
        <v>114</v>
      </c>
      <c r="O21" s="16" t="s">
        <v>124</v>
      </c>
    </row>
    <row r="22" spans="1:15" ht="15.75" customHeight="1" x14ac:dyDescent="0.25">
      <c r="A22" s="16" t="s">
        <v>30</v>
      </c>
      <c r="B22" s="16">
        <v>26251</v>
      </c>
      <c r="C22" s="16">
        <v>26691</v>
      </c>
      <c r="E22" s="16" t="s">
        <v>57</v>
      </c>
      <c r="F22" s="16" t="s">
        <v>125</v>
      </c>
      <c r="I22" s="16" t="s">
        <v>50</v>
      </c>
      <c r="L22" s="16" t="s">
        <v>126</v>
      </c>
      <c r="M22" s="16" t="s">
        <v>125</v>
      </c>
      <c r="N22" s="16">
        <v>146</v>
      </c>
      <c r="O22" s="16" t="s">
        <v>127</v>
      </c>
    </row>
    <row r="23" spans="1:15" ht="15.75" customHeight="1" x14ac:dyDescent="0.25">
      <c r="A23" s="16" t="s">
        <v>30</v>
      </c>
      <c r="B23" s="16">
        <v>26972</v>
      </c>
      <c r="C23" s="16">
        <v>29095</v>
      </c>
      <c r="E23" s="16" t="s">
        <v>48</v>
      </c>
      <c r="F23" s="16" t="s">
        <v>128</v>
      </c>
      <c r="G23" s="16" t="s">
        <v>129</v>
      </c>
      <c r="I23" s="16" t="s">
        <v>50</v>
      </c>
      <c r="L23" s="16" t="s">
        <v>130</v>
      </c>
      <c r="M23" s="16" t="s">
        <v>128</v>
      </c>
      <c r="N23" s="16">
        <v>707</v>
      </c>
      <c r="O23" s="16" t="s">
        <v>131</v>
      </c>
    </row>
    <row r="24" spans="1:15" ht="15.75" customHeight="1" x14ac:dyDescent="0.25">
      <c r="A24" s="16" t="s">
        <v>30</v>
      </c>
      <c r="B24" s="16">
        <v>29214</v>
      </c>
      <c r="C24" s="16">
        <v>29831</v>
      </c>
      <c r="E24" s="16" t="s">
        <v>48</v>
      </c>
      <c r="F24" s="16" t="s">
        <v>132</v>
      </c>
      <c r="I24" s="16" t="s">
        <v>133</v>
      </c>
      <c r="O24" s="16" t="s">
        <v>134</v>
      </c>
    </row>
    <row r="25" spans="1:15" ht="15.75" customHeight="1" x14ac:dyDescent="0.25">
      <c r="A25" s="16" t="s">
        <v>30</v>
      </c>
      <c r="B25" s="16">
        <v>30197</v>
      </c>
      <c r="C25" s="16">
        <v>30460</v>
      </c>
      <c r="E25" s="16" t="s">
        <v>48</v>
      </c>
      <c r="F25" s="16" t="s">
        <v>135</v>
      </c>
      <c r="I25" s="16" t="s">
        <v>50</v>
      </c>
      <c r="L25" s="16" t="s">
        <v>136</v>
      </c>
      <c r="M25" s="16" t="s">
        <v>135</v>
      </c>
      <c r="N25" s="16">
        <v>87</v>
      </c>
      <c r="O25" s="16" t="s">
        <v>137</v>
      </c>
    </row>
    <row r="26" spans="1:15" ht="15.75" customHeight="1" x14ac:dyDescent="0.25">
      <c r="A26" s="16" t="s">
        <v>30</v>
      </c>
      <c r="B26" s="16">
        <v>30499</v>
      </c>
      <c r="C26" s="16">
        <v>31344</v>
      </c>
      <c r="E26" s="16" t="s">
        <v>57</v>
      </c>
      <c r="F26" s="16" t="s">
        <v>135</v>
      </c>
      <c r="I26" s="16" t="s">
        <v>50</v>
      </c>
      <c r="L26" s="16" t="s">
        <v>138</v>
      </c>
      <c r="M26" s="16" t="s">
        <v>135</v>
      </c>
      <c r="N26" s="16">
        <v>281</v>
      </c>
      <c r="O26" s="16" t="s">
        <v>139</v>
      </c>
    </row>
    <row r="27" spans="1:15" ht="15.75" customHeight="1" x14ac:dyDescent="0.25">
      <c r="A27" s="16" t="s">
        <v>30</v>
      </c>
      <c r="B27" s="16">
        <v>31406</v>
      </c>
      <c r="C27" s="16">
        <v>31525</v>
      </c>
      <c r="E27" s="16" t="s">
        <v>57</v>
      </c>
      <c r="F27" s="16" t="s">
        <v>140</v>
      </c>
      <c r="I27" s="16" t="s">
        <v>50</v>
      </c>
      <c r="L27" s="16" t="s">
        <v>141</v>
      </c>
      <c r="M27" s="16" t="s">
        <v>140</v>
      </c>
      <c r="N27" s="16">
        <v>39</v>
      </c>
      <c r="O27" s="16" t="s">
        <v>142</v>
      </c>
    </row>
    <row r="28" spans="1:15" ht="15.75" customHeight="1" x14ac:dyDescent="0.25">
      <c r="A28" s="16" t="s">
        <v>30</v>
      </c>
      <c r="B28" s="16">
        <v>31700</v>
      </c>
      <c r="C28" s="16">
        <v>32200</v>
      </c>
      <c r="E28" s="16" t="s">
        <v>57</v>
      </c>
      <c r="F28" s="16" t="s">
        <v>143</v>
      </c>
      <c r="I28" s="16" t="s">
        <v>50</v>
      </c>
      <c r="L28" s="16" t="s">
        <v>144</v>
      </c>
      <c r="M28" s="16" t="s">
        <v>143</v>
      </c>
      <c r="N28" s="16">
        <v>166</v>
      </c>
      <c r="O28" s="16" t="s">
        <v>145</v>
      </c>
    </row>
    <row r="29" spans="1:15" ht="15.75" customHeight="1" x14ac:dyDescent="0.25">
      <c r="A29" s="16" t="s">
        <v>30</v>
      </c>
      <c r="B29" s="16">
        <v>32197</v>
      </c>
      <c r="C29" s="16">
        <v>32799</v>
      </c>
      <c r="E29" s="16" t="s">
        <v>57</v>
      </c>
      <c r="F29" s="16" t="s">
        <v>135</v>
      </c>
      <c r="I29" s="16" t="s">
        <v>50</v>
      </c>
      <c r="L29" s="16" t="s">
        <v>146</v>
      </c>
      <c r="M29" s="16" t="s">
        <v>135</v>
      </c>
      <c r="N29" s="16">
        <v>200</v>
      </c>
      <c r="O29" s="16" t="s">
        <v>147</v>
      </c>
    </row>
    <row r="30" spans="1:15" ht="15.75" customHeight="1" x14ac:dyDescent="0.25">
      <c r="A30" s="16" t="s">
        <v>30</v>
      </c>
      <c r="B30" s="16">
        <v>32811</v>
      </c>
      <c r="C30" s="16">
        <v>34922</v>
      </c>
      <c r="E30" s="16" t="s">
        <v>57</v>
      </c>
      <c r="F30" s="16" t="s">
        <v>148</v>
      </c>
      <c r="I30" s="16" t="s">
        <v>50</v>
      </c>
      <c r="L30" s="16" t="s">
        <v>149</v>
      </c>
      <c r="M30" s="16" t="s">
        <v>148</v>
      </c>
      <c r="N30" s="16">
        <v>703</v>
      </c>
      <c r="O30" s="16" t="s">
        <v>150</v>
      </c>
    </row>
    <row r="31" spans="1:15" ht="15.75" customHeight="1" x14ac:dyDescent="0.25">
      <c r="A31" s="16" t="s">
        <v>30</v>
      </c>
      <c r="B31" s="16">
        <v>34926</v>
      </c>
      <c r="C31" s="16">
        <v>35522</v>
      </c>
      <c r="E31" s="16" t="s">
        <v>57</v>
      </c>
      <c r="F31" s="16" t="s">
        <v>151</v>
      </c>
      <c r="I31" s="16" t="s">
        <v>50</v>
      </c>
      <c r="L31" s="16" t="s">
        <v>152</v>
      </c>
      <c r="M31" s="16" t="s">
        <v>151</v>
      </c>
      <c r="N31" s="16">
        <v>198</v>
      </c>
      <c r="O31" s="16" t="s">
        <v>153</v>
      </c>
    </row>
    <row r="32" spans="1:15" ht="15.75" customHeight="1" x14ac:dyDescent="0.25">
      <c r="A32" s="16" t="s">
        <v>30</v>
      </c>
      <c r="B32" s="16">
        <v>35519</v>
      </c>
      <c r="C32" s="16">
        <v>36583</v>
      </c>
      <c r="E32" s="16" t="s">
        <v>57</v>
      </c>
      <c r="F32" s="16" t="s">
        <v>154</v>
      </c>
      <c r="I32" s="16" t="s">
        <v>50</v>
      </c>
      <c r="L32" s="16" t="s">
        <v>155</v>
      </c>
      <c r="M32" s="16" t="s">
        <v>154</v>
      </c>
      <c r="N32" s="16">
        <v>354</v>
      </c>
      <c r="O32" s="16" t="s">
        <v>156</v>
      </c>
    </row>
    <row r="33" spans="1:15" ht="15.75" customHeight="1" x14ac:dyDescent="0.25">
      <c r="A33" s="16" t="s">
        <v>30</v>
      </c>
      <c r="B33" s="16">
        <v>36598</v>
      </c>
      <c r="C33" s="16">
        <v>36948</v>
      </c>
      <c r="E33" s="16" t="s">
        <v>57</v>
      </c>
      <c r="F33" s="16" t="s">
        <v>157</v>
      </c>
      <c r="I33" s="16" t="s">
        <v>50</v>
      </c>
      <c r="L33" s="16" t="s">
        <v>158</v>
      </c>
      <c r="M33" s="16" t="s">
        <v>157</v>
      </c>
      <c r="N33" s="16">
        <v>116</v>
      </c>
      <c r="O33" s="16" t="s">
        <v>159</v>
      </c>
    </row>
    <row r="34" spans="1:15" ht="15.75" customHeight="1" x14ac:dyDescent="0.25">
      <c r="A34" s="16" t="s">
        <v>30</v>
      </c>
      <c r="B34" s="16">
        <v>37018</v>
      </c>
      <c r="C34" s="16">
        <v>37653</v>
      </c>
      <c r="E34" s="16" t="s">
        <v>57</v>
      </c>
      <c r="F34" s="16" t="s">
        <v>160</v>
      </c>
      <c r="I34" s="16" t="s">
        <v>50</v>
      </c>
      <c r="L34" s="16" t="s">
        <v>161</v>
      </c>
      <c r="M34" s="16" t="s">
        <v>160</v>
      </c>
      <c r="N34" s="16">
        <v>211</v>
      </c>
      <c r="O34" s="16" t="s">
        <v>162</v>
      </c>
    </row>
    <row r="35" spans="1:15" ht="15.75" customHeight="1" x14ac:dyDescent="0.25">
      <c r="A35" s="16" t="s">
        <v>30</v>
      </c>
      <c r="B35" s="16">
        <v>37663</v>
      </c>
      <c r="C35" s="16">
        <v>38787</v>
      </c>
      <c r="E35" s="16" t="s">
        <v>57</v>
      </c>
      <c r="F35" s="16" t="s">
        <v>163</v>
      </c>
      <c r="I35" s="16" t="s">
        <v>50</v>
      </c>
      <c r="L35" s="16" t="s">
        <v>164</v>
      </c>
      <c r="M35" s="16" t="s">
        <v>163</v>
      </c>
      <c r="N35" s="16">
        <v>374</v>
      </c>
      <c r="O35" s="16" t="s">
        <v>165</v>
      </c>
    </row>
    <row r="36" spans="1:15" ht="15.75" customHeight="1" x14ac:dyDescent="0.25">
      <c r="A36" s="16" t="s">
        <v>30</v>
      </c>
      <c r="B36" s="16">
        <v>38777</v>
      </c>
      <c r="C36" s="16">
        <v>40111</v>
      </c>
      <c r="E36" s="16" t="s">
        <v>57</v>
      </c>
      <c r="F36" s="16" t="s">
        <v>166</v>
      </c>
      <c r="I36" s="16" t="s">
        <v>50</v>
      </c>
      <c r="L36" s="16" t="s">
        <v>167</v>
      </c>
      <c r="M36" s="16" t="s">
        <v>166</v>
      </c>
      <c r="N36" s="16">
        <v>444</v>
      </c>
      <c r="O36" s="16" t="s">
        <v>168</v>
      </c>
    </row>
    <row r="37" spans="1:15" ht="15.75" customHeight="1" x14ac:dyDescent="0.25">
      <c r="A37" s="16" t="s">
        <v>30</v>
      </c>
      <c r="B37" s="16">
        <v>40114</v>
      </c>
      <c r="C37" s="16">
        <v>42399</v>
      </c>
      <c r="E37" s="16" t="s">
        <v>57</v>
      </c>
      <c r="F37" s="16" t="s">
        <v>169</v>
      </c>
      <c r="I37" s="16" t="s">
        <v>50</v>
      </c>
      <c r="L37" s="16" t="s">
        <v>170</v>
      </c>
      <c r="M37" s="16" t="s">
        <v>169</v>
      </c>
      <c r="N37" s="16">
        <v>761</v>
      </c>
      <c r="O37" s="16" t="s">
        <v>171</v>
      </c>
    </row>
    <row r="38" spans="1:15" ht="15.75" customHeight="1" x14ac:dyDescent="0.25">
      <c r="A38" s="16" t="s">
        <v>30</v>
      </c>
      <c r="B38" s="16">
        <v>42446</v>
      </c>
      <c r="C38" s="16">
        <v>42610</v>
      </c>
      <c r="E38" s="16" t="s">
        <v>57</v>
      </c>
      <c r="F38" s="16" t="s">
        <v>135</v>
      </c>
      <c r="I38" s="16" t="s">
        <v>50</v>
      </c>
      <c r="L38" s="16" t="s">
        <v>172</v>
      </c>
      <c r="M38" s="16" t="s">
        <v>135</v>
      </c>
      <c r="N38" s="16">
        <v>54</v>
      </c>
      <c r="O38" s="16" t="s">
        <v>173</v>
      </c>
    </row>
    <row r="39" spans="1:15" ht="15.75" customHeight="1" x14ac:dyDescent="0.25">
      <c r="A39" s="16" t="s">
        <v>30</v>
      </c>
      <c r="B39" s="16">
        <v>42667</v>
      </c>
      <c r="C39" s="16">
        <v>43008</v>
      </c>
      <c r="E39" s="16" t="s">
        <v>57</v>
      </c>
      <c r="F39" s="16" t="s">
        <v>135</v>
      </c>
      <c r="I39" s="16" t="s">
        <v>50</v>
      </c>
      <c r="L39" s="16" t="s">
        <v>174</v>
      </c>
      <c r="M39" s="16" t="s">
        <v>135</v>
      </c>
      <c r="N39" s="16">
        <v>113</v>
      </c>
      <c r="O39" s="16" t="s">
        <v>175</v>
      </c>
    </row>
    <row r="40" spans="1:15" ht="15.75" customHeight="1" x14ac:dyDescent="0.25">
      <c r="A40" s="16" t="s">
        <v>30</v>
      </c>
      <c r="B40" s="16">
        <v>43008</v>
      </c>
      <c r="C40" s="16">
        <v>43379</v>
      </c>
      <c r="E40" s="16" t="s">
        <v>57</v>
      </c>
      <c r="F40" s="16" t="s">
        <v>163</v>
      </c>
      <c r="I40" s="16" t="s">
        <v>50</v>
      </c>
      <c r="L40" s="16" t="s">
        <v>176</v>
      </c>
      <c r="M40" s="16" t="s">
        <v>163</v>
      </c>
      <c r="N40" s="16">
        <v>123</v>
      </c>
      <c r="O40" s="16" t="s">
        <v>177</v>
      </c>
    </row>
    <row r="41" spans="1:15" ht="15.75" customHeight="1" x14ac:dyDescent="0.25">
      <c r="A41" s="16" t="s">
        <v>30</v>
      </c>
      <c r="B41" s="16">
        <v>43389</v>
      </c>
      <c r="C41" s="16">
        <v>44804</v>
      </c>
      <c r="E41" s="16" t="s">
        <v>57</v>
      </c>
      <c r="F41" s="16" t="s">
        <v>178</v>
      </c>
      <c r="I41" s="16" t="s">
        <v>50</v>
      </c>
      <c r="L41" s="16" t="s">
        <v>179</v>
      </c>
      <c r="M41" s="16" t="s">
        <v>178</v>
      </c>
      <c r="N41" s="16">
        <v>471</v>
      </c>
      <c r="O41" s="16" t="s">
        <v>180</v>
      </c>
    </row>
    <row r="42" spans="1:15" ht="15.75" customHeight="1" x14ac:dyDescent="0.25">
      <c r="A42" s="16" t="s">
        <v>30</v>
      </c>
      <c r="B42" s="16">
        <v>44797</v>
      </c>
      <c r="C42" s="16">
        <v>44979</v>
      </c>
      <c r="E42" s="16" t="s">
        <v>57</v>
      </c>
      <c r="F42" s="16" t="s">
        <v>181</v>
      </c>
      <c r="I42" s="16" t="s">
        <v>50</v>
      </c>
      <c r="L42" s="16" t="s">
        <v>182</v>
      </c>
      <c r="M42" s="16" t="s">
        <v>181</v>
      </c>
      <c r="N42" s="16">
        <v>60</v>
      </c>
      <c r="O42" s="16" t="s">
        <v>183</v>
      </c>
    </row>
    <row r="43" spans="1:15" ht="15.75" customHeight="1" x14ac:dyDescent="0.25">
      <c r="A43" s="16" t="s">
        <v>30</v>
      </c>
      <c r="B43" s="16">
        <v>44951</v>
      </c>
      <c r="C43" s="16">
        <v>45613</v>
      </c>
      <c r="E43" s="16" t="s">
        <v>57</v>
      </c>
      <c r="F43" s="16" t="s">
        <v>184</v>
      </c>
      <c r="I43" s="16" t="s">
        <v>50</v>
      </c>
      <c r="L43" s="16" t="s">
        <v>185</v>
      </c>
      <c r="M43" s="16" t="s">
        <v>184</v>
      </c>
      <c r="N43" s="16">
        <v>220</v>
      </c>
      <c r="O43" s="16" t="s">
        <v>186</v>
      </c>
    </row>
    <row r="44" spans="1:15" ht="15.75" customHeight="1" x14ac:dyDescent="0.25">
      <c r="A44" s="16" t="s">
        <v>30</v>
      </c>
      <c r="B44" s="16">
        <v>45597</v>
      </c>
      <c r="C44" s="16">
        <v>46028</v>
      </c>
      <c r="E44" s="16" t="s">
        <v>57</v>
      </c>
      <c r="F44" s="16" t="s">
        <v>187</v>
      </c>
      <c r="I44" s="16" t="s">
        <v>50</v>
      </c>
      <c r="L44" s="16" t="s">
        <v>188</v>
      </c>
      <c r="M44" s="16" t="s">
        <v>187</v>
      </c>
      <c r="N44" s="16">
        <v>143</v>
      </c>
      <c r="O44" s="16" t="s">
        <v>189</v>
      </c>
    </row>
    <row r="45" spans="1:15" ht="15.75" customHeight="1" x14ac:dyDescent="0.25">
      <c r="A45" s="16" t="s">
        <v>30</v>
      </c>
      <c r="B45" s="16">
        <v>46038</v>
      </c>
      <c r="C45" s="16">
        <v>46343</v>
      </c>
      <c r="E45" s="16" t="s">
        <v>57</v>
      </c>
      <c r="F45" s="16" t="s">
        <v>135</v>
      </c>
      <c r="I45" s="16" t="s">
        <v>50</v>
      </c>
      <c r="L45" s="16" t="s">
        <v>190</v>
      </c>
      <c r="M45" s="16" t="s">
        <v>135</v>
      </c>
      <c r="N45" s="16">
        <v>101</v>
      </c>
      <c r="O45" s="16" t="s">
        <v>191</v>
      </c>
    </row>
    <row r="46" spans="1:15" ht="15.75" customHeight="1" x14ac:dyDescent="0.25">
      <c r="A46" s="16" t="s">
        <v>30</v>
      </c>
      <c r="B46" s="16">
        <v>46407</v>
      </c>
      <c r="C46" s="16">
        <v>47330</v>
      </c>
      <c r="E46" s="16" t="s">
        <v>57</v>
      </c>
      <c r="F46" s="16" t="s">
        <v>192</v>
      </c>
      <c r="I46" s="16" t="s">
        <v>50</v>
      </c>
      <c r="L46" s="16" t="s">
        <v>193</v>
      </c>
      <c r="M46" s="16" t="s">
        <v>192</v>
      </c>
      <c r="N46" s="16">
        <v>307</v>
      </c>
      <c r="O46" s="16" t="s">
        <v>194</v>
      </c>
    </row>
    <row r="47" spans="1:15" ht="15.75" customHeight="1" x14ac:dyDescent="0.25">
      <c r="A47" s="16" t="s">
        <v>30</v>
      </c>
      <c r="B47" s="16">
        <v>47330</v>
      </c>
      <c r="C47" s="16">
        <v>48367</v>
      </c>
      <c r="E47" s="16" t="s">
        <v>57</v>
      </c>
      <c r="F47" s="16" t="s">
        <v>195</v>
      </c>
      <c r="I47" s="16" t="s">
        <v>50</v>
      </c>
      <c r="L47" s="16" t="s">
        <v>196</v>
      </c>
      <c r="M47" s="16" t="s">
        <v>195</v>
      </c>
      <c r="N47" s="16">
        <v>345</v>
      </c>
      <c r="O47" s="16" t="s">
        <v>197</v>
      </c>
    </row>
    <row r="48" spans="1:15" ht="15.75" customHeight="1" x14ac:dyDescent="0.25">
      <c r="A48" s="16" t="s">
        <v>30</v>
      </c>
      <c r="B48" s="16">
        <v>48649</v>
      </c>
      <c r="C48" s="16">
        <v>49065</v>
      </c>
      <c r="E48" s="16" t="s">
        <v>57</v>
      </c>
      <c r="F48" s="16" t="s">
        <v>198</v>
      </c>
      <c r="I48" s="16" t="s">
        <v>50</v>
      </c>
      <c r="L48" s="16" t="s">
        <v>199</v>
      </c>
      <c r="M48" s="16" t="s">
        <v>198</v>
      </c>
      <c r="N48" s="16">
        <v>138</v>
      </c>
      <c r="O48" s="16" t="s">
        <v>200</v>
      </c>
    </row>
    <row r="49" spans="1:15" ht="15.75" customHeight="1" x14ac:dyDescent="0.25">
      <c r="A49" s="16" t="s">
        <v>30</v>
      </c>
      <c r="B49" s="16">
        <v>49201</v>
      </c>
      <c r="C49" s="16">
        <v>50502</v>
      </c>
      <c r="E49" s="16" t="s">
        <v>57</v>
      </c>
      <c r="F49" s="16" t="s">
        <v>201</v>
      </c>
      <c r="I49" s="16" t="s">
        <v>50</v>
      </c>
      <c r="L49" s="16" t="s">
        <v>202</v>
      </c>
      <c r="M49" s="16" t="s">
        <v>201</v>
      </c>
      <c r="N49" s="16">
        <v>433</v>
      </c>
      <c r="O49" s="16" t="s">
        <v>203</v>
      </c>
    </row>
    <row r="50" spans="1:15" ht="15.75" customHeight="1" x14ac:dyDescent="0.25">
      <c r="A50" s="16" t="s">
        <v>30</v>
      </c>
      <c r="B50" s="16">
        <v>50486</v>
      </c>
      <c r="C50" s="16">
        <v>52108</v>
      </c>
      <c r="E50" s="16" t="s">
        <v>57</v>
      </c>
      <c r="F50" s="16" t="s">
        <v>204</v>
      </c>
      <c r="I50" s="16" t="s">
        <v>50</v>
      </c>
      <c r="L50" s="16" t="s">
        <v>205</v>
      </c>
      <c r="M50" s="16" t="s">
        <v>204</v>
      </c>
      <c r="N50" s="16">
        <v>540</v>
      </c>
      <c r="O50" s="16" t="s">
        <v>206</v>
      </c>
    </row>
    <row r="51" spans="1:15" ht="15.75" customHeight="1" x14ac:dyDescent="0.25">
      <c r="A51" s="16" t="s">
        <v>30</v>
      </c>
      <c r="B51" s="16">
        <v>52120</v>
      </c>
      <c r="C51" s="16">
        <v>53766</v>
      </c>
      <c r="E51" s="16" t="s">
        <v>57</v>
      </c>
      <c r="F51" s="16" t="s">
        <v>207</v>
      </c>
      <c r="G51" s="16" t="s">
        <v>208</v>
      </c>
      <c r="I51" s="16" t="s">
        <v>50</v>
      </c>
      <c r="L51" s="16" t="s">
        <v>209</v>
      </c>
      <c r="M51" s="16" t="s">
        <v>207</v>
      </c>
      <c r="N51" s="16">
        <v>548</v>
      </c>
      <c r="O51" s="16" t="s">
        <v>210</v>
      </c>
    </row>
    <row r="52" spans="1:15" ht="15.75" customHeight="1" x14ac:dyDescent="0.25">
      <c r="A52" s="16" t="s">
        <v>30</v>
      </c>
      <c r="B52" s="16">
        <v>53902</v>
      </c>
      <c r="C52" s="16">
        <v>54405</v>
      </c>
      <c r="E52" s="16" t="s">
        <v>57</v>
      </c>
      <c r="F52" s="16" t="s">
        <v>211</v>
      </c>
      <c r="I52" s="16" t="s">
        <v>50</v>
      </c>
      <c r="L52" s="16" t="s">
        <v>212</v>
      </c>
      <c r="M52" s="16" t="s">
        <v>211</v>
      </c>
      <c r="N52" s="16">
        <v>167</v>
      </c>
      <c r="O52" s="16" t="s">
        <v>213</v>
      </c>
    </row>
    <row r="53" spans="1:15" ht="15.75" customHeight="1" x14ac:dyDescent="0.25">
      <c r="A53" s="16" t="s">
        <v>30</v>
      </c>
      <c r="B53" s="16">
        <v>54407</v>
      </c>
      <c r="C53" s="16">
        <v>54673</v>
      </c>
      <c r="E53" s="16" t="s">
        <v>57</v>
      </c>
      <c r="F53" s="16" t="s">
        <v>135</v>
      </c>
      <c r="I53" s="16" t="s">
        <v>50</v>
      </c>
      <c r="L53" s="16" t="s">
        <v>214</v>
      </c>
      <c r="M53" s="16" t="s">
        <v>135</v>
      </c>
      <c r="N53" s="16">
        <v>88</v>
      </c>
      <c r="O53" s="16" t="s">
        <v>215</v>
      </c>
    </row>
    <row r="54" spans="1:15" ht="15.75" customHeight="1" x14ac:dyDescent="0.25">
      <c r="A54" s="16" t="s">
        <v>30</v>
      </c>
      <c r="B54" s="16">
        <v>54673</v>
      </c>
      <c r="C54" s="16">
        <v>54930</v>
      </c>
      <c r="E54" s="16" t="s">
        <v>57</v>
      </c>
      <c r="F54" s="16" t="s">
        <v>135</v>
      </c>
      <c r="I54" s="16" t="s">
        <v>50</v>
      </c>
      <c r="L54" s="16" t="s">
        <v>216</v>
      </c>
      <c r="M54" s="16" t="s">
        <v>135</v>
      </c>
      <c r="N54" s="16">
        <v>85</v>
      </c>
      <c r="O54" s="16" t="s">
        <v>217</v>
      </c>
    </row>
    <row r="55" spans="1:15" ht="15.75" customHeight="1" x14ac:dyDescent="0.25">
      <c r="A55" s="16" t="s">
        <v>30</v>
      </c>
      <c r="B55" s="16">
        <v>55054</v>
      </c>
      <c r="C55" s="16">
        <v>55311</v>
      </c>
      <c r="E55" s="16" t="s">
        <v>57</v>
      </c>
      <c r="F55" s="16" t="s">
        <v>218</v>
      </c>
      <c r="I55" s="16" t="s">
        <v>50</v>
      </c>
      <c r="L55" s="16" t="s">
        <v>219</v>
      </c>
      <c r="M55" s="16" t="s">
        <v>218</v>
      </c>
      <c r="N55" s="16">
        <v>85</v>
      </c>
      <c r="O55" s="16" t="s">
        <v>220</v>
      </c>
    </row>
    <row r="56" spans="1:15" ht="15.75" customHeight="1" x14ac:dyDescent="0.25">
      <c r="A56" s="16" t="s">
        <v>30</v>
      </c>
      <c r="B56" s="16">
        <v>55311</v>
      </c>
      <c r="C56" s="16">
        <v>55601</v>
      </c>
      <c r="E56" s="16" t="s">
        <v>57</v>
      </c>
      <c r="F56" s="16" t="s">
        <v>221</v>
      </c>
      <c r="I56" s="16" t="s">
        <v>50</v>
      </c>
      <c r="L56" s="16" t="s">
        <v>222</v>
      </c>
      <c r="M56" s="16" t="s">
        <v>221</v>
      </c>
      <c r="N56" s="16">
        <v>96</v>
      </c>
      <c r="O56" s="16" t="s">
        <v>223</v>
      </c>
    </row>
    <row r="57" spans="1:15" ht="15.75" customHeight="1" x14ac:dyDescent="0.25">
      <c r="A57" s="16" t="s">
        <v>30</v>
      </c>
      <c r="B57" s="16">
        <v>55755</v>
      </c>
      <c r="C57" s="16">
        <v>56261</v>
      </c>
      <c r="E57" s="16" t="s">
        <v>57</v>
      </c>
      <c r="F57" s="16" t="s">
        <v>224</v>
      </c>
      <c r="I57" s="16" t="s">
        <v>50</v>
      </c>
      <c r="L57" s="16" t="s">
        <v>225</v>
      </c>
      <c r="M57" s="16" t="s">
        <v>224</v>
      </c>
      <c r="N57" s="16">
        <v>168</v>
      </c>
      <c r="O57" s="16" t="s">
        <v>226</v>
      </c>
    </row>
    <row r="58" spans="1:15" ht="15.75" customHeight="1" x14ac:dyDescent="0.25">
      <c r="A58" s="16" t="s">
        <v>30</v>
      </c>
      <c r="B58" s="16">
        <v>56341</v>
      </c>
      <c r="C58" s="16">
        <v>56769</v>
      </c>
      <c r="E58" s="16" t="s">
        <v>57</v>
      </c>
      <c r="F58" s="16" t="s">
        <v>227</v>
      </c>
      <c r="I58" s="16" t="s">
        <v>50</v>
      </c>
      <c r="L58" s="16" t="s">
        <v>228</v>
      </c>
      <c r="M58" s="16" t="s">
        <v>227</v>
      </c>
      <c r="N58" s="16">
        <v>142</v>
      </c>
      <c r="O58" s="16" t="s">
        <v>229</v>
      </c>
    </row>
    <row r="59" spans="1:15" ht="15.75" customHeight="1" x14ac:dyDescent="0.25">
      <c r="A59" s="16" t="s">
        <v>30</v>
      </c>
      <c r="B59" s="16">
        <v>56855</v>
      </c>
      <c r="C59" s="16">
        <v>57775</v>
      </c>
      <c r="E59" s="16" t="s">
        <v>57</v>
      </c>
      <c r="F59" s="16" t="s">
        <v>135</v>
      </c>
      <c r="I59" s="16" t="s">
        <v>50</v>
      </c>
      <c r="L59" s="16" t="s">
        <v>230</v>
      </c>
      <c r="M59" s="16" t="s">
        <v>135</v>
      </c>
      <c r="N59" s="16">
        <v>306</v>
      </c>
      <c r="O59" s="16" t="s">
        <v>231</v>
      </c>
    </row>
    <row r="60" spans="1:15" ht="15.75" customHeight="1" x14ac:dyDescent="0.25">
      <c r="A60" s="16" t="s">
        <v>30</v>
      </c>
      <c r="B60" s="16">
        <v>57808</v>
      </c>
      <c r="C60" s="16">
        <v>58209</v>
      </c>
      <c r="E60" s="16" t="s">
        <v>57</v>
      </c>
      <c r="F60" s="16" t="s">
        <v>232</v>
      </c>
      <c r="I60" s="16" t="s">
        <v>50</v>
      </c>
      <c r="L60" s="16" t="s">
        <v>233</v>
      </c>
      <c r="M60" s="16" t="s">
        <v>232</v>
      </c>
      <c r="N60" s="16">
        <v>133</v>
      </c>
      <c r="O60" s="16" t="s">
        <v>234</v>
      </c>
    </row>
    <row r="61" spans="1:15" ht="15.75" customHeight="1" x14ac:dyDescent="0.25">
      <c r="A61" s="16" t="s">
        <v>30</v>
      </c>
      <c r="B61" s="16">
        <v>58199</v>
      </c>
      <c r="C61" s="16">
        <v>58747</v>
      </c>
      <c r="E61" s="16" t="s">
        <v>57</v>
      </c>
      <c r="F61" s="16" t="s">
        <v>135</v>
      </c>
      <c r="I61" s="16" t="s">
        <v>50</v>
      </c>
      <c r="L61" s="16" t="s">
        <v>235</v>
      </c>
      <c r="M61" s="16" t="s">
        <v>135</v>
      </c>
      <c r="N61" s="16">
        <v>182</v>
      </c>
      <c r="O61" s="16" t="s">
        <v>236</v>
      </c>
    </row>
    <row r="62" spans="1:15" ht="15.75" customHeight="1" x14ac:dyDescent="0.25">
      <c r="A62" s="16" t="s">
        <v>30</v>
      </c>
      <c r="B62" s="16">
        <v>58744</v>
      </c>
      <c r="C62" s="16">
        <v>58983</v>
      </c>
      <c r="E62" s="16" t="s">
        <v>57</v>
      </c>
      <c r="F62" s="16" t="s">
        <v>135</v>
      </c>
      <c r="I62" s="16" t="s">
        <v>50</v>
      </c>
      <c r="L62" s="16" t="s">
        <v>237</v>
      </c>
      <c r="M62" s="16" t="s">
        <v>135</v>
      </c>
      <c r="N62" s="16">
        <v>79</v>
      </c>
      <c r="O62" s="16" t="s">
        <v>238</v>
      </c>
    </row>
    <row r="63" spans="1:15" ht="15.75" customHeight="1" x14ac:dyDescent="0.25">
      <c r="A63" s="16" t="s">
        <v>30</v>
      </c>
      <c r="B63" s="16">
        <v>59093</v>
      </c>
      <c r="C63" s="16">
        <v>59341</v>
      </c>
      <c r="E63" s="16" t="s">
        <v>57</v>
      </c>
      <c r="F63" s="16" t="s">
        <v>135</v>
      </c>
      <c r="I63" s="16" t="s">
        <v>50</v>
      </c>
      <c r="L63" s="16" t="s">
        <v>239</v>
      </c>
      <c r="M63" s="16" t="s">
        <v>135</v>
      </c>
      <c r="N63" s="16">
        <v>82</v>
      </c>
      <c r="O63" s="16" t="s">
        <v>240</v>
      </c>
    </row>
    <row r="64" spans="1:15" ht="15.75" customHeight="1" x14ac:dyDescent="0.25">
      <c r="A64" s="16" t="s">
        <v>30</v>
      </c>
      <c r="B64" s="16">
        <v>59345</v>
      </c>
      <c r="C64" s="16">
        <v>59905</v>
      </c>
      <c r="E64" s="16" t="s">
        <v>57</v>
      </c>
      <c r="F64" s="16" t="s">
        <v>241</v>
      </c>
      <c r="I64" s="16" t="s">
        <v>50</v>
      </c>
      <c r="L64" s="16" t="s">
        <v>242</v>
      </c>
      <c r="M64" s="16" t="s">
        <v>241</v>
      </c>
      <c r="N64" s="16">
        <v>186</v>
      </c>
      <c r="O64" s="16" t="s">
        <v>243</v>
      </c>
    </row>
    <row r="65" spans="1:15" ht="15.75" customHeight="1" x14ac:dyDescent="0.25">
      <c r="A65" s="16" t="s">
        <v>30</v>
      </c>
      <c r="B65" s="16">
        <v>60089</v>
      </c>
      <c r="C65" s="16">
        <v>60706</v>
      </c>
      <c r="E65" s="16" t="s">
        <v>57</v>
      </c>
      <c r="F65" s="16" t="s">
        <v>244</v>
      </c>
      <c r="I65" s="16" t="s">
        <v>50</v>
      </c>
      <c r="L65" s="16" t="s">
        <v>245</v>
      </c>
      <c r="M65" s="16" t="s">
        <v>244</v>
      </c>
      <c r="N65" s="16">
        <v>205</v>
      </c>
      <c r="O65" s="16" t="s">
        <v>246</v>
      </c>
    </row>
    <row r="66" spans="1:15" ht="15.75" customHeight="1" x14ac:dyDescent="0.25">
      <c r="A66" s="16" t="s">
        <v>30</v>
      </c>
      <c r="B66" s="16">
        <v>60707</v>
      </c>
      <c r="C66" s="16">
        <v>60898</v>
      </c>
      <c r="E66" s="16" t="s">
        <v>57</v>
      </c>
      <c r="F66" s="16" t="s">
        <v>247</v>
      </c>
      <c r="I66" s="16" t="s">
        <v>50</v>
      </c>
      <c r="L66" s="16" t="s">
        <v>248</v>
      </c>
      <c r="M66" s="16" t="s">
        <v>247</v>
      </c>
      <c r="N66" s="16">
        <v>63</v>
      </c>
      <c r="O66" s="16" t="s">
        <v>249</v>
      </c>
    </row>
    <row r="67" spans="1:15" ht="15.75" customHeight="1" x14ac:dyDescent="0.25">
      <c r="A67" s="16" t="s">
        <v>30</v>
      </c>
      <c r="B67" s="16">
        <v>60907</v>
      </c>
      <c r="C67" s="16">
        <v>61203</v>
      </c>
      <c r="E67" s="16" t="s">
        <v>57</v>
      </c>
      <c r="F67" s="16" t="s">
        <v>135</v>
      </c>
      <c r="I67" s="16" t="s">
        <v>50</v>
      </c>
      <c r="L67" s="16" t="s">
        <v>250</v>
      </c>
      <c r="M67" s="16" t="s">
        <v>135</v>
      </c>
      <c r="N67" s="16">
        <v>98</v>
      </c>
      <c r="O67" s="16" t="s">
        <v>251</v>
      </c>
    </row>
    <row r="68" spans="1:15" ht="15.75" customHeight="1" x14ac:dyDescent="0.25">
      <c r="A68" s="16" t="s">
        <v>30</v>
      </c>
      <c r="B68" s="16">
        <v>61214</v>
      </c>
      <c r="C68" s="16">
        <v>62095</v>
      </c>
      <c r="E68" s="16" t="s">
        <v>57</v>
      </c>
      <c r="F68" s="16" t="s">
        <v>252</v>
      </c>
      <c r="I68" s="16" t="s">
        <v>50</v>
      </c>
      <c r="L68" s="16" t="s">
        <v>253</v>
      </c>
      <c r="M68" s="16" t="s">
        <v>252</v>
      </c>
      <c r="N68" s="16">
        <v>293</v>
      </c>
      <c r="O68" s="16" t="s">
        <v>254</v>
      </c>
    </row>
    <row r="69" spans="1:15" ht="15.75" customHeight="1" x14ac:dyDescent="0.25">
      <c r="A69" s="16" t="s">
        <v>30</v>
      </c>
      <c r="B69" s="16">
        <v>62147</v>
      </c>
      <c r="C69" s="16">
        <v>62545</v>
      </c>
      <c r="E69" s="16" t="s">
        <v>57</v>
      </c>
      <c r="F69" s="16" t="s">
        <v>135</v>
      </c>
      <c r="I69" s="16" t="s">
        <v>50</v>
      </c>
      <c r="L69" s="16" t="s">
        <v>255</v>
      </c>
      <c r="M69" s="16" t="s">
        <v>135</v>
      </c>
      <c r="N69" s="16">
        <v>132</v>
      </c>
      <c r="O69" s="16" t="s">
        <v>256</v>
      </c>
    </row>
    <row r="70" spans="1:15" ht="15.75" customHeight="1" x14ac:dyDescent="0.25">
      <c r="A70" s="16" t="s">
        <v>30</v>
      </c>
      <c r="B70" s="16">
        <v>62556</v>
      </c>
      <c r="C70" s="16">
        <v>64523</v>
      </c>
      <c r="E70" s="16" t="s">
        <v>57</v>
      </c>
      <c r="F70" s="16" t="s">
        <v>257</v>
      </c>
      <c r="I70" s="16" t="s">
        <v>50</v>
      </c>
      <c r="L70" s="16" t="s">
        <v>258</v>
      </c>
      <c r="M70" s="16" t="s">
        <v>257</v>
      </c>
      <c r="N70" s="16">
        <v>655</v>
      </c>
      <c r="O70" s="16" t="s">
        <v>259</v>
      </c>
    </row>
    <row r="71" spans="1:15" ht="15.75" customHeight="1" x14ac:dyDescent="0.25">
      <c r="A71" s="16" t="s">
        <v>30</v>
      </c>
      <c r="B71" s="16">
        <v>64538</v>
      </c>
      <c r="C71" s="16">
        <v>64801</v>
      </c>
      <c r="E71" s="16" t="s">
        <v>57</v>
      </c>
      <c r="F71" s="16" t="s">
        <v>260</v>
      </c>
      <c r="I71" s="16" t="s">
        <v>50</v>
      </c>
      <c r="L71" s="16" t="s">
        <v>261</v>
      </c>
      <c r="M71" s="16" t="s">
        <v>260</v>
      </c>
      <c r="N71" s="16">
        <v>87</v>
      </c>
      <c r="O71" s="16" t="s">
        <v>262</v>
      </c>
    </row>
    <row r="72" spans="1:15" ht="15.75" customHeight="1" x14ac:dyDescent="0.25">
      <c r="A72" s="16" t="s">
        <v>30</v>
      </c>
      <c r="B72" s="16">
        <v>65000</v>
      </c>
      <c r="C72" s="16">
        <v>65713</v>
      </c>
      <c r="E72" s="16" t="s">
        <v>48</v>
      </c>
      <c r="F72" s="16" t="s">
        <v>260</v>
      </c>
      <c r="I72" s="16" t="s">
        <v>50</v>
      </c>
      <c r="L72" s="16" t="s">
        <v>263</v>
      </c>
      <c r="M72" s="16" t="s">
        <v>260</v>
      </c>
      <c r="N72" s="16">
        <v>237</v>
      </c>
      <c r="O72" s="16" t="s">
        <v>264</v>
      </c>
    </row>
    <row r="73" spans="1:15" ht="15.75" customHeight="1" x14ac:dyDescent="0.25">
      <c r="A73" s="16" t="s">
        <v>30</v>
      </c>
      <c r="B73" s="16">
        <v>66293</v>
      </c>
      <c r="C73" s="16">
        <v>66541</v>
      </c>
      <c r="E73" s="16" t="s">
        <v>48</v>
      </c>
      <c r="F73" s="16" t="s">
        <v>132</v>
      </c>
      <c r="I73" s="16" t="s">
        <v>133</v>
      </c>
      <c r="O73" s="16" t="s">
        <v>265</v>
      </c>
    </row>
    <row r="74" spans="1:15" ht="15.75" customHeight="1" x14ac:dyDescent="0.25">
      <c r="A74" s="16" t="s">
        <v>30</v>
      </c>
      <c r="B74" s="16">
        <v>66702</v>
      </c>
      <c r="C74" s="16">
        <v>68081</v>
      </c>
      <c r="E74" s="16" t="s">
        <v>57</v>
      </c>
      <c r="F74" s="16" t="s">
        <v>266</v>
      </c>
      <c r="G74" s="16" t="s">
        <v>267</v>
      </c>
      <c r="I74" s="16" t="s">
        <v>50</v>
      </c>
      <c r="L74" s="16" t="s">
        <v>268</v>
      </c>
      <c r="M74" s="16" t="s">
        <v>266</v>
      </c>
      <c r="N74" s="16">
        <v>459</v>
      </c>
      <c r="O74" s="16" t="s">
        <v>269</v>
      </c>
    </row>
    <row r="75" spans="1:15" ht="15.75" customHeight="1" x14ac:dyDescent="0.25">
      <c r="A75" s="16" t="s">
        <v>30</v>
      </c>
      <c r="B75" s="16">
        <v>68184</v>
      </c>
      <c r="C75" s="16">
        <v>68693</v>
      </c>
      <c r="E75" s="16" t="s">
        <v>48</v>
      </c>
      <c r="F75" s="16" t="s">
        <v>270</v>
      </c>
      <c r="I75" s="16" t="s">
        <v>50</v>
      </c>
      <c r="L75" s="16" t="s">
        <v>271</v>
      </c>
      <c r="M75" s="16" t="s">
        <v>270</v>
      </c>
      <c r="N75" s="16">
        <v>169</v>
      </c>
      <c r="O75" s="16" t="s">
        <v>272</v>
      </c>
    </row>
    <row r="76" spans="1:15" ht="15.75" customHeight="1" x14ac:dyDescent="0.25">
      <c r="A76" s="16" t="s">
        <v>30</v>
      </c>
      <c r="B76" s="16">
        <v>68697</v>
      </c>
      <c r="C76" s="16">
        <v>69128</v>
      </c>
      <c r="E76" s="16" t="s">
        <v>48</v>
      </c>
      <c r="F76" s="16" t="s">
        <v>273</v>
      </c>
      <c r="I76" s="16" t="s">
        <v>50</v>
      </c>
      <c r="L76" s="16" t="s">
        <v>274</v>
      </c>
      <c r="M76" s="16" t="s">
        <v>273</v>
      </c>
      <c r="N76" s="16">
        <v>143</v>
      </c>
      <c r="O76" s="16" t="s">
        <v>275</v>
      </c>
    </row>
    <row r="77" spans="1:15" ht="15.75" customHeight="1" x14ac:dyDescent="0.25">
      <c r="A77" s="16" t="s">
        <v>30</v>
      </c>
      <c r="B77" s="16">
        <v>69270</v>
      </c>
      <c r="C77" s="16">
        <v>70058</v>
      </c>
      <c r="E77" s="16" t="s">
        <v>48</v>
      </c>
      <c r="F77" s="16" t="s">
        <v>276</v>
      </c>
      <c r="I77" s="16" t="s">
        <v>50</v>
      </c>
      <c r="L77" s="16" t="s">
        <v>277</v>
      </c>
      <c r="M77" s="16" t="s">
        <v>276</v>
      </c>
      <c r="N77" s="16">
        <v>262</v>
      </c>
      <c r="O77" s="16" t="s">
        <v>278</v>
      </c>
    </row>
    <row r="78" spans="1:15" ht="15.75" customHeight="1" x14ac:dyDescent="0.25">
      <c r="A78" s="16" t="s">
        <v>30</v>
      </c>
      <c r="B78" s="16">
        <v>70472</v>
      </c>
      <c r="C78" s="16">
        <v>70795</v>
      </c>
      <c r="E78" s="16" t="s">
        <v>57</v>
      </c>
      <c r="F78" s="16" t="s">
        <v>279</v>
      </c>
      <c r="G78" s="16" t="s">
        <v>280</v>
      </c>
      <c r="I78" s="16" t="s">
        <v>50</v>
      </c>
      <c r="L78" s="16" t="s">
        <v>281</v>
      </c>
      <c r="M78" s="16" t="s">
        <v>279</v>
      </c>
      <c r="N78" s="16">
        <v>107</v>
      </c>
      <c r="O78" s="16" t="s">
        <v>282</v>
      </c>
    </row>
    <row r="79" spans="1:15" ht="15.75" customHeight="1" x14ac:dyDescent="0.25">
      <c r="A79" s="16" t="s">
        <v>30</v>
      </c>
      <c r="B79" s="16">
        <v>70915</v>
      </c>
      <c r="C79" s="16">
        <v>71910</v>
      </c>
      <c r="E79" s="16" t="s">
        <v>57</v>
      </c>
      <c r="F79" s="16" t="s">
        <v>283</v>
      </c>
      <c r="I79" s="16" t="s">
        <v>50</v>
      </c>
      <c r="L79" s="16" t="s">
        <v>284</v>
      </c>
      <c r="M79" s="16" t="s">
        <v>283</v>
      </c>
      <c r="N79" s="16">
        <v>331</v>
      </c>
      <c r="O79" s="16" t="s">
        <v>285</v>
      </c>
    </row>
    <row r="80" spans="1:15" ht="15.75" customHeight="1" x14ac:dyDescent="0.25">
      <c r="A80" s="16" t="s">
        <v>30</v>
      </c>
      <c r="B80" s="16">
        <v>71923</v>
      </c>
      <c r="C80" s="16">
        <v>73032</v>
      </c>
      <c r="E80" s="16" t="s">
        <v>57</v>
      </c>
      <c r="F80" s="16" t="s">
        <v>286</v>
      </c>
      <c r="I80" s="16" t="s">
        <v>50</v>
      </c>
      <c r="L80" s="16" t="s">
        <v>287</v>
      </c>
      <c r="M80" s="16" t="s">
        <v>286</v>
      </c>
      <c r="N80" s="16">
        <v>369</v>
      </c>
      <c r="O80" s="16" t="s">
        <v>288</v>
      </c>
    </row>
    <row r="81" spans="1:15" ht="15.75" customHeight="1" x14ac:dyDescent="0.25">
      <c r="A81" s="16" t="s">
        <v>30</v>
      </c>
      <c r="B81" s="16">
        <v>73279</v>
      </c>
      <c r="C81" s="16">
        <v>73354</v>
      </c>
      <c r="E81" s="16" t="s">
        <v>48</v>
      </c>
      <c r="F81" s="16" t="s">
        <v>289</v>
      </c>
      <c r="I81" s="16" t="s">
        <v>290</v>
      </c>
      <c r="O81" s="16" t="s">
        <v>291</v>
      </c>
    </row>
    <row r="82" spans="1:15" ht="15.75" customHeight="1" x14ac:dyDescent="0.25">
      <c r="A82" s="16" t="s">
        <v>30</v>
      </c>
      <c r="B82" s="16">
        <v>73361</v>
      </c>
      <c r="C82" s="16">
        <v>73434</v>
      </c>
      <c r="E82" s="16" t="s">
        <v>48</v>
      </c>
      <c r="F82" s="16" t="s">
        <v>292</v>
      </c>
      <c r="I82" s="16" t="s">
        <v>290</v>
      </c>
      <c r="O82" s="16" t="s">
        <v>293</v>
      </c>
    </row>
    <row r="83" spans="1:15" ht="15.75" customHeight="1" x14ac:dyDescent="0.25">
      <c r="A83" s="16" t="s">
        <v>30</v>
      </c>
      <c r="B83" s="16">
        <v>73462</v>
      </c>
      <c r="C83" s="16">
        <v>73548</v>
      </c>
      <c r="E83" s="16" t="s">
        <v>48</v>
      </c>
      <c r="F83" s="16" t="s">
        <v>294</v>
      </c>
      <c r="I83" s="16" t="s">
        <v>290</v>
      </c>
      <c r="O83" s="16" t="s">
        <v>295</v>
      </c>
    </row>
    <row r="84" spans="1:15" ht="15.75" customHeight="1" x14ac:dyDescent="0.25">
      <c r="A84" s="16" t="s">
        <v>30</v>
      </c>
      <c r="B84" s="16">
        <v>73600</v>
      </c>
      <c r="C84" s="16">
        <v>73675</v>
      </c>
      <c r="E84" s="16" t="s">
        <v>48</v>
      </c>
      <c r="F84" s="16" t="s">
        <v>296</v>
      </c>
      <c r="I84" s="16" t="s">
        <v>290</v>
      </c>
      <c r="O84" s="16" t="s">
        <v>297</v>
      </c>
    </row>
    <row r="85" spans="1:15" ht="15.75" customHeight="1" x14ac:dyDescent="0.25">
      <c r="A85" s="16" t="s">
        <v>30</v>
      </c>
      <c r="B85" s="16">
        <v>73899</v>
      </c>
      <c r="C85" s="16">
        <v>75176</v>
      </c>
      <c r="E85" s="16" t="s">
        <v>57</v>
      </c>
      <c r="F85" s="16" t="s">
        <v>298</v>
      </c>
      <c r="G85" s="16" t="s">
        <v>299</v>
      </c>
      <c r="I85" s="16" t="s">
        <v>50</v>
      </c>
      <c r="L85" s="16" t="s">
        <v>300</v>
      </c>
      <c r="M85" s="16" t="s">
        <v>298</v>
      </c>
      <c r="N85" s="16">
        <v>425</v>
      </c>
      <c r="O85" s="16" t="s">
        <v>301</v>
      </c>
    </row>
    <row r="86" spans="1:15" ht="15.75" customHeight="1" x14ac:dyDescent="0.25">
      <c r="A86" s="16" t="s">
        <v>30</v>
      </c>
      <c r="B86" s="16">
        <v>75219</v>
      </c>
      <c r="C86" s="16">
        <v>76163</v>
      </c>
      <c r="E86" s="16" t="s">
        <v>57</v>
      </c>
      <c r="F86" s="16" t="s">
        <v>302</v>
      </c>
      <c r="G86" s="16" t="s">
        <v>303</v>
      </c>
      <c r="I86" s="16" t="s">
        <v>50</v>
      </c>
      <c r="L86" s="16" t="s">
        <v>304</v>
      </c>
      <c r="M86" s="16" t="s">
        <v>302</v>
      </c>
      <c r="N86" s="16">
        <v>314</v>
      </c>
      <c r="O86" s="16" t="s">
        <v>305</v>
      </c>
    </row>
    <row r="87" spans="1:15" ht="15.75" customHeight="1" x14ac:dyDescent="0.25">
      <c r="A87" s="16" t="s">
        <v>30</v>
      </c>
      <c r="B87" s="16">
        <v>76176</v>
      </c>
      <c r="C87" s="16">
        <v>78623</v>
      </c>
      <c r="E87" s="16" t="s">
        <v>57</v>
      </c>
      <c r="F87" s="16" t="s">
        <v>306</v>
      </c>
      <c r="G87" s="16" t="s">
        <v>307</v>
      </c>
      <c r="I87" s="16" t="s">
        <v>50</v>
      </c>
      <c r="L87" s="16" t="s">
        <v>308</v>
      </c>
      <c r="M87" s="16" t="s">
        <v>306</v>
      </c>
      <c r="N87" s="16">
        <v>815</v>
      </c>
      <c r="O87" s="16" t="s">
        <v>309</v>
      </c>
    </row>
    <row r="88" spans="1:15" ht="15.75" customHeight="1" x14ac:dyDescent="0.25">
      <c r="A88" s="16" t="s">
        <v>30</v>
      </c>
      <c r="B88" s="16">
        <v>78947</v>
      </c>
      <c r="C88" s="16">
        <v>79660</v>
      </c>
      <c r="E88" s="16" t="s">
        <v>48</v>
      </c>
      <c r="F88" s="16" t="s">
        <v>310</v>
      </c>
      <c r="I88" s="16" t="s">
        <v>50</v>
      </c>
      <c r="L88" s="16" t="s">
        <v>311</v>
      </c>
      <c r="M88" s="16" t="s">
        <v>310</v>
      </c>
      <c r="N88" s="16">
        <v>237</v>
      </c>
      <c r="O88" s="16" t="s">
        <v>312</v>
      </c>
    </row>
    <row r="89" spans="1:15" ht="15.75" customHeight="1" x14ac:dyDescent="0.25">
      <c r="A89" s="16" t="s">
        <v>30</v>
      </c>
      <c r="B89" s="16">
        <v>79700</v>
      </c>
      <c r="C89" s="16">
        <v>80836</v>
      </c>
      <c r="E89" s="16" t="s">
        <v>57</v>
      </c>
      <c r="F89" s="16" t="s">
        <v>313</v>
      </c>
      <c r="I89" s="16" t="s">
        <v>50</v>
      </c>
      <c r="L89" s="16" t="s">
        <v>314</v>
      </c>
      <c r="M89" s="16" t="s">
        <v>313</v>
      </c>
      <c r="N89" s="16">
        <v>378</v>
      </c>
      <c r="O89" s="16" t="s">
        <v>315</v>
      </c>
    </row>
    <row r="90" spans="1:15" ht="15.75" customHeight="1" x14ac:dyDescent="0.25">
      <c r="A90" s="16" t="s">
        <v>30</v>
      </c>
      <c r="B90" s="16">
        <v>80845</v>
      </c>
      <c r="C90" s="16">
        <v>82104</v>
      </c>
      <c r="E90" s="16" t="s">
        <v>57</v>
      </c>
      <c r="F90" s="16" t="s">
        <v>316</v>
      </c>
      <c r="I90" s="16" t="s">
        <v>50</v>
      </c>
      <c r="L90" s="16" t="s">
        <v>317</v>
      </c>
      <c r="M90" s="16" t="s">
        <v>316</v>
      </c>
      <c r="N90" s="16">
        <v>419</v>
      </c>
      <c r="O90" s="16" t="s">
        <v>318</v>
      </c>
    </row>
    <row r="91" spans="1:15" ht="15.75" customHeight="1" x14ac:dyDescent="0.25">
      <c r="A91" s="16" t="s">
        <v>30</v>
      </c>
      <c r="B91" s="16">
        <v>82226</v>
      </c>
      <c r="C91" s="16">
        <v>83332</v>
      </c>
      <c r="E91" s="16" t="s">
        <v>57</v>
      </c>
      <c r="F91" s="16" t="s">
        <v>260</v>
      </c>
      <c r="I91" s="16" t="s">
        <v>50</v>
      </c>
      <c r="L91" s="16" t="s">
        <v>319</v>
      </c>
      <c r="M91" s="16" t="s">
        <v>260</v>
      </c>
      <c r="N91" s="16">
        <v>368</v>
      </c>
      <c r="O91" s="16" t="s">
        <v>320</v>
      </c>
    </row>
    <row r="92" spans="1:15" ht="15.75" customHeight="1" x14ac:dyDescent="0.25">
      <c r="A92" s="16" t="s">
        <v>30</v>
      </c>
      <c r="B92" s="16">
        <v>83582</v>
      </c>
      <c r="C92" s="16">
        <v>83683</v>
      </c>
      <c r="E92" s="16" t="s">
        <v>57</v>
      </c>
      <c r="F92" s="16" t="s">
        <v>132</v>
      </c>
      <c r="I92" s="16" t="s">
        <v>133</v>
      </c>
      <c r="O92" s="16" t="s">
        <v>321</v>
      </c>
    </row>
    <row r="93" spans="1:15" ht="15.75" customHeight="1" x14ac:dyDescent="0.25">
      <c r="A93" s="16" t="s">
        <v>30</v>
      </c>
      <c r="B93" s="16">
        <v>83702</v>
      </c>
      <c r="C93" s="16">
        <v>84013</v>
      </c>
      <c r="E93" s="16" t="s">
        <v>57</v>
      </c>
      <c r="F93" s="16" t="s">
        <v>132</v>
      </c>
      <c r="I93" s="16" t="s">
        <v>133</v>
      </c>
      <c r="O93" s="16" t="s">
        <v>322</v>
      </c>
    </row>
    <row r="94" spans="1:15" ht="15.75" customHeight="1" x14ac:dyDescent="0.25">
      <c r="A94" s="16" t="s">
        <v>30</v>
      </c>
      <c r="B94" s="16">
        <v>84205</v>
      </c>
      <c r="C94" s="16">
        <v>84960</v>
      </c>
      <c r="E94" s="16" t="s">
        <v>57</v>
      </c>
      <c r="F94" s="16" t="s">
        <v>323</v>
      </c>
      <c r="I94" s="16" t="s">
        <v>50</v>
      </c>
      <c r="L94" s="16" t="s">
        <v>324</v>
      </c>
      <c r="M94" s="16" t="s">
        <v>323</v>
      </c>
      <c r="N94" s="16">
        <v>251</v>
      </c>
      <c r="O94" s="16" t="s">
        <v>325</v>
      </c>
    </row>
    <row r="95" spans="1:15" ht="15.75" customHeight="1" x14ac:dyDescent="0.25">
      <c r="A95" s="16" t="s">
        <v>30</v>
      </c>
      <c r="B95" s="16">
        <v>85161</v>
      </c>
      <c r="C95" s="16">
        <v>85442</v>
      </c>
      <c r="E95" s="16" t="s">
        <v>48</v>
      </c>
      <c r="F95" s="16" t="s">
        <v>135</v>
      </c>
      <c r="I95" s="16" t="s">
        <v>50</v>
      </c>
      <c r="L95" s="16" t="s">
        <v>326</v>
      </c>
      <c r="M95" s="16" t="s">
        <v>135</v>
      </c>
      <c r="N95" s="16">
        <v>93</v>
      </c>
      <c r="O95" s="16" t="s">
        <v>327</v>
      </c>
    </row>
    <row r="96" spans="1:15" ht="15.75" customHeight="1" x14ac:dyDescent="0.25">
      <c r="A96" s="16" t="s">
        <v>30</v>
      </c>
      <c r="B96" s="16">
        <v>85594</v>
      </c>
      <c r="C96" s="16">
        <v>86592</v>
      </c>
      <c r="E96" s="16" t="s">
        <v>48</v>
      </c>
      <c r="F96" s="16" t="s">
        <v>328</v>
      </c>
      <c r="I96" s="16" t="s">
        <v>50</v>
      </c>
      <c r="L96" s="16" t="s">
        <v>329</v>
      </c>
      <c r="M96" s="16" t="s">
        <v>328</v>
      </c>
      <c r="N96" s="16">
        <v>332</v>
      </c>
      <c r="O96" s="16" t="s">
        <v>330</v>
      </c>
    </row>
    <row r="97" spans="1:15" ht="15.75" customHeight="1" x14ac:dyDescent="0.25">
      <c r="A97" s="16" t="s">
        <v>30</v>
      </c>
      <c r="B97" s="16">
        <v>86710</v>
      </c>
      <c r="C97" s="16">
        <v>88230</v>
      </c>
      <c r="E97" s="16" t="s">
        <v>48</v>
      </c>
      <c r="F97" s="16" t="s">
        <v>331</v>
      </c>
      <c r="I97" s="16" t="s">
        <v>50</v>
      </c>
      <c r="L97" s="16" t="s">
        <v>332</v>
      </c>
      <c r="M97" s="16" t="s">
        <v>331</v>
      </c>
      <c r="N97" s="16">
        <v>506</v>
      </c>
      <c r="O97" s="16" t="s">
        <v>333</v>
      </c>
    </row>
    <row r="98" spans="1:15" ht="15.75" customHeight="1" x14ac:dyDescent="0.25">
      <c r="A98" s="16" t="s">
        <v>30</v>
      </c>
      <c r="B98" s="16">
        <v>88217</v>
      </c>
      <c r="C98" s="16">
        <v>89287</v>
      </c>
      <c r="E98" s="16" t="s">
        <v>48</v>
      </c>
      <c r="F98" s="16" t="s">
        <v>334</v>
      </c>
      <c r="G98" s="16" t="s">
        <v>335</v>
      </c>
      <c r="I98" s="16" t="s">
        <v>50</v>
      </c>
      <c r="L98" s="16" t="s">
        <v>336</v>
      </c>
      <c r="M98" s="16" t="s">
        <v>334</v>
      </c>
      <c r="N98" s="16">
        <v>356</v>
      </c>
      <c r="O98" s="16" t="s">
        <v>337</v>
      </c>
    </row>
    <row r="99" spans="1:15" ht="15.75" customHeight="1" x14ac:dyDescent="0.25">
      <c r="A99" s="16" t="s">
        <v>30</v>
      </c>
      <c r="B99" s="16">
        <v>89322</v>
      </c>
      <c r="C99" s="16">
        <v>90002</v>
      </c>
      <c r="E99" s="16" t="s">
        <v>57</v>
      </c>
      <c r="F99" s="16" t="s">
        <v>338</v>
      </c>
      <c r="I99" s="16" t="s">
        <v>50</v>
      </c>
      <c r="L99" s="16" t="s">
        <v>339</v>
      </c>
      <c r="M99" s="16" t="s">
        <v>338</v>
      </c>
      <c r="N99" s="16">
        <v>226</v>
      </c>
      <c r="O99" s="16" t="s">
        <v>340</v>
      </c>
    </row>
    <row r="100" spans="1:15" ht="15.75" customHeight="1" x14ac:dyDescent="0.25">
      <c r="A100" s="16" t="s">
        <v>30</v>
      </c>
      <c r="B100" s="16">
        <v>90004</v>
      </c>
      <c r="C100" s="16">
        <v>91137</v>
      </c>
      <c r="E100" s="16" t="s">
        <v>57</v>
      </c>
      <c r="F100" s="16" t="s">
        <v>341</v>
      </c>
      <c r="G100" s="16" t="s">
        <v>342</v>
      </c>
      <c r="I100" s="16" t="s">
        <v>50</v>
      </c>
      <c r="L100" s="16" t="s">
        <v>343</v>
      </c>
      <c r="M100" s="16" t="s">
        <v>341</v>
      </c>
      <c r="N100" s="16">
        <v>377</v>
      </c>
      <c r="O100" s="16" t="s">
        <v>344</v>
      </c>
    </row>
    <row r="101" spans="1:15" ht="15.75" customHeight="1" x14ac:dyDescent="0.25">
      <c r="A101" s="16" t="s">
        <v>30</v>
      </c>
      <c r="B101" s="16">
        <v>91165</v>
      </c>
      <c r="C101" s="16">
        <v>91509</v>
      </c>
      <c r="E101" s="16" t="s">
        <v>57</v>
      </c>
      <c r="F101" s="16" t="s">
        <v>345</v>
      </c>
      <c r="I101" s="16" t="s">
        <v>50</v>
      </c>
      <c r="L101" s="16" t="s">
        <v>346</v>
      </c>
      <c r="M101" s="16" t="s">
        <v>345</v>
      </c>
      <c r="N101" s="16">
        <v>114</v>
      </c>
      <c r="O101" s="16" t="s">
        <v>347</v>
      </c>
    </row>
    <row r="102" spans="1:15" ht="15.75" customHeight="1" x14ac:dyDescent="0.25">
      <c r="A102" s="16" t="s">
        <v>30</v>
      </c>
      <c r="B102" s="16">
        <v>91588</v>
      </c>
      <c r="C102" s="16">
        <v>93468</v>
      </c>
      <c r="E102" s="16" t="s">
        <v>57</v>
      </c>
      <c r="F102" s="16" t="s">
        <v>348</v>
      </c>
      <c r="G102" s="16" t="s">
        <v>349</v>
      </c>
      <c r="I102" s="16" t="s">
        <v>50</v>
      </c>
      <c r="L102" s="16" t="s">
        <v>350</v>
      </c>
      <c r="M102" s="16" t="s">
        <v>348</v>
      </c>
      <c r="N102" s="16">
        <v>626</v>
      </c>
      <c r="O102" s="16" t="s">
        <v>351</v>
      </c>
    </row>
    <row r="103" spans="1:15" ht="15.75" customHeight="1" x14ac:dyDescent="0.25">
      <c r="A103" s="16" t="s">
        <v>30</v>
      </c>
      <c r="B103" s="16">
        <v>93779</v>
      </c>
      <c r="C103" s="16">
        <v>94534</v>
      </c>
      <c r="E103" s="16" t="s">
        <v>48</v>
      </c>
      <c r="F103" s="16" t="s">
        <v>352</v>
      </c>
      <c r="I103" s="16" t="s">
        <v>50</v>
      </c>
      <c r="L103" s="16" t="s">
        <v>353</v>
      </c>
      <c r="M103" s="16" t="s">
        <v>352</v>
      </c>
      <c r="N103" s="16">
        <v>251</v>
      </c>
      <c r="O103" s="16" t="s">
        <v>354</v>
      </c>
    </row>
    <row r="104" spans="1:15" ht="15.75" customHeight="1" x14ac:dyDescent="0.25">
      <c r="A104" s="16" t="s">
        <v>30</v>
      </c>
      <c r="B104" s="16">
        <v>94708</v>
      </c>
      <c r="C104" s="16">
        <v>97080</v>
      </c>
      <c r="E104" s="16" t="s">
        <v>48</v>
      </c>
      <c r="F104" s="16" t="s">
        <v>355</v>
      </c>
      <c r="I104" s="16" t="s">
        <v>50</v>
      </c>
      <c r="L104" s="16" t="s">
        <v>356</v>
      </c>
      <c r="M104" s="16" t="s">
        <v>355</v>
      </c>
      <c r="N104" s="16">
        <v>790</v>
      </c>
      <c r="O104" s="16" t="s">
        <v>357</v>
      </c>
    </row>
    <row r="105" spans="1:15" ht="15.75" customHeight="1" x14ac:dyDescent="0.25">
      <c r="A105" s="16" t="s">
        <v>30</v>
      </c>
      <c r="B105" s="16">
        <v>97209</v>
      </c>
      <c r="C105" s="16">
        <v>98672</v>
      </c>
      <c r="E105" s="16" t="s">
        <v>48</v>
      </c>
      <c r="F105" s="16" t="s">
        <v>358</v>
      </c>
      <c r="I105" s="16" t="s">
        <v>50</v>
      </c>
      <c r="L105" s="16" t="s">
        <v>359</v>
      </c>
      <c r="M105" s="16" t="s">
        <v>358</v>
      </c>
      <c r="N105" s="16">
        <v>487</v>
      </c>
      <c r="O105" s="16" t="s">
        <v>360</v>
      </c>
    </row>
    <row r="106" spans="1:15" ht="15.75" customHeight="1" x14ac:dyDescent="0.25">
      <c r="A106" s="16" t="s">
        <v>30</v>
      </c>
      <c r="B106" s="16">
        <v>98844</v>
      </c>
      <c r="C106" s="16">
        <v>100094</v>
      </c>
      <c r="E106" s="16" t="s">
        <v>48</v>
      </c>
      <c r="F106" s="16" t="s">
        <v>361</v>
      </c>
      <c r="I106" s="16" t="s">
        <v>50</v>
      </c>
      <c r="L106" s="16" t="s">
        <v>362</v>
      </c>
      <c r="M106" s="16" t="s">
        <v>361</v>
      </c>
      <c r="N106" s="16">
        <v>416</v>
      </c>
      <c r="O106" s="16" t="s">
        <v>363</v>
      </c>
    </row>
    <row r="107" spans="1:15" ht="15.75" customHeight="1" x14ac:dyDescent="0.25">
      <c r="A107" s="16" t="s">
        <v>30</v>
      </c>
      <c r="B107" s="16">
        <v>100194</v>
      </c>
      <c r="C107" s="16">
        <v>103220</v>
      </c>
      <c r="E107" s="16" t="s">
        <v>48</v>
      </c>
      <c r="F107" s="16" t="s">
        <v>364</v>
      </c>
      <c r="I107" s="16" t="s">
        <v>50</v>
      </c>
      <c r="L107" s="16" t="s">
        <v>365</v>
      </c>
      <c r="M107" s="16" t="s">
        <v>364</v>
      </c>
      <c r="N107" s="16">
        <v>1008</v>
      </c>
      <c r="O107" s="16" t="s">
        <v>366</v>
      </c>
    </row>
    <row r="108" spans="1:15" ht="15.75" customHeight="1" x14ac:dyDescent="0.25">
      <c r="A108" s="16" t="s">
        <v>30</v>
      </c>
      <c r="B108" s="16">
        <v>103445</v>
      </c>
      <c r="C108" s="16">
        <v>104824</v>
      </c>
      <c r="E108" s="16" t="s">
        <v>57</v>
      </c>
      <c r="F108" s="16" t="s">
        <v>367</v>
      </c>
      <c r="G108" s="16" t="s">
        <v>368</v>
      </c>
      <c r="I108" s="16" t="s">
        <v>50</v>
      </c>
      <c r="L108" s="16" t="s">
        <v>369</v>
      </c>
      <c r="M108" s="16" t="s">
        <v>367</v>
      </c>
      <c r="N108" s="16">
        <v>459</v>
      </c>
      <c r="O108" s="16" t="s">
        <v>370</v>
      </c>
    </row>
    <row r="109" spans="1:15" ht="15.75" customHeight="1" x14ac:dyDescent="0.25">
      <c r="A109" s="16" t="s">
        <v>30</v>
      </c>
      <c r="B109" s="16">
        <v>105105</v>
      </c>
      <c r="C109" s="16">
        <v>106367</v>
      </c>
      <c r="E109" s="16" t="s">
        <v>48</v>
      </c>
      <c r="F109" s="16" t="s">
        <v>371</v>
      </c>
      <c r="I109" s="16" t="s">
        <v>50</v>
      </c>
      <c r="L109" s="16" t="s">
        <v>372</v>
      </c>
      <c r="M109" s="16" t="s">
        <v>371</v>
      </c>
      <c r="N109" s="16">
        <v>420</v>
      </c>
      <c r="O109" s="16" t="s">
        <v>373</v>
      </c>
    </row>
    <row r="110" spans="1:15" ht="15.75" customHeight="1" x14ac:dyDescent="0.25">
      <c r="A110" s="16" t="s">
        <v>30</v>
      </c>
      <c r="B110" s="16">
        <v>106496</v>
      </c>
      <c r="C110" s="16">
        <v>107266</v>
      </c>
      <c r="E110" s="16" t="s">
        <v>48</v>
      </c>
      <c r="F110" s="16" t="s">
        <v>374</v>
      </c>
      <c r="I110" s="16" t="s">
        <v>50</v>
      </c>
      <c r="L110" s="16" t="s">
        <v>375</v>
      </c>
      <c r="M110" s="16" t="s">
        <v>374</v>
      </c>
      <c r="N110" s="16">
        <v>256</v>
      </c>
      <c r="O110" s="16" t="s">
        <v>376</v>
      </c>
    </row>
    <row r="111" spans="1:15" ht="15.75" customHeight="1" x14ac:dyDescent="0.25">
      <c r="A111" s="16" t="s">
        <v>30</v>
      </c>
      <c r="B111" s="16">
        <v>107268</v>
      </c>
      <c r="C111" s="16">
        <v>107747</v>
      </c>
      <c r="E111" s="16" t="s">
        <v>48</v>
      </c>
      <c r="F111" s="16" t="s">
        <v>377</v>
      </c>
      <c r="I111" s="16" t="s">
        <v>50</v>
      </c>
      <c r="L111" s="16" t="s">
        <v>378</v>
      </c>
      <c r="M111" s="16" t="s">
        <v>377</v>
      </c>
      <c r="N111" s="16">
        <v>159</v>
      </c>
      <c r="O111" s="16" t="s">
        <v>379</v>
      </c>
    </row>
    <row r="112" spans="1:15" ht="15.75" customHeight="1" x14ac:dyDescent="0.25">
      <c r="A112" s="16" t="s">
        <v>30</v>
      </c>
      <c r="B112" s="16">
        <v>107837</v>
      </c>
      <c r="C112" s="16">
        <v>108178</v>
      </c>
      <c r="E112" s="16" t="s">
        <v>57</v>
      </c>
      <c r="F112" s="16" t="s">
        <v>135</v>
      </c>
      <c r="I112" s="16" t="s">
        <v>50</v>
      </c>
      <c r="L112" s="16" t="s">
        <v>380</v>
      </c>
      <c r="M112" s="16" t="s">
        <v>135</v>
      </c>
      <c r="N112" s="16">
        <v>113</v>
      </c>
      <c r="O112" s="16" t="s">
        <v>381</v>
      </c>
    </row>
    <row r="113" spans="1:15" ht="15.75" customHeight="1" x14ac:dyDescent="0.25">
      <c r="A113" s="16" t="s">
        <v>30</v>
      </c>
      <c r="B113" s="16">
        <v>108345</v>
      </c>
      <c r="C113" s="16">
        <v>109634</v>
      </c>
      <c r="E113" s="16" t="s">
        <v>48</v>
      </c>
      <c r="F113" s="16" t="s">
        <v>382</v>
      </c>
      <c r="G113" s="16" t="s">
        <v>383</v>
      </c>
      <c r="I113" s="16" t="s">
        <v>50</v>
      </c>
      <c r="L113" s="16" t="s">
        <v>384</v>
      </c>
      <c r="M113" s="16" t="s">
        <v>382</v>
      </c>
      <c r="N113" s="16">
        <v>429</v>
      </c>
      <c r="O113" s="16" t="s">
        <v>385</v>
      </c>
    </row>
    <row r="114" spans="1:15" ht="15.75" customHeight="1" x14ac:dyDescent="0.25">
      <c r="A114" s="16" t="s">
        <v>30</v>
      </c>
      <c r="B114" s="16">
        <v>109969</v>
      </c>
      <c r="C114" s="16">
        <v>110598</v>
      </c>
      <c r="E114" s="16" t="s">
        <v>48</v>
      </c>
      <c r="F114" s="16" t="s">
        <v>386</v>
      </c>
      <c r="I114" s="16" t="s">
        <v>50</v>
      </c>
      <c r="L114" s="16" t="s">
        <v>387</v>
      </c>
      <c r="M114" s="16" t="s">
        <v>386</v>
      </c>
      <c r="N114" s="16">
        <v>209</v>
      </c>
      <c r="O114" s="16" t="s">
        <v>388</v>
      </c>
    </row>
    <row r="115" spans="1:15" ht="15.75" customHeight="1" x14ac:dyDescent="0.25">
      <c r="A115" s="16" t="s">
        <v>30</v>
      </c>
      <c r="B115" s="16">
        <v>110616</v>
      </c>
      <c r="C115" s="16">
        <v>110849</v>
      </c>
      <c r="E115" s="16" t="s">
        <v>57</v>
      </c>
      <c r="F115" s="16" t="s">
        <v>132</v>
      </c>
      <c r="I115" s="16" t="s">
        <v>133</v>
      </c>
      <c r="O115" s="16" t="s">
        <v>389</v>
      </c>
    </row>
    <row r="116" spans="1:15" ht="15.75" customHeight="1" x14ac:dyDescent="0.25">
      <c r="A116" s="16" t="s">
        <v>30</v>
      </c>
      <c r="B116" s="16">
        <v>110959</v>
      </c>
      <c r="C116" s="16">
        <v>113196</v>
      </c>
      <c r="E116" s="16" t="s">
        <v>48</v>
      </c>
      <c r="F116" s="16" t="s">
        <v>390</v>
      </c>
      <c r="I116" s="16" t="s">
        <v>50</v>
      </c>
      <c r="L116" s="16" t="s">
        <v>391</v>
      </c>
      <c r="M116" s="16" t="s">
        <v>390</v>
      </c>
      <c r="N116" s="16">
        <v>745</v>
      </c>
      <c r="O116" s="16" t="s">
        <v>392</v>
      </c>
    </row>
    <row r="117" spans="1:15" ht="15.75" customHeight="1" x14ac:dyDescent="0.25">
      <c r="A117" s="16" t="s">
        <v>30</v>
      </c>
      <c r="B117" s="16">
        <v>114148</v>
      </c>
      <c r="C117" s="16">
        <v>114263</v>
      </c>
      <c r="E117" s="16" t="s">
        <v>57</v>
      </c>
      <c r="F117" s="16" t="s">
        <v>393</v>
      </c>
      <c r="G117" s="16" t="s">
        <v>394</v>
      </c>
      <c r="I117" s="16" t="s">
        <v>395</v>
      </c>
      <c r="O117" s="16" t="s">
        <v>396</v>
      </c>
    </row>
    <row r="118" spans="1:15" ht="15.75" customHeight="1" x14ac:dyDescent="0.25">
      <c r="A118" s="16" t="s">
        <v>30</v>
      </c>
      <c r="B118" s="16">
        <v>114508</v>
      </c>
      <c r="C118" s="16">
        <v>117623</v>
      </c>
      <c r="E118" s="16" t="s">
        <v>57</v>
      </c>
      <c r="F118" s="16" t="s">
        <v>397</v>
      </c>
      <c r="I118" s="16" t="s">
        <v>395</v>
      </c>
      <c r="O118" s="16" t="s">
        <v>398</v>
      </c>
    </row>
    <row r="119" spans="1:15" ht="15.75" customHeight="1" x14ac:dyDescent="0.25">
      <c r="A119" s="16" t="s">
        <v>30</v>
      </c>
      <c r="B119" s="16">
        <v>117893</v>
      </c>
      <c r="C119" s="16">
        <v>117968</v>
      </c>
      <c r="E119" s="16" t="s">
        <v>57</v>
      </c>
      <c r="F119" s="16" t="s">
        <v>399</v>
      </c>
      <c r="I119" s="16" t="s">
        <v>290</v>
      </c>
      <c r="O119" s="16" t="s">
        <v>400</v>
      </c>
    </row>
    <row r="120" spans="1:15" ht="15.75" customHeight="1" x14ac:dyDescent="0.25">
      <c r="A120" s="16" t="s">
        <v>30</v>
      </c>
      <c r="B120" s="16">
        <v>118100</v>
      </c>
      <c r="C120" s="16">
        <v>119639</v>
      </c>
      <c r="E120" s="16" t="s">
        <v>57</v>
      </c>
      <c r="F120" s="16" t="s">
        <v>401</v>
      </c>
      <c r="I120" s="16" t="s">
        <v>395</v>
      </c>
      <c r="O120" s="16" t="s">
        <v>402</v>
      </c>
    </row>
    <row r="121" spans="1:15" ht="15.75" customHeight="1" x14ac:dyDescent="0.25">
      <c r="A121" s="16" t="s">
        <v>30</v>
      </c>
      <c r="B121" s="16">
        <v>119817</v>
      </c>
      <c r="C121" s="16">
        <v>119893</v>
      </c>
      <c r="E121" s="16" t="s">
        <v>57</v>
      </c>
      <c r="F121" s="16" t="s">
        <v>403</v>
      </c>
      <c r="I121" s="16" t="s">
        <v>290</v>
      </c>
      <c r="O121" s="16" t="s">
        <v>404</v>
      </c>
    </row>
    <row r="122" spans="1:15" ht="15.75" customHeight="1" x14ac:dyDescent="0.25">
      <c r="A122" s="16" t="s">
        <v>30</v>
      </c>
      <c r="B122" s="16">
        <v>119915</v>
      </c>
      <c r="C122" s="16">
        <v>119990</v>
      </c>
      <c r="E122" s="16" t="s">
        <v>57</v>
      </c>
      <c r="F122" s="16" t="s">
        <v>405</v>
      </c>
      <c r="I122" s="16" t="s">
        <v>290</v>
      </c>
      <c r="O122" s="16" t="s">
        <v>406</v>
      </c>
    </row>
    <row r="123" spans="1:15" ht="15.75" customHeight="1" x14ac:dyDescent="0.25">
      <c r="A123" s="16" t="s">
        <v>30</v>
      </c>
      <c r="B123" s="16">
        <v>120017</v>
      </c>
      <c r="C123" s="16">
        <v>120093</v>
      </c>
      <c r="E123" s="16" t="s">
        <v>57</v>
      </c>
      <c r="F123" s="16" t="s">
        <v>407</v>
      </c>
      <c r="I123" s="16" t="s">
        <v>290</v>
      </c>
      <c r="O123" s="16" t="s">
        <v>408</v>
      </c>
    </row>
    <row r="124" spans="1:15" ht="15.75" customHeight="1" x14ac:dyDescent="0.25">
      <c r="A124" s="16" t="s">
        <v>30</v>
      </c>
      <c r="B124" s="16">
        <v>120245</v>
      </c>
      <c r="C124" s="16">
        <v>122380</v>
      </c>
      <c r="E124" s="16" t="s">
        <v>57</v>
      </c>
      <c r="F124" s="16" t="s">
        <v>409</v>
      </c>
      <c r="G124" s="16" t="s">
        <v>410</v>
      </c>
      <c r="I124" s="16" t="s">
        <v>50</v>
      </c>
      <c r="L124" s="16" t="s">
        <v>411</v>
      </c>
      <c r="M124" s="16" t="s">
        <v>409</v>
      </c>
      <c r="N124" s="16">
        <v>711</v>
      </c>
      <c r="O124" s="16" t="s">
        <v>412</v>
      </c>
    </row>
    <row r="125" spans="1:15" ht="15.75" customHeight="1" x14ac:dyDescent="0.25">
      <c r="A125" s="16" t="s">
        <v>30</v>
      </c>
      <c r="B125" s="16">
        <v>122510</v>
      </c>
      <c r="C125" s="16">
        <v>122586</v>
      </c>
      <c r="E125" s="16" t="s">
        <v>57</v>
      </c>
      <c r="F125" s="16" t="s">
        <v>413</v>
      </c>
      <c r="I125" s="16" t="s">
        <v>290</v>
      </c>
      <c r="O125" s="16" t="s">
        <v>414</v>
      </c>
    </row>
    <row r="126" spans="1:15" ht="15.75" customHeight="1" x14ac:dyDescent="0.25">
      <c r="A126" s="16" t="s">
        <v>30</v>
      </c>
      <c r="B126" s="16">
        <v>122773</v>
      </c>
      <c r="C126" s="16">
        <v>123882</v>
      </c>
      <c r="E126" s="16" t="s">
        <v>48</v>
      </c>
      <c r="F126" s="16" t="s">
        <v>415</v>
      </c>
      <c r="G126" s="16" t="s">
        <v>416</v>
      </c>
      <c r="I126" s="16" t="s">
        <v>50</v>
      </c>
      <c r="L126" s="16" t="s">
        <v>417</v>
      </c>
      <c r="M126" s="16" t="s">
        <v>415</v>
      </c>
      <c r="N126" s="16">
        <v>369</v>
      </c>
      <c r="O126" s="16" t="s">
        <v>418</v>
      </c>
    </row>
    <row r="127" spans="1:15" ht="15.75" customHeight="1" x14ac:dyDescent="0.25">
      <c r="A127" s="16" t="s">
        <v>30</v>
      </c>
      <c r="B127" s="16">
        <v>123882</v>
      </c>
      <c r="C127" s="16">
        <v>124652</v>
      </c>
      <c r="E127" s="16" t="s">
        <v>48</v>
      </c>
      <c r="F127" s="16" t="s">
        <v>419</v>
      </c>
      <c r="G127" s="16" t="s">
        <v>420</v>
      </c>
      <c r="I127" s="16" t="s">
        <v>50</v>
      </c>
      <c r="L127" s="16" t="s">
        <v>421</v>
      </c>
      <c r="M127" s="16" t="s">
        <v>419</v>
      </c>
      <c r="N127" s="16">
        <v>256</v>
      </c>
      <c r="O127" s="16" t="s">
        <v>422</v>
      </c>
    </row>
    <row r="128" spans="1:15" ht="15.75" customHeight="1" x14ac:dyDescent="0.25">
      <c r="A128" s="16" t="s">
        <v>30</v>
      </c>
      <c r="B128" s="16">
        <v>124830</v>
      </c>
      <c r="C128" s="16">
        <v>125831</v>
      </c>
      <c r="E128" s="16" t="s">
        <v>48</v>
      </c>
      <c r="F128" s="16" t="s">
        <v>423</v>
      </c>
      <c r="G128" s="16" t="s">
        <v>424</v>
      </c>
      <c r="I128" s="16" t="s">
        <v>50</v>
      </c>
      <c r="L128" s="16" t="s">
        <v>425</v>
      </c>
      <c r="M128" s="16" t="s">
        <v>423</v>
      </c>
      <c r="N128" s="16">
        <v>333</v>
      </c>
      <c r="O128" s="16" t="s">
        <v>426</v>
      </c>
    </row>
    <row r="129" spans="1:15" ht="15.75" customHeight="1" x14ac:dyDescent="0.25">
      <c r="A129" s="16" t="s">
        <v>30</v>
      </c>
      <c r="B129" s="16">
        <v>125881</v>
      </c>
      <c r="C129" s="16">
        <v>126387</v>
      </c>
      <c r="E129" s="16" t="s">
        <v>57</v>
      </c>
      <c r="F129" s="16" t="s">
        <v>427</v>
      </c>
      <c r="I129" s="16" t="s">
        <v>50</v>
      </c>
      <c r="L129" s="16" t="s">
        <v>428</v>
      </c>
      <c r="M129" s="16" t="s">
        <v>427</v>
      </c>
      <c r="N129" s="16">
        <v>168</v>
      </c>
      <c r="O129" s="16" t="s">
        <v>429</v>
      </c>
    </row>
    <row r="130" spans="1:15" ht="15.75" customHeight="1" x14ac:dyDescent="0.25">
      <c r="A130" s="16" t="s">
        <v>30</v>
      </c>
      <c r="B130" s="16">
        <v>126500</v>
      </c>
      <c r="C130" s="16">
        <v>127861</v>
      </c>
      <c r="E130" s="16" t="s">
        <v>57</v>
      </c>
      <c r="F130" s="16" t="s">
        <v>430</v>
      </c>
      <c r="G130" s="16" t="s">
        <v>431</v>
      </c>
      <c r="I130" s="16" t="s">
        <v>50</v>
      </c>
      <c r="L130" s="16" t="s">
        <v>432</v>
      </c>
      <c r="M130" s="16" t="s">
        <v>430</v>
      </c>
      <c r="N130" s="16">
        <v>453</v>
      </c>
      <c r="O130" s="16" t="s">
        <v>433</v>
      </c>
    </row>
    <row r="131" spans="1:15" ht="15.75" customHeight="1" x14ac:dyDescent="0.25">
      <c r="A131" s="16" t="s">
        <v>30</v>
      </c>
      <c r="B131" s="16">
        <v>128246</v>
      </c>
      <c r="C131" s="16">
        <v>129433</v>
      </c>
      <c r="E131" s="16" t="s">
        <v>57</v>
      </c>
      <c r="F131" s="16" t="s">
        <v>434</v>
      </c>
      <c r="G131" s="16" t="s">
        <v>435</v>
      </c>
      <c r="I131" s="16" t="s">
        <v>50</v>
      </c>
      <c r="L131" s="16" t="s">
        <v>436</v>
      </c>
      <c r="M131" s="16" t="s">
        <v>434</v>
      </c>
      <c r="N131" s="16">
        <v>395</v>
      </c>
      <c r="O131" s="16" t="s">
        <v>437</v>
      </c>
    </row>
    <row r="132" spans="1:15" ht="15.75" customHeight="1" x14ac:dyDescent="0.25">
      <c r="A132" s="16" t="s">
        <v>30</v>
      </c>
      <c r="B132" s="16">
        <v>129570</v>
      </c>
      <c r="C132" s="16">
        <v>130172</v>
      </c>
      <c r="E132" s="16" t="s">
        <v>48</v>
      </c>
      <c r="F132" s="16" t="s">
        <v>438</v>
      </c>
      <c r="I132" s="16" t="s">
        <v>50</v>
      </c>
      <c r="L132" s="16" t="s">
        <v>439</v>
      </c>
      <c r="M132" s="16" t="s">
        <v>438</v>
      </c>
      <c r="N132" s="16">
        <v>200</v>
      </c>
      <c r="O132" s="16" t="s">
        <v>440</v>
      </c>
    </row>
    <row r="133" spans="1:15" ht="15.75" customHeight="1" x14ac:dyDescent="0.25">
      <c r="A133" s="16" t="s">
        <v>30</v>
      </c>
      <c r="B133" s="16">
        <v>130273</v>
      </c>
      <c r="C133" s="16">
        <v>130830</v>
      </c>
      <c r="E133" s="16" t="s">
        <v>48</v>
      </c>
      <c r="F133" s="16" t="s">
        <v>441</v>
      </c>
      <c r="G133" s="16" t="s">
        <v>442</v>
      </c>
      <c r="I133" s="16" t="s">
        <v>50</v>
      </c>
      <c r="L133" s="16" t="s">
        <v>443</v>
      </c>
      <c r="M133" s="16" t="s">
        <v>441</v>
      </c>
      <c r="N133" s="16">
        <v>185</v>
      </c>
      <c r="O133" s="16" t="s">
        <v>444</v>
      </c>
    </row>
    <row r="134" spans="1:15" ht="15.75" customHeight="1" x14ac:dyDescent="0.25">
      <c r="A134" s="16" t="s">
        <v>30</v>
      </c>
      <c r="B134" s="16">
        <v>130986</v>
      </c>
      <c r="C134" s="16">
        <v>131061</v>
      </c>
      <c r="E134" s="16" t="s">
        <v>48</v>
      </c>
      <c r="F134" s="16" t="s">
        <v>289</v>
      </c>
      <c r="I134" s="16" t="s">
        <v>290</v>
      </c>
      <c r="O134" s="16" t="s">
        <v>445</v>
      </c>
    </row>
    <row r="135" spans="1:15" ht="15.75" customHeight="1" x14ac:dyDescent="0.25">
      <c r="A135" s="16" t="s">
        <v>30</v>
      </c>
      <c r="B135" s="16">
        <v>131066</v>
      </c>
      <c r="C135" s="16">
        <v>131152</v>
      </c>
      <c r="E135" s="16" t="s">
        <v>48</v>
      </c>
      <c r="F135" s="16" t="s">
        <v>294</v>
      </c>
      <c r="I135" s="16" t="s">
        <v>290</v>
      </c>
      <c r="O135" s="16" t="s">
        <v>446</v>
      </c>
    </row>
    <row r="136" spans="1:15" ht="15.75" customHeight="1" x14ac:dyDescent="0.25">
      <c r="A136" s="16" t="s">
        <v>30</v>
      </c>
      <c r="B136" s="16">
        <v>131203</v>
      </c>
      <c r="C136" s="16">
        <v>131278</v>
      </c>
      <c r="E136" s="16" t="s">
        <v>48</v>
      </c>
      <c r="F136" s="16" t="s">
        <v>296</v>
      </c>
      <c r="I136" s="16" t="s">
        <v>290</v>
      </c>
      <c r="O136" s="16" t="s">
        <v>447</v>
      </c>
    </row>
    <row r="137" spans="1:15" ht="15.75" customHeight="1" x14ac:dyDescent="0.25">
      <c r="A137" s="16" t="s">
        <v>30</v>
      </c>
      <c r="B137" s="16">
        <v>131394</v>
      </c>
      <c r="C137" s="16">
        <v>131924</v>
      </c>
      <c r="E137" s="16" t="s">
        <v>57</v>
      </c>
      <c r="F137" s="16" t="s">
        <v>448</v>
      </c>
      <c r="I137" s="16" t="s">
        <v>50</v>
      </c>
      <c r="L137" s="16" t="s">
        <v>449</v>
      </c>
      <c r="M137" s="16" t="s">
        <v>448</v>
      </c>
      <c r="N137" s="16">
        <v>176</v>
      </c>
      <c r="O137" s="16" t="s">
        <v>450</v>
      </c>
    </row>
    <row r="138" spans="1:15" ht="15.75" customHeight="1" x14ac:dyDescent="0.25">
      <c r="A138" s="16" t="s">
        <v>30</v>
      </c>
      <c r="B138" s="16">
        <v>132158</v>
      </c>
      <c r="C138" s="16">
        <v>133474</v>
      </c>
      <c r="E138" s="16" t="s">
        <v>48</v>
      </c>
      <c r="F138" s="16" t="s">
        <v>451</v>
      </c>
      <c r="I138" s="16" t="s">
        <v>50</v>
      </c>
      <c r="L138" s="16" t="s">
        <v>452</v>
      </c>
      <c r="M138" s="16" t="s">
        <v>451</v>
      </c>
      <c r="N138" s="16">
        <v>438</v>
      </c>
      <c r="O138" s="16" t="s">
        <v>453</v>
      </c>
    </row>
    <row r="139" spans="1:15" ht="15.75" customHeight="1" x14ac:dyDescent="0.25">
      <c r="A139" s="16" t="s">
        <v>30</v>
      </c>
      <c r="B139" s="16">
        <v>133697</v>
      </c>
      <c r="C139" s="16">
        <v>134338</v>
      </c>
      <c r="E139" s="16" t="s">
        <v>48</v>
      </c>
      <c r="F139" s="16" t="s">
        <v>454</v>
      </c>
      <c r="G139" s="16" t="s">
        <v>455</v>
      </c>
      <c r="I139" s="16" t="s">
        <v>50</v>
      </c>
      <c r="L139" s="16" t="s">
        <v>456</v>
      </c>
      <c r="M139" s="16" t="s">
        <v>454</v>
      </c>
      <c r="N139" s="16">
        <v>213</v>
      </c>
      <c r="O139" s="16" t="s">
        <v>457</v>
      </c>
    </row>
    <row r="140" spans="1:15" ht="15.75" customHeight="1" x14ac:dyDescent="0.25">
      <c r="A140" s="16" t="s">
        <v>30</v>
      </c>
      <c r="B140" s="16">
        <v>134347</v>
      </c>
      <c r="C140" s="16">
        <v>134934</v>
      </c>
      <c r="E140" s="16" t="s">
        <v>48</v>
      </c>
      <c r="F140" s="16" t="s">
        <v>458</v>
      </c>
      <c r="G140" s="16" t="s">
        <v>459</v>
      </c>
      <c r="I140" s="16" t="s">
        <v>50</v>
      </c>
      <c r="L140" s="16" t="s">
        <v>460</v>
      </c>
      <c r="M140" s="16" t="s">
        <v>458</v>
      </c>
      <c r="N140" s="16">
        <v>195</v>
      </c>
      <c r="O140" s="16" t="s">
        <v>461</v>
      </c>
    </row>
    <row r="141" spans="1:15" ht="15.75" customHeight="1" x14ac:dyDescent="0.25">
      <c r="A141" s="16" t="s">
        <v>30</v>
      </c>
      <c r="B141" s="16">
        <v>134938</v>
      </c>
      <c r="C141" s="16">
        <v>136113</v>
      </c>
      <c r="E141" s="16" t="s">
        <v>48</v>
      </c>
      <c r="F141" s="16" t="s">
        <v>135</v>
      </c>
      <c r="I141" s="16" t="s">
        <v>50</v>
      </c>
      <c r="L141" s="16" t="s">
        <v>462</v>
      </c>
      <c r="M141" s="16" t="s">
        <v>135</v>
      </c>
      <c r="N141" s="16">
        <v>391</v>
      </c>
      <c r="O141" s="16" t="s">
        <v>463</v>
      </c>
    </row>
    <row r="142" spans="1:15" ht="15.75" customHeight="1" x14ac:dyDescent="0.25">
      <c r="A142" s="16" t="s">
        <v>30</v>
      </c>
      <c r="B142" s="16">
        <v>136113</v>
      </c>
      <c r="C142" s="16">
        <v>137321</v>
      </c>
      <c r="E142" s="16" t="s">
        <v>48</v>
      </c>
      <c r="F142" s="16" t="s">
        <v>464</v>
      </c>
      <c r="I142" s="16" t="s">
        <v>50</v>
      </c>
      <c r="L142" s="16" t="s">
        <v>465</v>
      </c>
      <c r="M142" s="16" t="s">
        <v>464</v>
      </c>
      <c r="N142" s="16">
        <v>402</v>
      </c>
      <c r="O142" s="16" t="s">
        <v>466</v>
      </c>
    </row>
    <row r="143" spans="1:15" ht="15.75" customHeight="1" x14ac:dyDescent="0.25">
      <c r="A143" s="16" t="s">
        <v>30</v>
      </c>
      <c r="B143" s="16">
        <v>137382</v>
      </c>
      <c r="C143" s="16">
        <v>138896</v>
      </c>
      <c r="E143" s="16" t="s">
        <v>57</v>
      </c>
      <c r="F143" s="16" t="s">
        <v>467</v>
      </c>
      <c r="G143" s="16" t="s">
        <v>468</v>
      </c>
      <c r="I143" s="16" t="s">
        <v>50</v>
      </c>
      <c r="L143" s="16" t="s">
        <v>469</v>
      </c>
      <c r="M143" s="16" t="s">
        <v>467</v>
      </c>
      <c r="N143" s="16">
        <v>504</v>
      </c>
      <c r="O143" s="16" t="s">
        <v>470</v>
      </c>
    </row>
    <row r="144" spans="1:15" ht="15.75" customHeight="1" x14ac:dyDescent="0.25">
      <c r="A144" s="16" t="s">
        <v>30</v>
      </c>
      <c r="B144" s="16">
        <v>139314</v>
      </c>
      <c r="C144" s="16">
        <v>139390</v>
      </c>
      <c r="E144" s="16" t="s">
        <v>57</v>
      </c>
      <c r="F144" s="16" t="s">
        <v>471</v>
      </c>
      <c r="I144" s="16" t="s">
        <v>290</v>
      </c>
      <c r="O144" s="16" t="s">
        <v>472</v>
      </c>
    </row>
    <row r="145" spans="1:15" ht="15.75" customHeight="1" x14ac:dyDescent="0.25">
      <c r="A145" s="16" t="s">
        <v>30</v>
      </c>
      <c r="B145" s="16">
        <v>139414</v>
      </c>
      <c r="C145" s="16">
        <v>139490</v>
      </c>
      <c r="E145" s="16" t="s">
        <v>57</v>
      </c>
      <c r="F145" s="16" t="s">
        <v>471</v>
      </c>
      <c r="I145" s="16" t="s">
        <v>290</v>
      </c>
      <c r="O145" s="16" t="s">
        <v>473</v>
      </c>
    </row>
    <row r="146" spans="1:15" ht="15.75" customHeight="1" x14ac:dyDescent="0.25">
      <c r="A146" s="16" t="s">
        <v>30</v>
      </c>
      <c r="B146" s="16">
        <v>139578</v>
      </c>
      <c r="C146" s="16">
        <v>140345</v>
      </c>
      <c r="E146" s="16" t="s">
        <v>57</v>
      </c>
      <c r="F146" s="16" t="s">
        <v>474</v>
      </c>
      <c r="G146" s="16" t="s">
        <v>475</v>
      </c>
      <c r="I146" s="16" t="s">
        <v>50</v>
      </c>
      <c r="L146" s="16" t="s">
        <v>476</v>
      </c>
      <c r="M146" s="16" t="s">
        <v>474</v>
      </c>
      <c r="N146" s="16">
        <v>255</v>
      </c>
      <c r="O146" s="16" t="s">
        <v>477</v>
      </c>
    </row>
    <row r="147" spans="1:15" ht="15.75" customHeight="1" x14ac:dyDescent="0.25">
      <c r="A147" s="16" t="s">
        <v>30</v>
      </c>
      <c r="B147" s="16">
        <v>140406</v>
      </c>
      <c r="C147" s="16">
        <v>140870</v>
      </c>
      <c r="E147" s="16" t="s">
        <v>48</v>
      </c>
      <c r="F147" s="16" t="s">
        <v>478</v>
      </c>
      <c r="G147" s="16" t="s">
        <v>479</v>
      </c>
      <c r="I147" s="16" t="s">
        <v>50</v>
      </c>
      <c r="L147" s="16" t="s">
        <v>480</v>
      </c>
      <c r="M147" s="16" t="s">
        <v>478</v>
      </c>
      <c r="N147" s="16">
        <v>154</v>
      </c>
      <c r="O147" s="16" t="s">
        <v>481</v>
      </c>
    </row>
    <row r="148" spans="1:15" ht="15.75" customHeight="1" x14ac:dyDescent="0.25">
      <c r="A148" s="16" t="s">
        <v>30</v>
      </c>
      <c r="B148" s="16">
        <v>141136</v>
      </c>
      <c r="C148" s="16">
        <v>142224</v>
      </c>
      <c r="E148" s="16" t="s">
        <v>48</v>
      </c>
      <c r="F148" s="16" t="s">
        <v>482</v>
      </c>
      <c r="I148" s="16" t="s">
        <v>50</v>
      </c>
      <c r="L148" s="16" t="s">
        <v>483</v>
      </c>
      <c r="M148" s="16" t="s">
        <v>482</v>
      </c>
      <c r="N148" s="16">
        <v>362</v>
      </c>
      <c r="O148" s="16" t="s">
        <v>484</v>
      </c>
    </row>
    <row r="149" spans="1:15" ht="15.75" customHeight="1" x14ac:dyDescent="0.25">
      <c r="A149" s="16" t="s">
        <v>30</v>
      </c>
      <c r="B149" s="16">
        <v>142447</v>
      </c>
      <c r="C149" s="16">
        <v>143595</v>
      </c>
      <c r="E149" s="16" t="s">
        <v>57</v>
      </c>
      <c r="F149" s="16" t="s">
        <v>485</v>
      </c>
      <c r="G149" s="16" t="s">
        <v>486</v>
      </c>
      <c r="I149" s="16" t="s">
        <v>50</v>
      </c>
      <c r="L149" s="16" t="s">
        <v>487</v>
      </c>
      <c r="M149" s="16" t="s">
        <v>485</v>
      </c>
      <c r="N149" s="16">
        <v>382</v>
      </c>
      <c r="O149" s="16" t="s">
        <v>488</v>
      </c>
    </row>
    <row r="150" spans="1:15" ht="15.75" customHeight="1" x14ac:dyDescent="0.25">
      <c r="A150" s="16" t="s">
        <v>30</v>
      </c>
      <c r="B150" s="16">
        <v>143732</v>
      </c>
      <c r="C150" s="16">
        <v>144544</v>
      </c>
      <c r="E150" s="16" t="s">
        <v>57</v>
      </c>
      <c r="F150" s="16" t="s">
        <v>489</v>
      </c>
      <c r="I150" s="16" t="s">
        <v>50</v>
      </c>
      <c r="L150" s="16" t="s">
        <v>490</v>
      </c>
      <c r="M150" s="16" t="s">
        <v>489</v>
      </c>
      <c r="N150" s="16">
        <v>270</v>
      </c>
      <c r="O150" s="16" t="s">
        <v>491</v>
      </c>
    </row>
    <row r="151" spans="1:15" ht="15.75" customHeight="1" x14ac:dyDescent="0.25">
      <c r="A151" s="16" t="s">
        <v>30</v>
      </c>
      <c r="B151" s="16">
        <v>144881</v>
      </c>
      <c r="C151" s="16">
        <v>145762</v>
      </c>
      <c r="E151" s="16" t="s">
        <v>57</v>
      </c>
      <c r="F151" s="16" t="s">
        <v>492</v>
      </c>
      <c r="G151" s="16" t="s">
        <v>493</v>
      </c>
      <c r="I151" s="16" t="s">
        <v>50</v>
      </c>
      <c r="L151" s="16" t="s">
        <v>494</v>
      </c>
      <c r="M151" s="16" t="s">
        <v>492</v>
      </c>
      <c r="N151" s="16">
        <v>293</v>
      </c>
      <c r="O151" s="16" t="s">
        <v>495</v>
      </c>
    </row>
    <row r="152" spans="1:15" ht="15.75" customHeight="1" x14ac:dyDescent="0.25">
      <c r="A152" s="16" t="s">
        <v>30</v>
      </c>
      <c r="B152" s="16">
        <v>145773</v>
      </c>
      <c r="C152" s="16">
        <v>146639</v>
      </c>
      <c r="E152" s="16" t="s">
        <v>57</v>
      </c>
      <c r="F152" s="16" t="s">
        <v>496</v>
      </c>
      <c r="I152" s="16" t="s">
        <v>50</v>
      </c>
      <c r="L152" s="16" t="s">
        <v>497</v>
      </c>
      <c r="M152" s="16" t="s">
        <v>496</v>
      </c>
      <c r="N152" s="16">
        <v>288</v>
      </c>
      <c r="O152" s="16" t="s">
        <v>498</v>
      </c>
    </row>
    <row r="153" spans="1:15" ht="15.75" customHeight="1" x14ac:dyDescent="0.25">
      <c r="A153" s="16" t="s">
        <v>30</v>
      </c>
      <c r="B153" s="16">
        <v>146632</v>
      </c>
      <c r="C153" s="16">
        <v>147534</v>
      </c>
      <c r="E153" s="16" t="s">
        <v>57</v>
      </c>
      <c r="F153" s="16" t="s">
        <v>499</v>
      </c>
      <c r="I153" s="16" t="s">
        <v>50</v>
      </c>
      <c r="L153" s="16" t="s">
        <v>500</v>
      </c>
      <c r="M153" s="16" t="s">
        <v>499</v>
      </c>
      <c r="N153" s="16">
        <v>300</v>
      </c>
      <c r="O153" s="16" t="s">
        <v>501</v>
      </c>
    </row>
    <row r="154" spans="1:15" ht="15.75" customHeight="1" x14ac:dyDescent="0.25">
      <c r="A154" s="16" t="s">
        <v>30</v>
      </c>
      <c r="B154" s="16">
        <v>147579</v>
      </c>
      <c r="C154" s="16">
        <v>148265</v>
      </c>
      <c r="E154" s="16" t="s">
        <v>57</v>
      </c>
      <c r="F154" s="16" t="s">
        <v>502</v>
      </c>
      <c r="I154" s="16" t="s">
        <v>50</v>
      </c>
      <c r="L154" s="16" t="s">
        <v>503</v>
      </c>
      <c r="M154" s="16" t="s">
        <v>502</v>
      </c>
      <c r="N154" s="16">
        <v>228</v>
      </c>
      <c r="O154" s="16" t="s">
        <v>504</v>
      </c>
    </row>
    <row r="155" spans="1:15" ht="15.75" customHeight="1" x14ac:dyDescent="0.25">
      <c r="A155" s="16" t="s">
        <v>30</v>
      </c>
      <c r="B155" s="16">
        <v>148615</v>
      </c>
      <c r="C155" s="16">
        <v>149604</v>
      </c>
      <c r="E155" s="16" t="s">
        <v>48</v>
      </c>
      <c r="F155" s="16" t="s">
        <v>505</v>
      </c>
      <c r="G155" s="16" t="s">
        <v>506</v>
      </c>
      <c r="I155" s="16" t="s">
        <v>50</v>
      </c>
      <c r="L155" s="16" t="s">
        <v>507</v>
      </c>
      <c r="M155" s="16" t="s">
        <v>505</v>
      </c>
      <c r="N155" s="16">
        <v>329</v>
      </c>
      <c r="O155" s="16" t="s">
        <v>508</v>
      </c>
    </row>
    <row r="156" spans="1:15" ht="15.75" customHeight="1" x14ac:dyDescent="0.25">
      <c r="A156" s="16" t="s">
        <v>30</v>
      </c>
      <c r="B156" s="16">
        <v>149669</v>
      </c>
      <c r="C156" s="16">
        <v>151519</v>
      </c>
      <c r="E156" s="16" t="s">
        <v>48</v>
      </c>
      <c r="F156" s="16" t="s">
        <v>509</v>
      </c>
      <c r="G156" s="16" t="s">
        <v>510</v>
      </c>
      <c r="I156" s="16" t="s">
        <v>50</v>
      </c>
      <c r="L156" s="16" t="s">
        <v>511</v>
      </c>
      <c r="M156" s="16" t="s">
        <v>509</v>
      </c>
      <c r="N156" s="16">
        <v>616</v>
      </c>
      <c r="O156" s="16" t="s">
        <v>512</v>
      </c>
    </row>
    <row r="157" spans="1:15" ht="15.75" customHeight="1" x14ac:dyDescent="0.25">
      <c r="A157" s="16" t="s">
        <v>30</v>
      </c>
      <c r="B157" s="16">
        <v>151695</v>
      </c>
      <c r="C157" s="16">
        <v>152822</v>
      </c>
      <c r="E157" s="16" t="s">
        <v>48</v>
      </c>
      <c r="F157" s="16" t="s">
        <v>513</v>
      </c>
      <c r="I157" s="16" t="s">
        <v>50</v>
      </c>
      <c r="L157" s="16" t="s">
        <v>514</v>
      </c>
      <c r="M157" s="16" t="s">
        <v>513</v>
      </c>
      <c r="N157" s="16">
        <v>375</v>
      </c>
      <c r="O157" s="16" t="s">
        <v>515</v>
      </c>
    </row>
    <row r="158" spans="1:15" ht="15.75" customHeight="1" x14ac:dyDescent="0.25">
      <c r="A158" s="16" t="s">
        <v>30</v>
      </c>
      <c r="B158" s="16">
        <v>152984</v>
      </c>
      <c r="C158" s="16">
        <v>153418</v>
      </c>
      <c r="E158" s="16" t="s">
        <v>48</v>
      </c>
      <c r="F158" s="16" t="s">
        <v>516</v>
      </c>
      <c r="I158" s="16" t="s">
        <v>50</v>
      </c>
      <c r="L158" s="16" t="s">
        <v>517</v>
      </c>
      <c r="M158" s="16" t="s">
        <v>516</v>
      </c>
      <c r="N158" s="16">
        <v>144</v>
      </c>
      <c r="O158" s="16" t="s">
        <v>518</v>
      </c>
    </row>
    <row r="159" spans="1:15" ht="15.75" customHeight="1" x14ac:dyDescent="0.25">
      <c r="A159" s="16" t="s">
        <v>30</v>
      </c>
      <c r="B159" s="16">
        <v>153460</v>
      </c>
      <c r="C159" s="16">
        <v>154347</v>
      </c>
      <c r="E159" s="16" t="s">
        <v>57</v>
      </c>
      <c r="F159" s="16" t="s">
        <v>519</v>
      </c>
      <c r="G159" s="16" t="s">
        <v>520</v>
      </c>
      <c r="I159" s="16" t="s">
        <v>50</v>
      </c>
      <c r="L159" s="16" t="s">
        <v>521</v>
      </c>
      <c r="M159" s="16" t="s">
        <v>519</v>
      </c>
      <c r="N159" s="16">
        <v>295</v>
      </c>
      <c r="O159" s="16" t="s">
        <v>522</v>
      </c>
    </row>
    <row r="160" spans="1:15" ht="15.75" customHeight="1" x14ac:dyDescent="0.25">
      <c r="A160" s="16" t="s">
        <v>30</v>
      </c>
      <c r="B160" s="16">
        <v>154347</v>
      </c>
      <c r="C160" s="16">
        <v>155567</v>
      </c>
      <c r="E160" s="16" t="s">
        <v>57</v>
      </c>
      <c r="F160" s="16" t="s">
        <v>523</v>
      </c>
      <c r="G160" s="16" t="s">
        <v>524</v>
      </c>
      <c r="I160" s="16" t="s">
        <v>50</v>
      </c>
      <c r="L160" s="16" t="s">
        <v>525</v>
      </c>
      <c r="M160" s="16" t="s">
        <v>523</v>
      </c>
      <c r="N160" s="16">
        <v>406</v>
      </c>
      <c r="O160" s="16" t="s">
        <v>526</v>
      </c>
    </row>
    <row r="161" spans="1:15" ht="15.75" customHeight="1" x14ac:dyDescent="0.25">
      <c r="A161" s="16" t="s">
        <v>30</v>
      </c>
      <c r="B161" s="16">
        <v>155689</v>
      </c>
      <c r="C161" s="16">
        <v>156396</v>
      </c>
      <c r="E161" s="16" t="s">
        <v>57</v>
      </c>
      <c r="F161" s="16" t="s">
        <v>527</v>
      </c>
      <c r="I161" s="16" t="s">
        <v>50</v>
      </c>
      <c r="L161" s="16" t="s">
        <v>528</v>
      </c>
      <c r="M161" s="16" t="s">
        <v>527</v>
      </c>
      <c r="N161" s="16">
        <v>235</v>
      </c>
      <c r="O161" s="16" t="s">
        <v>529</v>
      </c>
    </row>
    <row r="162" spans="1:15" ht="15.75" customHeight="1" x14ac:dyDescent="0.25">
      <c r="A162" s="16" t="s">
        <v>30</v>
      </c>
      <c r="B162" s="16">
        <v>156457</v>
      </c>
      <c r="C162" s="16">
        <v>157788</v>
      </c>
      <c r="E162" s="16" t="s">
        <v>57</v>
      </c>
      <c r="F162" s="16" t="s">
        <v>530</v>
      </c>
      <c r="I162" s="16" t="s">
        <v>50</v>
      </c>
      <c r="L162" s="16" t="s">
        <v>531</v>
      </c>
      <c r="M162" s="16" t="s">
        <v>530</v>
      </c>
      <c r="N162" s="16">
        <v>443</v>
      </c>
      <c r="O162" s="16" t="s">
        <v>532</v>
      </c>
    </row>
    <row r="163" spans="1:15" ht="15.75" customHeight="1" x14ac:dyDescent="0.25">
      <c r="A163" s="16" t="s">
        <v>30</v>
      </c>
      <c r="B163" s="16">
        <v>157992</v>
      </c>
      <c r="C163" s="16">
        <v>158222</v>
      </c>
      <c r="E163" s="16" t="s">
        <v>57</v>
      </c>
      <c r="F163" s="16" t="s">
        <v>533</v>
      </c>
      <c r="G163" s="16" t="s">
        <v>534</v>
      </c>
      <c r="I163" s="16" t="s">
        <v>50</v>
      </c>
      <c r="L163" s="16" t="s">
        <v>535</v>
      </c>
      <c r="M163" s="16" t="s">
        <v>533</v>
      </c>
      <c r="N163" s="16">
        <v>76</v>
      </c>
      <c r="O163" s="16" t="s">
        <v>536</v>
      </c>
    </row>
    <row r="164" spans="1:15" ht="15.75" customHeight="1" x14ac:dyDescent="0.25">
      <c r="A164" s="16" t="s">
        <v>30</v>
      </c>
      <c r="B164" s="16">
        <v>158479</v>
      </c>
      <c r="C164" s="16">
        <v>159207</v>
      </c>
      <c r="E164" s="16" t="s">
        <v>57</v>
      </c>
      <c r="F164" s="16" t="s">
        <v>537</v>
      </c>
      <c r="G164" s="16" t="s">
        <v>538</v>
      </c>
      <c r="I164" s="16" t="s">
        <v>50</v>
      </c>
      <c r="L164" s="16" t="s">
        <v>539</v>
      </c>
      <c r="M164" s="16" t="s">
        <v>537</v>
      </c>
      <c r="N164" s="16">
        <v>242</v>
      </c>
      <c r="O164" s="16" t="s">
        <v>540</v>
      </c>
    </row>
    <row r="165" spans="1:15" ht="15.75" customHeight="1" x14ac:dyDescent="0.25">
      <c r="A165" s="16" t="s">
        <v>30</v>
      </c>
      <c r="B165" s="16">
        <v>159224</v>
      </c>
      <c r="C165" s="16">
        <v>160162</v>
      </c>
      <c r="E165" s="16" t="s">
        <v>57</v>
      </c>
      <c r="F165" s="16" t="s">
        <v>541</v>
      </c>
      <c r="G165" s="16" t="s">
        <v>542</v>
      </c>
      <c r="I165" s="16" t="s">
        <v>50</v>
      </c>
      <c r="L165" s="16" t="s">
        <v>543</v>
      </c>
      <c r="M165" s="16" t="s">
        <v>541</v>
      </c>
      <c r="N165" s="16">
        <v>312</v>
      </c>
      <c r="O165" s="16" t="s">
        <v>544</v>
      </c>
    </row>
    <row r="166" spans="1:15" ht="15.75" customHeight="1" x14ac:dyDescent="0.25">
      <c r="A166" s="16" t="s">
        <v>30</v>
      </c>
      <c r="B166" s="16">
        <v>160662</v>
      </c>
      <c r="C166" s="16">
        <v>161612</v>
      </c>
      <c r="E166" s="16" t="s">
        <v>57</v>
      </c>
      <c r="F166" s="16" t="s">
        <v>545</v>
      </c>
      <c r="I166" s="16" t="s">
        <v>50</v>
      </c>
      <c r="L166" s="16" t="s">
        <v>546</v>
      </c>
      <c r="M166" s="16" t="s">
        <v>545</v>
      </c>
      <c r="N166" s="16">
        <v>316</v>
      </c>
      <c r="O166" s="16" t="s">
        <v>547</v>
      </c>
    </row>
    <row r="167" spans="1:15" ht="15.75" customHeight="1" x14ac:dyDescent="0.25">
      <c r="A167" s="16" t="s">
        <v>30</v>
      </c>
      <c r="B167" s="16">
        <v>161654</v>
      </c>
      <c r="C167" s="16">
        <v>161776</v>
      </c>
      <c r="E167" s="16" t="s">
        <v>57</v>
      </c>
      <c r="F167" s="16" t="s">
        <v>132</v>
      </c>
      <c r="I167" s="16" t="s">
        <v>133</v>
      </c>
      <c r="O167" s="16" t="s">
        <v>548</v>
      </c>
    </row>
    <row r="168" spans="1:15" ht="15.75" customHeight="1" x14ac:dyDescent="0.25">
      <c r="A168" s="16" t="s">
        <v>30</v>
      </c>
      <c r="B168" s="16">
        <v>161799</v>
      </c>
      <c r="C168" s="16">
        <v>161969</v>
      </c>
      <c r="E168" s="16" t="s">
        <v>57</v>
      </c>
      <c r="F168" s="16" t="s">
        <v>549</v>
      </c>
      <c r="G168" s="16" t="s">
        <v>550</v>
      </c>
      <c r="I168" s="16" t="s">
        <v>50</v>
      </c>
      <c r="L168" s="16" t="s">
        <v>551</v>
      </c>
      <c r="M168" s="16" t="s">
        <v>549</v>
      </c>
      <c r="N168" s="16">
        <v>56</v>
      </c>
      <c r="O168" s="16" t="s">
        <v>552</v>
      </c>
    </row>
    <row r="169" spans="1:15" ht="15.75" customHeight="1" x14ac:dyDescent="0.25">
      <c r="A169" s="16" t="s">
        <v>30</v>
      </c>
      <c r="B169" s="16">
        <v>161992</v>
      </c>
      <c r="C169" s="16">
        <v>162516</v>
      </c>
      <c r="E169" s="16" t="s">
        <v>57</v>
      </c>
      <c r="F169" s="16" t="s">
        <v>553</v>
      </c>
      <c r="G169" s="16" t="s">
        <v>554</v>
      </c>
      <c r="I169" s="16" t="s">
        <v>50</v>
      </c>
      <c r="L169" s="16" t="s">
        <v>555</v>
      </c>
      <c r="M169" s="16" t="s">
        <v>553</v>
      </c>
      <c r="N169" s="16">
        <v>174</v>
      </c>
      <c r="O169" s="16" t="s">
        <v>556</v>
      </c>
    </row>
    <row r="170" spans="1:15" ht="15.75" customHeight="1" x14ac:dyDescent="0.25">
      <c r="A170" s="16" t="s">
        <v>30</v>
      </c>
      <c r="B170" s="16">
        <v>162674</v>
      </c>
      <c r="C170" s="16">
        <v>163543</v>
      </c>
      <c r="E170" s="16" t="s">
        <v>48</v>
      </c>
      <c r="F170" s="16" t="s">
        <v>557</v>
      </c>
      <c r="G170" s="16" t="s">
        <v>558</v>
      </c>
      <c r="I170" s="16" t="s">
        <v>50</v>
      </c>
      <c r="L170" s="16" t="s">
        <v>559</v>
      </c>
      <c r="M170" s="16" t="s">
        <v>557</v>
      </c>
      <c r="N170" s="16">
        <v>289</v>
      </c>
      <c r="O170" s="16" t="s">
        <v>560</v>
      </c>
    </row>
    <row r="171" spans="1:15" ht="15.75" customHeight="1" x14ac:dyDescent="0.25">
      <c r="A171" s="16" t="s">
        <v>30</v>
      </c>
      <c r="B171" s="16">
        <v>163652</v>
      </c>
      <c r="C171" s="16">
        <v>165022</v>
      </c>
      <c r="E171" s="16" t="s">
        <v>57</v>
      </c>
      <c r="F171" s="16" t="s">
        <v>561</v>
      </c>
      <c r="G171" s="16" t="s">
        <v>562</v>
      </c>
      <c r="I171" s="16" t="s">
        <v>50</v>
      </c>
      <c r="L171" s="16" t="s">
        <v>563</v>
      </c>
      <c r="M171" s="16" t="s">
        <v>561</v>
      </c>
      <c r="N171" s="16">
        <v>456</v>
      </c>
      <c r="O171" s="16" t="s">
        <v>564</v>
      </c>
    </row>
    <row r="172" spans="1:15" ht="15.75" customHeight="1" x14ac:dyDescent="0.25">
      <c r="A172" s="16" t="s">
        <v>30</v>
      </c>
      <c r="B172" s="16">
        <v>165238</v>
      </c>
      <c r="C172" s="16">
        <v>165837</v>
      </c>
      <c r="E172" s="16" t="s">
        <v>57</v>
      </c>
      <c r="F172" s="16" t="s">
        <v>565</v>
      </c>
      <c r="I172" s="16" t="s">
        <v>50</v>
      </c>
      <c r="L172" s="16" t="s">
        <v>566</v>
      </c>
      <c r="M172" s="16" t="s">
        <v>565</v>
      </c>
      <c r="N172" s="16">
        <v>199</v>
      </c>
      <c r="O172" s="16" t="s">
        <v>567</v>
      </c>
    </row>
    <row r="173" spans="1:15" ht="15.75" customHeight="1" x14ac:dyDescent="0.25">
      <c r="A173" s="16" t="s">
        <v>30</v>
      </c>
      <c r="B173" s="16">
        <v>165931</v>
      </c>
      <c r="C173" s="16">
        <v>166242</v>
      </c>
      <c r="E173" s="16" t="s">
        <v>48</v>
      </c>
      <c r="F173" s="16" t="s">
        <v>132</v>
      </c>
      <c r="I173" s="16" t="s">
        <v>133</v>
      </c>
      <c r="O173" s="16" t="s">
        <v>568</v>
      </c>
    </row>
    <row r="174" spans="1:15" ht="15.75" customHeight="1" x14ac:dyDescent="0.25">
      <c r="A174" s="16" t="s">
        <v>30</v>
      </c>
      <c r="B174" s="16">
        <v>166533</v>
      </c>
      <c r="C174" s="16">
        <v>167876</v>
      </c>
      <c r="E174" s="16" t="s">
        <v>48</v>
      </c>
      <c r="F174" s="16" t="s">
        <v>569</v>
      </c>
      <c r="I174" s="16" t="s">
        <v>50</v>
      </c>
      <c r="L174" s="16" t="s">
        <v>570</v>
      </c>
      <c r="M174" s="16" t="s">
        <v>569</v>
      </c>
      <c r="N174" s="16">
        <v>447</v>
      </c>
      <c r="O174" s="16" t="s">
        <v>571</v>
      </c>
    </row>
    <row r="175" spans="1:15" ht="15.75" customHeight="1" x14ac:dyDescent="0.25">
      <c r="A175" s="16" t="s">
        <v>30</v>
      </c>
      <c r="B175" s="16">
        <v>167879</v>
      </c>
      <c r="C175" s="16">
        <v>169114</v>
      </c>
      <c r="E175" s="16" t="s">
        <v>48</v>
      </c>
      <c r="F175" s="16" t="s">
        <v>572</v>
      </c>
      <c r="I175" s="16" t="s">
        <v>50</v>
      </c>
      <c r="L175" s="16" t="s">
        <v>573</v>
      </c>
      <c r="M175" s="16" t="s">
        <v>572</v>
      </c>
      <c r="N175" s="16">
        <v>411</v>
      </c>
      <c r="O175" s="16" t="s">
        <v>574</v>
      </c>
    </row>
    <row r="176" spans="1:15" ht="15.75" customHeight="1" x14ac:dyDescent="0.25">
      <c r="A176" s="16" t="s">
        <v>30</v>
      </c>
      <c r="B176" s="16">
        <v>169107</v>
      </c>
      <c r="C176" s="16">
        <v>169841</v>
      </c>
      <c r="E176" s="16" t="s">
        <v>48</v>
      </c>
      <c r="F176" s="16" t="s">
        <v>575</v>
      </c>
      <c r="I176" s="16" t="s">
        <v>50</v>
      </c>
      <c r="L176" s="16" t="s">
        <v>576</v>
      </c>
      <c r="M176" s="16" t="s">
        <v>575</v>
      </c>
      <c r="N176" s="16">
        <v>244</v>
      </c>
      <c r="O176" s="16" t="s">
        <v>577</v>
      </c>
    </row>
    <row r="177" spans="1:15" ht="15.75" customHeight="1" x14ac:dyDescent="0.25">
      <c r="A177" s="16" t="s">
        <v>30</v>
      </c>
      <c r="B177" s="16">
        <v>169841</v>
      </c>
      <c r="C177" s="16">
        <v>170467</v>
      </c>
      <c r="E177" s="16" t="s">
        <v>48</v>
      </c>
      <c r="F177" s="16" t="s">
        <v>578</v>
      </c>
      <c r="G177" s="16" t="s">
        <v>579</v>
      </c>
      <c r="I177" s="16" t="s">
        <v>50</v>
      </c>
      <c r="L177" s="16" t="s">
        <v>580</v>
      </c>
      <c r="M177" s="16" t="s">
        <v>578</v>
      </c>
      <c r="N177" s="16">
        <v>208</v>
      </c>
      <c r="O177" s="16" t="s">
        <v>581</v>
      </c>
    </row>
    <row r="178" spans="1:15" ht="15.75" customHeight="1" x14ac:dyDescent="0.25">
      <c r="A178" s="16" t="s">
        <v>30</v>
      </c>
      <c r="B178" s="16">
        <v>170471</v>
      </c>
      <c r="C178" s="16">
        <v>171067</v>
      </c>
      <c r="E178" s="16" t="s">
        <v>48</v>
      </c>
      <c r="F178" s="16" t="s">
        <v>582</v>
      </c>
      <c r="G178" s="16" t="s">
        <v>583</v>
      </c>
      <c r="I178" s="16" t="s">
        <v>50</v>
      </c>
      <c r="L178" s="16" t="s">
        <v>584</v>
      </c>
      <c r="M178" s="16" t="s">
        <v>582</v>
      </c>
      <c r="N178" s="16">
        <v>198</v>
      </c>
      <c r="O178" s="16" t="s">
        <v>585</v>
      </c>
    </row>
    <row r="179" spans="1:15" ht="15.75" customHeight="1" x14ac:dyDescent="0.25">
      <c r="A179" s="16" t="s">
        <v>30</v>
      </c>
      <c r="B179" s="16">
        <v>171080</v>
      </c>
      <c r="C179" s="16">
        <v>172315</v>
      </c>
      <c r="E179" s="16" t="s">
        <v>48</v>
      </c>
      <c r="F179" s="16" t="s">
        <v>586</v>
      </c>
      <c r="G179" s="16" t="s">
        <v>587</v>
      </c>
      <c r="I179" s="16" t="s">
        <v>50</v>
      </c>
      <c r="L179" s="16" t="s">
        <v>588</v>
      </c>
      <c r="M179" s="16" t="s">
        <v>586</v>
      </c>
      <c r="N179" s="16">
        <v>411</v>
      </c>
      <c r="O179" s="16" t="s">
        <v>589</v>
      </c>
    </row>
    <row r="180" spans="1:15" ht="15.75" customHeight="1" x14ac:dyDescent="0.25">
      <c r="A180" s="16" t="s">
        <v>30</v>
      </c>
      <c r="B180" s="16">
        <v>172459</v>
      </c>
      <c r="C180" s="16">
        <v>173499</v>
      </c>
      <c r="E180" s="16" t="s">
        <v>48</v>
      </c>
      <c r="F180" s="16" t="s">
        <v>590</v>
      </c>
      <c r="I180" s="16" t="s">
        <v>50</v>
      </c>
      <c r="L180" s="16" t="s">
        <v>591</v>
      </c>
      <c r="M180" s="16" t="s">
        <v>590</v>
      </c>
      <c r="N180" s="16">
        <v>346</v>
      </c>
      <c r="O180" s="16" t="s">
        <v>592</v>
      </c>
    </row>
    <row r="181" spans="1:15" ht="15.75" customHeight="1" x14ac:dyDescent="0.25">
      <c r="A181" s="16" t="s">
        <v>30</v>
      </c>
      <c r="B181" s="16">
        <v>173502</v>
      </c>
      <c r="C181" s="16">
        <v>173762</v>
      </c>
      <c r="E181" s="16" t="s">
        <v>48</v>
      </c>
      <c r="F181" s="16" t="s">
        <v>593</v>
      </c>
      <c r="G181" s="16" t="s">
        <v>594</v>
      </c>
      <c r="I181" s="16" t="s">
        <v>50</v>
      </c>
      <c r="L181" s="16" t="s">
        <v>595</v>
      </c>
      <c r="M181" s="16" t="s">
        <v>593</v>
      </c>
      <c r="N181" s="16">
        <v>86</v>
      </c>
      <c r="O181" s="16" t="s">
        <v>596</v>
      </c>
    </row>
    <row r="182" spans="1:15" ht="15.75" customHeight="1" x14ac:dyDescent="0.25">
      <c r="A182" s="16" t="s">
        <v>30</v>
      </c>
      <c r="B182" s="16">
        <v>173879</v>
      </c>
      <c r="C182" s="16">
        <v>175030</v>
      </c>
      <c r="E182" s="16" t="s">
        <v>48</v>
      </c>
      <c r="F182" s="16" t="s">
        <v>597</v>
      </c>
      <c r="G182" s="16" t="s">
        <v>598</v>
      </c>
      <c r="I182" s="16" t="s">
        <v>50</v>
      </c>
      <c r="L182" s="16" t="s">
        <v>599</v>
      </c>
      <c r="M182" s="16" t="s">
        <v>597</v>
      </c>
      <c r="N182" s="16">
        <v>383</v>
      </c>
      <c r="O182" s="16" t="s">
        <v>600</v>
      </c>
    </row>
    <row r="183" spans="1:15" ht="15.75" customHeight="1" x14ac:dyDescent="0.25">
      <c r="A183" s="16" t="s">
        <v>30</v>
      </c>
      <c r="B183" s="16">
        <v>175074</v>
      </c>
      <c r="C183" s="16">
        <v>175808</v>
      </c>
      <c r="E183" s="16" t="s">
        <v>57</v>
      </c>
      <c r="F183" s="16" t="s">
        <v>601</v>
      </c>
      <c r="G183" s="16" t="s">
        <v>602</v>
      </c>
      <c r="I183" s="16" t="s">
        <v>50</v>
      </c>
      <c r="L183" s="16" t="s">
        <v>603</v>
      </c>
      <c r="M183" s="16" t="s">
        <v>601</v>
      </c>
      <c r="N183" s="16">
        <v>244</v>
      </c>
      <c r="O183" s="16" t="s">
        <v>604</v>
      </c>
    </row>
    <row r="184" spans="1:15" ht="15.75" customHeight="1" x14ac:dyDescent="0.25">
      <c r="A184" s="16" t="s">
        <v>30</v>
      </c>
      <c r="B184" s="16">
        <v>175810</v>
      </c>
      <c r="C184" s="16">
        <v>176784</v>
      </c>
      <c r="E184" s="16" t="s">
        <v>57</v>
      </c>
      <c r="F184" s="16" t="s">
        <v>605</v>
      </c>
      <c r="G184" s="16" t="s">
        <v>606</v>
      </c>
      <c r="I184" s="16" t="s">
        <v>50</v>
      </c>
      <c r="L184" s="16" t="s">
        <v>607</v>
      </c>
      <c r="M184" s="16" t="s">
        <v>605</v>
      </c>
      <c r="N184" s="16">
        <v>324</v>
      </c>
      <c r="O184" s="16" t="s">
        <v>608</v>
      </c>
    </row>
    <row r="185" spans="1:15" ht="15.75" customHeight="1" x14ac:dyDescent="0.25">
      <c r="A185" s="16" t="s">
        <v>30</v>
      </c>
      <c r="B185" s="16">
        <v>176892</v>
      </c>
      <c r="C185" s="16">
        <v>177680</v>
      </c>
      <c r="E185" s="16" t="s">
        <v>48</v>
      </c>
      <c r="F185" s="16" t="s">
        <v>609</v>
      </c>
      <c r="I185" s="16" t="s">
        <v>50</v>
      </c>
      <c r="L185" s="16" t="s">
        <v>610</v>
      </c>
      <c r="M185" s="16" t="s">
        <v>609</v>
      </c>
      <c r="N185" s="16">
        <v>262</v>
      </c>
      <c r="O185" s="16" t="s">
        <v>611</v>
      </c>
    </row>
    <row r="186" spans="1:15" ht="15.75" customHeight="1" x14ac:dyDescent="0.25">
      <c r="A186" s="16" t="s">
        <v>30</v>
      </c>
      <c r="B186" s="16">
        <v>177759</v>
      </c>
      <c r="C186" s="16">
        <v>178241</v>
      </c>
      <c r="E186" s="16" t="s">
        <v>57</v>
      </c>
      <c r="F186" s="16" t="s">
        <v>612</v>
      </c>
      <c r="I186" s="16" t="s">
        <v>50</v>
      </c>
      <c r="L186" s="16" t="s">
        <v>613</v>
      </c>
      <c r="M186" s="16" t="s">
        <v>612</v>
      </c>
      <c r="N186" s="16">
        <v>160</v>
      </c>
      <c r="O186" s="16" t="s">
        <v>614</v>
      </c>
    </row>
    <row r="187" spans="1:15" ht="15.75" customHeight="1" x14ac:dyDescent="0.25">
      <c r="A187" s="16" t="s">
        <v>30</v>
      </c>
      <c r="B187" s="16">
        <v>178273</v>
      </c>
      <c r="C187" s="16">
        <v>179013</v>
      </c>
      <c r="E187" s="16" t="s">
        <v>57</v>
      </c>
      <c r="F187" s="16" t="s">
        <v>615</v>
      </c>
      <c r="G187" s="16" t="s">
        <v>616</v>
      </c>
      <c r="I187" s="16" t="s">
        <v>50</v>
      </c>
      <c r="L187" s="16" t="s">
        <v>617</v>
      </c>
      <c r="M187" s="16" t="s">
        <v>615</v>
      </c>
      <c r="N187" s="16">
        <v>246</v>
      </c>
      <c r="O187" s="16" t="s">
        <v>618</v>
      </c>
    </row>
    <row r="188" spans="1:15" ht="15.75" customHeight="1" x14ac:dyDescent="0.25">
      <c r="A188" s="16" t="s">
        <v>30</v>
      </c>
      <c r="B188" s="16">
        <v>179138</v>
      </c>
      <c r="C188" s="16">
        <v>181450</v>
      </c>
      <c r="E188" s="16" t="s">
        <v>57</v>
      </c>
      <c r="F188" s="16" t="s">
        <v>619</v>
      </c>
      <c r="G188" s="16" t="s">
        <v>620</v>
      </c>
      <c r="I188" s="16" t="s">
        <v>50</v>
      </c>
      <c r="L188" s="16" t="s">
        <v>621</v>
      </c>
      <c r="M188" s="16" t="s">
        <v>619</v>
      </c>
      <c r="N188" s="16">
        <v>770</v>
      </c>
      <c r="O188" s="16" t="s">
        <v>622</v>
      </c>
    </row>
    <row r="189" spans="1:15" ht="15.75" customHeight="1" x14ac:dyDescent="0.25">
      <c r="A189" s="16" t="s">
        <v>30</v>
      </c>
      <c r="B189" s="16">
        <v>181488</v>
      </c>
      <c r="C189" s="16">
        <v>182342</v>
      </c>
      <c r="E189" s="16" t="s">
        <v>57</v>
      </c>
      <c r="F189" s="16" t="s">
        <v>623</v>
      </c>
      <c r="G189" s="16" t="s">
        <v>624</v>
      </c>
      <c r="I189" s="16" t="s">
        <v>50</v>
      </c>
      <c r="L189" s="16" t="s">
        <v>625</v>
      </c>
      <c r="M189" s="16" t="s">
        <v>623</v>
      </c>
      <c r="N189" s="16">
        <v>284</v>
      </c>
      <c r="O189" s="16" t="s">
        <v>626</v>
      </c>
    </row>
    <row r="190" spans="1:15" ht="15.75" customHeight="1" x14ac:dyDescent="0.25">
      <c r="A190" s="16" t="s">
        <v>30</v>
      </c>
      <c r="B190" s="16">
        <v>182847</v>
      </c>
      <c r="C190" s="16">
        <v>183761</v>
      </c>
      <c r="E190" s="16" t="s">
        <v>48</v>
      </c>
      <c r="F190" s="16" t="s">
        <v>627</v>
      </c>
      <c r="G190" s="16" t="s">
        <v>628</v>
      </c>
      <c r="I190" s="16" t="s">
        <v>50</v>
      </c>
      <c r="L190" s="16" t="s">
        <v>629</v>
      </c>
      <c r="M190" s="16" t="s">
        <v>627</v>
      </c>
      <c r="N190" s="16">
        <v>304</v>
      </c>
      <c r="O190" s="16" t="s">
        <v>630</v>
      </c>
    </row>
    <row r="191" spans="1:15" ht="15.75" customHeight="1" x14ac:dyDescent="0.25">
      <c r="A191" s="16" t="s">
        <v>30</v>
      </c>
      <c r="B191" s="16">
        <v>183946</v>
      </c>
      <c r="C191" s="16">
        <v>185385</v>
      </c>
      <c r="E191" s="16" t="s">
        <v>48</v>
      </c>
      <c r="F191" s="16" t="s">
        <v>631</v>
      </c>
      <c r="I191" s="16" t="s">
        <v>50</v>
      </c>
      <c r="L191" s="16" t="s">
        <v>632</v>
      </c>
      <c r="M191" s="16" t="s">
        <v>631</v>
      </c>
      <c r="N191" s="16">
        <v>479</v>
      </c>
      <c r="O191" s="16" t="s">
        <v>633</v>
      </c>
    </row>
    <row r="192" spans="1:15" ht="15.75" customHeight="1" x14ac:dyDescent="0.25">
      <c r="A192" s="16" t="s">
        <v>30</v>
      </c>
      <c r="B192" s="16">
        <v>185570</v>
      </c>
      <c r="C192" s="16">
        <v>186397</v>
      </c>
      <c r="E192" s="16" t="s">
        <v>57</v>
      </c>
      <c r="F192" s="16" t="s">
        <v>634</v>
      </c>
      <c r="G192" s="16" t="s">
        <v>635</v>
      </c>
      <c r="I192" s="16" t="s">
        <v>50</v>
      </c>
      <c r="L192" s="16" t="s">
        <v>636</v>
      </c>
      <c r="M192" s="16" t="s">
        <v>634</v>
      </c>
      <c r="N192" s="16">
        <v>275</v>
      </c>
      <c r="O192" s="16" t="s">
        <v>637</v>
      </c>
    </row>
    <row r="193" spans="1:15" ht="15.75" customHeight="1" x14ac:dyDescent="0.25">
      <c r="A193" s="16" t="s">
        <v>30</v>
      </c>
      <c r="B193" s="16">
        <v>186406</v>
      </c>
      <c r="C193" s="16">
        <v>187515</v>
      </c>
      <c r="E193" s="16" t="s">
        <v>57</v>
      </c>
      <c r="F193" s="16" t="s">
        <v>638</v>
      </c>
      <c r="I193" s="16" t="s">
        <v>50</v>
      </c>
      <c r="L193" s="16" t="s">
        <v>639</v>
      </c>
      <c r="M193" s="16" t="s">
        <v>638</v>
      </c>
      <c r="N193" s="16">
        <v>369</v>
      </c>
      <c r="O193" s="16" t="s">
        <v>640</v>
      </c>
    </row>
    <row r="194" spans="1:15" ht="15.75" customHeight="1" x14ac:dyDescent="0.25">
      <c r="A194" s="16" t="s">
        <v>30</v>
      </c>
      <c r="B194" s="16">
        <v>187665</v>
      </c>
      <c r="C194" s="16">
        <v>188072</v>
      </c>
      <c r="E194" s="16" t="s">
        <v>48</v>
      </c>
      <c r="F194" s="16" t="s">
        <v>641</v>
      </c>
      <c r="I194" s="16" t="s">
        <v>50</v>
      </c>
      <c r="L194" s="16" t="s">
        <v>642</v>
      </c>
      <c r="M194" s="16" t="s">
        <v>641</v>
      </c>
      <c r="N194" s="16">
        <v>135</v>
      </c>
      <c r="O194" s="16" t="s">
        <v>643</v>
      </c>
    </row>
    <row r="195" spans="1:15" ht="15.75" customHeight="1" x14ac:dyDescent="0.25">
      <c r="A195" s="16" t="s">
        <v>30</v>
      </c>
      <c r="B195" s="16">
        <v>188290</v>
      </c>
      <c r="C195" s="16">
        <v>188517</v>
      </c>
      <c r="E195" s="16" t="s">
        <v>48</v>
      </c>
      <c r="F195" s="16" t="s">
        <v>644</v>
      </c>
      <c r="G195" s="16" t="s">
        <v>645</v>
      </c>
      <c r="I195" s="16" t="s">
        <v>50</v>
      </c>
      <c r="L195" s="16" t="s">
        <v>646</v>
      </c>
      <c r="M195" s="16" t="s">
        <v>644</v>
      </c>
      <c r="N195" s="16">
        <v>75</v>
      </c>
      <c r="O195" s="16" t="s">
        <v>647</v>
      </c>
    </row>
    <row r="196" spans="1:15" ht="15.75" customHeight="1" x14ac:dyDescent="0.25">
      <c r="A196" s="16" t="s">
        <v>30</v>
      </c>
      <c r="B196" s="16">
        <v>188521</v>
      </c>
      <c r="C196" s="16">
        <v>189081</v>
      </c>
      <c r="E196" s="16" t="s">
        <v>48</v>
      </c>
      <c r="F196" s="16" t="s">
        <v>648</v>
      </c>
      <c r="G196" s="16" t="s">
        <v>649</v>
      </c>
      <c r="I196" s="16" t="s">
        <v>50</v>
      </c>
      <c r="L196" s="16" t="s">
        <v>650</v>
      </c>
      <c r="M196" s="16" t="s">
        <v>648</v>
      </c>
      <c r="N196" s="16">
        <v>186</v>
      </c>
      <c r="O196" s="16" t="s">
        <v>651</v>
      </c>
    </row>
    <row r="197" spans="1:15" ht="15.75" customHeight="1" x14ac:dyDescent="0.25">
      <c r="A197" s="16" t="s">
        <v>30</v>
      </c>
      <c r="B197" s="16">
        <v>189091</v>
      </c>
      <c r="C197" s="16">
        <v>189861</v>
      </c>
      <c r="E197" s="16" t="s">
        <v>48</v>
      </c>
      <c r="F197" s="16" t="s">
        <v>652</v>
      </c>
      <c r="G197" s="16" t="s">
        <v>653</v>
      </c>
      <c r="I197" s="16" t="s">
        <v>50</v>
      </c>
      <c r="L197" s="16" t="s">
        <v>654</v>
      </c>
      <c r="M197" s="16" t="s">
        <v>652</v>
      </c>
      <c r="N197" s="16">
        <v>256</v>
      </c>
      <c r="O197" s="16" t="s">
        <v>655</v>
      </c>
    </row>
    <row r="198" spans="1:15" ht="15.75" customHeight="1" x14ac:dyDescent="0.25">
      <c r="A198" s="16" t="s">
        <v>30</v>
      </c>
      <c r="B198" s="16">
        <v>190222</v>
      </c>
      <c r="C198" s="16">
        <v>191571</v>
      </c>
      <c r="E198" s="16" t="s">
        <v>48</v>
      </c>
      <c r="F198" s="16" t="s">
        <v>656</v>
      </c>
      <c r="G198" s="16" t="s">
        <v>657</v>
      </c>
      <c r="I198" s="16" t="s">
        <v>50</v>
      </c>
      <c r="L198" s="16" t="s">
        <v>658</v>
      </c>
      <c r="M198" s="16" t="s">
        <v>656</v>
      </c>
      <c r="N198" s="16">
        <v>449</v>
      </c>
      <c r="O198" s="16" t="s">
        <v>659</v>
      </c>
    </row>
    <row r="199" spans="1:15" ht="15.75" customHeight="1" x14ac:dyDescent="0.25">
      <c r="A199" s="16" t="s">
        <v>30</v>
      </c>
      <c r="B199" s="16">
        <v>191679</v>
      </c>
      <c r="C199" s="16">
        <v>192119</v>
      </c>
      <c r="E199" s="16" t="s">
        <v>57</v>
      </c>
      <c r="F199" s="16" t="s">
        <v>660</v>
      </c>
      <c r="G199" s="16" t="s">
        <v>661</v>
      </c>
      <c r="I199" s="16" t="s">
        <v>50</v>
      </c>
      <c r="L199" s="16" t="s">
        <v>662</v>
      </c>
      <c r="M199" s="16" t="s">
        <v>660</v>
      </c>
      <c r="N199" s="16">
        <v>146</v>
      </c>
      <c r="O199" s="16" t="s">
        <v>663</v>
      </c>
    </row>
    <row r="200" spans="1:15" ht="15.75" customHeight="1" x14ac:dyDescent="0.25">
      <c r="A200" s="16" t="s">
        <v>30</v>
      </c>
      <c r="B200" s="16">
        <v>192148</v>
      </c>
      <c r="C200" s="16">
        <v>192672</v>
      </c>
      <c r="E200" s="16" t="s">
        <v>57</v>
      </c>
      <c r="F200" s="16" t="s">
        <v>664</v>
      </c>
      <c r="G200" s="16" t="s">
        <v>665</v>
      </c>
      <c r="I200" s="16" t="s">
        <v>50</v>
      </c>
      <c r="L200" s="16" t="s">
        <v>666</v>
      </c>
      <c r="M200" s="16" t="s">
        <v>664</v>
      </c>
      <c r="N200" s="16">
        <v>174</v>
      </c>
      <c r="O200" s="16" t="s">
        <v>667</v>
      </c>
    </row>
    <row r="201" spans="1:15" ht="15.75" customHeight="1" x14ac:dyDescent="0.25">
      <c r="A201" s="16" t="s">
        <v>30</v>
      </c>
      <c r="B201" s="16">
        <v>192769</v>
      </c>
      <c r="C201" s="16">
        <v>193551</v>
      </c>
      <c r="E201" s="16" t="s">
        <v>57</v>
      </c>
      <c r="F201" s="16" t="s">
        <v>668</v>
      </c>
      <c r="I201" s="16" t="s">
        <v>50</v>
      </c>
      <c r="L201" s="16" t="s">
        <v>669</v>
      </c>
      <c r="M201" s="16" t="s">
        <v>668</v>
      </c>
      <c r="N201" s="16">
        <v>260</v>
      </c>
      <c r="O201" s="16" t="s">
        <v>670</v>
      </c>
    </row>
    <row r="202" spans="1:15" ht="15.75" customHeight="1" x14ac:dyDescent="0.25">
      <c r="A202" s="16" t="s">
        <v>30</v>
      </c>
      <c r="B202" s="16">
        <v>193622</v>
      </c>
      <c r="C202" s="16">
        <v>194227</v>
      </c>
      <c r="E202" s="16" t="s">
        <v>48</v>
      </c>
      <c r="F202" s="16" t="s">
        <v>671</v>
      </c>
      <c r="G202" s="16" t="s">
        <v>672</v>
      </c>
      <c r="I202" s="16" t="s">
        <v>50</v>
      </c>
      <c r="L202" s="16" t="s">
        <v>673</v>
      </c>
      <c r="M202" s="16" t="s">
        <v>671</v>
      </c>
      <c r="N202" s="16">
        <v>201</v>
      </c>
      <c r="O202" s="16" t="s">
        <v>674</v>
      </c>
    </row>
    <row r="203" spans="1:15" ht="15.75" customHeight="1" x14ac:dyDescent="0.25">
      <c r="A203" s="16" t="s">
        <v>30</v>
      </c>
      <c r="B203" s="16">
        <v>194230</v>
      </c>
      <c r="C203" s="16">
        <v>195588</v>
      </c>
      <c r="E203" s="16" t="s">
        <v>48</v>
      </c>
      <c r="F203" s="16" t="s">
        <v>675</v>
      </c>
      <c r="G203" s="16" t="s">
        <v>676</v>
      </c>
      <c r="I203" s="16" t="s">
        <v>50</v>
      </c>
      <c r="L203" s="16" t="s">
        <v>677</v>
      </c>
      <c r="M203" s="16" t="s">
        <v>675</v>
      </c>
      <c r="N203" s="16">
        <v>452</v>
      </c>
      <c r="O203" s="16" t="s">
        <v>678</v>
      </c>
    </row>
    <row r="204" spans="1:15" ht="15.75" customHeight="1" x14ac:dyDescent="0.25">
      <c r="A204" s="16" t="s">
        <v>30</v>
      </c>
      <c r="B204" s="16">
        <v>195631</v>
      </c>
      <c r="C204" s="16">
        <v>198954</v>
      </c>
      <c r="E204" s="16" t="s">
        <v>48</v>
      </c>
      <c r="F204" s="16" t="s">
        <v>679</v>
      </c>
      <c r="G204" s="16" t="s">
        <v>680</v>
      </c>
      <c r="I204" s="16" t="s">
        <v>50</v>
      </c>
      <c r="L204" s="16" t="s">
        <v>681</v>
      </c>
      <c r="M204" s="16" t="s">
        <v>679</v>
      </c>
      <c r="N204" s="16">
        <v>1107</v>
      </c>
      <c r="O204" s="16" t="s">
        <v>682</v>
      </c>
    </row>
    <row r="205" spans="1:15" ht="15.75" customHeight="1" x14ac:dyDescent="0.25">
      <c r="A205" s="16" t="s">
        <v>30</v>
      </c>
      <c r="B205" s="16">
        <v>198964</v>
      </c>
      <c r="C205" s="16">
        <v>200037</v>
      </c>
      <c r="E205" s="16" t="s">
        <v>48</v>
      </c>
      <c r="F205" s="16" t="s">
        <v>683</v>
      </c>
      <c r="G205" s="16" t="s">
        <v>684</v>
      </c>
      <c r="I205" s="16" t="s">
        <v>50</v>
      </c>
      <c r="L205" s="16" t="s">
        <v>685</v>
      </c>
      <c r="M205" s="16" t="s">
        <v>683</v>
      </c>
      <c r="N205" s="16">
        <v>357</v>
      </c>
      <c r="O205" s="16" t="s">
        <v>686</v>
      </c>
    </row>
    <row r="206" spans="1:15" ht="15.75" customHeight="1" x14ac:dyDescent="0.25">
      <c r="A206" s="16" t="s">
        <v>30</v>
      </c>
      <c r="B206" s="16">
        <v>200263</v>
      </c>
      <c r="C206" s="16">
        <v>201123</v>
      </c>
      <c r="E206" s="16" t="s">
        <v>48</v>
      </c>
      <c r="F206" s="16" t="s">
        <v>687</v>
      </c>
      <c r="G206" s="16" t="s">
        <v>688</v>
      </c>
      <c r="I206" s="16" t="s">
        <v>50</v>
      </c>
      <c r="L206" s="16" t="s">
        <v>689</v>
      </c>
      <c r="M206" s="16" t="s">
        <v>687</v>
      </c>
      <c r="N206" s="16">
        <v>286</v>
      </c>
      <c r="O206" s="16" t="s">
        <v>690</v>
      </c>
    </row>
    <row r="207" spans="1:15" ht="15.75" customHeight="1" x14ac:dyDescent="0.25">
      <c r="A207" s="16" t="s">
        <v>30</v>
      </c>
      <c r="B207" s="16">
        <v>201141</v>
      </c>
      <c r="C207" s="16">
        <v>201908</v>
      </c>
      <c r="E207" s="16" t="s">
        <v>48</v>
      </c>
      <c r="F207" s="16" t="s">
        <v>691</v>
      </c>
      <c r="I207" s="16" t="s">
        <v>50</v>
      </c>
      <c r="L207" s="16" t="s">
        <v>692</v>
      </c>
      <c r="M207" s="16" t="s">
        <v>691</v>
      </c>
      <c r="N207" s="16">
        <v>255</v>
      </c>
      <c r="O207" s="16" t="s">
        <v>693</v>
      </c>
    </row>
    <row r="208" spans="1:15" ht="15.75" customHeight="1" x14ac:dyDescent="0.25">
      <c r="A208" s="16" t="s">
        <v>30</v>
      </c>
      <c r="B208" s="16">
        <v>201955</v>
      </c>
      <c r="C208" s="16">
        <v>202911</v>
      </c>
      <c r="E208" s="16" t="s">
        <v>48</v>
      </c>
      <c r="F208" s="16" t="s">
        <v>694</v>
      </c>
      <c r="G208" s="16" t="s">
        <v>695</v>
      </c>
      <c r="I208" s="16" t="s">
        <v>50</v>
      </c>
      <c r="L208" s="16" t="s">
        <v>696</v>
      </c>
      <c r="M208" s="16" t="s">
        <v>694</v>
      </c>
      <c r="N208" s="16">
        <v>318</v>
      </c>
      <c r="O208" s="16" t="s">
        <v>697</v>
      </c>
    </row>
    <row r="209" spans="1:15" ht="15.75" customHeight="1" x14ac:dyDescent="0.25">
      <c r="A209" s="16" t="s">
        <v>30</v>
      </c>
      <c r="B209" s="16">
        <v>202969</v>
      </c>
      <c r="C209" s="16">
        <v>204009</v>
      </c>
      <c r="E209" s="16" t="s">
        <v>48</v>
      </c>
      <c r="F209" s="16" t="s">
        <v>698</v>
      </c>
      <c r="G209" s="16" t="s">
        <v>699</v>
      </c>
      <c r="I209" s="16" t="s">
        <v>50</v>
      </c>
      <c r="L209" s="16" t="s">
        <v>700</v>
      </c>
      <c r="M209" s="16" t="s">
        <v>698</v>
      </c>
      <c r="N209" s="16">
        <v>346</v>
      </c>
      <c r="O209" s="16" t="s">
        <v>701</v>
      </c>
    </row>
    <row r="210" spans="1:15" ht="15.75" customHeight="1" x14ac:dyDescent="0.25">
      <c r="A210" s="16" t="s">
        <v>30</v>
      </c>
      <c r="B210" s="16">
        <v>204118</v>
      </c>
      <c r="C210" s="16">
        <v>204468</v>
      </c>
      <c r="E210" s="16" t="s">
        <v>57</v>
      </c>
      <c r="F210" s="16" t="s">
        <v>702</v>
      </c>
      <c r="G210" s="16" t="s">
        <v>703</v>
      </c>
      <c r="I210" s="16" t="s">
        <v>50</v>
      </c>
      <c r="L210" s="16" t="s">
        <v>704</v>
      </c>
      <c r="M210" s="16" t="s">
        <v>702</v>
      </c>
      <c r="N210" s="16">
        <v>116</v>
      </c>
      <c r="O210" s="16" t="s">
        <v>705</v>
      </c>
    </row>
    <row r="211" spans="1:15" ht="15.75" customHeight="1" x14ac:dyDescent="0.25">
      <c r="A211" s="16" t="s">
        <v>30</v>
      </c>
      <c r="B211" s="16">
        <v>204505</v>
      </c>
      <c r="C211" s="16">
        <v>205245</v>
      </c>
      <c r="E211" s="16" t="s">
        <v>57</v>
      </c>
      <c r="F211" s="16" t="s">
        <v>706</v>
      </c>
      <c r="G211" s="16" t="s">
        <v>707</v>
      </c>
      <c r="I211" s="16" t="s">
        <v>50</v>
      </c>
      <c r="L211" s="16" t="s">
        <v>708</v>
      </c>
      <c r="M211" s="16" t="s">
        <v>706</v>
      </c>
      <c r="N211" s="16">
        <v>246</v>
      </c>
      <c r="O211" s="16" t="s">
        <v>709</v>
      </c>
    </row>
    <row r="212" spans="1:15" ht="15.75" customHeight="1" x14ac:dyDescent="0.25">
      <c r="A212" s="16" t="s">
        <v>30</v>
      </c>
      <c r="B212" s="16">
        <v>205283</v>
      </c>
      <c r="C212" s="16">
        <v>205810</v>
      </c>
      <c r="E212" s="16" t="s">
        <v>57</v>
      </c>
      <c r="F212" s="16" t="s">
        <v>710</v>
      </c>
      <c r="G212" s="16" t="s">
        <v>711</v>
      </c>
      <c r="I212" s="16" t="s">
        <v>50</v>
      </c>
      <c r="L212" s="16" t="s">
        <v>712</v>
      </c>
      <c r="M212" s="16" t="s">
        <v>710</v>
      </c>
      <c r="N212" s="16">
        <v>175</v>
      </c>
      <c r="O212" s="16" t="s">
        <v>713</v>
      </c>
    </row>
    <row r="213" spans="1:15" ht="15.75" customHeight="1" x14ac:dyDescent="0.25">
      <c r="A213" s="16" t="s">
        <v>30</v>
      </c>
      <c r="B213" s="16">
        <v>205855</v>
      </c>
      <c r="C213" s="16">
        <v>206103</v>
      </c>
      <c r="E213" s="16" t="s">
        <v>57</v>
      </c>
      <c r="F213" s="16" t="s">
        <v>714</v>
      </c>
      <c r="G213" s="16" t="s">
        <v>715</v>
      </c>
      <c r="I213" s="16" t="s">
        <v>50</v>
      </c>
      <c r="L213" s="16" t="s">
        <v>716</v>
      </c>
      <c r="M213" s="16" t="s">
        <v>714</v>
      </c>
      <c r="N213" s="16">
        <v>82</v>
      </c>
      <c r="O213" s="16" t="s">
        <v>717</v>
      </c>
    </row>
    <row r="214" spans="1:15" ht="15.75" customHeight="1" x14ac:dyDescent="0.25">
      <c r="A214" s="16" t="s">
        <v>30</v>
      </c>
      <c r="B214" s="16">
        <v>206395</v>
      </c>
      <c r="C214" s="16">
        <v>207168</v>
      </c>
      <c r="E214" s="16" t="s">
        <v>48</v>
      </c>
      <c r="F214" s="16" t="s">
        <v>135</v>
      </c>
      <c r="I214" s="16" t="s">
        <v>50</v>
      </c>
      <c r="L214" s="16" t="s">
        <v>718</v>
      </c>
      <c r="M214" s="16" t="s">
        <v>135</v>
      </c>
      <c r="N214" s="16">
        <v>257</v>
      </c>
      <c r="O214" s="16" t="s">
        <v>719</v>
      </c>
    </row>
    <row r="215" spans="1:15" ht="15.75" customHeight="1" x14ac:dyDescent="0.25">
      <c r="A215" s="16" t="s">
        <v>30</v>
      </c>
      <c r="B215" s="16">
        <v>207191</v>
      </c>
      <c r="C215" s="16">
        <v>209002</v>
      </c>
      <c r="E215" s="16" t="s">
        <v>48</v>
      </c>
      <c r="F215" s="16" t="s">
        <v>720</v>
      </c>
      <c r="G215" s="16" t="s">
        <v>721</v>
      </c>
      <c r="I215" s="16" t="s">
        <v>50</v>
      </c>
      <c r="L215" s="16" t="s">
        <v>722</v>
      </c>
      <c r="M215" s="16" t="s">
        <v>720</v>
      </c>
      <c r="N215" s="16">
        <v>603</v>
      </c>
      <c r="O215" s="16" t="s">
        <v>723</v>
      </c>
    </row>
    <row r="216" spans="1:15" ht="15.75" customHeight="1" x14ac:dyDescent="0.25">
      <c r="A216" s="16" t="s">
        <v>30</v>
      </c>
      <c r="B216" s="16">
        <v>209287</v>
      </c>
      <c r="C216" s="16">
        <v>209829</v>
      </c>
      <c r="E216" s="16" t="s">
        <v>48</v>
      </c>
      <c r="F216" s="16" t="s">
        <v>724</v>
      </c>
      <c r="G216" s="16" t="s">
        <v>725</v>
      </c>
      <c r="I216" s="16" t="s">
        <v>50</v>
      </c>
      <c r="L216" s="16" t="s">
        <v>726</v>
      </c>
      <c r="M216" s="16" t="s">
        <v>724</v>
      </c>
      <c r="N216" s="16">
        <v>180</v>
      </c>
      <c r="O216" s="16" t="s">
        <v>727</v>
      </c>
    </row>
    <row r="217" spans="1:15" ht="15.75" customHeight="1" x14ac:dyDescent="0.25">
      <c r="A217" s="16" t="s">
        <v>30</v>
      </c>
      <c r="B217" s="16">
        <v>209849</v>
      </c>
      <c r="C217" s="16">
        <v>210937</v>
      </c>
      <c r="E217" s="16" t="s">
        <v>48</v>
      </c>
      <c r="F217" s="16" t="s">
        <v>728</v>
      </c>
      <c r="G217" s="16" t="s">
        <v>729</v>
      </c>
      <c r="I217" s="16" t="s">
        <v>50</v>
      </c>
      <c r="L217" s="16" t="s">
        <v>730</v>
      </c>
      <c r="M217" s="16" t="s">
        <v>728</v>
      </c>
      <c r="N217" s="16">
        <v>362</v>
      </c>
      <c r="O217" s="16" t="s">
        <v>731</v>
      </c>
    </row>
    <row r="218" spans="1:15" ht="15.75" customHeight="1" x14ac:dyDescent="0.25">
      <c r="A218" s="16" t="s">
        <v>30</v>
      </c>
      <c r="B218" s="16">
        <v>210939</v>
      </c>
      <c r="C218" s="16">
        <v>211799</v>
      </c>
      <c r="E218" s="16" t="s">
        <v>48</v>
      </c>
      <c r="F218" s="16" t="s">
        <v>732</v>
      </c>
      <c r="I218" s="16" t="s">
        <v>50</v>
      </c>
      <c r="L218" s="16" t="s">
        <v>733</v>
      </c>
      <c r="M218" s="16" t="s">
        <v>732</v>
      </c>
      <c r="N218" s="16">
        <v>286</v>
      </c>
      <c r="O218" s="16" t="s">
        <v>734</v>
      </c>
    </row>
    <row r="219" spans="1:15" ht="15.75" customHeight="1" x14ac:dyDescent="0.25">
      <c r="A219" s="16" t="s">
        <v>30</v>
      </c>
      <c r="B219" s="16">
        <v>212890</v>
      </c>
      <c r="C219" s="16">
        <v>213615</v>
      </c>
      <c r="E219" s="16" t="s">
        <v>57</v>
      </c>
      <c r="F219" s="16" t="s">
        <v>735</v>
      </c>
      <c r="I219" s="16" t="s">
        <v>50</v>
      </c>
      <c r="L219" s="16" t="s">
        <v>736</v>
      </c>
      <c r="M219" s="16" t="s">
        <v>735</v>
      </c>
      <c r="N219" s="16">
        <v>241</v>
      </c>
      <c r="O219" s="16" t="s">
        <v>737</v>
      </c>
    </row>
    <row r="220" spans="1:15" ht="15.75" customHeight="1" x14ac:dyDescent="0.25">
      <c r="A220" s="16" t="s">
        <v>30</v>
      </c>
      <c r="B220" s="16">
        <v>213685</v>
      </c>
      <c r="C220" s="16">
        <v>214335</v>
      </c>
      <c r="E220" s="16" t="s">
        <v>48</v>
      </c>
      <c r="F220" s="16" t="s">
        <v>738</v>
      </c>
      <c r="G220" s="16" t="s">
        <v>739</v>
      </c>
      <c r="I220" s="16" t="s">
        <v>50</v>
      </c>
      <c r="L220" s="16" t="s">
        <v>740</v>
      </c>
      <c r="M220" s="16" t="s">
        <v>738</v>
      </c>
      <c r="N220" s="16">
        <v>216</v>
      </c>
      <c r="O220" s="16" t="s">
        <v>741</v>
      </c>
    </row>
    <row r="221" spans="1:15" ht="15.75" customHeight="1" x14ac:dyDescent="0.25">
      <c r="A221" s="16" t="s">
        <v>30</v>
      </c>
      <c r="B221" s="16">
        <v>214651</v>
      </c>
      <c r="C221" s="16">
        <v>216195</v>
      </c>
      <c r="E221" s="16" t="s">
        <v>57</v>
      </c>
      <c r="F221" s="16" t="s">
        <v>742</v>
      </c>
      <c r="I221" s="16" t="s">
        <v>50</v>
      </c>
      <c r="L221" s="16" t="s">
        <v>743</v>
      </c>
      <c r="M221" s="16" t="s">
        <v>742</v>
      </c>
      <c r="N221" s="16">
        <v>514</v>
      </c>
      <c r="O221" s="16" t="s">
        <v>744</v>
      </c>
    </row>
    <row r="222" spans="1:15" ht="15.75" customHeight="1" x14ac:dyDescent="0.25">
      <c r="A222" s="16" t="s">
        <v>30</v>
      </c>
      <c r="B222" s="16">
        <v>216188</v>
      </c>
      <c r="C222" s="16">
        <v>216550</v>
      </c>
      <c r="E222" s="16" t="s">
        <v>57</v>
      </c>
      <c r="F222" s="16" t="s">
        <v>745</v>
      </c>
      <c r="I222" s="16" t="s">
        <v>50</v>
      </c>
      <c r="L222" s="16" t="s">
        <v>746</v>
      </c>
      <c r="M222" s="16" t="s">
        <v>745</v>
      </c>
      <c r="N222" s="16">
        <v>120</v>
      </c>
      <c r="O222" s="16" t="s">
        <v>747</v>
      </c>
    </row>
    <row r="223" spans="1:15" ht="15.75" customHeight="1" x14ac:dyDescent="0.25">
      <c r="A223" s="16" t="s">
        <v>30</v>
      </c>
      <c r="B223" s="16">
        <v>216675</v>
      </c>
      <c r="C223" s="16">
        <v>218714</v>
      </c>
      <c r="E223" s="16" t="s">
        <v>48</v>
      </c>
      <c r="F223" s="16" t="s">
        <v>748</v>
      </c>
      <c r="G223" s="16" t="s">
        <v>749</v>
      </c>
      <c r="I223" s="16" t="s">
        <v>50</v>
      </c>
      <c r="L223" s="16" t="s">
        <v>750</v>
      </c>
      <c r="M223" s="16" t="s">
        <v>748</v>
      </c>
      <c r="N223" s="16">
        <v>679</v>
      </c>
      <c r="O223" s="16" t="s">
        <v>751</v>
      </c>
    </row>
    <row r="224" spans="1:15" ht="15.75" customHeight="1" x14ac:dyDescent="0.25">
      <c r="A224" s="16" t="s">
        <v>30</v>
      </c>
      <c r="B224" s="16">
        <v>218946</v>
      </c>
      <c r="C224" s="16">
        <v>220490</v>
      </c>
      <c r="E224" s="16" t="s">
        <v>48</v>
      </c>
      <c r="F224" s="16" t="s">
        <v>355</v>
      </c>
      <c r="I224" s="16" t="s">
        <v>50</v>
      </c>
      <c r="L224" s="16" t="s">
        <v>752</v>
      </c>
      <c r="M224" s="16" t="s">
        <v>355</v>
      </c>
      <c r="N224" s="16">
        <v>514</v>
      </c>
      <c r="O224" s="16" t="s">
        <v>753</v>
      </c>
    </row>
    <row r="225" spans="1:15" ht="15.75" customHeight="1" x14ac:dyDescent="0.25">
      <c r="A225" s="16" t="s">
        <v>30</v>
      </c>
      <c r="B225" s="16">
        <v>220575</v>
      </c>
      <c r="C225" s="16">
        <v>221840</v>
      </c>
      <c r="E225" s="16" t="s">
        <v>48</v>
      </c>
      <c r="F225" s="16" t="s">
        <v>361</v>
      </c>
      <c r="I225" s="16" t="s">
        <v>50</v>
      </c>
      <c r="L225" s="16" t="s">
        <v>754</v>
      </c>
      <c r="M225" s="16" t="s">
        <v>361</v>
      </c>
      <c r="N225" s="16">
        <v>421</v>
      </c>
      <c r="O225" s="16" t="s">
        <v>755</v>
      </c>
    </row>
    <row r="226" spans="1:15" ht="15.75" customHeight="1" x14ac:dyDescent="0.25">
      <c r="A226" s="16" t="s">
        <v>30</v>
      </c>
      <c r="B226" s="16">
        <v>221842</v>
      </c>
      <c r="C226" s="16">
        <v>222996</v>
      </c>
      <c r="E226" s="16" t="s">
        <v>48</v>
      </c>
      <c r="F226" s="16" t="s">
        <v>252</v>
      </c>
      <c r="I226" s="16" t="s">
        <v>50</v>
      </c>
      <c r="L226" s="16" t="s">
        <v>756</v>
      </c>
      <c r="M226" s="16" t="s">
        <v>252</v>
      </c>
      <c r="N226" s="16">
        <v>384</v>
      </c>
      <c r="O226" s="16" t="s">
        <v>757</v>
      </c>
    </row>
    <row r="227" spans="1:15" ht="15.75" customHeight="1" x14ac:dyDescent="0.25">
      <c r="A227" s="16" t="s">
        <v>30</v>
      </c>
      <c r="B227" s="16">
        <v>223001</v>
      </c>
      <c r="C227" s="16">
        <v>223999</v>
      </c>
      <c r="E227" s="16" t="s">
        <v>48</v>
      </c>
      <c r="F227" s="16" t="s">
        <v>758</v>
      </c>
      <c r="I227" s="16" t="s">
        <v>50</v>
      </c>
      <c r="L227" s="16" t="s">
        <v>759</v>
      </c>
      <c r="M227" s="16" t="s">
        <v>758</v>
      </c>
      <c r="N227" s="16">
        <v>332</v>
      </c>
      <c r="O227" s="16" t="s">
        <v>760</v>
      </c>
    </row>
    <row r="228" spans="1:15" ht="15.75" customHeight="1" x14ac:dyDescent="0.25">
      <c r="A228" s="16" t="s">
        <v>30</v>
      </c>
      <c r="B228" s="16">
        <v>224010</v>
      </c>
      <c r="C228" s="16">
        <v>227093</v>
      </c>
      <c r="E228" s="16" t="s">
        <v>48</v>
      </c>
      <c r="F228" s="16" t="s">
        <v>761</v>
      </c>
      <c r="I228" s="16" t="s">
        <v>50</v>
      </c>
      <c r="L228" s="16" t="s">
        <v>762</v>
      </c>
      <c r="M228" s="16" t="s">
        <v>761</v>
      </c>
      <c r="N228" s="16">
        <v>1027</v>
      </c>
      <c r="O228" s="16" t="s">
        <v>763</v>
      </c>
    </row>
    <row r="229" spans="1:15" ht="15.75" customHeight="1" x14ac:dyDescent="0.25">
      <c r="A229" s="16" t="s">
        <v>30</v>
      </c>
      <c r="B229" s="16">
        <v>227240</v>
      </c>
      <c r="C229" s="16">
        <v>227869</v>
      </c>
      <c r="E229" s="16" t="s">
        <v>57</v>
      </c>
      <c r="F229" s="16" t="s">
        <v>764</v>
      </c>
      <c r="I229" s="16" t="s">
        <v>50</v>
      </c>
      <c r="L229" s="16" t="s">
        <v>765</v>
      </c>
      <c r="M229" s="16" t="s">
        <v>764</v>
      </c>
      <c r="N229" s="16">
        <v>209</v>
      </c>
      <c r="O229" s="16" t="s">
        <v>766</v>
      </c>
    </row>
    <row r="230" spans="1:15" ht="15.75" customHeight="1" x14ac:dyDescent="0.25">
      <c r="A230" s="16" t="s">
        <v>30</v>
      </c>
      <c r="B230" s="16">
        <v>228083</v>
      </c>
      <c r="C230" s="16">
        <v>229879</v>
      </c>
      <c r="E230" s="16" t="s">
        <v>57</v>
      </c>
      <c r="F230" s="16" t="s">
        <v>767</v>
      </c>
      <c r="I230" s="16" t="s">
        <v>50</v>
      </c>
      <c r="L230" s="16" t="s">
        <v>768</v>
      </c>
      <c r="M230" s="16" t="s">
        <v>767</v>
      </c>
      <c r="N230" s="16">
        <v>598</v>
      </c>
      <c r="O230" s="16" t="s">
        <v>769</v>
      </c>
    </row>
    <row r="231" spans="1:15" ht="15.75" customHeight="1" x14ac:dyDescent="0.25">
      <c r="A231" s="16" t="s">
        <v>30</v>
      </c>
      <c r="B231" s="16">
        <v>229993</v>
      </c>
      <c r="C231" s="16">
        <v>230580</v>
      </c>
      <c r="E231" s="16" t="s">
        <v>57</v>
      </c>
      <c r="F231" s="16" t="s">
        <v>770</v>
      </c>
      <c r="I231" s="16" t="s">
        <v>50</v>
      </c>
      <c r="L231" s="16" t="s">
        <v>771</v>
      </c>
      <c r="M231" s="16" t="s">
        <v>770</v>
      </c>
      <c r="N231" s="16">
        <v>195</v>
      </c>
      <c r="O231" s="16" t="s">
        <v>772</v>
      </c>
    </row>
    <row r="232" spans="1:15" ht="15.75" customHeight="1" x14ac:dyDescent="0.25">
      <c r="A232" s="16" t="s">
        <v>30</v>
      </c>
      <c r="B232" s="16">
        <v>230841</v>
      </c>
      <c r="C232" s="16">
        <v>230956</v>
      </c>
      <c r="E232" s="16" t="s">
        <v>57</v>
      </c>
      <c r="F232" s="16" t="s">
        <v>393</v>
      </c>
      <c r="G232" s="16" t="s">
        <v>394</v>
      </c>
      <c r="I232" s="16" t="s">
        <v>395</v>
      </c>
      <c r="O232" s="16" t="s">
        <v>773</v>
      </c>
    </row>
    <row r="233" spans="1:15" ht="15.75" customHeight="1" x14ac:dyDescent="0.25">
      <c r="A233" s="16" t="s">
        <v>30</v>
      </c>
      <c r="B233" s="16">
        <v>231201</v>
      </c>
      <c r="C233" s="16">
        <v>234316</v>
      </c>
      <c r="E233" s="16" t="s">
        <v>57</v>
      </c>
      <c r="F233" s="16" t="s">
        <v>397</v>
      </c>
      <c r="I233" s="16" t="s">
        <v>395</v>
      </c>
      <c r="O233" s="16" t="s">
        <v>774</v>
      </c>
    </row>
    <row r="234" spans="1:15" ht="15.75" customHeight="1" x14ac:dyDescent="0.25">
      <c r="A234" s="16" t="s">
        <v>30</v>
      </c>
      <c r="B234" s="16">
        <v>234586</v>
      </c>
      <c r="C234" s="16">
        <v>234661</v>
      </c>
      <c r="E234" s="16" t="s">
        <v>57</v>
      </c>
      <c r="F234" s="16" t="s">
        <v>399</v>
      </c>
      <c r="I234" s="16" t="s">
        <v>290</v>
      </c>
      <c r="O234" s="16" t="s">
        <v>775</v>
      </c>
    </row>
    <row r="235" spans="1:15" ht="15.75" customHeight="1" x14ac:dyDescent="0.25">
      <c r="A235" s="16" t="s">
        <v>30</v>
      </c>
      <c r="B235" s="16">
        <v>234793</v>
      </c>
      <c r="C235" s="16">
        <v>236332</v>
      </c>
      <c r="E235" s="16" t="s">
        <v>57</v>
      </c>
      <c r="F235" s="16" t="s">
        <v>401</v>
      </c>
      <c r="I235" s="16" t="s">
        <v>395</v>
      </c>
      <c r="O235" s="16" t="s">
        <v>776</v>
      </c>
    </row>
    <row r="236" spans="1:15" ht="15.75" customHeight="1" x14ac:dyDescent="0.25">
      <c r="A236" s="16" t="s">
        <v>30</v>
      </c>
      <c r="B236" s="16">
        <v>236690</v>
      </c>
      <c r="C236" s="16">
        <v>237595</v>
      </c>
      <c r="E236" s="16" t="s">
        <v>57</v>
      </c>
      <c r="F236" s="16" t="s">
        <v>777</v>
      </c>
      <c r="G236" s="16" t="s">
        <v>778</v>
      </c>
      <c r="I236" s="16" t="s">
        <v>50</v>
      </c>
      <c r="L236" s="16" t="s">
        <v>779</v>
      </c>
      <c r="M236" s="16" t="s">
        <v>777</v>
      </c>
      <c r="N236" s="16">
        <v>301</v>
      </c>
      <c r="O236" s="16" t="s">
        <v>780</v>
      </c>
    </row>
    <row r="237" spans="1:15" ht="15.75" customHeight="1" x14ac:dyDescent="0.25">
      <c r="A237" s="16" t="s">
        <v>30</v>
      </c>
      <c r="B237" s="16">
        <v>237725</v>
      </c>
      <c r="C237" s="16">
        <v>239191</v>
      </c>
      <c r="E237" s="16" t="s">
        <v>48</v>
      </c>
      <c r="F237" s="16" t="s">
        <v>781</v>
      </c>
      <c r="G237" s="16" t="s">
        <v>782</v>
      </c>
      <c r="I237" s="16" t="s">
        <v>50</v>
      </c>
      <c r="L237" s="16" t="s">
        <v>783</v>
      </c>
      <c r="M237" s="16" t="s">
        <v>781</v>
      </c>
      <c r="N237" s="16">
        <v>488</v>
      </c>
      <c r="O237" s="16" t="s">
        <v>784</v>
      </c>
    </row>
    <row r="238" spans="1:15" ht="15.75" customHeight="1" x14ac:dyDescent="0.25">
      <c r="A238" s="16" t="s">
        <v>30</v>
      </c>
      <c r="B238" s="16">
        <v>239301</v>
      </c>
      <c r="C238" s="16">
        <v>240872</v>
      </c>
      <c r="E238" s="16" t="s">
        <v>48</v>
      </c>
      <c r="F238" s="16" t="s">
        <v>785</v>
      </c>
      <c r="G238" s="16" t="s">
        <v>786</v>
      </c>
      <c r="I238" s="16" t="s">
        <v>50</v>
      </c>
      <c r="L238" s="16" t="s">
        <v>787</v>
      </c>
      <c r="M238" s="16" t="s">
        <v>785</v>
      </c>
      <c r="N238" s="16">
        <v>523</v>
      </c>
      <c r="O238" s="16" t="s">
        <v>788</v>
      </c>
    </row>
    <row r="239" spans="1:15" ht="15.75" customHeight="1" x14ac:dyDescent="0.25">
      <c r="A239" s="16" t="s">
        <v>30</v>
      </c>
      <c r="B239" s="16">
        <v>240934</v>
      </c>
      <c r="C239" s="16">
        <v>241824</v>
      </c>
      <c r="E239" s="16" t="s">
        <v>57</v>
      </c>
      <c r="F239" s="16" t="s">
        <v>789</v>
      </c>
      <c r="G239" s="16" t="s">
        <v>790</v>
      </c>
      <c r="I239" s="16" t="s">
        <v>50</v>
      </c>
      <c r="L239" s="16" t="s">
        <v>791</v>
      </c>
      <c r="M239" s="16" t="s">
        <v>789</v>
      </c>
      <c r="N239" s="16">
        <v>296</v>
      </c>
      <c r="O239" s="16" t="s">
        <v>792</v>
      </c>
    </row>
    <row r="240" spans="1:15" ht="15.75" customHeight="1" x14ac:dyDescent="0.25">
      <c r="A240" s="16" t="s">
        <v>30</v>
      </c>
      <c r="B240" s="16">
        <v>241944</v>
      </c>
      <c r="C240" s="16">
        <v>242405</v>
      </c>
      <c r="E240" s="16" t="s">
        <v>48</v>
      </c>
      <c r="F240" s="16" t="s">
        <v>793</v>
      </c>
      <c r="I240" s="16" t="s">
        <v>50</v>
      </c>
      <c r="L240" s="16" t="s">
        <v>794</v>
      </c>
      <c r="M240" s="16" t="s">
        <v>793</v>
      </c>
      <c r="N240" s="16">
        <v>153</v>
      </c>
      <c r="O240" s="16" t="s">
        <v>795</v>
      </c>
    </row>
    <row r="241" spans="1:15" ht="15.75" customHeight="1" x14ac:dyDescent="0.25">
      <c r="A241" s="16" t="s">
        <v>30</v>
      </c>
      <c r="B241" s="16">
        <v>242444</v>
      </c>
      <c r="C241" s="16">
        <v>243646</v>
      </c>
      <c r="E241" s="16" t="s">
        <v>57</v>
      </c>
      <c r="F241" s="16" t="s">
        <v>796</v>
      </c>
      <c r="G241" s="16" t="s">
        <v>797</v>
      </c>
      <c r="I241" s="16" t="s">
        <v>50</v>
      </c>
      <c r="L241" s="16" t="s">
        <v>798</v>
      </c>
      <c r="M241" s="16" t="s">
        <v>796</v>
      </c>
      <c r="N241" s="16">
        <v>400</v>
      </c>
      <c r="O241" s="16" t="s">
        <v>799</v>
      </c>
    </row>
    <row r="242" spans="1:15" ht="15.75" customHeight="1" x14ac:dyDescent="0.25">
      <c r="A242" s="16" t="s">
        <v>30</v>
      </c>
      <c r="B242" s="16">
        <v>243834</v>
      </c>
      <c r="C242" s="16">
        <v>245144</v>
      </c>
      <c r="E242" s="16" t="s">
        <v>48</v>
      </c>
      <c r="F242" s="16" t="s">
        <v>800</v>
      </c>
      <c r="G242" s="16" t="s">
        <v>801</v>
      </c>
      <c r="I242" s="16" t="s">
        <v>50</v>
      </c>
      <c r="L242" s="16" t="s">
        <v>802</v>
      </c>
      <c r="M242" s="16" t="s">
        <v>800</v>
      </c>
      <c r="N242" s="16">
        <v>436</v>
      </c>
      <c r="O242" s="16" t="s">
        <v>803</v>
      </c>
    </row>
    <row r="243" spans="1:15" ht="15.75" customHeight="1" x14ac:dyDescent="0.25">
      <c r="A243" s="16" t="s">
        <v>30</v>
      </c>
      <c r="B243" s="16">
        <v>245252</v>
      </c>
      <c r="C243" s="16">
        <v>245719</v>
      </c>
      <c r="E243" s="16" t="s">
        <v>57</v>
      </c>
      <c r="F243" s="16" t="s">
        <v>804</v>
      </c>
      <c r="I243" s="16" t="s">
        <v>50</v>
      </c>
      <c r="L243" s="16" t="s">
        <v>805</v>
      </c>
      <c r="M243" s="16" t="s">
        <v>804</v>
      </c>
      <c r="N243" s="16">
        <v>155</v>
      </c>
      <c r="O243" s="16" t="s">
        <v>806</v>
      </c>
    </row>
    <row r="244" spans="1:15" ht="15.75" customHeight="1" x14ac:dyDescent="0.25">
      <c r="A244" s="16" t="s">
        <v>30</v>
      </c>
      <c r="B244" s="16">
        <v>245746</v>
      </c>
      <c r="C244" s="16">
        <v>246192</v>
      </c>
      <c r="E244" s="16" t="s">
        <v>57</v>
      </c>
      <c r="F244" s="16" t="s">
        <v>135</v>
      </c>
      <c r="I244" s="16" t="s">
        <v>50</v>
      </c>
      <c r="L244" s="16" t="s">
        <v>807</v>
      </c>
      <c r="M244" s="16" t="s">
        <v>135</v>
      </c>
      <c r="N244" s="16">
        <v>148</v>
      </c>
      <c r="O244" s="16" t="s">
        <v>808</v>
      </c>
    </row>
    <row r="245" spans="1:15" ht="15.75" customHeight="1" x14ac:dyDescent="0.25">
      <c r="A245" s="16" t="s">
        <v>30</v>
      </c>
      <c r="B245" s="16">
        <v>246465</v>
      </c>
      <c r="C245" s="16">
        <v>248594</v>
      </c>
      <c r="E245" s="16" t="s">
        <v>48</v>
      </c>
      <c r="F245" s="16" t="s">
        <v>809</v>
      </c>
      <c r="G245" s="16" t="s">
        <v>810</v>
      </c>
      <c r="I245" s="16" t="s">
        <v>50</v>
      </c>
      <c r="L245" s="16" t="s">
        <v>811</v>
      </c>
      <c r="M245" s="16" t="s">
        <v>809</v>
      </c>
      <c r="N245" s="16">
        <v>709</v>
      </c>
      <c r="O245" s="16" t="s">
        <v>812</v>
      </c>
    </row>
    <row r="246" spans="1:15" ht="15.75" customHeight="1" x14ac:dyDescent="0.25">
      <c r="A246" s="16" t="s">
        <v>30</v>
      </c>
      <c r="B246" s="16">
        <v>248676</v>
      </c>
      <c r="C246" s="16">
        <v>249620</v>
      </c>
      <c r="E246" s="16" t="s">
        <v>48</v>
      </c>
      <c r="F246" s="16" t="s">
        <v>813</v>
      </c>
      <c r="G246" s="16" t="s">
        <v>814</v>
      </c>
      <c r="I246" s="16" t="s">
        <v>50</v>
      </c>
      <c r="L246" s="16" t="s">
        <v>815</v>
      </c>
      <c r="M246" s="16" t="s">
        <v>813</v>
      </c>
      <c r="N246" s="16">
        <v>314</v>
      </c>
      <c r="O246" s="16" t="s">
        <v>816</v>
      </c>
    </row>
    <row r="247" spans="1:15" ht="15.75" customHeight="1" x14ac:dyDescent="0.25">
      <c r="A247" s="16" t="s">
        <v>30</v>
      </c>
      <c r="B247" s="16">
        <v>249740</v>
      </c>
      <c r="C247" s="16">
        <v>251581</v>
      </c>
      <c r="E247" s="16" t="s">
        <v>48</v>
      </c>
      <c r="F247" s="16" t="s">
        <v>817</v>
      </c>
      <c r="I247" s="16" t="s">
        <v>50</v>
      </c>
      <c r="L247" s="16" t="s">
        <v>818</v>
      </c>
      <c r="M247" s="16" t="s">
        <v>817</v>
      </c>
      <c r="N247" s="16">
        <v>613</v>
      </c>
      <c r="O247" s="16" t="s">
        <v>819</v>
      </c>
    </row>
    <row r="248" spans="1:15" ht="15.75" customHeight="1" x14ac:dyDescent="0.25">
      <c r="A248" s="16" t="s">
        <v>30</v>
      </c>
      <c r="B248" s="16">
        <v>251699</v>
      </c>
      <c r="C248" s="16">
        <v>253147</v>
      </c>
      <c r="E248" s="16" t="s">
        <v>48</v>
      </c>
      <c r="F248" s="16" t="s">
        <v>820</v>
      </c>
      <c r="G248" s="16" t="s">
        <v>821</v>
      </c>
      <c r="I248" s="16" t="s">
        <v>50</v>
      </c>
      <c r="L248" s="16" t="s">
        <v>822</v>
      </c>
      <c r="M248" s="16" t="s">
        <v>820</v>
      </c>
      <c r="N248" s="16">
        <v>482</v>
      </c>
      <c r="O248" s="16" t="s">
        <v>823</v>
      </c>
    </row>
    <row r="249" spans="1:15" ht="15.75" customHeight="1" x14ac:dyDescent="0.25">
      <c r="A249" s="16" t="s">
        <v>30</v>
      </c>
      <c r="B249" s="16">
        <v>253152</v>
      </c>
      <c r="C249" s="16">
        <v>253304</v>
      </c>
      <c r="E249" s="16" t="s">
        <v>48</v>
      </c>
      <c r="F249" s="16" t="s">
        <v>135</v>
      </c>
      <c r="I249" s="16" t="s">
        <v>50</v>
      </c>
      <c r="L249" s="16" t="s">
        <v>824</v>
      </c>
      <c r="M249" s="16" t="s">
        <v>135</v>
      </c>
      <c r="N249" s="16">
        <v>50</v>
      </c>
      <c r="O249" s="16" t="s">
        <v>825</v>
      </c>
    </row>
    <row r="250" spans="1:15" ht="15.75" customHeight="1" x14ac:dyDescent="0.25">
      <c r="A250" s="16" t="s">
        <v>30</v>
      </c>
      <c r="B250" s="16">
        <v>253438</v>
      </c>
      <c r="C250" s="16">
        <v>253734</v>
      </c>
      <c r="E250" s="16" t="s">
        <v>57</v>
      </c>
      <c r="F250" s="16" t="s">
        <v>826</v>
      </c>
      <c r="I250" s="16" t="s">
        <v>50</v>
      </c>
      <c r="L250" s="16" t="s">
        <v>827</v>
      </c>
      <c r="M250" s="16" t="s">
        <v>826</v>
      </c>
      <c r="N250" s="16">
        <v>98</v>
      </c>
      <c r="O250" s="16" t="s">
        <v>828</v>
      </c>
    </row>
    <row r="251" spans="1:15" ht="15.75" customHeight="1" x14ac:dyDescent="0.25">
      <c r="A251" s="16" t="s">
        <v>30</v>
      </c>
      <c r="B251" s="16">
        <v>253791</v>
      </c>
      <c r="C251" s="16">
        <v>254000</v>
      </c>
      <c r="E251" s="16" t="s">
        <v>57</v>
      </c>
      <c r="F251" s="16" t="s">
        <v>829</v>
      </c>
      <c r="I251" s="16" t="s">
        <v>50</v>
      </c>
      <c r="L251" s="16" t="s">
        <v>830</v>
      </c>
      <c r="M251" s="16" t="s">
        <v>829</v>
      </c>
      <c r="N251" s="16">
        <v>69</v>
      </c>
      <c r="O251" s="16" t="s">
        <v>831</v>
      </c>
    </row>
    <row r="252" spans="1:15" ht="15.75" customHeight="1" x14ac:dyDescent="0.25">
      <c r="A252" s="16" t="s">
        <v>30</v>
      </c>
      <c r="B252" s="16">
        <v>254068</v>
      </c>
      <c r="C252" s="16">
        <v>254418</v>
      </c>
      <c r="E252" s="16" t="s">
        <v>57</v>
      </c>
      <c r="F252" s="16" t="s">
        <v>832</v>
      </c>
      <c r="G252" s="16" t="s">
        <v>833</v>
      </c>
      <c r="I252" s="16" t="s">
        <v>50</v>
      </c>
      <c r="L252" s="16" t="s">
        <v>834</v>
      </c>
      <c r="M252" s="16" t="s">
        <v>832</v>
      </c>
      <c r="N252" s="16">
        <v>116</v>
      </c>
      <c r="O252" s="16" t="s">
        <v>835</v>
      </c>
    </row>
    <row r="253" spans="1:15" ht="15.75" customHeight="1" x14ac:dyDescent="0.25">
      <c r="A253" s="16" t="s">
        <v>30</v>
      </c>
      <c r="B253" s="16">
        <v>254497</v>
      </c>
      <c r="C253" s="16">
        <v>255546</v>
      </c>
      <c r="E253" s="16" t="s">
        <v>48</v>
      </c>
      <c r="F253" s="16" t="s">
        <v>836</v>
      </c>
      <c r="I253" s="16" t="s">
        <v>50</v>
      </c>
      <c r="L253" s="16" t="s">
        <v>837</v>
      </c>
      <c r="M253" s="16" t="s">
        <v>836</v>
      </c>
      <c r="N253" s="16">
        <v>349</v>
      </c>
      <c r="O253" s="16" t="s">
        <v>838</v>
      </c>
    </row>
    <row r="254" spans="1:15" ht="15.75" customHeight="1" x14ac:dyDescent="0.25">
      <c r="A254" s="16" t="s">
        <v>30</v>
      </c>
      <c r="B254" s="16">
        <v>255660</v>
      </c>
      <c r="C254" s="16">
        <v>256634</v>
      </c>
      <c r="E254" s="16" t="s">
        <v>57</v>
      </c>
      <c r="F254" s="16" t="s">
        <v>839</v>
      </c>
      <c r="G254" s="16" t="s">
        <v>840</v>
      </c>
      <c r="I254" s="16" t="s">
        <v>50</v>
      </c>
      <c r="L254" s="16" t="s">
        <v>841</v>
      </c>
      <c r="M254" s="16" t="s">
        <v>839</v>
      </c>
      <c r="N254" s="16">
        <v>324</v>
      </c>
      <c r="O254" s="16" t="s">
        <v>842</v>
      </c>
    </row>
    <row r="255" spans="1:15" ht="15.75" customHeight="1" x14ac:dyDescent="0.25">
      <c r="A255" s="16" t="s">
        <v>30</v>
      </c>
      <c r="B255" s="16">
        <v>256645</v>
      </c>
      <c r="C255" s="16">
        <v>258495</v>
      </c>
      <c r="E255" s="16" t="s">
        <v>57</v>
      </c>
      <c r="F255" s="16" t="s">
        <v>843</v>
      </c>
      <c r="G255" s="16" t="s">
        <v>844</v>
      </c>
      <c r="I255" s="16" t="s">
        <v>50</v>
      </c>
      <c r="L255" s="16" t="s">
        <v>845</v>
      </c>
      <c r="M255" s="16" t="s">
        <v>843</v>
      </c>
      <c r="N255" s="16">
        <v>616</v>
      </c>
      <c r="O255" s="16" t="s">
        <v>846</v>
      </c>
    </row>
    <row r="256" spans="1:15" ht="15.75" customHeight="1" x14ac:dyDescent="0.25">
      <c r="A256" s="16" t="s">
        <v>30</v>
      </c>
      <c r="B256" s="16">
        <v>258565</v>
      </c>
      <c r="C256" s="16">
        <v>258858</v>
      </c>
      <c r="E256" s="16" t="s">
        <v>57</v>
      </c>
      <c r="F256" s="16" t="s">
        <v>847</v>
      </c>
      <c r="G256" s="16" t="s">
        <v>848</v>
      </c>
      <c r="I256" s="16" t="s">
        <v>50</v>
      </c>
      <c r="L256" s="16" t="s">
        <v>849</v>
      </c>
      <c r="M256" s="16" t="s">
        <v>847</v>
      </c>
      <c r="N256" s="16">
        <v>97</v>
      </c>
      <c r="O256" s="16" t="s">
        <v>850</v>
      </c>
    </row>
    <row r="257" spans="1:15" ht="15.75" customHeight="1" x14ac:dyDescent="0.25">
      <c r="A257" s="16" t="s">
        <v>30</v>
      </c>
      <c r="B257" s="16">
        <v>258966</v>
      </c>
      <c r="C257" s="16">
        <v>259187</v>
      </c>
      <c r="E257" s="16" t="s">
        <v>57</v>
      </c>
      <c r="F257" s="16" t="s">
        <v>851</v>
      </c>
      <c r="I257" s="16" t="s">
        <v>50</v>
      </c>
      <c r="L257" s="16" t="s">
        <v>852</v>
      </c>
      <c r="M257" s="16" t="s">
        <v>851</v>
      </c>
      <c r="N257" s="16">
        <v>73</v>
      </c>
      <c r="O257" s="16" t="s">
        <v>853</v>
      </c>
    </row>
    <row r="258" spans="1:15" ht="15.75" customHeight="1" x14ac:dyDescent="0.25">
      <c r="A258" s="16" t="s">
        <v>30</v>
      </c>
      <c r="B258" s="16">
        <v>259184</v>
      </c>
      <c r="C258" s="16">
        <v>259702</v>
      </c>
      <c r="E258" s="16" t="s">
        <v>57</v>
      </c>
      <c r="F258" s="16" t="s">
        <v>854</v>
      </c>
      <c r="I258" s="16" t="s">
        <v>50</v>
      </c>
      <c r="L258" s="16" t="s">
        <v>855</v>
      </c>
      <c r="M258" s="16" t="s">
        <v>854</v>
      </c>
      <c r="N258" s="16">
        <v>172</v>
      </c>
      <c r="O258" s="16" t="s">
        <v>856</v>
      </c>
    </row>
    <row r="259" spans="1:15" ht="15.75" customHeight="1" x14ac:dyDescent="0.25">
      <c r="A259" s="16" t="s">
        <v>30</v>
      </c>
      <c r="B259" s="16">
        <v>259767</v>
      </c>
      <c r="C259" s="16">
        <v>260915</v>
      </c>
      <c r="E259" s="16" t="s">
        <v>57</v>
      </c>
      <c r="F259" s="16" t="s">
        <v>857</v>
      </c>
      <c r="G259" s="16" t="s">
        <v>858</v>
      </c>
      <c r="I259" s="16" t="s">
        <v>50</v>
      </c>
      <c r="L259" s="16" t="s">
        <v>859</v>
      </c>
      <c r="M259" s="16" t="s">
        <v>857</v>
      </c>
      <c r="N259" s="16">
        <v>382</v>
      </c>
      <c r="O259" s="16" t="s">
        <v>860</v>
      </c>
    </row>
    <row r="260" spans="1:15" ht="15.75" customHeight="1" x14ac:dyDescent="0.25">
      <c r="A260" s="16" t="s">
        <v>30</v>
      </c>
      <c r="B260" s="16">
        <v>261260</v>
      </c>
      <c r="C260" s="16">
        <v>262351</v>
      </c>
      <c r="E260" s="16" t="s">
        <v>57</v>
      </c>
      <c r="F260" s="16" t="s">
        <v>861</v>
      </c>
      <c r="G260" s="16" t="s">
        <v>862</v>
      </c>
      <c r="I260" s="16" t="s">
        <v>50</v>
      </c>
      <c r="L260" s="16" t="s">
        <v>863</v>
      </c>
      <c r="M260" s="16" t="s">
        <v>861</v>
      </c>
      <c r="N260" s="16">
        <v>363</v>
      </c>
      <c r="O260" s="16" t="s">
        <v>864</v>
      </c>
    </row>
    <row r="261" spans="1:15" ht="15.75" customHeight="1" x14ac:dyDescent="0.25">
      <c r="A261" s="16" t="s">
        <v>30</v>
      </c>
      <c r="B261" s="16">
        <v>262475</v>
      </c>
      <c r="C261" s="16">
        <v>262921</v>
      </c>
      <c r="E261" s="16" t="s">
        <v>57</v>
      </c>
      <c r="F261" s="16" t="s">
        <v>135</v>
      </c>
      <c r="I261" s="16" t="s">
        <v>50</v>
      </c>
      <c r="L261" s="16" t="s">
        <v>865</v>
      </c>
      <c r="M261" s="16" t="s">
        <v>135</v>
      </c>
      <c r="N261" s="16">
        <v>148</v>
      </c>
      <c r="O261" s="16" t="s">
        <v>866</v>
      </c>
    </row>
    <row r="262" spans="1:15" ht="15.75" customHeight="1" x14ac:dyDescent="0.25">
      <c r="A262" s="16" t="s">
        <v>30</v>
      </c>
      <c r="B262" s="16">
        <v>263064</v>
      </c>
      <c r="C262" s="16">
        <v>267239</v>
      </c>
      <c r="E262" s="16" t="s">
        <v>57</v>
      </c>
      <c r="F262" s="16" t="s">
        <v>867</v>
      </c>
      <c r="G262" s="16" t="s">
        <v>868</v>
      </c>
      <c r="I262" s="16" t="s">
        <v>50</v>
      </c>
      <c r="L262" s="16" t="s">
        <v>869</v>
      </c>
      <c r="M262" s="16" t="s">
        <v>867</v>
      </c>
      <c r="N262" s="16">
        <v>1391</v>
      </c>
      <c r="O262" s="16" t="s">
        <v>870</v>
      </c>
    </row>
    <row r="263" spans="1:15" ht="15.75" customHeight="1" x14ac:dyDescent="0.25">
      <c r="A263" s="16" t="s">
        <v>30</v>
      </c>
      <c r="B263" s="16">
        <v>267558</v>
      </c>
      <c r="C263" s="16">
        <v>270389</v>
      </c>
      <c r="E263" s="16" t="s">
        <v>57</v>
      </c>
      <c r="F263" s="16" t="s">
        <v>871</v>
      </c>
      <c r="G263" s="16" t="s">
        <v>872</v>
      </c>
      <c r="I263" s="16" t="s">
        <v>50</v>
      </c>
      <c r="L263" s="16" t="s">
        <v>873</v>
      </c>
      <c r="M263" s="16" t="s">
        <v>871</v>
      </c>
      <c r="N263" s="16">
        <v>943</v>
      </c>
      <c r="O263" s="16" t="s">
        <v>874</v>
      </c>
    </row>
    <row r="264" spans="1:15" ht="15.75" customHeight="1" x14ac:dyDescent="0.25">
      <c r="A264" s="16" t="s">
        <v>30</v>
      </c>
      <c r="B264" s="16">
        <v>270543</v>
      </c>
      <c r="C264" s="16">
        <v>271049</v>
      </c>
      <c r="E264" s="16" t="s">
        <v>48</v>
      </c>
      <c r="F264" s="16" t="s">
        <v>875</v>
      </c>
      <c r="I264" s="16" t="s">
        <v>50</v>
      </c>
      <c r="L264" s="16" t="s">
        <v>876</v>
      </c>
      <c r="M264" s="16" t="s">
        <v>875</v>
      </c>
      <c r="N264" s="16">
        <v>168</v>
      </c>
      <c r="O264" s="16" t="s">
        <v>877</v>
      </c>
    </row>
    <row r="265" spans="1:15" ht="15.75" customHeight="1" x14ac:dyDescent="0.25">
      <c r="A265" s="16" t="s">
        <v>30</v>
      </c>
      <c r="B265" s="16">
        <v>271227</v>
      </c>
      <c r="C265" s="16">
        <v>272054</v>
      </c>
      <c r="E265" s="16" t="s">
        <v>57</v>
      </c>
      <c r="F265" s="16" t="s">
        <v>878</v>
      </c>
      <c r="I265" s="16" t="s">
        <v>50</v>
      </c>
      <c r="L265" s="16" t="s">
        <v>879</v>
      </c>
      <c r="M265" s="16" t="s">
        <v>878</v>
      </c>
      <c r="N265" s="16">
        <v>275</v>
      </c>
      <c r="O265" s="16" t="s">
        <v>880</v>
      </c>
    </row>
    <row r="266" spans="1:15" ht="15.75" customHeight="1" x14ac:dyDescent="0.25">
      <c r="A266" s="16" t="s">
        <v>30</v>
      </c>
      <c r="B266" s="16">
        <v>272064</v>
      </c>
      <c r="C266" s="16">
        <v>272507</v>
      </c>
      <c r="E266" s="16" t="s">
        <v>57</v>
      </c>
      <c r="F266" s="16" t="s">
        <v>881</v>
      </c>
      <c r="G266" s="16" t="s">
        <v>882</v>
      </c>
      <c r="I266" s="16" t="s">
        <v>50</v>
      </c>
      <c r="L266" s="16" t="s">
        <v>883</v>
      </c>
      <c r="M266" s="16" t="s">
        <v>881</v>
      </c>
      <c r="N266" s="16">
        <v>147</v>
      </c>
      <c r="O266" s="16" t="s">
        <v>884</v>
      </c>
    </row>
    <row r="267" spans="1:15" ht="15.75" customHeight="1" x14ac:dyDescent="0.25">
      <c r="A267" s="16" t="s">
        <v>30</v>
      </c>
      <c r="B267" s="16">
        <v>272511</v>
      </c>
      <c r="C267" s="16">
        <v>272963</v>
      </c>
      <c r="E267" s="16" t="s">
        <v>57</v>
      </c>
      <c r="F267" s="16" t="s">
        <v>885</v>
      </c>
      <c r="G267" s="16" t="s">
        <v>886</v>
      </c>
      <c r="I267" s="16" t="s">
        <v>50</v>
      </c>
      <c r="L267" s="16" t="s">
        <v>887</v>
      </c>
      <c r="M267" s="16" t="s">
        <v>885</v>
      </c>
      <c r="N267" s="16">
        <v>150</v>
      </c>
      <c r="O267" s="16" t="s">
        <v>888</v>
      </c>
    </row>
    <row r="268" spans="1:15" ht="15.75" customHeight="1" x14ac:dyDescent="0.25">
      <c r="A268" s="16" t="s">
        <v>30</v>
      </c>
      <c r="B268" s="16">
        <v>273132</v>
      </c>
      <c r="C268" s="16">
        <v>273599</v>
      </c>
      <c r="E268" s="16" t="s">
        <v>57</v>
      </c>
      <c r="F268" s="16" t="s">
        <v>889</v>
      </c>
      <c r="G268" s="16" t="s">
        <v>890</v>
      </c>
      <c r="I268" s="16" t="s">
        <v>50</v>
      </c>
      <c r="L268" s="16" t="s">
        <v>891</v>
      </c>
      <c r="M268" s="16" t="s">
        <v>889</v>
      </c>
      <c r="N268" s="16">
        <v>155</v>
      </c>
      <c r="O268" s="16" t="s">
        <v>892</v>
      </c>
    </row>
    <row r="269" spans="1:15" ht="15.75" customHeight="1" x14ac:dyDescent="0.25">
      <c r="A269" s="16" t="s">
        <v>30</v>
      </c>
      <c r="B269" s="16">
        <v>273700</v>
      </c>
      <c r="C269" s="16">
        <v>274596</v>
      </c>
      <c r="E269" s="16" t="s">
        <v>48</v>
      </c>
      <c r="F269" s="16" t="s">
        <v>893</v>
      </c>
      <c r="G269" s="16" t="s">
        <v>894</v>
      </c>
      <c r="I269" s="16" t="s">
        <v>50</v>
      </c>
      <c r="L269" s="16" t="s">
        <v>895</v>
      </c>
      <c r="M269" s="16" t="s">
        <v>893</v>
      </c>
      <c r="N269" s="16">
        <v>298</v>
      </c>
      <c r="O269" s="16" t="s">
        <v>896</v>
      </c>
    </row>
    <row r="270" spans="1:15" ht="15.75" customHeight="1" x14ac:dyDescent="0.25">
      <c r="A270" s="16" t="s">
        <v>30</v>
      </c>
      <c r="B270" s="16">
        <v>274707</v>
      </c>
      <c r="C270" s="16">
        <v>275336</v>
      </c>
      <c r="E270" s="16" t="s">
        <v>48</v>
      </c>
      <c r="F270" s="16" t="s">
        <v>897</v>
      </c>
      <c r="G270" s="16" t="s">
        <v>898</v>
      </c>
      <c r="I270" s="16" t="s">
        <v>50</v>
      </c>
      <c r="L270" s="16" t="s">
        <v>899</v>
      </c>
      <c r="M270" s="16" t="s">
        <v>897</v>
      </c>
      <c r="N270" s="16">
        <v>209</v>
      </c>
      <c r="O270" s="16" t="s">
        <v>900</v>
      </c>
    </row>
    <row r="271" spans="1:15" ht="15.75" customHeight="1" x14ac:dyDescent="0.25">
      <c r="A271" s="16" t="s">
        <v>30</v>
      </c>
      <c r="B271" s="16">
        <v>275526</v>
      </c>
      <c r="C271" s="16">
        <v>275849</v>
      </c>
      <c r="E271" s="16" t="s">
        <v>48</v>
      </c>
      <c r="F271" s="16" t="s">
        <v>901</v>
      </c>
      <c r="G271" s="16" t="s">
        <v>902</v>
      </c>
      <c r="I271" s="16" t="s">
        <v>50</v>
      </c>
      <c r="L271" s="16" t="s">
        <v>903</v>
      </c>
      <c r="M271" s="16" t="s">
        <v>901</v>
      </c>
      <c r="N271" s="16">
        <v>107</v>
      </c>
      <c r="O271" s="16" t="s">
        <v>904</v>
      </c>
    </row>
    <row r="272" spans="1:15" ht="15.75" customHeight="1" x14ac:dyDescent="0.25">
      <c r="A272" s="16" t="s">
        <v>30</v>
      </c>
      <c r="B272" s="16">
        <v>276290</v>
      </c>
      <c r="C272" s="16">
        <v>276379</v>
      </c>
      <c r="E272" s="16" t="s">
        <v>57</v>
      </c>
      <c r="F272" s="16" t="s">
        <v>905</v>
      </c>
      <c r="I272" s="16" t="s">
        <v>290</v>
      </c>
      <c r="O272" s="16" t="s">
        <v>906</v>
      </c>
    </row>
    <row r="273" spans="1:15" ht="15.75" customHeight="1" x14ac:dyDescent="0.25">
      <c r="A273" s="16" t="s">
        <v>30</v>
      </c>
      <c r="B273" s="16">
        <v>276562</v>
      </c>
      <c r="C273" s="16">
        <v>277458</v>
      </c>
      <c r="E273" s="16" t="s">
        <v>57</v>
      </c>
      <c r="F273" s="16" t="s">
        <v>907</v>
      </c>
      <c r="I273" s="16" t="s">
        <v>50</v>
      </c>
      <c r="L273" s="16" t="s">
        <v>908</v>
      </c>
      <c r="M273" s="16" t="s">
        <v>907</v>
      </c>
      <c r="N273" s="16">
        <v>298</v>
      </c>
      <c r="O273" s="16" t="s">
        <v>909</v>
      </c>
    </row>
    <row r="274" spans="1:15" ht="15.75" customHeight="1" x14ac:dyDescent="0.25">
      <c r="A274" s="16" t="s">
        <v>30</v>
      </c>
      <c r="B274" s="16">
        <v>277677</v>
      </c>
      <c r="C274" s="16">
        <v>278264</v>
      </c>
      <c r="E274" s="16" t="s">
        <v>57</v>
      </c>
      <c r="F274" s="16" t="s">
        <v>910</v>
      </c>
      <c r="G274" s="16" t="s">
        <v>911</v>
      </c>
      <c r="I274" s="16" t="s">
        <v>50</v>
      </c>
      <c r="L274" s="16" t="s">
        <v>912</v>
      </c>
      <c r="M274" s="16" t="s">
        <v>910</v>
      </c>
      <c r="N274" s="16">
        <v>195</v>
      </c>
      <c r="O274" s="16" t="s">
        <v>913</v>
      </c>
    </row>
    <row r="275" spans="1:15" ht="15.75" customHeight="1" x14ac:dyDescent="0.25">
      <c r="A275" s="16" t="s">
        <v>30</v>
      </c>
      <c r="B275" s="16">
        <v>278276</v>
      </c>
      <c r="C275" s="16">
        <v>279001</v>
      </c>
      <c r="E275" s="16" t="s">
        <v>57</v>
      </c>
      <c r="F275" s="16" t="s">
        <v>914</v>
      </c>
      <c r="I275" s="16" t="s">
        <v>50</v>
      </c>
      <c r="L275" s="16" t="s">
        <v>915</v>
      </c>
      <c r="M275" s="16" t="s">
        <v>914</v>
      </c>
      <c r="N275" s="16">
        <v>241</v>
      </c>
      <c r="O275" s="16" t="s">
        <v>916</v>
      </c>
    </row>
    <row r="276" spans="1:15" ht="15.75" customHeight="1" x14ac:dyDescent="0.25">
      <c r="A276" s="16" t="s">
        <v>30</v>
      </c>
      <c r="B276" s="16">
        <v>279079</v>
      </c>
      <c r="C276" s="16">
        <v>280122</v>
      </c>
      <c r="E276" s="16" t="s">
        <v>48</v>
      </c>
      <c r="F276" s="16" t="s">
        <v>917</v>
      </c>
      <c r="I276" s="16" t="s">
        <v>50</v>
      </c>
      <c r="L276" s="16" t="s">
        <v>918</v>
      </c>
      <c r="M276" s="16" t="s">
        <v>917</v>
      </c>
      <c r="N276" s="16">
        <v>347</v>
      </c>
      <c r="O276" s="16" t="s">
        <v>919</v>
      </c>
    </row>
    <row r="277" spans="1:15" ht="15.75" customHeight="1" x14ac:dyDescent="0.25">
      <c r="A277" s="16" t="s">
        <v>30</v>
      </c>
      <c r="B277" s="16">
        <v>280458</v>
      </c>
      <c r="C277" s="16">
        <v>282599</v>
      </c>
      <c r="E277" s="16" t="s">
        <v>48</v>
      </c>
      <c r="F277" s="16" t="s">
        <v>390</v>
      </c>
      <c r="I277" s="16" t="s">
        <v>50</v>
      </c>
      <c r="L277" s="16" t="s">
        <v>920</v>
      </c>
      <c r="M277" s="16" t="s">
        <v>390</v>
      </c>
      <c r="N277" s="16">
        <v>713</v>
      </c>
      <c r="O277" s="16" t="s">
        <v>921</v>
      </c>
    </row>
    <row r="278" spans="1:15" ht="15.75" customHeight="1" x14ac:dyDescent="0.25">
      <c r="A278" s="16" t="s">
        <v>30</v>
      </c>
      <c r="B278" s="16">
        <v>282675</v>
      </c>
      <c r="C278" s="16">
        <v>284372</v>
      </c>
      <c r="E278" s="16" t="s">
        <v>48</v>
      </c>
      <c r="F278" s="16" t="s">
        <v>922</v>
      </c>
      <c r="G278" s="16" t="s">
        <v>923</v>
      </c>
      <c r="I278" s="16" t="s">
        <v>50</v>
      </c>
      <c r="L278" s="16" t="s">
        <v>924</v>
      </c>
      <c r="M278" s="16" t="s">
        <v>922</v>
      </c>
      <c r="N278" s="16">
        <v>565</v>
      </c>
      <c r="O278" s="16" t="s">
        <v>925</v>
      </c>
    </row>
    <row r="279" spans="1:15" ht="15.75" customHeight="1" x14ac:dyDescent="0.25">
      <c r="A279" s="16" t="s">
        <v>30</v>
      </c>
      <c r="B279" s="16">
        <v>284384</v>
      </c>
      <c r="C279" s="16">
        <v>287119</v>
      </c>
      <c r="E279" s="16" t="s">
        <v>48</v>
      </c>
      <c r="F279" s="16" t="s">
        <v>926</v>
      </c>
      <c r="I279" s="16" t="s">
        <v>50</v>
      </c>
      <c r="L279" s="16" t="s">
        <v>927</v>
      </c>
      <c r="M279" s="16" t="s">
        <v>926</v>
      </c>
      <c r="N279" s="16">
        <v>911</v>
      </c>
      <c r="O279" s="16" t="s">
        <v>928</v>
      </c>
    </row>
    <row r="280" spans="1:15" ht="15.75" customHeight="1" x14ac:dyDescent="0.25">
      <c r="A280" s="16" t="s">
        <v>30</v>
      </c>
      <c r="B280" s="16">
        <v>287215</v>
      </c>
      <c r="C280" s="16">
        <v>287571</v>
      </c>
      <c r="E280" s="16" t="s">
        <v>57</v>
      </c>
      <c r="F280" s="16" t="s">
        <v>929</v>
      </c>
      <c r="G280" s="16" t="s">
        <v>930</v>
      </c>
      <c r="I280" s="16" t="s">
        <v>50</v>
      </c>
      <c r="L280" s="16" t="s">
        <v>931</v>
      </c>
      <c r="M280" s="16" t="s">
        <v>929</v>
      </c>
      <c r="N280" s="16">
        <v>118</v>
      </c>
      <c r="O280" s="16" t="s">
        <v>932</v>
      </c>
    </row>
    <row r="281" spans="1:15" ht="15.75" customHeight="1" x14ac:dyDescent="0.25">
      <c r="A281" s="16" t="s">
        <v>30</v>
      </c>
      <c r="B281" s="16">
        <v>287654</v>
      </c>
      <c r="C281" s="16">
        <v>288253</v>
      </c>
      <c r="E281" s="16" t="s">
        <v>48</v>
      </c>
      <c r="F281" s="16" t="s">
        <v>933</v>
      </c>
      <c r="G281" s="16" t="s">
        <v>934</v>
      </c>
      <c r="I281" s="16" t="s">
        <v>50</v>
      </c>
      <c r="L281" s="16" t="s">
        <v>935</v>
      </c>
      <c r="M281" s="16" t="s">
        <v>933</v>
      </c>
      <c r="N281" s="16">
        <v>199</v>
      </c>
      <c r="O281" s="16" t="s">
        <v>936</v>
      </c>
    </row>
    <row r="282" spans="1:15" ht="15.75" customHeight="1" x14ac:dyDescent="0.25">
      <c r="A282" s="16" t="s">
        <v>30</v>
      </c>
      <c r="B282" s="16">
        <v>288294</v>
      </c>
      <c r="C282" s="16">
        <v>289997</v>
      </c>
      <c r="E282" s="16" t="s">
        <v>48</v>
      </c>
      <c r="F282" s="16" t="s">
        <v>937</v>
      </c>
      <c r="G282" s="16" t="s">
        <v>938</v>
      </c>
      <c r="I282" s="16" t="s">
        <v>50</v>
      </c>
      <c r="L282" s="16" t="s">
        <v>939</v>
      </c>
      <c r="M282" s="16" t="s">
        <v>937</v>
      </c>
      <c r="N282" s="16">
        <v>567</v>
      </c>
      <c r="O282" s="16" t="s">
        <v>940</v>
      </c>
    </row>
    <row r="283" spans="1:15" ht="15.75" customHeight="1" x14ac:dyDescent="0.25">
      <c r="A283" s="16" t="s">
        <v>30</v>
      </c>
      <c r="B283" s="16">
        <v>290007</v>
      </c>
      <c r="C283" s="16">
        <v>291032</v>
      </c>
      <c r="E283" s="16" t="s">
        <v>48</v>
      </c>
      <c r="F283" s="16" t="s">
        <v>941</v>
      </c>
      <c r="G283" s="16" t="s">
        <v>942</v>
      </c>
      <c r="I283" s="16" t="s">
        <v>50</v>
      </c>
      <c r="L283" s="16" t="s">
        <v>943</v>
      </c>
      <c r="M283" s="16" t="s">
        <v>941</v>
      </c>
      <c r="N283" s="16">
        <v>341</v>
      </c>
      <c r="O283" s="16" t="s">
        <v>944</v>
      </c>
    </row>
    <row r="284" spans="1:15" ht="15.75" customHeight="1" x14ac:dyDescent="0.25">
      <c r="A284" s="16" t="s">
        <v>30</v>
      </c>
      <c r="B284" s="16">
        <v>291158</v>
      </c>
      <c r="C284" s="16">
        <v>292003</v>
      </c>
      <c r="E284" s="16" t="s">
        <v>48</v>
      </c>
      <c r="F284" s="16" t="s">
        <v>945</v>
      </c>
      <c r="G284" s="16" t="s">
        <v>946</v>
      </c>
      <c r="I284" s="16" t="s">
        <v>50</v>
      </c>
      <c r="L284" s="16" t="s">
        <v>947</v>
      </c>
      <c r="M284" s="16" t="s">
        <v>945</v>
      </c>
      <c r="N284" s="16">
        <v>281</v>
      </c>
      <c r="O284" s="16" t="s">
        <v>948</v>
      </c>
    </row>
    <row r="285" spans="1:15" ht="15.75" customHeight="1" x14ac:dyDescent="0.25">
      <c r="A285" s="16" t="s">
        <v>30</v>
      </c>
      <c r="B285" s="16">
        <v>292043</v>
      </c>
      <c r="C285" s="16">
        <v>292470</v>
      </c>
      <c r="E285" s="16" t="s">
        <v>57</v>
      </c>
      <c r="F285" s="16" t="s">
        <v>132</v>
      </c>
      <c r="I285" s="16" t="s">
        <v>133</v>
      </c>
      <c r="O285" s="16" t="s">
        <v>949</v>
      </c>
    </row>
    <row r="286" spans="1:15" ht="15.75" customHeight="1" x14ac:dyDescent="0.25">
      <c r="A286" s="16" t="s">
        <v>30</v>
      </c>
      <c r="B286" s="16">
        <v>292470</v>
      </c>
      <c r="C286" s="16">
        <v>293336</v>
      </c>
      <c r="E286" s="16" t="s">
        <v>57</v>
      </c>
      <c r="F286" s="16" t="s">
        <v>950</v>
      </c>
      <c r="G286" s="16" t="s">
        <v>951</v>
      </c>
      <c r="I286" s="16" t="s">
        <v>50</v>
      </c>
      <c r="L286" s="16" t="s">
        <v>952</v>
      </c>
      <c r="M286" s="16" t="s">
        <v>950</v>
      </c>
      <c r="N286" s="16">
        <v>288</v>
      </c>
      <c r="O286" s="16" t="s">
        <v>953</v>
      </c>
    </row>
    <row r="287" spans="1:15" ht="15.75" customHeight="1" x14ac:dyDescent="0.25">
      <c r="A287" s="16" t="s">
        <v>30</v>
      </c>
      <c r="B287" s="16">
        <v>293415</v>
      </c>
      <c r="C287" s="16">
        <v>294056</v>
      </c>
      <c r="E287" s="16" t="s">
        <v>57</v>
      </c>
      <c r="F287" s="16" t="s">
        <v>954</v>
      </c>
      <c r="G287" s="16" t="s">
        <v>955</v>
      </c>
      <c r="I287" s="16" t="s">
        <v>50</v>
      </c>
      <c r="L287" s="16" t="s">
        <v>956</v>
      </c>
      <c r="M287" s="16" t="s">
        <v>954</v>
      </c>
      <c r="N287" s="16">
        <v>213</v>
      </c>
      <c r="O287" s="16" t="s">
        <v>957</v>
      </c>
    </row>
    <row r="288" spans="1:15" ht="15.75" customHeight="1" x14ac:dyDescent="0.25">
      <c r="A288" s="16" t="s">
        <v>30</v>
      </c>
      <c r="B288" s="16">
        <v>294080</v>
      </c>
      <c r="C288" s="16">
        <v>294796</v>
      </c>
      <c r="E288" s="16" t="s">
        <v>57</v>
      </c>
      <c r="F288" s="16" t="s">
        <v>958</v>
      </c>
      <c r="G288" s="16" t="s">
        <v>959</v>
      </c>
      <c r="I288" s="16" t="s">
        <v>50</v>
      </c>
      <c r="L288" s="16" t="s">
        <v>960</v>
      </c>
      <c r="M288" s="16" t="s">
        <v>958</v>
      </c>
      <c r="N288" s="16">
        <v>238</v>
      </c>
      <c r="O288" s="16" t="s">
        <v>961</v>
      </c>
    </row>
    <row r="289" spans="1:15" ht="15.75" customHeight="1" x14ac:dyDescent="0.25">
      <c r="A289" s="16" t="s">
        <v>30</v>
      </c>
      <c r="B289" s="16">
        <v>294941</v>
      </c>
      <c r="C289" s="16">
        <v>295016</v>
      </c>
      <c r="E289" s="16" t="s">
        <v>57</v>
      </c>
      <c r="F289" s="16" t="s">
        <v>962</v>
      </c>
      <c r="I289" s="16" t="s">
        <v>290</v>
      </c>
      <c r="O289" s="16" t="s">
        <v>963</v>
      </c>
    </row>
    <row r="290" spans="1:15" ht="15.75" customHeight="1" x14ac:dyDescent="0.25">
      <c r="A290" s="16" t="s">
        <v>30</v>
      </c>
      <c r="B290" s="16">
        <v>295097</v>
      </c>
      <c r="C290" s="16">
        <v>296539</v>
      </c>
      <c r="E290" s="16" t="s">
        <v>57</v>
      </c>
      <c r="F290" s="16" t="s">
        <v>964</v>
      </c>
      <c r="G290" s="16" t="s">
        <v>965</v>
      </c>
      <c r="I290" s="16" t="s">
        <v>50</v>
      </c>
      <c r="L290" s="16" t="s">
        <v>966</v>
      </c>
      <c r="M290" s="16" t="s">
        <v>964</v>
      </c>
      <c r="N290" s="16">
        <v>480</v>
      </c>
      <c r="O290" s="16" t="s">
        <v>967</v>
      </c>
    </row>
    <row r="291" spans="1:15" ht="15.75" customHeight="1" x14ac:dyDescent="0.25">
      <c r="A291" s="16" t="s">
        <v>30</v>
      </c>
      <c r="B291" s="16">
        <v>296710</v>
      </c>
      <c r="C291" s="16">
        <v>296785</v>
      </c>
      <c r="E291" s="16" t="s">
        <v>48</v>
      </c>
      <c r="F291" s="16" t="s">
        <v>968</v>
      </c>
      <c r="I291" s="16" t="s">
        <v>290</v>
      </c>
      <c r="O291" s="16" t="s">
        <v>969</v>
      </c>
    </row>
    <row r="292" spans="1:15" ht="15.75" customHeight="1" x14ac:dyDescent="0.25">
      <c r="A292" s="16" t="s">
        <v>30</v>
      </c>
      <c r="B292" s="16">
        <v>296829</v>
      </c>
      <c r="C292" s="16">
        <v>296904</v>
      </c>
      <c r="E292" s="16" t="s">
        <v>48</v>
      </c>
      <c r="F292" s="16" t="s">
        <v>968</v>
      </c>
      <c r="I292" s="16" t="s">
        <v>290</v>
      </c>
      <c r="O292" s="16" t="s">
        <v>970</v>
      </c>
    </row>
    <row r="293" spans="1:15" ht="15.75" customHeight="1" x14ac:dyDescent="0.25">
      <c r="A293" s="16" t="s">
        <v>30</v>
      </c>
      <c r="B293" s="16">
        <v>296963</v>
      </c>
      <c r="C293" s="16">
        <v>297038</v>
      </c>
      <c r="E293" s="16" t="s">
        <v>48</v>
      </c>
      <c r="F293" s="16" t="s">
        <v>968</v>
      </c>
      <c r="I293" s="16" t="s">
        <v>290</v>
      </c>
      <c r="O293" s="16" t="s">
        <v>971</v>
      </c>
    </row>
    <row r="294" spans="1:15" ht="15.75" customHeight="1" x14ac:dyDescent="0.25">
      <c r="A294" s="16" t="s">
        <v>30</v>
      </c>
      <c r="B294" s="16">
        <v>297091</v>
      </c>
      <c r="C294" s="16">
        <v>297166</v>
      </c>
      <c r="E294" s="16" t="s">
        <v>48</v>
      </c>
      <c r="F294" s="16" t="s">
        <v>968</v>
      </c>
      <c r="I294" s="16" t="s">
        <v>290</v>
      </c>
      <c r="O294" s="16" t="s">
        <v>972</v>
      </c>
    </row>
    <row r="295" spans="1:15" ht="15.75" customHeight="1" x14ac:dyDescent="0.25">
      <c r="A295" s="16" t="s">
        <v>30</v>
      </c>
      <c r="B295" s="16">
        <v>297289</v>
      </c>
      <c r="C295" s="16">
        <v>298944</v>
      </c>
      <c r="E295" s="16" t="s">
        <v>48</v>
      </c>
      <c r="F295" s="16" t="s">
        <v>973</v>
      </c>
      <c r="G295" s="16" t="s">
        <v>974</v>
      </c>
      <c r="I295" s="16" t="s">
        <v>50</v>
      </c>
      <c r="L295" s="16" t="s">
        <v>975</v>
      </c>
      <c r="M295" s="16" t="s">
        <v>973</v>
      </c>
      <c r="N295" s="16">
        <v>551</v>
      </c>
      <c r="O295" s="16" t="s">
        <v>976</v>
      </c>
    </row>
    <row r="296" spans="1:15" ht="15.75" customHeight="1" x14ac:dyDescent="0.25">
      <c r="A296" s="16" t="s">
        <v>30</v>
      </c>
      <c r="B296" s="16">
        <v>298962</v>
      </c>
      <c r="C296" s="16">
        <v>299771</v>
      </c>
      <c r="E296" s="16" t="s">
        <v>57</v>
      </c>
      <c r="F296" s="16" t="s">
        <v>977</v>
      </c>
      <c r="I296" s="16" t="s">
        <v>50</v>
      </c>
      <c r="L296" s="16" t="s">
        <v>978</v>
      </c>
      <c r="M296" s="16" t="s">
        <v>977</v>
      </c>
      <c r="N296" s="16">
        <v>269</v>
      </c>
      <c r="O296" s="16" t="s">
        <v>979</v>
      </c>
    </row>
    <row r="297" spans="1:15" ht="15.75" customHeight="1" x14ac:dyDescent="0.25">
      <c r="A297" s="16" t="s">
        <v>30</v>
      </c>
      <c r="B297" s="16">
        <v>299768</v>
      </c>
      <c r="C297" s="16">
        <v>300253</v>
      </c>
      <c r="E297" s="16" t="s">
        <v>57</v>
      </c>
      <c r="F297" s="16" t="s">
        <v>980</v>
      </c>
      <c r="I297" s="16" t="s">
        <v>50</v>
      </c>
      <c r="L297" s="16" t="s">
        <v>981</v>
      </c>
      <c r="M297" s="16" t="s">
        <v>980</v>
      </c>
      <c r="N297" s="16">
        <v>161</v>
      </c>
      <c r="O297" s="16" t="s">
        <v>982</v>
      </c>
    </row>
    <row r="298" spans="1:15" ht="15.75" customHeight="1" x14ac:dyDescent="0.25">
      <c r="A298" s="16" t="s">
        <v>30</v>
      </c>
      <c r="B298" s="16">
        <v>300256</v>
      </c>
      <c r="C298" s="16">
        <v>300918</v>
      </c>
      <c r="E298" s="16" t="s">
        <v>57</v>
      </c>
      <c r="F298" s="16" t="s">
        <v>983</v>
      </c>
      <c r="I298" s="16" t="s">
        <v>50</v>
      </c>
      <c r="L298" s="16" t="s">
        <v>984</v>
      </c>
      <c r="M298" s="16" t="s">
        <v>983</v>
      </c>
      <c r="N298" s="16">
        <v>220</v>
      </c>
      <c r="O298" s="16" t="s">
        <v>985</v>
      </c>
    </row>
    <row r="299" spans="1:15" ht="15.75" customHeight="1" x14ac:dyDescent="0.25">
      <c r="A299" s="16" t="s">
        <v>30</v>
      </c>
      <c r="B299" s="16">
        <v>301155</v>
      </c>
      <c r="C299" s="16">
        <v>301913</v>
      </c>
      <c r="E299" s="16" t="s">
        <v>48</v>
      </c>
      <c r="F299" s="16" t="s">
        <v>986</v>
      </c>
      <c r="G299" s="16" t="s">
        <v>987</v>
      </c>
      <c r="I299" s="16" t="s">
        <v>50</v>
      </c>
      <c r="L299" s="16" t="s">
        <v>988</v>
      </c>
      <c r="M299" s="16" t="s">
        <v>986</v>
      </c>
      <c r="N299" s="16">
        <v>252</v>
      </c>
      <c r="O299" s="16" t="s">
        <v>989</v>
      </c>
    </row>
    <row r="300" spans="1:15" ht="15.75" customHeight="1" x14ac:dyDescent="0.25">
      <c r="A300" s="16" t="s">
        <v>30</v>
      </c>
      <c r="B300" s="16">
        <v>302139</v>
      </c>
      <c r="C300" s="16">
        <v>303455</v>
      </c>
      <c r="E300" s="16" t="s">
        <v>57</v>
      </c>
      <c r="F300" s="16" t="s">
        <v>990</v>
      </c>
      <c r="I300" s="16" t="s">
        <v>50</v>
      </c>
      <c r="L300" s="16" t="s">
        <v>991</v>
      </c>
      <c r="M300" s="16" t="s">
        <v>990</v>
      </c>
      <c r="N300" s="16">
        <v>438</v>
      </c>
      <c r="O300" s="16" t="s">
        <v>992</v>
      </c>
    </row>
    <row r="301" spans="1:15" ht="15.75" customHeight="1" x14ac:dyDescent="0.25">
      <c r="A301" s="16" t="s">
        <v>30</v>
      </c>
      <c r="B301" s="16">
        <v>303511</v>
      </c>
      <c r="C301" s="16">
        <v>304254</v>
      </c>
      <c r="E301" s="16" t="s">
        <v>57</v>
      </c>
      <c r="F301" s="16" t="s">
        <v>993</v>
      </c>
      <c r="G301" s="16" t="s">
        <v>994</v>
      </c>
      <c r="I301" s="16" t="s">
        <v>50</v>
      </c>
      <c r="L301" s="16" t="s">
        <v>995</v>
      </c>
      <c r="M301" s="16" t="s">
        <v>993</v>
      </c>
      <c r="N301" s="16">
        <v>247</v>
      </c>
      <c r="O301" s="16" t="s">
        <v>996</v>
      </c>
    </row>
    <row r="302" spans="1:15" ht="15.75" customHeight="1" x14ac:dyDescent="0.25">
      <c r="A302" s="16" t="s">
        <v>30</v>
      </c>
      <c r="B302" s="16">
        <v>304315</v>
      </c>
      <c r="C302" s="16">
        <v>306021</v>
      </c>
      <c r="E302" s="16" t="s">
        <v>57</v>
      </c>
      <c r="F302" s="16" t="s">
        <v>997</v>
      </c>
      <c r="G302" s="16" t="s">
        <v>998</v>
      </c>
      <c r="I302" s="16" t="s">
        <v>50</v>
      </c>
      <c r="L302" s="16" t="s">
        <v>999</v>
      </c>
      <c r="M302" s="16" t="s">
        <v>997</v>
      </c>
      <c r="N302" s="16">
        <v>568</v>
      </c>
      <c r="O302" s="16" t="s">
        <v>1000</v>
      </c>
    </row>
    <row r="303" spans="1:15" ht="15.75" customHeight="1" x14ac:dyDescent="0.25">
      <c r="A303" s="16" t="s">
        <v>30</v>
      </c>
      <c r="B303" s="16">
        <v>306037</v>
      </c>
      <c r="C303" s="16">
        <v>307308</v>
      </c>
      <c r="E303" s="16" t="s">
        <v>57</v>
      </c>
      <c r="F303" s="16" t="s">
        <v>1001</v>
      </c>
      <c r="I303" s="16" t="s">
        <v>50</v>
      </c>
      <c r="L303" s="16" t="s">
        <v>1002</v>
      </c>
      <c r="M303" s="16" t="s">
        <v>1001</v>
      </c>
      <c r="N303" s="16">
        <v>423</v>
      </c>
      <c r="O303" s="16" t="s">
        <v>1003</v>
      </c>
    </row>
    <row r="304" spans="1:15" ht="15.75" customHeight="1" x14ac:dyDescent="0.25">
      <c r="A304" s="16" t="s">
        <v>30</v>
      </c>
      <c r="B304" s="16">
        <v>307465</v>
      </c>
      <c r="C304" s="16">
        <v>308679</v>
      </c>
      <c r="E304" s="16" t="s">
        <v>48</v>
      </c>
      <c r="F304" s="16" t="s">
        <v>1004</v>
      </c>
      <c r="I304" s="16" t="s">
        <v>50</v>
      </c>
      <c r="L304" s="16" t="s">
        <v>1005</v>
      </c>
      <c r="M304" s="16" t="s">
        <v>1004</v>
      </c>
      <c r="N304" s="16">
        <v>404</v>
      </c>
      <c r="O304" s="16" t="s">
        <v>1006</v>
      </c>
    </row>
    <row r="305" spans="1:15" ht="15.75" customHeight="1" x14ac:dyDescent="0.25">
      <c r="A305" s="16" t="s">
        <v>30</v>
      </c>
      <c r="B305" s="16">
        <v>308796</v>
      </c>
      <c r="C305" s="16">
        <v>310052</v>
      </c>
      <c r="E305" s="16" t="s">
        <v>48</v>
      </c>
      <c r="F305" s="16" t="s">
        <v>1007</v>
      </c>
      <c r="G305" s="16" t="s">
        <v>1008</v>
      </c>
      <c r="I305" s="16" t="s">
        <v>50</v>
      </c>
      <c r="L305" s="16" t="s">
        <v>1009</v>
      </c>
      <c r="M305" s="16" t="s">
        <v>1007</v>
      </c>
      <c r="N305" s="16">
        <v>418</v>
      </c>
      <c r="O305" s="16" t="s">
        <v>1010</v>
      </c>
    </row>
    <row r="306" spans="1:15" ht="15.75" customHeight="1" x14ac:dyDescent="0.25">
      <c r="A306" s="16" t="s">
        <v>30</v>
      </c>
      <c r="B306" s="16">
        <v>310160</v>
      </c>
      <c r="C306" s="16">
        <v>311527</v>
      </c>
      <c r="E306" s="16" t="s">
        <v>57</v>
      </c>
      <c r="F306" s="16" t="s">
        <v>1011</v>
      </c>
      <c r="I306" s="16" t="s">
        <v>50</v>
      </c>
      <c r="L306" s="16" t="s">
        <v>1012</v>
      </c>
      <c r="M306" s="16" t="s">
        <v>1011</v>
      </c>
      <c r="N306" s="16">
        <v>455</v>
      </c>
      <c r="O306" s="16" t="s">
        <v>1013</v>
      </c>
    </row>
    <row r="307" spans="1:15" ht="15.75" customHeight="1" x14ac:dyDescent="0.25">
      <c r="A307" s="16" t="s">
        <v>30</v>
      </c>
      <c r="B307" s="16">
        <v>311562</v>
      </c>
      <c r="C307" s="16">
        <v>312800</v>
      </c>
      <c r="E307" s="16" t="s">
        <v>57</v>
      </c>
      <c r="F307" s="16" t="s">
        <v>1014</v>
      </c>
      <c r="I307" s="16" t="s">
        <v>50</v>
      </c>
      <c r="L307" s="16" t="s">
        <v>1015</v>
      </c>
      <c r="M307" s="16" t="s">
        <v>1014</v>
      </c>
      <c r="N307" s="16">
        <v>412</v>
      </c>
      <c r="O307" s="16" t="s">
        <v>1016</v>
      </c>
    </row>
    <row r="308" spans="1:15" ht="15.75" customHeight="1" x14ac:dyDescent="0.25">
      <c r="A308" s="16" t="s">
        <v>30</v>
      </c>
      <c r="B308" s="16">
        <v>313023</v>
      </c>
      <c r="C308" s="16">
        <v>315191</v>
      </c>
      <c r="E308" s="16" t="s">
        <v>57</v>
      </c>
      <c r="F308" s="16" t="s">
        <v>1017</v>
      </c>
      <c r="I308" s="16" t="s">
        <v>50</v>
      </c>
      <c r="L308" s="16" t="s">
        <v>1018</v>
      </c>
      <c r="M308" s="16" t="s">
        <v>1017</v>
      </c>
      <c r="N308" s="16">
        <v>722</v>
      </c>
      <c r="O308" s="16" t="s">
        <v>1019</v>
      </c>
    </row>
    <row r="309" spans="1:15" ht="15.75" customHeight="1" x14ac:dyDescent="0.25">
      <c r="A309" s="16" t="s">
        <v>30</v>
      </c>
      <c r="B309" s="16">
        <v>315166</v>
      </c>
      <c r="C309" s="16">
        <v>315372</v>
      </c>
      <c r="E309" s="16" t="s">
        <v>57</v>
      </c>
      <c r="F309" s="16" t="s">
        <v>1020</v>
      </c>
      <c r="I309" s="16" t="s">
        <v>50</v>
      </c>
      <c r="L309" s="16" t="s">
        <v>1021</v>
      </c>
      <c r="M309" s="16" t="s">
        <v>1020</v>
      </c>
      <c r="N309" s="16">
        <v>68</v>
      </c>
      <c r="O309" s="16" t="s">
        <v>1022</v>
      </c>
    </row>
    <row r="310" spans="1:15" ht="15.75" customHeight="1" x14ac:dyDescent="0.25">
      <c r="A310" s="16" t="s">
        <v>30</v>
      </c>
      <c r="B310" s="16">
        <v>315446</v>
      </c>
      <c r="C310" s="16">
        <v>315652</v>
      </c>
      <c r="E310" s="16" t="s">
        <v>57</v>
      </c>
      <c r="F310" s="16" t="s">
        <v>1020</v>
      </c>
      <c r="I310" s="16" t="s">
        <v>50</v>
      </c>
      <c r="L310" s="16" t="s">
        <v>1023</v>
      </c>
      <c r="M310" s="16" t="s">
        <v>1020</v>
      </c>
      <c r="N310" s="16">
        <v>68</v>
      </c>
      <c r="O310" s="16" t="s">
        <v>1024</v>
      </c>
    </row>
    <row r="311" spans="1:15" ht="15.75" customHeight="1" x14ac:dyDescent="0.25">
      <c r="A311" s="16" t="s">
        <v>30</v>
      </c>
      <c r="B311" s="16">
        <v>315726</v>
      </c>
      <c r="C311" s="16">
        <v>315932</v>
      </c>
      <c r="E311" s="16" t="s">
        <v>57</v>
      </c>
      <c r="F311" s="16" t="s">
        <v>1020</v>
      </c>
      <c r="I311" s="16" t="s">
        <v>50</v>
      </c>
      <c r="L311" s="16" t="s">
        <v>1025</v>
      </c>
      <c r="M311" s="16" t="s">
        <v>1020</v>
      </c>
      <c r="N311" s="16">
        <v>68</v>
      </c>
      <c r="O311" s="16" t="s">
        <v>1026</v>
      </c>
    </row>
    <row r="312" spans="1:15" ht="15.75" customHeight="1" x14ac:dyDescent="0.25">
      <c r="A312" s="16" t="s">
        <v>30</v>
      </c>
      <c r="B312" s="16">
        <v>316006</v>
      </c>
      <c r="C312" s="16">
        <v>316212</v>
      </c>
      <c r="E312" s="16" t="s">
        <v>57</v>
      </c>
      <c r="F312" s="16" t="s">
        <v>1020</v>
      </c>
      <c r="I312" s="16" t="s">
        <v>50</v>
      </c>
      <c r="L312" s="16" t="s">
        <v>1027</v>
      </c>
      <c r="M312" s="16" t="s">
        <v>1020</v>
      </c>
      <c r="N312" s="16">
        <v>68</v>
      </c>
      <c r="O312" s="16" t="s">
        <v>1028</v>
      </c>
    </row>
    <row r="313" spans="1:15" ht="15.75" customHeight="1" x14ac:dyDescent="0.25">
      <c r="A313" s="16" t="s">
        <v>30</v>
      </c>
      <c r="B313" s="16">
        <v>316287</v>
      </c>
      <c r="C313" s="16">
        <v>316493</v>
      </c>
      <c r="E313" s="16" t="s">
        <v>57</v>
      </c>
      <c r="F313" s="16" t="s">
        <v>1020</v>
      </c>
      <c r="I313" s="16" t="s">
        <v>50</v>
      </c>
      <c r="L313" s="16" t="s">
        <v>1029</v>
      </c>
      <c r="M313" s="16" t="s">
        <v>1020</v>
      </c>
      <c r="N313" s="16">
        <v>68</v>
      </c>
      <c r="O313" s="16" t="s">
        <v>1030</v>
      </c>
    </row>
    <row r="314" spans="1:15" ht="15.75" customHeight="1" x14ac:dyDescent="0.25">
      <c r="A314" s="16" t="s">
        <v>30</v>
      </c>
      <c r="B314" s="16">
        <v>316567</v>
      </c>
      <c r="C314" s="16">
        <v>316773</v>
      </c>
      <c r="E314" s="16" t="s">
        <v>57</v>
      </c>
      <c r="F314" s="16" t="s">
        <v>1020</v>
      </c>
      <c r="I314" s="16" t="s">
        <v>50</v>
      </c>
      <c r="L314" s="16" t="s">
        <v>1031</v>
      </c>
      <c r="M314" s="16" t="s">
        <v>1020</v>
      </c>
      <c r="N314" s="16">
        <v>68</v>
      </c>
      <c r="O314" s="16" t="s">
        <v>1032</v>
      </c>
    </row>
    <row r="315" spans="1:15" ht="15.75" customHeight="1" x14ac:dyDescent="0.25">
      <c r="A315" s="16" t="s">
        <v>30</v>
      </c>
      <c r="B315" s="16">
        <v>316847</v>
      </c>
      <c r="C315" s="16">
        <v>317053</v>
      </c>
      <c r="E315" s="16" t="s">
        <v>57</v>
      </c>
      <c r="F315" s="16" t="s">
        <v>1020</v>
      </c>
      <c r="I315" s="16" t="s">
        <v>50</v>
      </c>
      <c r="L315" s="16" t="s">
        <v>1033</v>
      </c>
      <c r="M315" s="16" t="s">
        <v>1020</v>
      </c>
      <c r="N315" s="16">
        <v>68</v>
      </c>
      <c r="O315" s="16" t="s">
        <v>1034</v>
      </c>
    </row>
    <row r="316" spans="1:15" ht="15.75" customHeight="1" x14ac:dyDescent="0.25">
      <c r="A316" s="16" t="s">
        <v>30</v>
      </c>
      <c r="B316" s="16">
        <v>317128</v>
      </c>
      <c r="C316" s="16">
        <v>317334</v>
      </c>
      <c r="E316" s="16" t="s">
        <v>57</v>
      </c>
      <c r="F316" s="16" t="s">
        <v>1020</v>
      </c>
      <c r="I316" s="16" t="s">
        <v>50</v>
      </c>
      <c r="L316" s="16" t="s">
        <v>1035</v>
      </c>
      <c r="M316" s="16" t="s">
        <v>1020</v>
      </c>
      <c r="N316" s="16">
        <v>68</v>
      </c>
      <c r="O316" s="16" t="s">
        <v>1036</v>
      </c>
    </row>
    <row r="317" spans="1:15" ht="15.75" customHeight="1" x14ac:dyDescent="0.25">
      <c r="A317" s="16" t="s">
        <v>30</v>
      </c>
      <c r="B317" s="16">
        <v>317411</v>
      </c>
      <c r="C317" s="16">
        <v>317797</v>
      </c>
      <c r="E317" s="16" t="s">
        <v>48</v>
      </c>
      <c r="F317" s="16" t="s">
        <v>1037</v>
      </c>
      <c r="G317" s="16" t="s">
        <v>1038</v>
      </c>
      <c r="I317" s="16" t="s">
        <v>50</v>
      </c>
      <c r="L317" s="16" t="s">
        <v>1039</v>
      </c>
      <c r="M317" s="16" t="s">
        <v>1037</v>
      </c>
      <c r="N317" s="16">
        <v>128</v>
      </c>
      <c r="O317" s="16" t="s">
        <v>1040</v>
      </c>
    </row>
    <row r="318" spans="1:15" ht="15.75" customHeight="1" x14ac:dyDescent="0.25">
      <c r="A318" s="16" t="s">
        <v>30</v>
      </c>
      <c r="B318" s="16">
        <v>317811</v>
      </c>
      <c r="C318" s="16">
        <v>318128</v>
      </c>
      <c r="E318" s="16" t="s">
        <v>57</v>
      </c>
      <c r="F318" s="16" t="s">
        <v>1041</v>
      </c>
      <c r="G318" s="16" t="s">
        <v>1042</v>
      </c>
      <c r="I318" s="16" t="s">
        <v>50</v>
      </c>
      <c r="L318" s="16" t="s">
        <v>1043</v>
      </c>
      <c r="M318" s="16" t="s">
        <v>1041</v>
      </c>
      <c r="N318" s="16">
        <v>105</v>
      </c>
      <c r="O318" s="16" t="s">
        <v>1044</v>
      </c>
    </row>
    <row r="319" spans="1:15" ht="15.75" customHeight="1" x14ac:dyDescent="0.25">
      <c r="A319" s="16" t="s">
        <v>30</v>
      </c>
      <c r="B319" s="16">
        <v>318376</v>
      </c>
      <c r="C319" s="16">
        <v>319638</v>
      </c>
      <c r="E319" s="16" t="s">
        <v>48</v>
      </c>
      <c r="F319" s="16" t="s">
        <v>1045</v>
      </c>
      <c r="G319" s="16" t="s">
        <v>1046</v>
      </c>
      <c r="I319" s="16" t="s">
        <v>50</v>
      </c>
      <c r="L319" s="16" t="s">
        <v>1047</v>
      </c>
      <c r="M319" s="16" t="s">
        <v>1045</v>
      </c>
      <c r="N319" s="16">
        <v>420</v>
      </c>
      <c r="O319" s="16" t="s">
        <v>1048</v>
      </c>
    </row>
    <row r="320" spans="1:15" ht="15.75" customHeight="1" x14ac:dyDescent="0.25">
      <c r="A320" s="16" t="s">
        <v>30</v>
      </c>
      <c r="B320" s="16">
        <v>319692</v>
      </c>
      <c r="C320" s="16">
        <v>320384</v>
      </c>
      <c r="E320" s="16" t="s">
        <v>57</v>
      </c>
      <c r="F320" s="16" t="s">
        <v>1049</v>
      </c>
      <c r="I320" s="16" t="s">
        <v>50</v>
      </c>
      <c r="L320" s="16" t="s">
        <v>1050</v>
      </c>
      <c r="M320" s="16" t="s">
        <v>1049</v>
      </c>
      <c r="N320" s="16">
        <v>230</v>
      </c>
      <c r="O320" s="16" t="s">
        <v>1051</v>
      </c>
    </row>
    <row r="321" spans="1:15" ht="15.75" customHeight="1" x14ac:dyDescent="0.25">
      <c r="A321" s="16" t="s">
        <v>30</v>
      </c>
      <c r="B321" s="16">
        <v>320381</v>
      </c>
      <c r="C321" s="16">
        <v>321601</v>
      </c>
      <c r="E321" s="16" t="s">
        <v>57</v>
      </c>
      <c r="F321" s="16" t="s">
        <v>1052</v>
      </c>
      <c r="I321" s="16" t="s">
        <v>50</v>
      </c>
      <c r="L321" s="16" t="s">
        <v>1053</v>
      </c>
      <c r="M321" s="16" t="s">
        <v>1052</v>
      </c>
      <c r="N321" s="16">
        <v>406</v>
      </c>
      <c r="O321" s="16" t="s">
        <v>1054</v>
      </c>
    </row>
    <row r="322" spans="1:15" ht="15.75" customHeight="1" x14ac:dyDescent="0.25">
      <c r="A322" s="16" t="s">
        <v>30</v>
      </c>
      <c r="B322" s="16">
        <v>321594</v>
      </c>
      <c r="C322" s="16">
        <v>322991</v>
      </c>
      <c r="E322" s="16" t="s">
        <v>57</v>
      </c>
      <c r="F322" s="16" t="s">
        <v>1055</v>
      </c>
      <c r="I322" s="16" t="s">
        <v>50</v>
      </c>
      <c r="L322" s="16" t="s">
        <v>1056</v>
      </c>
      <c r="M322" s="16" t="s">
        <v>1055</v>
      </c>
      <c r="N322" s="16">
        <v>465</v>
      </c>
      <c r="O322" s="16" t="s">
        <v>1057</v>
      </c>
    </row>
    <row r="323" spans="1:15" ht="15.75" customHeight="1" x14ac:dyDescent="0.25">
      <c r="A323" s="16" t="s">
        <v>30</v>
      </c>
      <c r="B323" s="16">
        <v>322988</v>
      </c>
      <c r="C323" s="16">
        <v>323437</v>
      </c>
      <c r="E323" s="16" t="s">
        <v>57</v>
      </c>
      <c r="F323" s="16" t="s">
        <v>1058</v>
      </c>
      <c r="I323" s="16" t="s">
        <v>50</v>
      </c>
      <c r="L323" s="16" t="s">
        <v>1059</v>
      </c>
      <c r="M323" s="16" t="s">
        <v>1058</v>
      </c>
      <c r="N323" s="16">
        <v>149</v>
      </c>
      <c r="O323" s="16" t="s">
        <v>1060</v>
      </c>
    </row>
    <row r="324" spans="1:15" ht="15.75" customHeight="1" x14ac:dyDescent="0.25">
      <c r="A324" s="16" t="s">
        <v>30</v>
      </c>
      <c r="B324" s="16">
        <v>323552</v>
      </c>
      <c r="C324" s="16">
        <v>324112</v>
      </c>
      <c r="E324" s="16" t="s">
        <v>48</v>
      </c>
      <c r="F324" s="16" t="s">
        <v>1061</v>
      </c>
      <c r="G324" s="16" t="s">
        <v>1062</v>
      </c>
      <c r="I324" s="16" t="s">
        <v>50</v>
      </c>
      <c r="L324" s="16" t="s">
        <v>1063</v>
      </c>
      <c r="M324" s="16" t="s">
        <v>1061</v>
      </c>
      <c r="N324" s="16">
        <v>186</v>
      </c>
      <c r="O324" s="16" t="s">
        <v>1064</v>
      </c>
    </row>
    <row r="325" spans="1:15" ht="15.75" customHeight="1" x14ac:dyDescent="0.25">
      <c r="A325" s="16" t="s">
        <v>30</v>
      </c>
      <c r="B325" s="16">
        <v>324734</v>
      </c>
      <c r="C325" s="16">
        <v>325633</v>
      </c>
      <c r="E325" s="16" t="s">
        <v>48</v>
      </c>
      <c r="F325" s="16" t="s">
        <v>1065</v>
      </c>
      <c r="G325" s="16" t="s">
        <v>1066</v>
      </c>
      <c r="I325" s="16" t="s">
        <v>50</v>
      </c>
      <c r="L325" s="16" t="s">
        <v>1067</v>
      </c>
      <c r="M325" s="16" t="s">
        <v>1065</v>
      </c>
      <c r="N325" s="16">
        <v>299</v>
      </c>
      <c r="O325" s="16" t="s">
        <v>1068</v>
      </c>
    </row>
    <row r="326" spans="1:15" ht="15.75" customHeight="1" x14ac:dyDescent="0.25">
      <c r="A326" s="16" t="s">
        <v>30</v>
      </c>
      <c r="B326" s="16">
        <v>325617</v>
      </c>
      <c r="C326" s="16">
        <v>327182</v>
      </c>
      <c r="E326" s="16" t="s">
        <v>48</v>
      </c>
      <c r="F326" s="16" t="s">
        <v>1069</v>
      </c>
      <c r="G326" s="16" t="s">
        <v>1070</v>
      </c>
      <c r="I326" s="16" t="s">
        <v>50</v>
      </c>
      <c r="L326" s="16" t="s">
        <v>1071</v>
      </c>
      <c r="M326" s="16" t="s">
        <v>1069</v>
      </c>
      <c r="N326" s="16">
        <v>521</v>
      </c>
      <c r="O326" s="16" t="s">
        <v>1072</v>
      </c>
    </row>
    <row r="327" spans="1:15" ht="15.75" customHeight="1" x14ac:dyDescent="0.25">
      <c r="A327" s="16" t="s">
        <v>30</v>
      </c>
      <c r="B327" s="16">
        <v>327235</v>
      </c>
      <c r="C327" s="16">
        <v>327972</v>
      </c>
      <c r="E327" s="16" t="s">
        <v>48</v>
      </c>
      <c r="F327" s="16" t="s">
        <v>1073</v>
      </c>
      <c r="G327" s="16" t="s">
        <v>1074</v>
      </c>
      <c r="I327" s="16" t="s">
        <v>50</v>
      </c>
      <c r="L327" s="16" t="s">
        <v>1075</v>
      </c>
      <c r="M327" s="16" t="s">
        <v>1073</v>
      </c>
      <c r="N327" s="16">
        <v>245</v>
      </c>
      <c r="O327" s="16" t="s">
        <v>1076</v>
      </c>
    </row>
    <row r="328" spans="1:15" ht="15.75" customHeight="1" x14ac:dyDescent="0.25">
      <c r="A328" s="16" t="s">
        <v>30</v>
      </c>
      <c r="B328" s="16">
        <v>327969</v>
      </c>
      <c r="C328" s="16">
        <v>328529</v>
      </c>
      <c r="E328" s="16" t="s">
        <v>48</v>
      </c>
      <c r="F328" s="16" t="s">
        <v>1077</v>
      </c>
      <c r="I328" s="16" t="s">
        <v>50</v>
      </c>
      <c r="L328" s="16" t="s">
        <v>1078</v>
      </c>
      <c r="M328" s="16" t="s">
        <v>1077</v>
      </c>
      <c r="N328" s="16">
        <v>186</v>
      </c>
      <c r="O328" s="16" t="s">
        <v>1079</v>
      </c>
    </row>
    <row r="329" spans="1:15" ht="15.75" customHeight="1" x14ac:dyDescent="0.25">
      <c r="A329" s="16" t="s">
        <v>30</v>
      </c>
      <c r="B329" s="16">
        <v>328529</v>
      </c>
      <c r="C329" s="16">
        <v>328948</v>
      </c>
      <c r="E329" s="16" t="s">
        <v>48</v>
      </c>
      <c r="F329" s="16" t="s">
        <v>1080</v>
      </c>
      <c r="G329" s="16" t="s">
        <v>1081</v>
      </c>
      <c r="I329" s="16" t="s">
        <v>50</v>
      </c>
      <c r="L329" s="16" t="s">
        <v>1082</v>
      </c>
      <c r="M329" s="16" t="s">
        <v>1080</v>
      </c>
      <c r="N329" s="16">
        <v>139</v>
      </c>
      <c r="O329" s="16" t="s">
        <v>1083</v>
      </c>
    </row>
    <row r="330" spans="1:15" ht="15.75" customHeight="1" x14ac:dyDescent="0.25">
      <c r="A330" s="16" t="s">
        <v>30</v>
      </c>
      <c r="B330" s="16">
        <v>328998</v>
      </c>
      <c r="C330" s="16">
        <v>329906</v>
      </c>
      <c r="E330" s="16" t="s">
        <v>57</v>
      </c>
      <c r="F330" s="16" t="s">
        <v>1084</v>
      </c>
      <c r="G330" s="16" t="s">
        <v>1085</v>
      </c>
      <c r="I330" s="16" t="s">
        <v>50</v>
      </c>
      <c r="L330" s="16" t="s">
        <v>1086</v>
      </c>
      <c r="M330" s="16" t="s">
        <v>1084</v>
      </c>
      <c r="N330" s="16">
        <v>302</v>
      </c>
      <c r="O330" s="16" t="s">
        <v>1087</v>
      </c>
    </row>
    <row r="331" spans="1:15" ht="15.75" customHeight="1" x14ac:dyDescent="0.25">
      <c r="A331" s="16" t="s">
        <v>30</v>
      </c>
      <c r="B331" s="16">
        <v>329972</v>
      </c>
      <c r="C331" s="16">
        <v>330787</v>
      </c>
      <c r="E331" s="16" t="s">
        <v>48</v>
      </c>
      <c r="F331" s="16" t="s">
        <v>1088</v>
      </c>
      <c r="G331" s="16" t="s">
        <v>1089</v>
      </c>
      <c r="I331" s="16" t="s">
        <v>50</v>
      </c>
      <c r="L331" s="16" t="s">
        <v>1090</v>
      </c>
      <c r="M331" s="16" t="s">
        <v>1088</v>
      </c>
      <c r="N331" s="16">
        <v>271</v>
      </c>
      <c r="O331" s="16" t="s">
        <v>1091</v>
      </c>
    </row>
    <row r="332" spans="1:15" ht="15.75" customHeight="1" x14ac:dyDescent="0.25">
      <c r="A332" s="16" t="s">
        <v>30</v>
      </c>
      <c r="B332" s="16">
        <v>330787</v>
      </c>
      <c r="C332" s="16">
        <v>331953</v>
      </c>
      <c r="E332" s="16" t="s">
        <v>48</v>
      </c>
      <c r="F332" s="16" t="s">
        <v>1092</v>
      </c>
      <c r="I332" s="16" t="s">
        <v>50</v>
      </c>
      <c r="L332" s="16" t="s">
        <v>1093</v>
      </c>
      <c r="M332" s="16" t="s">
        <v>1092</v>
      </c>
      <c r="N332" s="16">
        <v>388</v>
      </c>
      <c r="O332" s="16" t="s">
        <v>1094</v>
      </c>
    </row>
    <row r="333" spans="1:15" ht="15.75" customHeight="1" x14ac:dyDescent="0.25">
      <c r="A333" s="16" t="s">
        <v>30</v>
      </c>
      <c r="B333" s="16">
        <v>331984</v>
      </c>
      <c r="C333" s="16">
        <v>332877</v>
      </c>
      <c r="E333" s="16" t="s">
        <v>48</v>
      </c>
      <c r="F333" s="16" t="s">
        <v>1095</v>
      </c>
      <c r="G333" s="16" t="s">
        <v>1096</v>
      </c>
      <c r="I333" s="16" t="s">
        <v>50</v>
      </c>
      <c r="L333" s="16" t="s">
        <v>1097</v>
      </c>
      <c r="M333" s="16" t="s">
        <v>1095</v>
      </c>
      <c r="N333" s="16">
        <v>297</v>
      </c>
      <c r="O333" s="16" t="s">
        <v>1098</v>
      </c>
    </row>
    <row r="334" spans="1:15" ht="15.75" customHeight="1" x14ac:dyDescent="0.25">
      <c r="A334" s="16" t="s">
        <v>30</v>
      </c>
      <c r="B334" s="16">
        <v>333050</v>
      </c>
      <c r="C334" s="16">
        <v>333337</v>
      </c>
      <c r="E334" s="16" t="s">
        <v>48</v>
      </c>
      <c r="F334" s="16" t="s">
        <v>1099</v>
      </c>
      <c r="I334" s="16" t="s">
        <v>50</v>
      </c>
      <c r="L334" s="16" t="s">
        <v>1100</v>
      </c>
      <c r="M334" s="16" t="s">
        <v>1099</v>
      </c>
      <c r="N334" s="16">
        <v>95</v>
      </c>
      <c r="O334" s="16" t="s">
        <v>1101</v>
      </c>
    </row>
    <row r="335" spans="1:15" ht="15.75" customHeight="1" x14ac:dyDescent="0.25">
      <c r="A335" s="16" t="s">
        <v>30</v>
      </c>
      <c r="B335" s="16">
        <v>333389</v>
      </c>
      <c r="C335" s="16">
        <v>334396</v>
      </c>
      <c r="E335" s="16" t="s">
        <v>57</v>
      </c>
      <c r="F335" s="16" t="s">
        <v>1102</v>
      </c>
      <c r="G335" s="16" t="s">
        <v>1103</v>
      </c>
      <c r="I335" s="16" t="s">
        <v>50</v>
      </c>
      <c r="L335" s="16" t="s">
        <v>1104</v>
      </c>
      <c r="M335" s="16" t="s">
        <v>1102</v>
      </c>
      <c r="N335" s="16">
        <v>335</v>
      </c>
      <c r="O335" s="16" t="s">
        <v>1105</v>
      </c>
    </row>
    <row r="336" spans="1:15" ht="15.75" customHeight="1" x14ac:dyDescent="0.25">
      <c r="A336" s="16" t="s">
        <v>30</v>
      </c>
      <c r="B336" s="16">
        <v>334404</v>
      </c>
      <c r="C336" s="16">
        <v>335018</v>
      </c>
      <c r="E336" s="16" t="s">
        <v>57</v>
      </c>
      <c r="F336" s="16" t="s">
        <v>1106</v>
      </c>
      <c r="G336" s="16" t="s">
        <v>1107</v>
      </c>
      <c r="I336" s="16" t="s">
        <v>50</v>
      </c>
      <c r="L336" s="16" t="s">
        <v>1108</v>
      </c>
      <c r="M336" s="16" t="s">
        <v>1106</v>
      </c>
      <c r="N336" s="16">
        <v>204</v>
      </c>
      <c r="O336" s="16" t="s">
        <v>1109</v>
      </c>
    </row>
    <row r="337" spans="1:15" ht="15.75" customHeight="1" x14ac:dyDescent="0.25">
      <c r="A337" s="16" t="s">
        <v>30</v>
      </c>
      <c r="B337" s="16">
        <v>335081</v>
      </c>
      <c r="C337" s="16">
        <v>335653</v>
      </c>
      <c r="E337" s="16" t="s">
        <v>57</v>
      </c>
      <c r="F337" s="16" t="s">
        <v>1110</v>
      </c>
      <c r="G337" s="16" t="s">
        <v>1111</v>
      </c>
      <c r="I337" s="16" t="s">
        <v>50</v>
      </c>
      <c r="L337" s="16" t="s">
        <v>1112</v>
      </c>
      <c r="M337" s="16" t="s">
        <v>1110</v>
      </c>
      <c r="N337" s="16">
        <v>190</v>
      </c>
      <c r="O337" s="16" t="s">
        <v>1113</v>
      </c>
    </row>
    <row r="338" spans="1:15" ht="15.75" customHeight="1" x14ac:dyDescent="0.25">
      <c r="A338" s="16" t="s">
        <v>30</v>
      </c>
      <c r="B338" s="16">
        <v>335700</v>
      </c>
      <c r="C338" s="16">
        <v>336440</v>
      </c>
      <c r="E338" s="16" t="s">
        <v>57</v>
      </c>
      <c r="F338" s="16" t="s">
        <v>1114</v>
      </c>
      <c r="I338" s="16" t="s">
        <v>50</v>
      </c>
      <c r="L338" s="16" t="s">
        <v>1115</v>
      </c>
      <c r="M338" s="16" t="s">
        <v>1114</v>
      </c>
      <c r="N338" s="16">
        <v>246</v>
      </c>
      <c r="O338" s="16" t="s">
        <v>1116</v>
      </c>
    </row>
    <row r="339" spans="1:15" ht="15.75" customHeight="1" x14ac:dyDescent="0.25">
      <c r="A339" s="16" t="s">
        <v>30</v>
      </c>
      <c r="B339" s="16">
        <v>336452</v>
      </c>
      <c r="C339" s="16">
        <v>336925</v>
      </c>
      <c r="E339" s="16" t="s">
        <v>57</v>
      </c>
      <c r="F339" s="16" t="s">
        <v>1117</v>
      </c>
      <c r="G339" s="16" t="s">
        <v>1118</v>
      </c>
      <c r="I339" s="16" t="s">
        <v>50</v>
      </c>
      <c r="L339" s="16" t="s">
        <v>1119</v>
      </c>
      <c r="M339" s="16" t="s">
        <v>1117</v>
      </c>
      <c r="N339" s="16">
        <v>157</v>
      </c>
      <c r="O339" s="16" t="s">
        <v>1120</v>
      </c>
    </row>
    <row r="340" spans="1:15" ht="15.75" customHeight="1" x14ac:dyDescent="0.25">
      <c r="A340" s="16" t="s">
        <v>30</v>
      </c>
      <c r="B340" s="16">
        <v>336947</v>
      </c>
      <c r="C340" s="16">
        <v>338713</v>
      </c>
      <c r="E340" s="16" t="s">
        <v>57</v>
      </c>
      <c r="F340" s="16" t="s">
        <v>1121</v>
      </c>
      <c r="G340" s="16" t="s">
        <v>1122</v>
      </c>
      <c r="I340" s="16" t="s">
        <v>50</v>
      </c>
      <c r="L340" s="16" t="s">
        <v>1123</v>
      </c>
      <c r="M340" s="16" t="s">
        <v>1121</v>
      </c>
      <c r="N340" s="16">
        <v>588</v>
      </c>
      <c r="O340" s="16" t="s">
        <v>1124</v>
      </c>
    </row>
    <row r="341" spans="1:15" ht="15.75" customHeight="1" x14ac:dyDescent="0.25">
      <c r="A341" s="16" t="s">
        <v>30</v>
      </c>
      <c r="B341" s="16">
        <v>338932</v>
      </c>
      <c r="C341" s="16">
        <v>339450</v>
      </c>
      <c r="E341" s="16" t="s">
        <v>48</v>
      </c>
      <c r="F341" s="16" t="s">
        <v>1125</v>
      </c>
      <c r="I341" s="16" t="s">
        <v>50</v>
      </c>
      <c r="L341" s="16" t="s">
        <v>1126</v>
      </c>
      <c r="M341" s="16" t="s">
        <v>1125</v>
      </c>
      <c r="N341" s="16">
        <v>172</v>
      </c>
      <c r="O341" s="16" t="s">
        <v>1127</v>
      </c>
    </row>
    <row r="342" spans="1:15" ht="15.75" customHeight="1" x14ac:dyDescent="0.25">
      <c r="A342" s="16" t="s">
        <v>30</v>
      </c>
      <c r="B342" s="16">
        <v>339503</v>
      </c>
      <c r="C342" s="16">
        <v>340228</v>
      </c>
      <c r="E342" s="16" t="s">
        <v>48</v>
      </c>
      <c r="F342" s="16" t="s">
        <v>1128</v>
      </c>
      <c r="G342" s="16" t="s">
        <v>1129</v>
      </c>
      <c r="I342" s="16" t="s">
        <v>50</v>
      </c>
      <c r="L342" s="16" t="s">
        <v>1130</v>
      </c>
      <c r="M342" s="16" t="s">
        <v>1128</v>
      </c>
      <c r="N342" s="16">
        <v>241</v>
      </c>
      <c r="O342" s="16" t="s">
        <v>1131</v>
      </c>
    </row>
    <row r="343" spans="1:15" ht="15.75" customHeight="1" x14ac:dyDescent="0.25">
      <c r="A343" s="16" t="s">
        <v>30</v>
      </c>
      <c r="B343" s="16">
        <v>340321</v>
      </c>
      <c r="C343" s="16">
        <v>340557</v>
      </c>
      <c r="E343" s="16" t="s">
        <v>48</v>
      </c>
      <c r="F343" s="16" t="s">
        <v>1132</v>
      </c>
      <c r="I343" s="16" t="s">
        <v>50</v>
      </c>
      <c r="L343" s="16" t="s">
        <v>1133</v>
      </c>
      <c r="M343" s="16" t="s">
        <v>1132</v>
      </c>
      <c r="N343" s="16">
        <v>78</v>
      </c>
      <c r="O343" s="16" t="s">
        <v>1134</v>
      </c>
    </row>
    <row r="344" spans="1:15" ht="15.75" customHeight="1" x14ac:dyDescent="0.25">
      <c r="A344" s="16" t="s">
        <v>30</v>
      </c>
      <c r="B344" s="16">
        <v>340554</v>
      </c>
      <c r="C344" s="16">
        <v>340958</v>
      </c>
      <c r="E344" s="16" t="s">
        <v>48</v>
      </c>
      <c r="F344" s="16" t="s">
        <v>1135</v>
      </c>
      <c r="I344" s="16" t="s">
        <v>50</v>
      </c>
      <c r="L344" s="16" t="s">
        <v>1136</v>
      </c>
      <c r="M344" s="16" t="s">
        <v>1135</v>
      </c>
      <c r="N344" s="16">
        <v>134</v>
      </c>
      <c r="O344" s="16" t="s">
        <v>1137</v>
      </c>
    </row>
    <row r="345" spans="1:15" ht="15.75" customHeight="1" x14ac:dyDescent="0.25">
      <c r="A345" s="16" t="s">
        <v>30</v>
      </c>
      <c r="B345" s="16">
        <v>341025</v>
      </c>
      <c r="C345" s="16">
        <v>341432</v>
      </c>
      <c r="E345" s="16" t="s">
        <v>48</v>
      </c>
      <c r="F345" s="16" t="s">
        <v>1138</v>
      </c>
      <c r="G345" s="16" t="s">
        <v>1139</v>
      </c>
      <c r="I345" s="16" t="s">
        <v>50</v>
      </c>
      <c r="L345" s="16" t="s">
        <v>1140</v>
      </c>
      <c r="M345" s="16" t="s">
        <v>1138</v>
      </c>
      <c r="N345" s="16">
        <v>135</v>
      </c>
      <c r="O345" s="16" t="s">
        <v>1141</v>
      </c>
    </row>
    <row r="346" spans="1:15" ht="15.75" customHeight="1" x14ac:dyDescent="0.25">
      <c r="A346" s="16" t="s">
        <v>30</v>
      </c>
      <c r="B346" s="16">
        <v>341506</v>
      </c>
      <c r="C346" s="16">
        <v>342195</v>
      </c>
      <c r="E346" s="16" t="s">
        <v>48</v>
      </c>
      <c r="F346" s="16" t="s">
        <v>1142</v>
      </c>
      <c r="G346" s="16" t="s">
        <v>1143</v>
      </c>
      <c r="I346" s="16" t="s">
        <v>50</v>
      </c>
      <c r="L346" s="16" t="s">
        <v>1144</v>
      </c>
      <c r="M346" s="16" t="s">
        <v>1142</v>
      </c>
      <c r="N346" s="16">
        <v>229</v>
      </c>
      <c r="O346" s="16" t="s">
        <v>1145</v>
      </c>
    </row>
    <row r="347" spans="1:15" ht="15.75" customHeight="1" x14ac:dyDescent="0.25">
      <c r="A347" s="16" t="s">
        <v>30</v>
      </c>
      <c r="B347" s="16">
        <v>342509</v>
      </c>
      <c r="C347" s="16">
        <v>343861</v>
      </c>
      <c r="E347" s="16" t="s">
        <v>48</v>
      </c>
      <c r="F347" s="16" t="s">
        <v>1146</v>
      </c>
      <c r="I347" s="16" t="s">
        <v>50</v>
      </c>
      <c r="L347" s="16" t="s">
        <v>1147</v>
      </c>
      <c r="M347" s="16" t="s">
        <v>1146</v>
      </c>
      <c r="N347" s="16">
        <v>450</v>
      </c>
      <c r="O347" s="16" t="s">
        <v>1148</v>
      </c>
    </row>
    <row r="348" spans="1:15" ht="15.75" customHeight="1" x14ac:dyDescent="0.25">
      <c r="A348" s="16" t="s">
        <v>30</v>
      </c>
      <c r="B348" s="16">
        <v>343894</v>
      </c>
      <c r="C348" s="16">
        <v>344481</v>
      </c>
      <c r="E348" s="16" t="s">
        <v>48</v>
      </c>
      <c r="F348" s="16" t="s">
        <v>1149</v>
      </c>
      <c r="I348" s="16" t="s">
        <v>50</v>
      </c>
      <c r="L348" s="16" t="s">
        <v>1150</v>
      </c>
      <c r="M348" s="16" t="s">
        <v>1149</v>
      </c>
      <c r="N348" s="16">
        <v>195</v>
      </c>
      <c r="O348" s="16" t="s">
        <v>1151</v>
      </c>
    </row>
    <row r="349" spans="1:15" ht="15.75" customHeight="1" x14ac:dyDescent="0.25">
      <c r="A349" s="16" t="s">
        <v>30</v>
      </c>
      <c r="B349" s="16">
        <v>344532</v>
      </c>
      <c r="C349" s="16">
        <v>344621</v>
      </c>
      <c r="E349" s="16" t="s">
        <v>57</v>
      </c>
      <c r="F349" s="16" t="s">
        <v>905</v>
      </c>
      <c r="I349" s="16" t="s">
        <v>290</v>
      </c>
      <c r="O349" s="16" t="s">
        <v>1152</v>
      </c>
    </row>
    <row r="350" spans="1:15" ht="15.75" customHeight="1" x14ac:dyDescent="0.25">
      <c r="A350" s="16" t="s">
        <v>30</v>
      </c>
      <c r="B350" s="16">
        <v>344832</v>
      </c>
      <c r="C350" s="16">
        <v>345398</v>
      </c>
      <c r="E350" s="16" t="s">
        <v>57</v>
      </c>
      <c r="F350" s="16" t="s">
        <v>1153</v>
      </c>
      <c r="G350" s="16" t="s">
        <v>1154</v>
      </c>
      <c r="I350" s="16" t="s">
        <v>50</v>
      </c>
      <c r="L350" s="16" t="s">
        <v>1155</v>
      </c>
      <c r="M350" s="16" t="s">
        <v>1153</v>
      </c>
      <c r="N350" s="16">
        <v>188</v>
      </c>
      <c r="O350" s="16" t="s">
        <v>1156</v>
      </c>
    </row>
    <row r="351" spans="1:15" ht="15.75" customHeight="1" x14ac:dyDescent="0.25">
      <c r="A351" s="16" t="s">
        <v>30</v>
      </c>
      <c r="B351" s="16">
        <v>345436</v>
      </c>
      <c r="C351" s="16">
        <v>346452</v>
      </c>
      <c r="E351" s="16" t="s">
        <v>48</v>
      </c>
      <c r="F351" s="16" t="s">
        <v>1157</v>
      </c>
      <c r="G351" s="16" t="s">
        <v>1158</v>
      </c>
      <c r="I351" s="16" t="s">
        <v>50</v>
      </c>
      <c r="L351" s="16" t="s">
        <v>1159</v>
      </c>
      <c r="M351" s="16" t="s">
        <v>1157</v>
      </c>
      <c r="N351" s="16">
        <v>338</v>
      </c>
      <c r="O351" s="16" t="s">
        <v>1160</v>
      </c>
    </row>
    <row r="352" spans="1:15" ht="15.75" customHeight="1" x14ac:dyDescent="0.25">
      <c r="A352" s="16" t="s">
        <v>30</v>
      </c>
      <c r="B352" s="16">
        <v>346551</v>
      </c>
      <c r="C352" s="16">
        <v>347894</v>
      </c>
      <c r="E352" s="16" t="s">
        <v>48</v>
      </c>
      <c r="F352" s="16" t="s">
        <v>1161</v>
      </c>
      <c r="G352" s="16" t="s">
        <v>1162</v>
      </c>
      <c r="I352" s="16" t="s">
        <v>50</v>
      </c>
      <c r="L352" s="16" t="s">
        <v>1163</v>
      </c>
      <c r="M352" s="16" t="s">
        <v>1161</v>
      </c>
      <c r="N352" s="16">
        <v>447</v>
      </c>
      <c r="O352" s="16" t="s">
        <v>1164</v>
      </c>
    </row>
    <row r="353" spans="1:15" ht="15.75" customHeight="1" x14ac:dyDescent="0.25">
      <c r="A353" s="16" t="s">
        <v>30</v>
      </c>
      <c r="B353" s="16">
        <v>347953</v>
      </c>
      <c r="C353" s="16">
        <v>348357</v>
      </c>
      <c r="E353" s="16" t="s">
        <v>48</v>
      </c>
      <c r="F353" s="16" t="s">
        <v>1165</v>
      </c>
      <c r="I353" s="16" t="s">
        <v>50</v>
      </c>
      <c r="L353" s="16" t="s">
        <v>1166</v>
      </c>
      <c r="M353" s="16" t="s">
        <v>1165</v>
      </c>
      <c r="N353" s="16">
        <v>134</v>
      </c>
      <c r="O353" s="16" t="s">
        <v>1167</v>
      </c>
    </row>
    <row r="354" spans="1:15" ht="15.75" customHeight="1" x14ac:dyDescent="0.25">
      <c r="A354" s="16" t="s">
        <v>30</v>
      </c>
      <c r="B354" s="16">
        <v>348360</v>
      </c>
      <c r="C354" s="16">
        <v>349070</v>
      </c>
      <c r="E354" s="16" t="s">
        <v>48</v>
      </c>
      <c r="F354" s="16" t="s">
        <v>1168</v>
      </c>
      <c r="G354" s="16" t="s">
        <v>1169</v>
      </c>
      <c r="I354" s="16" t="s">
        <v>50</v>
      </c>
      <c r="L354" s="16" t="s">
        <v>1170</v>
      </c>
      <c r="M354" s="16" t="s">
        <v>1168</v>
      </c>
      <c r="N354" s="16">
        <v>236</v>
      </c>
      <c r="O354" s="16" t="s">
        <v>1171</v>
      </c>
    </row>
    <row r="355" spans="1:15" ht="15.75" customHeight="1" x14ac:dyDescent="0.25">
      <c r="A355" s="16" t="s">
        <v>30</v>
      </c>
      <c r="B355" s="16">
        <v>349070</v>
      </c>
      <c r="C355" s="16">
        <v>350386</v>
      </c>
      <c r="E355" s="16" t="s">
        <v>48</v>
      </c>
      <c r="F355" s="16" t="s">
        <v>1172</v>
      </c>
      <c r="G355" s="16" t="s">
        <v>1173</v>
      </c>
      <c r="I355" s="16" t="s">
        <v>50</v>
      </c>
      <c r="L355" s="16" t="s">
        <v>1174</v>
      </c>
      <c r="M355" s="16" t="s">
        <v>1172</v>
      </c>
      <c r="N355" s="16">
        <v>438</v>
      </c>
      <c r="O355" s="16" t="s">
        <v>1175</v>
      </c>
    </row>
    <row r="356" spans="1:15" ht="15.75" customHeight="1" x14ac:dyDescent="0.25">
      <c r="A356" s="16" t="s">
        <v>30</v>
      </c>
      <c r="B356" s="16">
        <v>350464</v>
      </c>
      <c r="C356" s="16">
        <v>352695</v>
      </c>
      <c r="E356" s="16" t="s">
        <v>48</v>
      </c>
      <c r="F356" s="16" t="s">
        <v>1176</v>
      </c>
      <c r="G356" s="16" t="s">
        <v>1177</v>
      </c>
      <c r="I356" s="16" t="s">
        <v>50</v>
      </c>
      <c r="L356" s="16" t="s">
        <v>1178</v>
      </c>
      <c r="M356" s="16" t="s">
        <v>1176</v>
      </c>
      <c r="N356" s="16">
        <v>743</v>
      </c>
      <c r="O356" s="16" t="s">
        <v>1179</v>
      </c>
    </row>
    <row r="357" spans="1:15" ht="15.75" customHeight="1" x14ac:dyDescent="0.25">
      <c r="A357" s="16" t="s">
        <v>30</v>
      </c>
      <c r="B357" s="16">
        <v>352710</v>
      </c>
      <c r="C357" s="16">
        <v>353066</v>
      </c>
      <c r="E357" s="16" t="s">
        <v>48</v>
      </c>
      <c r="F357" s="16" t="s">
        <v>1180</v>
      </c>
      <c r="I357" s="16" t="s">
        <v>50</v>
      </c>
      <c r="L357" s="16" t="s">
        <v>1181</v>
      </c>
      <c r="M357" s="16" t="s">
        <v>1180</v>
      </c>
      <c r="N357" s="16">
        <v>118</v>
      </c>
      <c r="O357" s="16" t="s">
        <v>1182</v>
      </c>
    </row>
    <row r="358" spans="1:15" ht="15.75" customHeight="1" x14ac:dyDescent="0.25">
      <c r="A358" s="16" t="s">
        <v>30</v>
      </c>
      <c r="B358" s="16">
        <v>353149</v>
      </c>
      <c r="C358" s="16">
        <v>353742</v>
      </c>
      <c r="E358" s="16" t="s">
        <v>48</v>
      </c>
      <c r="F358" s="16" t="s">
        <v>1183</v>
      </c>
      <c r="G358" s="16" t="s">
        <v>1184</v>
      </c>
      <c r="I358" s="16" t="s">
        <v>50</v>
      </c>
      <c r="L358" s="16" t="s">
        <v>1185</v>
      </c>
      <c r="M358" s="16" t="s">
        <v>1183</v>
      </c>
      <c r="N358" s="16">
        <v>197</v>
      </c>
      <c r="O358" s="16" t="s">
        <v>1186</v>
      </c>
    </row>
    <row r="359" spans="1:15" ht="15.75" customHeight="1" x14ac:dyDescent="0.25">
      <c r="A359" s="16" t="s">
        <v>30</v>
      </c>
      <c r="B359" s="16">
        <v>353744</v>
      </c>
      <c r="C359" s="16">
        <v>354082</v>
      </c>
      <c r="E359" s="16" t="s">
        <v>48</v>
      </c>
      <c r="F359" s="16" t="s">
        <v>1187</v>
      </c>
      <c r="G359" s="16" t="s">
        <v>1188</v>
      </c>
      <c r="I359" s="16" t="s">
        <v>50</v>
      </c>
      <c r="L359" s="16" t="s">
        <v>1189</v>
      </c>
      <c r="M359" s="16" t="s">
        <v>1187</v>
      </c>
      <c r="N359" s="16">
        <v>112</v>
      </c>
      <c r="O359" s="16" t="s">
        <v>1190</v>
      </c>
    </row>
    <row r="360" spans="1:15" ht="15.75" customHeight="1" x14ac:dyDescent="0.25">
      <c r="A360" s="16" t="s">
        <v>30</v>
      </c>
      <c r="B360" s="16">
        <v>354082</v>
      </c>
      <c r="C360" s="16">
        <v>355128</v>
      </c>
      <c r="E360" s="16" t="s">
        <v>48</v>
      </c>
      <c r="F360" s="16" t="s">
        <v>836</v>
      </c>
      <c r="I360" s="16" t="s">
        <v>50</v>
      </c>
      <c r="L360" s="16" t="s">
        <v>1191</v>
      </c>
      <c r="M360" s="16" t="s">
        <v>836</v>
      </c>
      <c r="N360" s="16">
        <v>348</v>
      </c>
      <c r="O360" s="16" t="s">
        <v>1192</v>
      </c>
    </row>
    <row r="361" spans="1:15" ht="15.75" customHeight="1" x14ac:dyDescent="0.25">
      <c r="A361" s="16" t="s">
        <v>30</v>
      </c>
      <c r="B361" s="16">
        <v>355170</v>
      </c>
      <c r="C361" s="16">
        <v>357362</v>
      </c>
      <c r="E361" s="16" t="s">
        <v>57</v>
      </c>
      <c r="F361" s="16" t="s">
        <v>1193</v>
      </c>
      <c r="G361" s="16" t="s">
        <v>1194</v>
      </c>
      <c r="I361" s="16" t="s">
        <v>50</v>
      </c>
      <c r="L361" s="16" t="s">
        <v>1195</v>
      </c>
      <c r="M361" s="16" t="s">
        <v>1193</v>
      </c>
      <c r="N361" s="16">
        <v>730</v>
      </c>
      <c r="O361" s="16" t="s">
        <v>1196</v>
      </c>
    </row>
    <row r="362" spans="1:15" ht="15.75" customHeight="1" x14ac:dyDescent="0.25">
      <c r="A362" s="16" t="s">
        <v>30</v>
      </c>
      <c r="B362" s="16">
        <v>357447</v>
      </c>
      <c r="C362" s="16">
        <v>358187</v>
      </c>
      <c r="E362" s="16" t="s">
        <v>48</v>
      </c>
      <c r="F362" s="16" t="s">
        <v>1197</v>
      </c>
      <c r="G362" s="16" t="s">
        <v>1198</v>
      </c>
      <c r="I362" s="16" t="s">
        <v>50</v>
      </c>
      <c r="L362" s="16" t="s">
        <v>1199</v>
      </c>
      <c r="M362" s="16" t="s">
        <v>1197</v>
      </c>
      <c r="N362" s="16">
        <v>246</v>
      </c>
      <c r="O362" s="16" t="s">
        <v>1200</v>
      </c>
    </row>
    <row r="363" spans="1:15" ht="15.75" customHeight="1" x14ac:dyDescent="0.25">
      <c r="A363" s="16" t="s">
        <v>30</v>
      </c>
      <c r="B363" s="16">
        <v>358272</v>
      </c>
      <c r="C363" s="16">
        <v>358616</v>
      </c>
      <c r="E363" s="16" t="s">
        <v>48</v>
      </c>
      <c r="F363" s="16" t="s">
        <v>1201</v>
      </c>
      <c r="I363" s="16" t="s">
        <v>50</v>
      </c>
      <c r="L363" s="16" t="s">
        <v>1202</v>
      </c>
      <c r="M363" s="16" t="s">
        <v>1201</v>
      </c>
      <c r="N363" s="16">
        <v>114</v>
      </c>
      <c r="O363" s="16" t="s">
        <v>1203</v>
      </c>
    </row>
    <row r="364" spans="1:15" ht="15.75" customHeight="1" x14ac:dyDescent="0.25">
      <c r="A364" s="16" t="s">
        <v>30</v>
      </c>
      <c r="B364" s="16">
        <v>358822</v>
      </c>
      <c r="C364" s="16">
        <v>359352</v>
      </c>
      <c r="E364" s="16" t="s">
        <v>48</v>
      </c>
      <c r="F364" s="16" t="s">
        <v>1204</v>
      </c>
      <c r="G364" s="16" t="s">
        <v>1205</v>
      </c>
      <c r="I364" s="16" t="s">
        <v>50</v>
      </c>
      <c r="L364" s="16" t="s">
        <v>1206</v>
      </c>
      <c r="M364" s="16" t="s">
        <v>1204</v>
      </c>
      <c r="N364" s="16">
        <v>176</v>
      </c>
      <c r="O364" s="16" t="s">
        <v>1207</v>
      </c>
    </row>
    <row r="365" spans="1:15" ht="15.75" customHeight="1" x14ac:dyDescent="0.25">
      <c r="A365" s="16" t="s">
        <v>30</v>
      </c>
      <c r="B365" s="16">
        <v>359345</v>
      </c>
      <c r="C365" s="16">
        <v>359626</v>
      </c>
      <c r="E365" s="16" t="s">
        <v>48</v>
      </c>
      <c r="F365" s="16" t="s">
        <v>1208</v>
      </c>
      <c r="I365" s="16" t="s">
        <v>50</v>
      </c>
      <c r="L365" s="16" t="s">
        <v>1209</v>
      </c>
      <c r="M365" s="16" t="s">
        <v>1208</v>
      </c>
      <c r="N365" s="16">
        <v>93</v>
      </c>
      <c r="O365" s="16" t="s">
        <v>1210</v>
      </c>
    </row>
    <row r="366" spans="1:15" ht="15.75" customHeight="1" x14ac:dyDescent="0.25">
      <c r="A366" s="16" t="s">
        <v>30</v>
      </c>
      <c r="B366" s="16">
        <v>359663</v>
      </c>
      <c r="C366" s="16">
        <v>362146</v>
      </c>
      <c r="E366" s="16" t="s">
        <v>48</v>
      </c>
      <c r="F366" s="16" t="s">
        <v>1211</v>
      </c>
      <c r="G366" s="16" t="s">
        <v>1212</v>
      </c>
      <c r="I366" s="16" t="s">
        <v>50</v>
      </c>
      <c r="L366" s="16" t="s">
        <v>1213</v>
      </c>
      <c r="M366" s="16" t="s">
        <v>1211</v>
      </c>
      <c r="N366" s="16">
        <v>827</v>
      </c>
      <c r="O366" s="16" t="s">
        <v>1214</v>
      </c>
    </row>
    <row r="367" spans="1:15" ht="15.75" customHeight="1" x14ac:dyDescent="0.25">
      <c r="A367" s="16" t="s">
        <v>30</v>
      </c>
      <c r="B367" s="16">
        <v>362200</v>
      </c>
      <c r="C367" s="16">
        <v>363039</v>
      </c>
      <c r="E367" s="16" t="s">
        <v>48</v>
      </c>
      <c r="F367" s="16" t="s">
        <v>1215</v>
      </c>
      <c r="G367" s="16" t="s">
        <v>1216</v>
      </c>
      <c r="I367" s="16" t="s">
        <v>50</v>
      </c>
      <c r="L367" s="16" t="s">
        <v>1217</v>
      </c>
      <c r="M367" s="16" t="s">
        <v>1215</v>
      </c>
      <c r="N367" s="16">
        <v>279</v>
      </c>
      <c r="O367" s="16" t="s">
        <v>1218</v>
      </c>
    </row>
    <row r="368" spans="1:15" ht="15.75" customHeight="1" x14ac:dyDescent="0.25">
      <c r="A368" s="16" t="s">
        <v>30</v>
      </c>
      <c r="B368" s="16">
        <v>363039</v>
      </c>
      <c r="C368" s="16">
        <v>363902</v>
      </c>
      <c r="E368" s="16" t="s">
        <v>48</v>
      </c>
      <c r="F368" s="16" t="s">
        <v>1219</v>
      </c>
      <c r="G368" s="16" t="s">
        <v>1220</v>
      </c>
      <c r="I368" s="16" t="s">
        <v>50</v>
      </c>
      <c r="L368" s="16" t="s">
        <v>1221</v>
      </c>
      <c r="M368" s="16" t="s">
        <v>1219</v>
      </c>
      <c r="N368" s="16">
        <v>287</v>
      </c>
      <c r="O368" s="16" t="s">
        <v>1222</v>
      </c>
    </row>
    <row r="369" spans="1:15" ht="15.75" customHeight="1" x14ac:dyDescent="0.25">
      <c r="A369" s="16" t="s">
        <v>30</v>
      </c>
      <c r="B369" s="16">
        <v>363908</v>
      </c>
      <c r="C369" s="16">
        <v>364351</v>
      </c>
      <c r="E369" s="16" t="s">
        <v>48</v>
      </c>
      <c r="F369" s="16" t="s">
        <v>1223</v>
      </c>
      <c r="I369" s="16" t="s">
        <v>50</v>
      </c>
      <c r="L369" s="16" t="s">
        <v>1224</v>
      </c>
      <c r="M369" s="16" t="s">
        <v>1223</v>
      </c>
      <c r="N369" s="16">
        <v>147</v>
      </c>
      <c r="O369" s="16" t="s">
        <v>1225</v>
      </c>
    </row>
    <row r="370" spans="1:15" ht="15.75" customHeight="1" x14ac:dyDescent="0.25">
      <c r="A370" s="16" t="s">
        <v>30</v>
      </c>
      <c r="B370" s="16">
        <v>364366</v>
      </c>
      <c r="C370" s="16">
        <v>364968</v>
      </c>
      <c r="E370" s="16" t="s">
        <v>48</v>
      </c>
      <c r="F370" s="16" t="s">
        <v>1226</v>
      </c>
      <c r="I370" s="16" t="s">
        <v>50</v>
      </c>
      <c r="L370" s="16" t="s">
        <v>1227</v>
      </c>
      <c r="M370" s="16" t="s">
        <v>1226</v>
      </c>
      <c r="N370" s="16">
        <v>200</v>
      </c>
      <c r="O370" s="16" t="s">
        <v>1228</v>
      </c>
    </row>
    <row r="371" spans="1:15" ht="15.75" customHeight="1" x14ac:dyDescent="0.25">
      <c r="A371" s="16" t="s">
        <v>30</v>
      </c>
      <c r="B371" s="16">
        <v>365128</v>
      </c>
      <c r="C371" s="16">
        <v>365772</v>
      </c>
      <c r="E371" s="16" t="s">
        <v>57</v>
      </c>
      <c r="F371" s="16" t="s">
        <v>1229</v>
      </c>
      <c r="G371" s="16" t="s">
        <v>1230</v>
      </c>
      <c r="I371" s="16" t="s">
        <v>50</v>
      </c>
      <c r="L371" s="16" t="s">
        <v>1231</v>
      </c>
      <c r="M371" s="16" t="s">
        <v>1229</v>
      </c>
      <c r="N371" s="16">
        <v>214</v>
      </c>
      <c r="O371" s="16" t="s">
        <v>1232</v>
      </c>
    </row>
    <row r="372" spans="1:15" ht="15.75" customHeight="1" x14ac:dyDescent="0.25">
      <c r="A372" s="16" t="s">
        <v>30</v>
      </c>
      <c r="B372" s="16">
        <v>365857</v>
      </c>
      <c r="C372" s="16">
        <v>367095</v>
      </c>
      <c r="E372" s="16" t="s">
        <v>57</v>
      </c>
      <c r="F372" s="16" t="s">
        <v>1233</v>
      </c>
      <c r="I372" s="16" t="s">
        <v>50</v>
      </c>
      <c r="L372" s="16" t="s">
        <v>1234</v>
      </c>
      <c r="M372" s="16" t="s">
        <v>1233</v>
      </c>
      <c r="N372" s="16">
        <v>412</v>
      </c>
      <c r="O372" s="16" t="s">
        <v>1235</v>
      </c>
    </row>
    <row r="373" spans="1:15" ht="15.75" customHeight="1" x14ac:dyDescent="0.25">
      <c r="A373" s="16" t="s">
        <v>30</v>
      </c>
      <c r="B373" s="16">
        <v>367276</v>
      </c>
      <c r="C373" s="16">
        <v>368292</v>
      </c>
      <c r="E373" s="16" t="s">
        <v>57</v>
      </c>
      <c r="F373" s="16" t="s">
        <v>1236</v>
      </c>
      <c r="G373" s="16" t="s">
        <v>1237</v>
      </c>
      <c r="I373" s="16" t="s">
        <v>50</v>
      </c>
      <c r="L373" s="16" t="s">
        <v>1238</v>
      </c>
      <c r="M373" s="16" t="s">
        <v>1236</v>
      </c>
      <c r="N373" s="16">
        <v>338</v>
      </c>
      <c r="O373" s="16" t="s">
        <v>1239</v>
      </c>
    </row>
    <row r="374" spans="1:15" ht="15.75" customHeight="1" x14ac:dyDescent="0.25">
      <c r="A374" s="16" t="s">
        <v>30</v>
      </c>
      <c r="B374" s="16">
        <v>368465</v>
      </c>
      <c r="C374" s="16">
        <v>369469</v>
      </c>
      <c r="E374" s="16" t="s">
        <v>57</v>
      </c>
      <c r="F374" s="16" t="s">
        <v>1240</v>
      </c>
      <c r="I374" s="16" t="s">
        <v>50</v>
      </c>
      <c r="L374" s="16" t="s">
        <v>1241</v>
      </c>
      <c r="M374" s="16" t="s">
        <v>1240</v>
      </c>
      <c r="N374" s="16">
        <v>334</v>
      </c>
      <c r="O374" s="16" t="s">
        <v>1242</v>
      </c>
    </row>
    <row r="375" spans="1:15" ht="15.75" customHeight="1" x14ac:dyDescent="0.25">
      <c r="A375" s="16" t="s">
        <v>30</v>
      </c>
      <c r="B375" s="16">
        <v>369854</v>
      </c>
      <c r="C375" s="16">
        <v>370576</v>
      </c>
      <c r="E375" s="16" t="s">
        <v>48</v>
      </c>
      <c r="F375" s="16" t="s">
        <v>1243</v>
      </c>
      <c r="I375" s="16" t="s">
        <v>50</v>
      </c>
      <c r="L375" s="16" t="s">
        <v>1244</v>
      </c>
      <c r="M375" s="16" t="s">
        <v>1243</v>
      </c>
      <c r="N375" s="16">
        <v>240</v>
      </c>
      <c r="O375" s="16" t="s">
        <v>1245</v>
      </c>
    </row>
    <row r="376" spans="1:15" ht="15.75" customHeight="1" x14ac:dyDescent="0.25">
      <c r="A376" s="16" t="s">
        <v>30</v>
      </c>
      <c r="B376" s="16">
        <v>370573</v>
      </c>
      <c r="C376" s="16">
        <v>371310</v>
      </c>
      <c r="E376" s="16" t="s">
        <v>48</v>
      </c>
      <c r="F376" s="16" t="s">
        <v>1246</v>
      </c>
      <c r="I376" s="16" t="s">
        <v>50</v>
      </c>
      <c r="L376" s="16" t="s">
        <v>1247</v>
      </c>
      <c r="M376" s="16" t="s">
        <v>1246</v>
      </c>
      <c r="N376" s="16">
        <v>245</v>
      </c>
      <c r="O376" s="16" t="s">
        <v>1248</v>
      </c>
    </row>
    <row r="377" spans="1:15" ht="15.75" customHeight="1" x14ac:dyDescent="0.25">
      <c r="A377" s="16" t="s">
        <v>30</v>
      </c>
      <c r="B377" s="16">
        <v>371333</v>
      </c>
      <c r="C377" s="16">
        <v>372277</v>
      </c>
      <c r="E377" s="16" t="s">
        <v>48</v>
      </c>
      <c r="F377" s="16" t="s">
        <v>1249</v>
      </c>
      <c r="I377" s="16" t="s">
        <v>50</v>
      </c>
      <c r="L377" s="16" t="s">
        <v>1250</v>
      </c>
      <c r="M377" s="16" t="s">
        <v>1249</v>
      </c>
      <c r="N377" s="16">
        <v>314</v>
      </c>
      <c r="O377" s="16" t="s">
        <v>1251</v>
      </c>
    </row>
    <row r="378" spans="1:15" ht="15.75" customHeight="1" x14ac:dyDescent="0.25">
      <c r="A378" s="16" t="s">
        <v>30</v>
      </c>
      <c r="B378" s="16">
        <v>372287</v>
      </c>
      <c r="C378" s="16">
        <v>372934</v>
      </c>
      <c r="E378" s="16" t="s">
        <v>48</v>
      </c>
      <c r="F378" s="16" t="s">
        <v>1252</v>
      </c>
      <c r="G378" s="16" t="s">
        <v>1253</v>
      </c>
      <c r="I378" s="16" t="s">
        <v>50</v>
      </c>
      <c r="L378" s="16" t="s">
        <v>1254</v>
      </c>
      <c r="M378" s="16" t="s">
        <v>1252</v>
      </c>
      <c r="N378" s="16">
        <v>215</v>
      </c>
      <c r="O378" s="16" t="s">
        <v>1255</v>
      </c>
    </row>
    <row r="379" spans="1:15" ht="15.75" customHeight="1" x14ac:dyDescent="0.25">
      <c r="A379" s="16" t="s">
        <v>30</v>
      </c>
      <c r="B379" s="16">
        <v>373034</v>
      </c>
      <c r="C379" s="16">
        <v>373849</v>
      </c>
      <c r="E379" s="16" t="s">
        <v>57</v>
      </c>
      <c r="F379" s="16" t="s">
        <v>1256</v>
      </c>
      <c r="I379" s="16" t="s">
        <v>50</v>
      </c>
      <c r="L379" s="16" t="s">
        <v>1257</v>
      </c>
      <c r="M379" s="16" t="s">
        <v>1256</v>
      </c>
      <c r="N379" s="16">
        <v>271</v>
      </c>
      <c r="O379" s="16" t="s">
        <v>1258</v>
      </c>
    </row>
    <row r="380" spans="1:15" ht="15.75" customHeight="1" x14ac:dyDescent="0.25">
      <c r="A380" s="16" t="s">
        <v>30</v>
      </c>
      <c r="B380" s="16">
        <v>373842</v>
      </c>
      <c r="C380" s="16">
        <v>374690</v>
      </c>
      <c r="E380" s="16" t="s">
        <v>57</v>
      </c>
      <c r="F380" s="16" t="s">
        <v>1256</v>
      </c>
      <c r="I380" s="16" t="s">
        <v>50</v>
      </c>
      <c r="L380" s="16" t="s">
        <v>1259</v>
      </c>
      <c r="M380" s="16" t="s">
        <v>1256</v>
      </c>
      <c r="N380" s="16">
        <v>282</v>
      </c>
      <c r="O380" s="16" t="s">
        <v>1260</v>
      </c>
    </row>
    <row r="381" spans="1:15" ht="15.75" customHeight="1" x14ac:dyDescent="0.25">
      <c r="A381" s="16" t="s">
        <v>30</v>
      </c>
      <c r="B381" s="16">
        <v>374694</v>
      </c>
      <c r="C381" s="16">
        <v>375614</v>
      </c>
      <c r="E381" s="16" t="s">
        <v>57</v>
      </c>
      <c r="F381" s="16" t="s">
        <v>1261</v>
      </c>
      <c r="I381" s="16" t="s">
        <v>50</v>
      </c>
      <c r="L381" s="16" t="s">
        <v>1262</v>
      </c>
      <c r="M381" s="16" t="s">
        <v>1261</v>
      </c>
      <c r="N381" s="16">
        <v>306</v>
      </c>
      <c r="O381" s="16" t="s">
        <v>1263</v>
      </c>
    </row>
    <row r="382" spans="1:15" ht="15.75" customHeight="1" x14ac:dyDescent="0.25">
      <c r="A382" s="16" t="s">
        <v>30</v>
      </c>
      <c r="B382" s="16">
        <v>375614</v>
      </c>
      <c r="C382" s="16">
        <v>376474</v>
      </c>
      <c r="E382" s="16" t="s">
        <v>57</v>
      </c>
      <c r="F382" s="16" t="s">
        <v>1264</v>
      </c>
      <c r="I382" s="16" t="s">
        <v>50</v>
      </c>
      <c r="L382" s="16" t="s">
        <v>1265</v>
      </c>
      <c r="M382" s="16" t="s">
        <v>1264</v>
      </c>
      <c r="N382" s="16">
        <v>286</v>
      </c>
      <c r="O382" s="16" t="s">
        <v>1266</v>
      </c>
    </row>
    <row r="383" spans="1:15" ht="15.75" customHeight="1" x14ac:dyDescent="0.25">
      <c r="A383" s="16" t="s">
        <v>30</v>
      </c>
      <c r="B383" s="16">
        <v>376861</v>
      </c>
      <c r="C383" s="16">
        <v>377739</v>
      </c>
      <c r="E383" s="16" t="s">
        <v>57</v>
      </c>
      <c r="F383" s="16" t="s">
        <v>1267</v>
      </c>
      <c r="I383" s="16" t="s">
        <v>50</v>
      </c>
      <c r="L383" s="16" t="s">
        <v>1268</v>
      </c>
      <c r="M383" s="16" t="s">
        <v>1267</v>
      </c>
      <c r="N383" s="16">
        <v>292</v>
      </c>
      <c r="O383" s="16" t="s">
        <v>1269</v>
      </c>
    </row>
    <row r="384" spans="1:15" ht="15.75" customHeight="1" x14ac:dyDescent="0.25">
      <c r="A384" s="16" t="s">
        <v>30</v>
      </c>
      <c r="B384" s="16">
        <v>377986</v>
      </c>
      <c r="C384" s="16">
        <v>379137</v>
      </c>
      <c r="E384" s="16" t="s">
        <v>48</v>
      </c>
      <c r="F384" s="16" t="s">
        <v>1270</v>
      </c>
      <c r="I384" s="16" t="s">
        <v>50</v>
      </c>
      <c r="L384" s="16" t="s">
        <v>1271</v>
      </c>
      <c r="M384" s="16" t="s">
        <v>1270</v>
      </c>
      <c r="N384" s="16">
        <v>383</v>
      </c>
      <c r="O384" s="16" t="s">
        <v>1272</v>
      </c>
    </row>
    <row r="385" spans="1:15" ht="15.75" customHeight="1" x14ac:dyDescent="0.25">
      <c r="A385" s="16" t="s">
        <v>30</v>
      </c>
      <c r="B385" s="16">
        <v>379237</v>
      </c>
      <c r="C385" s="16">
        <v>379776</v>
      </c>
      <c r="E385" s="16" t="s">
        <v>48</v>
      </c>
      <c r="F385" s="16" t="s">
        <v>132</v>
      </c>
      <c r="G385" s="16" t="s">
        <v>1273</v>
      </c>
      <c r="I385" s="16" t="s">
        <v>133</v>
      </c>
      <c r="O385" s="16" t="s">
        <v>1274</v>
      </c>
    </row>
    <row r="386" spans="1:15" ht="15.75" customHeight="1" x14ac:dyDescent="0.25">
      <c r="A386" s="16" t="s">
        <v>30</v>
      </c>
      <c r="B386" s="16">
        <v>379848</v>
      </c>
      <c r="C386" s="16">
        <v>380759</v>
      </c>
      <c r="E386" s="16" t="s">
        <v>48</v>
      </c>
      <c r="F386" s="16" t="s">
        <v>260</v>
      </c>
      <c r="I386" s="16" t="s">
        <v>50</v>
      </c>
      <c r="L386" s="16" t="s">
        <v>1275</v>
      </c>
      <c r="M386" s="16" t="s">
        <v>260</v>
      </c>
      <c r="N386" s="16">
        <v>303</v>
      </c>
      <c r="O386" s="16" t="s">
        <v>1276</v>
      </c>
    </row>
    <row r="387" spans="1:15" ht="15.75" customHeight="1" x14ac:dyDescent="0.25">
      <c r="A387" s="16" t="s">
        <v>30</v>
      </c>
      <c r="B387" s="16">
        <v>380768</v>
      </c>
      <c r="C387" s="16">
        <v>381874</v>
      </c>
      <c r="E387" s="16" t="s">
        <v>48</v>
      </c>
      <c r="F387" s="16" t="s">
        <v>1277</v>
      </c>
      <c r="G387" s="16" t="s">
        <v>1278</v>
      </c>
      <c r="I387" s="16" t="s">
        <v>50</v>
      </c>
      <c r="L387" s="16" t="s">
        <v>1279</v>
      </c>
      <c r="M387" s="16" t="s">
        <v>1277</v>
      </c>
      <c r="N387" s="16">
        <v>368</v>
      </c>
      <c r="O387" s="16" t="s">
        <v>1280</v>
      </c>
    </row>
    <row r="388" spans="1:15" ht="15.75" customHeight="1" x14ac:dyDescent="0.25">
      <c r="A388" s="16" t="s">
        <v>30</v>
      </c>
      <c r="B388" s="16">
        <v>381884</v>
      </c>
      <c r="C388" s="16">
        <v>383155</v>
      </c>
      <c r="E388" s="16" t="s">
        <v>48</v>
      </c>
      <c r="F388" s="16" t="s">
        <v>1281</v>
      </c>
      <c r="G388" s="16" t="s">
        <v>1282</v>
      </c>
      <c r="I388" s="16" t="s">
        <v>50</v>
      </c>
      <c r="L388" s="16" t="s">
        <v>1283</v>
      </c>
      <c r="M388" s="16" t="s">
        <v>1281</v>
      </c>
      <c r="N388" s="16">
        <v>423</v>
      </c>
      <c r="O388" s="16" t="s">
        <v>1284</v>
      </c>
    </row>
    <row r="389" spans="1:15" ht="15.75" customHeight="1" x14ac:dyDescent="0.25">
      <c r="A389" s="16" t="s">
        <v>30</v>
      </c>
      <c r="B389" s="16">
        <v>383173</v>
      </c>
      <c r="C389" s="16">
        <v>383787</v>
      </c>
      <c r="E389" s="16" t="s">
        <v>48</v>
      </c>
      <c r="F389" s="16" t="s">
        <v>1285</v>
      </c>
      <c r="I389" s="16" t="s">
        <v>50</v>
      </c>
      <c r="L389" s="16" t="s">
        <v>1286</v>
      </c>
      <c r="M389" s="16" t="s">
        <v>1285</v>
      </c>
      <c r="N389" s="16">
        <v>204</v>
      </c>
      <c r="O389" s="16" t="s">
        <v>1287</v>
      </c>
    </row>
    <row r="390" spans="1:15" ht="15.75" customHeight="1" x14ac:dyDescent="0.25">
      <c r="A390" s="16" t="s">
        <v>30</v>
      </c>
      <c r="B390" s="16">
        <v>383838</v>
      </c>
      <c r="C390" s="16">
        <v>384032</v>
      </c>
      <c r="E390" s="16" t="s">
        <v>57</v>
      </c>
      <c r="F390" s="16" t="s">
        <v>1288</v>
      </c>
      <c r="G390" s="16" t="s">
        <v>1289</v>
      </c>
      <c r="I390" s="16" t="s">
        <v>50</v>
      </c>
      <c r="L390" s="16" t="s">
        <v>1290</v>
      </c>
      <c r="M390" s="16" t="s">
        <v>1288</v>
      </c>
      <c r="N390" s="16">
        <v>64</v>
      </c>
      <c r="O390" s="16" t="s">
        <v>1291</v>
      </c>
    </row>
    <row r="391" spans="1:15" ht="15.75" customHeight="1" x14ac:dyDescent="0.25">
      <c r="A391" s="16" t="s">
        <v>30</v>
      </c>
      <c r="B391" s="16">
        <v>384032</v>
      </c>
      <c r="C391" s="16">
        <v>384373</v>
      </c>
      <c r="E391" s="16" t="s">
        <v>57</v>
      </c>
      <c r="F391" s="16" t="s">
        <v>1292</v>
      </c>
      <c r="G391" s="16" t="s">
        <v>1293</v>
      </c>
      <c r="I391" s="16" t="s">
        <v>50</v>
      </c>
      <c r="L391" s="16" t="s">
        <v>1294</v>
      </c>
      <c r="M391" s="16" t="s">
        <v>1292</v>
      </c>
      <c r="N391" s="16">
        <v>113</v>
      </c>
      <c r="O391" s="16" t="s">
        <v>1295</v>
      </c>
    </row>
    <row r="392" spans="1:15" ht="15.75" customHeight="1" x14ac:dyDescent="0.25">
      <c r="A392" s="16" t="s">
        <v>30</v>
      </c>
      <c r="B392" s="16">
        <v>384413</v>
      </c>
      <c r="C392" s="16">
        <v>386272</v>
      </c>
      <c r="E392" s="16" t="s">
        <v>57</v>
      </c>
      <c r="F392" s="16" t="s">
        <v>1296</v>
      </c>
      <c r="G392" s="16" t="s">
        <v>1297</v>
      </c>
      <c r="I392" s="16" t="s">
        <v>50</v>
      </c>
      <c r="L392" s="16" t="s">
        <v>1298</v>
      </c>
      <c r="M392" s="16" t="s">
        <v>1296</v>
      </c>
      <c r="N392" s="16">
        <v>619</v>
      </c>
      <c r="O392" s="16" t="s">
        <v>1299</v>
      </c>
    </row>
    <row r="393" spans="1:15" ht="15.75" customHeight="1" x14ac:dyDescent="0.25">
      <c r="A393" s="16" t="s">
        <v>30</v>
      </c>
      <c r="B393" s="16">
        <v>386291</v>
      </c>
      <c r="C393" s="16">
        <v>386977</v>
      </c>
      <c r="E393" s="16" t="s">
        <v>57</v>
      </c>
      <c r="F393" s="16" t="s">
        <v>1300</v>
      </c>
      <c r="I393" s="16" t="s">
        <v>50</v>
      </c>
      <c r="L393" s="16" t="s">
        <v>1301</v>
      </c>
      <c r="M393" s="16" t="s">
        <v>1300</v>
      </c>
      <c r="N393" s="16">
        <v>228</v>
      </c>
      <c r="O393" s="16" t="s">
        <v>1302</v>
      </c>
    </row>
    <row r="394" spans="1:15" ht="15.75" customHeight="1" x14ac:dyDescent="0.25">
      <c r="A394" s="16" t="s">
        <v>30</v>
      </c>
      <c r="B394" s="16">
        <v>387028</v>
      </c>
      <c r="C394" s="16">
        <v>387552</v>
      </c>
      <c r="E394" s="16" t="s">
        <v>57</v>
      </c>
      <c r="F394" s="16" t="s">
        <v>1303</v>
      </c>
      <c r="G394" s="16" t="s">
        <v>1304</v>
      </c>
      <c r="I394" s="16" t="s">
        <v>50</v>
      </c>
      <c r="L394" s="16" t="s">
        <v>1305</v>
      </c>
      <c r="M394" s="16" t="s">
        <v>1303</v>
      </c>
      <c r="N394" s="16">
        <v>174</v>
      </c>
      <c r="O394" s="16" t="s">
        <v>1306</v>
      </c>
    </row>
    <row r="395" spans="1:15" ht="15.75" customHeight="1" x14ac:dyDescent="0.25">
      <c r="A395" s="16" t="s">
        <v>30</v>
      </c>
      <c r="B395" s="16">
        <v>387565</v>
      </c>
      <c r="C395" s="16">
        <v>387888</v>
      </c>
      <c r="E395" s="16" t="s">
        <v>57</v>
      </c>
      <c r="F395" s="16" t="s">
        <v>1307</v>
      </c>
      <c r="G395" s="16" t="s">
        <v>1308</v>
      </c>
      <c r="I395" s="16" t="s">
        <v>50</v>
      </c>
      <c r="L395" s="16" t="s">
        <v>1309</v>
      </c>
      <c r="M395" s="16" t="s">
        <v>1307</v>
      </c>
      <c r="N395" s="16">
        <v>107</v>
      </c>
      <c r="O395" s="16" t="s">
        <v>1310</v>
      </c>
    </row>
    <row r="396" spans="1:15" ht="15.75" customHeight="1" x14ac:dyDescent="0.25">
      <c r="A396" s="16" t="s">
        <v>30</v>
      </c>
      <c r="B396" s="16">
        <v>387946</v>
      </c>
      <c r="C396" s="16">
        <v>388326</v>
      </c>
      <c r="E396" s="16" t="s">
        <v>57</v>
      </c>
      <c r="F396" s="16" t="s">
        <v>1311</v>
      </c>
      <c r="G396" s="16" t="s">
        <v>1312</v>
      </c>
      <c r="I396" s="16" t="s">
        <v>50</v>
      </c>
      <c r="L396" s="16" t="s">
        <v>1313</v>
      </c>
      <c r="M396" s="16" t="s">
        <v>1311</v>
      </c>
      <c r="N396" s="16">
        <v>126</v>
      </c>
      <c r="O396" s="16" t="s">
        <v>1314</v>
      </c>
    </row>
    <row r="397" spans="1:15" ht="15.75" customHeight="1" x14ac:dyDescent="0.25">
      <c r="A397" s="16" t="s">
        <v>30</v>
      </c>
      <c r="B397" s="16">
        <v>388386</v>
      </c>
      <c r="C397" s="16">
        <v>389600</v>
      </c>
      <c r="E397" s="16" t="s">
        <v>57</v>
      </c>
      <c r="F397" s="16" t="s">
        <v>1315</v>
      </c>
      <c r="I397" s="16" t="s">
        <v>50</v>
      </c>
      <c r="L397" s="16" t="s">
        <v>1316</v>
      </c>
      <c r="M397" s="16" t="s">
        <v>1315</v>
      </c>
      <c r="N397" s="16">
        <v>404</v>
      </c>
      <c r="O397" s="16" t="s">
        <v>1317</v>
      </c>
    </row>
    <row r="398" spans="1:15" ht="15.75" customHeight="1" x14ac:dyDescent="0.25">
      <c r="A398" s="16" t="s">
        <v>30</v>
      </c>
      <c r="B398" s="16">
        <v>389667</v>
      </c>
      <c r="C398" s="16">
        <v>390119</v>
      </c>
      <c r="E398" s="16" t="s">
        <v>57</v>
      </c>
      <c r="F398" s="16" t="s">
        <v>1318</v>
      </c>
      <c r="G398" s="16" t="s">
        <v>1319</v>
      </c>
      <c r="I398" s="16" t="s">
        <v>50</v>
      </c>
      <c r="L398" s="16" t="s">
        <v>1320</v>
      </c>
      <c r="M398" s="16" t="s">
        <v>1318</v>
      </c>
      <c r="N398" s="16">
        <v>150</v>
      </c>
      <c r="O398" s="16" t="s">
        <v>1321</v>
      </c>
    </row>
    <row r="399" spans="1:15" ht="15.75" customHeight="1" x14ac:dyDescent="0.25">
      <c r="A399" s="16" t="s">
        <v>30</v>
      </c>
      <c r="B399" s="16">
        <v>390172</v>
      </c>
      <c r="C399" s="16">
        <v>390897</v>
      </c>
      <c r="E399" s="16" t="s">
        <v>57</v>
      </c>
      <c r="F399" s="16" t="s">
        <v>1322</v>
      </c>
      <c r="G399" s="16" t="s">
        <v>1323</v>
      </c>
      <c r="I399" s="16" t="s">
        <v>50</v>
      </c>
      <c r="L399" s="16" t="s">
        <v>1324</v>
      </c>
      <c r="M399" s="16" t="s">
        <v>1322</v>
      </c>
      <c r="N399" s="16">
        <v>241</v>
      </c>
      <c r="O399" s="16" t="s">
        <v>1325</v>
      </c>
    </row>
    <row r="400" spans="1:15" ht="15.75" customHeight="1" x14ac:dyDescent="0.25">
      <c r="A400" s="16" t="s">
        <v>30</v>
      </c>
      <c r="B400" s="16">
        <v>391546</v>
      </c>
      <c r="C400" s="16">
        <v>392004</v>
      </c>
      <c r="E400" s="16" t="s">
        <v>57</v>
      </c>
      <c r="F400" s="16" t="s">
        <v>143</v>
      </c>
      <c r="I400" s="16" t="s">
        <v>50</v>
      </c>
      <c r="L400" s="16" t="s">
        <v>1326</v>
      </c>
      <c r="M400" s="16" t="s">
        <v>143</v>
      </c>
      <c r="N400" s="16">
        <v>152</v>
      </c>
      <c r="O400" s="16" t="s">
        <v>1327</v>
      </c>
    </row>
    <row r="401" spans="1:15" ht="15.75" customHeight="1" x14ac:dyDescent="0.25">
      <c r="A401" s="16" t="s">
        <v>30</v>
      </c>
      <c r="B401" s="16">
        <v>392001</v>
      </c>
      <c r="C401" s="16">
        <v>392603</v>
      </c>
      <c r="E401" s="16" t="s">
        <v>57</v>
      </c>
      <c r="F401" s="16" t="s">
        <v>135</v>
      </c>
      <c r="I401" s="16" t="s">
        <v>50</v>
      </c>
      <c r="L401" s="16" t="s">
        <v>1328</v>
      </c>
      <c r="M401" s="16" t="s">
        <v>135</v>
      </c>
      <c r="N401" s="16">
        <v>200</v>
      </c>
      <c r="O401" s="16" t="s">
        <v>1329</v>
      </c>
    </row>
    <row r="402" spans="1:15" ht="15.75" customHeight="1" x14ac:dyDescent="0.25">
      <c r="A402" s="16" t="s">
        <v>30</v>
      </c>
      <c r="B402" s="16">
        <v>392615</v>
      </c>
      <c r="C402" s="16">
        <v>394423</v>
      </c>
      <c r="E402" s="16" t="s">
        <v>57</v>
      </c>
      <c r="F402" s="16" t="s">
        <v>148</v>
      </c>
      <c r="I402" s="16" t="s">
        <v>50</v>
      </c>
      <c r="L402" s="16" t="s">
        <v>1330</v>
      </c>
      <c r="M402" s="16" t="s">
        <v>148</v>
      </c>
      <c r="N402" s="16">
        <v>602</v>
      </c>
      <c r="O402" s="16" t="s">
        <v>1331</v>
      </c>
    </row>
    <row r="403" spans="1:15" ht="15.75" customHeight="1" x14ac:dyDescent="0.25">
      <c r="A403" s="16" t="s">
        <v>30</v>
      </c>
      <c r="B403" s="16">
        <v>394434</v>
      </c>
      <c r="C403" s="16">
        <v>398084</v>
      </c>
      <c r="E403" s="16" t="s">
        <v>57</v>
      </c>
      <c r="F403" s="16" t="s">
        <v>163</v>
      </c>
      <c r="I403" s="16" t="s">
        <v>50</v>
      </c>
      <c r="L403" s="16" t="s">
        <v>1332</v>
      </c>
      <c r="M403" s="16" t="s">
        <v>163</v>
      </c>
      <c r="N403" s="16">
        <v>1216</v>
      </c>
      <c r="O403" s="16" t="s">
        <v>1333</v>
      </c>
    </row>
    <row r="404" spans="1:15" ht="15.75" customHeight="1" x14ac:dyDescent="0.25">
      <c r="A404" s="16" t="s">
        <v>30</v>
      </c>
      <c r="B404" s="16">
        <v>398088</v>
      </c>
      <c r="C404" s="16">
        <v>398462</v>
      </c>
      <c r="E404" s="16" t="s">
        <v>57</v>
      </c>
      <c r="F404" s="16" t="s">
        <v>1334</v>
      </c>
      <c r="I404" s="16" t="s">
        <v>50</v>
      </c>
      <c r="L404" s="16" t="s">
        <v>1335</v>
      </c>
      <c r="M404" s="16" t="s">
        <v>1334</v>
      </c>
      <c r="N404" s="16">
        <v>124</v>
      </c>
      <c r="O404" s="16" t="s">
        <v>1336</v>
      </c>
    </row>
    <row r="405" spans="1:15" ht="15.75" customHeight="1" x14ac:dyDescent="0.25">
      <c r="A405" s="16" t="s">
        <v>30</v>
      </c>
      <c r="B405" s="16">
        <v>398481</v>
      </c>
      <c r="C405" s="16">
        <v>398807</v>
      </c>
      <c r="E405" s="16" t="s">
        <v>57</v>
      </c>
      <c r="F405" s="16" t="s">
        <v>135</v>
      </c>
      <c r="I405" s="16" t="s">
        <v>50</v>
      </c>
      <c r="L405" s="16" t="s">
        <v>1337</v>
      </c>
      <c r="M405" s="16" t="s">
        <v>135</v>
      </c>
      <c r="N405" s="16">
        <v>108</v>
      </c>
      <c r="O405" s="16" t="s">
        <v>1338</v>
      </c>
    </row>
    <row r="406" spans="1:15" ht="15.75" customHeight="1" x14ac:dyDescent="0.25">
      <c r="A406" s="16" t="s">
        <v>30</v>
      </c>
      <c r="B406" s="16">
        <v>398746</v>
      </c>
      <c r="C406" s="16">
        <v>399453</v>
      </c>
      <c r="E406" s="16" t="s">
        <v>57</v>
      </c>
      <c r="F406" s="16" t="s">
        <v>1339</v>
      </c>
      <c r="I406" s="16" t="s">
        <v>50</v>
      </c>
      <c r="L406" s="16" t="s">
        <v>1340</v>
      </c>
      <c r="M406" s="16" t="s">
        <v>1339</v>
      </c>
      <c r="N406" s="16">
        <v>235</v>
      </c>
      <c r="O406" s="16" t="s">
        <v>1341</v>
      </c>
    </row>
    <row r="407" spans="1:15" ht="15.75" customHeight="1" x14ac:dyDescent="0.25">
      <c r="A407" s="16" t="s">
        <v>30</v>
      </c>
      <c r="B407" s="16">
        <v>399455</v>
      </c>
      <c r="C407" s="16">
        <v>400105</v>
      </c>
      <c r="E407" s="16" t="s">
        <v>57</v>
      </c>
      <c r="F407" s="16" t="s">
        <v>1342</v>
      </c>
      <c r="I407" s="16" t="s">
        <v>50</v>
      </c>
      <c r="L407" s="16" t="s">
        <v>1343</v>
      </c>
      <c r="M407" s="16" t="s">
        <v>1342</v>
      </c>
      <c r="N407" s="16">
        <v>216</v>
      </c>
      <c r="O407" s="16" t="s">
        <v>1344</v>
      </c>
    </row>
    <row r="408" spans="1:15" ht="15.75" customHeight="1" x14ac:dyDescent="0.25">
      <c r="A408" s="16" t="s">
        <v>30</v>
      </c>
      <c r="B408" s="16">
        <v>400149</v>
      </c>
      <c r="C408" s="16">
        <v>400667</v>
      </c>
      <c r="E408" s="16" t="s">
        <v>57</v>
      </c>
      <c r="F408" s="16" t="s">
        <v>135</v>
      </c>
      <c r="I408" s="16" t="s">
        <v>50</v>
      </c>
      <c r="L408" s="16" t="s">
        <v>1345</v>
      </c>
      <c r="M408" s="16" t="s">
        <v>135</v>
      </c>
      <c r="N408" s="16">
        <v>172</v>
      </c>
      <c r="O408" s="16" t="s">
        <v>1346</v>
      </c>
    </row>
    <row r="409" spans="1:15" ht="15.75" customHeight="1" x14ac:dyDescent="0.25">
      <c r="A409" s="16" t="s">
        <v>30</v>
      </c>
      <c r="B409" s="16">
        <v>401084</v>
      </c>
      <c r="C409" s="16">
        <v>401974</v>
      </c>
      <c r="E409" s="16" t="s">
        <v>57</v>
      </c>
      <c r="F409" s="16" t="s">
        <v>135</v>
      </c>
      <c r="I409" s="16" t="s">
        <v>50</v>
      </c>
      <c r="L409" s="16" t="s">
        <v>1347</v>
      </c>
      <c r="M409" s="16" t="s">
        <v>135</v>
      </c>
      <c r="N409" s="16">
        <v>296</v>
      </c>
      <c r="O409" s="16" t="s">
        <v>1348</v>
      </c>
    </row>
    <row r="410" spans="1:15" ht="15.75" customHeight="1" x14ac:dyDescent="0.25">
      <c r="A410" s="16" t="s">
        <v>30</v>
      </c>
      <c r="B410" s="16">
        <v>402284</v>
      </c>
      <c r="C410" s="16">
        <v>403435</v>
      </c>
      <c r="E410" s="16" t="s">
        <v>57</v>
      </c>
      <c r="F410" s="16" t="s">
        <v>1349</v>
      </c>
      <c r="I410" s="16" t="s">
        <v>50</v>
      </c>
      <c r="L410" s="16" t="s">
        <v>1350</v>
      </c>
      <c r="M410" s="16" t="s">
        <v>1349</v>
      </c>
      <c r="N410" s="16">
        <v>383</v>
      </c>
      <c r="O410" s="16" t="s">
        <v>1351</v>
      </c>
    </row>
    <row r="411" spans="1:15" ht="15.75" customHeight="1" x14ac:dyDescent="0.25">
      <c r="A411" s="16" t="s">
        <v>30</v>
      </c>
      <c r="B411" s="16">
        <v>403695</v>
      </c>
      <c r="C411" s="16">
        <v>403853</v>
      </c>
      <c r="E411" s="16" t="s">
        <v>57</v>
      </c>
      <c r="F411" s="16" t="s">
        <v>135</v>
      </c>
      <c r="I411" s="16" t="s">
        <v>50</v>
      </c>
      <c r="L411" s="16" t="s">
        <v>1352</v>
      </c>
      <c r="M411" s="16" t="s">
        <v>135</v>
      </c>
      <c r="N411" s="16">
        <v>52</v>
      </c>
      <c r="O411" s="16" t="s">
        <v>1353</v>
      </c>
    </row>
    <row r="412" spans="1:15" ht="15.75" customHeight="1" x14ac:dyDescent="0.25">
      <c r="A412" s="16" t="s">
        <v>30</v>
      </c>
      <c r="B412" s="16">
        <v>403945</v>
      </c>
      <c r="C412" s="16">
        <v>404277</v>
      </c>
      <c r="E412" s="16" t="s">
        <v>57</v>
      </c>
      <c r="F412" s="16" t="s">
        <v>163</v>
      </c>
      <c r="I412" s="16" t="s">
        <v>50</v>
      </c>
      <c r="L412" s="16" t="s">
        <v>1354</v>
      </c>
      <c r="M412" s="16" t="s">
        <v>163</v>
      </c>
      <c r="N412" s="16">
        <v>110</v>
      </c>
      <c r="O412" s="16" t="s">
        <v>1355</v>
      </c>
    </row>
    <row r="413" spans="1:15" ht="15.75" customHeight="1" x14ac:dyDescent="0.25">
      <c r="A413" s="16" t="s">
        <v>30</v>
      </c>
      <c r="B413" s="16">
        <v>404286</v>
      </c>
      <c r="C413" s="16">
        <v>407678</v>
      </c>
      <c r="E413" s="16" t="s">
        <v>57</v>
      </c>
      <c r="F413" s="16" t="s">
        <v>1356</v>
      </c>
      <c r="I413" s="16" t="s">
        <v>50</v>
      </c>
      <c r="L413" s="16" t="s">
        <v>1357</v>
      </c>
      <c r="M413" s="16" t="s">
        <v>1356</v>
      </c>
      <c r="N413" s="16">
        <v>1130</v>
      </c>
      <c r="O413" s="16" t="s">
        <v>1358</v>
      </c>
    </row>
    <row r="414" spans="1:15" ht="15.75" customHeight="1" x14ac:dyDescent="0.25">
      <c r="A414" s="16" t="s">
        <v>30</v>
      </c>
      <c r="B414" s="16">
        <v>407730</v>
      </c>
      <c r="C414" s="16">
        <v>407966</v>
      </c>
      <c r="E414" s="16" t="s">
        <v>57</v>
      </c>
      <c r="F414" s="16" t="s">
        <v>135</v>
      </c>
      <c r="I414" s="16" t="s">
        <v>50</v>
      </c>
      <c r="L414" s="16" t="s">
        <v>1359</v>
      </c>
      <c r="M414" s="16" t="s">
        <v>135</v>
      </c>
      <c r="N414" s="16">
        <v>78</v>
      </c>
      <c r="O414" s="16" t="s">
        <v>1360</v>
      </c>
    </row>
    <row r="415" spans="1:15" ht="15.75" customHeight="1" x14ac:dyDescent="0.25">
      <c r="A415" s="16" t="s">
        <v>30</v>
      </c>
      <c r="B415" s="16">
        <v>407982</v>
      </c>
      <c r="C415" s="16">
        <v>408284</v>
      </c>
      <c r="E415" s="16" t="s">
        <v>57</v>
      </c>
      <c r="F415" s="16" t="s">
        <v>260</v>
      </c>
      <c r="I415" s="16" t="s">
        <v>50</v>
      </c>
      <c r="L415" s="16" t="s">
        <v>1361</v>
      </c>
      <c r="M415" s="16" t="s">
        <v>260</v>
      </c>
      <c r="N415" s="16">
        <v>100</v>
      </c>
      <c r="O415" s="16" t="s">
        <v>1362</v>
      </c>
    </row>
    <row r="416" spans="1:15" ht="15.75" customHeight="1" x14ac:dyDescent="0.25">
      <c r="A416" s="16" t="s">
        <v>30</v>
      </c>
      <c r="B416" s="16">
        <v>408268</v>
      </c>
      <c r="C416" s="16">
        <v>408651</v>
      </c>
      <c r="E416" s="16" t="s">
        <v>57</v>
      </c>
      <c r="F416" s="16" t="s">
        <v>1363</v>
      </c>
      <c r="I416" s="16" t="s">
        <v>50</v>
      </c>
      <c r="L416" s="16" t="s">
        <v>1364</v>
      </c>
      <c r="M416" s="16" t="s">
        <v>1363</v>
      </c>
      <c r="N416" s="16">
        <v>127</v>
      </c>
      <c r="O416" s="16" t="s">
        <v>1365</v>
      </c>
    </row>
    <row r="417" spans="1:15" ht="15.75" customHeight="1" x14ac:dyDescent="0.25">
      <c r="A417" s="16" t="s">
        <v>30</v>
      </c>
      <c r="B417" s="16">
        <v>408720</v>
      </c>
      <c r="C417" s="16">
        <v>408947</v>
      </c>
      <c r="E417" s="16" t="s">
        <v>57</v>
      </c>
      <c r="F417" s="16" t="s">
        <v>1366</v>
      </c>
      <c r="I417" s="16" t="s">
        <v>50</v>
      </c>
      <c r="L417" s="16" t="s">
        <v>1367</v>
      </c>
      <c r="M417" s="16" t="s">
        <v>1366</v>
      </c>
      <c r="N417" s="16">
        <v>75</v>
      </c>
      <c r="O417" s="16" t="s">
        <v>1368</v>
      </c>
    </row>
    <row r="418" spans="1:15" ht="15.75" customHeight="1" x14ac:dyDescent="0.25">
      <c r="A418" s="16" t="s">
        <v>30</v>
      </c>
      <c r="B418" s="16">
        <v>408992</v>
      </c>
      <c r="C418" s="16">
        <v>409399</v>
      </c>
      <c r="E418" s="16" t="s">
        <v>57</v>
      </c>
      <c r="F418" s="16" t="s">
        <v>135</v>
      </c>
      <c r="I418" s="16" t="s">
        <v>50</v>
      </c>
      <c r="L418" s="16" t="s">
        <v>1369</v>
      </c>
      <c r="M418" s="16" t="s">
        <v>135</v>
      </c>
      <c r="N418" s="16">
        <v>135</v>
      </c>
      <c r="O418" s="16" t="s">
        <v>1370</v>
      </c>
    </row>
    <row r="419" spans="1:15" ht="15.75" customHeight="1" x14ac:dyDescent="0.25">
      <c r="A419" s="16" t="s">
        <v>30</v>
      </c>
      <c r="B419" s="16">
        <v>409674</v>
      </c>
      <c r="C419" s="16">
        <v>410324</v>
      </c>
      <c r="E419" s="16" t="s">
        <v>57</v>
      </c>
      <c r="F419" s="16" t="s">
        <v>135</v>
      </c>
      <c r="I419" s="16" t="s">
        <v>50</v>
      </c>
      <c r="L419" s="16" t="s">
        <v>1371</v>
      </c>
      <c r="M419" s="16" t="s">
        <v>135</v>
      </c>
      <c r="N419" s="16">
        <v>216</v>
      </c>
      <c r="O419" s="16" t="s">
        <v>1372</v>
      </c>
    </row>
    <row r="420" spans="1:15" ht="15.75" customHeight="1" x14ac:dyDescent="0.25">
      <c r="A420" s="16" t="s">
        <v>30</v>
      </c>
      <c r="B420" s="16">
        <v>410327</v>
      </c>
      <c r="C420" s="16">
        <v>410737</v>
      </c>
      <c r="E420" s="16" t="s">
        <v>57</v>
      </c>
      <c r="F420" s="16" t="s">
        <v>1373</v>
      </c>
      <c r="I420" s="16" t="s">
        <v>50</v>
      </c>
      <c r="L420" s="16" t="s">
        <v>1374</v>
      </c>
      <c r="M420" s="16" t="s">
        <v>1373</v>
      </c>
      <c r="N420" s="16">
        <v>136</v>
      </c>
      <c r="O420" s="16" t="s">
        <v>1375</v>
      </c>
    </row>
    <row r="421" spans="1:15" ht="15.75" customHeight="1" x14ac:dyDescent="0.25">
      <c r="A421" s="16" t="s">
        <v>30</v>
      </c>
      <c r="B421" s="16">
        <v>410746</v>
      </c>
      <c r="C421" s="16">
        <v>411276</v>
      </c>
      <c r="E421" s="16" t="s">
        <v>57</v>
      </c>
      <c r="F421" s="16" t="s">
        <v>163</v>
      </c>
      <c r="I421" s="16" t="s">
        <v>50</v>
      </c>
      <c r="L421" s="16" t="s">
        <v>1376</v>
      </c>
      <c r="M421" s="16" t="s">
        <v>163</v>
      </c>
      <c r="N421" s="16">
        <v>176</v>
      </c>
      <c r="O421" s="16" t="s">
        <v>1377</v>
      </c>
    </row>
    <row r="422" spans="1:15" ht="15.75" customHeight="1" x14ac:dyDescent="0.25">
      <c r="A422" s="16" t="s">
        <v>30</v>
      </c>
      <c r="B422" s="16">
        <v>411279</v>
      </c>
      <c r="C422" s="16">
        <v>411590</v>
      </c>
      <c r="E422" s="16" t="s">
        <v>57</v>
      </c>
      <c r="F422" s="16" t="s">
        <v>135</v>
      </c>
      <c r="I422" s="16" t="s">
        <v>50</v>
      </c>
      <c r="L422" s="16" t="s">
        <v>1378</v>
      </c>
      <c r="M422" s="16" t="s">
        <v>135</v>
      </c>
      <c r="N422" s="16">
        <v>103</v>
      </c>
      <c r="O422" s="16" t="s">
        <v>1379</v>
      </c>
    </row>
    <row r="423" spans="1:15" ht="15.75" customHeight="1" x14ac:dyDescent="0.25">
      <c r="A423" s="16" t="s">
        <v>30</v>
      </c>
      <c r="B423" s="16">
        <v>411571</v>
      </c>
      <c r="C423" s="16">
        <v>411894</v>
      </c>
      <c r="E423" s="16" t="s">
        <v>57</v>
      </c>
      <c r="F423" s="16" t="s">
        <v>1380</v>
      </c>
      <c r="I423" s="16" t="s">
        <v>50</v>
      </c>
      <c r="L423" s="16" t="s">
        <v>1381</v>
      </c>
      <c r="M423" s="16" t="s">
        <v>1380</v>
      </c>
      <c r="N423" s="16">
        <v>107</v>
      </c>
      <c r="O423" s="16" t="s">
        <v>1382</v>
      </c>
    </row>
    <row r="424" spans="1:15" ht="15.75" customHeight="1" x14ac:dyDescent="0.25">
      <c r="A424" s="16" t="s">
        <v>30</v>
      </c>
      <c r="B424" s="16">
        <v>411973</v>
      </c>
      <c r="C424" s="16">
        <v>414015</v>
      </c>
      <c r="E424" s="16" t="s">
        <v>57</v>
      </c>
      <c r="F424" s="16" t="s">
        <v>1383</v>
      </c>
      <c r="I424" s="16" t="s">
        <v>50</v>
      </c>
      <c r="L424" s="16" t="s">
        <v>1384</v>
      </c>
      <c r="M424" s="16" t="s">
        <v>1383</v>
      </c>
      <c r="N424" s="16">
        <v>680</v>
      </c>
      <c r="O424" s="16" t="s">
        <v>1385</v>
      </c>
    </row>
    <row r="425" spans="1:15" ht="15.75" customHeight="1" x14ac:dyDescent="0.25">
      <c r="A425" s="16" t="s">
        <v>30</v>
      </c>
      <c r="B425" s="16">
        <v>413951</v>
      </c>
      <c r="C425" s="16">
        <v>415474</v>
      </c>
      <c r="E425" s="16" t="s">
        <v>57</v>
      </c>
      <c r="F425" s="16" t="s">
        <v>1386</v>
      </c>
      <c r="I425" s="16" t="s">
        <v>50</v>
      </c>
      <c r="L425" s="16" t="s">
        <v>1387</v>
      </c>
      <c r="M425" s="16" t="s">
        <v>1386</v>
      </c>
      <c r="N425" s="16">
        <v>507</v>
      </c>
      <c r="O425" s="16" t="s">
        <v>1388</v>
      </c>
    </row>
    <row r="426" spans="1:15" ht="15.75" customHeight="1" x14ac:dyDescent="0.25">
      <c r="A426" s="16" t="s">
        <v>30</v>
      </c>
      <c r="B426" s="16">
        <v>415710</v>
      </c>
      <c r="C426" s="16">
        <v>417833</v>
      </c>
      <c r="E426" s="16" t="s">
        <v>57</v>
      </c>
      <c r="F426" s="16" t="s">
        <v>1389</v>
      </c>
      <c r="I426" s="16" t="s">
        <v>50</v>
      </c>
      <c r="L426" s="16" t="s">
        <v>1390</v>
      </c>
      <c r="M426" s="16" t="s">
        <v>1389</v>
      </c>
      <c r="N426" s="16">
        <v>707</v>
      </c>
      <c r="O426" s="16" t="s">
        <v>1391</v>
      </c>
    </row>
    <row r="427" spans="1:15" ht="15.75" customHeight="1" x14ac:dyDescent="0.25">
      <c r="A427" s="16" t="s">
        <v>30</v>
      </c>
      <c r="B427" s="16">
        <v>417836</v>
      </c>
      <c r="C427" s="16">
        <v>418309</v>
      </c>
      <c r="E427" s="16" t="s">
        <v>57</v>
      </c>
      <c r="F427" s="16" t="s">
        <v>1392</v>
      </c>
      <c r="I427" s="16" t="s">
        <v>50</v>
      </c>
      <c r="L427" s="16" t="s">
        <v>1393</v>
      </c>
      <c r="M427" s="16" t="s">
        <v>1392</v>
      </c>
      <c r="N427" s="16">
        <v>157</v>
      </c>
      <c r="O427" s="16" t="s">
        <v>1394</v>
      </c>
    </row>
    <row r="428" spans="1:15" ht="15.75" customHeight="1" x14ac:dyDescent="0.25">
      <c r="A428" s="16" t="s">
        <v>30</v>
      </c>
      <c r="B428" s="16">
        <v>418578</v>
      </c>
      <c r="C428" s="16">
        <v>418859</v>
      </c>
      <c r="E428" s="16" t="s">
        <v>57</v>
      </c>
      <c r="F428" s="16" t="s">
        <v>135</v>
      </c>
      <c r="I428" s="16" t="s">
        <v>50</v>
      </c>
      <c r="L428" s="16" t="s">
        <v>1395</v>
      </c>
      <c r="M428" s="16" t="s">
        <v>135</v>
      </c>
      <c r="N428" s="16">
        <v>93</v>
      </c>
      <c r="O428" s="16" t="s">
        <v>1396</v>
      </c>
    </row>
    <row r="429" spans="1:15" ht="15.75" customHeight="1" x14ac:dyDescent="0.25">
      <c r="A429" s="16" t="s">
        <v>30</v>
      </c>
      <c r="B429" s="16">
        <v>418771</v>
      </c>
      <c r="C429" s="16">
        <v>419106</v>
      </c>
      <c r="E429" s="16" t="s">
        <v>57</v>
      </c>
      <c r="F429" s="16" t="s">
        <v>1397</v>
      </c>
      <c r="I429" s="16" t="s">
        <v>50</v>
      </c>
      <c r="L429" s="16" t="s">
        <v>1398</v>
      </c>
      <c r="M429" s="16" t="s">
        <v>1397</v>
      </c>
      <c r="N429" s="16">
        <v>111</v>
      </c>
      <c r="O429" s="16" t="s">
        <v>1399</v>
      </c>
    </row>
    <row r="430" spans="1:15" ht="15.75" customHeight="1" x14ac:dyDescent="0.25">
      <c r="A430" s="16" t="s">
        <v>30</v>
      </c>
      <c r="B430" s="16">
        <v>419079</v>
      </c>
      <c r="C430" s="16">
        <v>419621</v>
      </c>
      <c r="E430" s="16" t="s">
        <v>57</v>
      </c>
      <c r="F430" s="16" t="s">
        <v>1400</v>
      </c>
      <c r="I430" s="16" t="s">
        <v>50</v>
      </c>
      <c r="L430" s="16" t="s">
        <v>1401</v>
      </c>
      <c r="M430" s="16" t="s">
        <v>1400</v>
      </c>
      <c r="N430" s="16">
        <v>180</v>
      </c>
      <c r="O430" s="16" t="s">
        <v>1402</v>
      </c>
    </row>
    <row r="431" spans="1:15" ht="15.75" customHeight="1" x14ac:dyDescent="0.25">
      <c r="A431" s="16" t="s">
        <v>30</v>
      </c>
      <c r="B431" s="16">
        <v>419602</v>
      </c>
      <c r="C431" s="16">
        <v>419853</v>
      </c>
      <c r="E431" s="16" t="s">
        <v>57</v>
      </c>
      <c r="F431" s="16" t="s">
        <v>135</v>
      </c>
      <c r="I431" s="16" t="s">
        <v>50</v>
      </c>
      <c r="L431" s="16" t="s">
        <v>1403</v>
      </c>
      <c r="M431" s="16" t="s">
        <v>135</v>
      </c>
      <c r="N431" s="16">
        <v>83</v>
      </c>
      <c r="O431" s="16" t="s">
        <v>1404</v>
      </c>
    </row>
    <row r="432" spans="1:15" ht="15.75" customHeight="1" x14ac:dyDescent="0.25">
      <c r="A432" s="16" t="s">
        <v>30</v>
      </c>
      <c r="B432" s="16">
        <v>419919</v>
      </c>
      <c r="C432" s="16">
        <v>419992</v>
      </c>
      <c r="E432" s="16" t="s">
        <v>57</v>
      </c>
      <c r="F432" s="16" t="s">
        <v>1405</v>
      </c>
      <c r="I432" s="16" t="s">
        <v>290</v>
      </c>
      <c r="O432" s="16" t="s">
        <v>1406</v>
      </c>
    </row>
    <row r="433" spans="1:15" ht="15.75" customHeight="1" x14ac:dyDescent="0.25">
      <c r="A433" s="16" t="s">
        <v>30</v>
      </c>
      <c r="B433" s="16">
        <v>420114</v>
      </c>
      <c r="C433" s="16">
        <v>420632</v>
      </c>
      <c r="E433" s="16" t="s">
        <v>57</v>
      </c>
      <c r="F433" s="16" t="s">
        <v>1407</v>
      </c>
      <c r="I433" s="16" t="s">
        <v>50</v>
      </c>
      <c r="L433" s="16" t="s">
        <v>1408</v>
      </c>
      <c r="M433" s="16" t="s">
        <v>1407</v>
      </c>
      <c r="N433" s="16">
        <v>172</v>
      </c>
      <c r="O433" s="16" t="s">
        <v>1409</v>
      </c>
    </row>
    <row r="434" spans="1:15" ht="15.75" customHeight="1" x14ac:dyDescent="0.25">
      <c r="A434" s="16" t="s">
        <v>30</v>
      </c>
      <c r="B434" s="16">
        <v>420641</v>
      </c>
      <c r="C434" s="16">
        <v>421177</v>
      </c>
      <c r="E434" s="16" t="s">
        <v>57</v>
      </c>
      <c r="F434" s="16" t="s">
        <v>1410</v>
      </c>
      <c r="I434" s="16" t="s">
        <v>50</v>
      </c>
      <c r="L434" s="16" t="s">
        <v>1411</v>
      </c>
      <c r="M434" s="16" t="s">
        <v>1410</v>
      </c>
      <c r="N434" s="16">
        <v>178</v>
      </c>
      <c r="O434" s="16" t="s">
        <v>1412</v>
      </c>
    </row>
    <row r="435" spans="1:15" ht="15.75" customHeight="1" x14ac:dyDescent="0.25">
      <c r="A435" s="16" t="s">
        <v>30</v>
      </c>
      <c r="B435" s="16">
        <v>421266</v>
      </c>
      <c r="C435" s="16">
        <v>421685</v>
      </c>
      <c r="E435" s="16" t="s">
        <v>57</v>
      </c>
      <c r="F435" s="16" t="s">
        <v>1413</v>
      </c>
      <c r="I435" s="16" t="s">
        <v>50</v>
      </c>
      <c r="L435" s="16" t="s">
        <v>1414</v>
      </c>
      <c r="M435" s="16" t="s">
        <v>1413</v>
      </c>
      <c r="N435" s="16">
        <v>139</v>
      </c>
      <c r="O435" s="16" t="s">
        <v>1415</v>
      </c>
    </row>
    <row r="436" spans="1:15" ht="15.75" customHeight="1" x14ac:dyDescent="0.25">
      <c r="A436" s="16" t="s">
        <v>30</v>
      </c>
      <c r="B436" s="16">
        <v>421722</v>
      </c>
      <c r="C436" s="16">
        <v>421946</v>
      </c>
      <c r="E436" s="16" t="s">
        <v>57</v>
      </c>
      <c r="F436" s="16" t="s">
        <v>135</v>
      </c>
      <c r="I436" s="16" t="s">
        <v>50</v>
      </c>
      <c r="L436" s="16" t="s">
        <v>1416</v>
      </c>
      <c r="M436" s="16" t="s">
        <v>135</v>
      </c>
      <c r="N436" s="16">
        <v>74</v>
      </c>
      <c r="O436" s="16" t="s">
        <v>1417</v>
      </c>
    </row>
    <row r="437" spans="1:15" ht="15.75" customHeight="1" x14ac:dyDescent="0.25">
      <c r="A437" s="16" t="s">
        <v>30</v>
      </c>
      <c r="B437" s="16">
        <v>421943</v>
      </c>
      <c r="C437" s="16">
        <v>422578</v>
      </c>
      <c r="E437" s="16" t="s">
        <v>57</v>
      </c>
      <c r="F437" s="16" t="s">
        <v>1418</v>
      </c>
      <c r="I437" s="16" t="s">
        <v>50</v>
      </c>
      <c r="L437" s="16" t="s">
        <v>1419</v>
      </c>
      <c r="M437" s="16" t="s">
        <v>1418</v>
      </c>
      <c r="N437" s="16">
        <v>211</v>
      </c>
      <c r="O437" s="16" t="s">
        <v>1420</v>
      </c>
    </row>
    <row r="438" spans="1:15" ht="15.75" customHeight="1" x14ac:dyDescent="0.25">
      <c r="A438" s="16" t="s">
        <v>30</v>
      </c>
      <c r="B438" s="16">
        <v>422563</v>
      </c>
      <c r="C438" s="16">
        <v>423321</v>
      </c>
      <c r="E438" s="16" t="s">
        <v>57</v>
      </c>
      <c r="F438" s="16" t="s">
        <v>260</v>
      </c>
      <c r="I438" s="16" t="s">
        <v>50</v>
      </c>
      <c r="L438" s="16" t="s">
        <v>1421</v>
      </c>
      <c r="M438" s="16" t="s">
        <v>260</v>
      </c>
      <c r="N438" s="16">
        <v>252</v>
      </c>
      <c r="O438" s="16" t="s">
        <v>1422</v>
      </c>
    </row>
    <row r="439" spans="1:15" ht="15.75" customHeight="1" x14ac:dyDescent="0.25">
      <c r="A439" s="16" t="s">
        <v>30</v>
      </c>
      <c r="B439" s="16">
        <v>423318</v>
      </c>
      <c r="C439" s="16">
        <v>424025</v>
      </c>
      <c r="E439" s="16" t="s">
        <v>57</v>
      </c>
      <c r="F439" s="16" t="s">
        <v>1423</v>
      </c>
      <c r="I439" s="16" t="s">
        <v>50</v>
      </c>
      <c r="L439" s="16" t="s">
        <v>1424</v>
      </c>
      <c r="M439" s="16" t="s">
        <v>1423</v>
      </c>
      <c r="N439" s="16">
        <v>235</v>
      </c>
      <c r="O439" s="16" t="s">
        <v>1425</v>
      </c>
    </row>
    <row r="440" spans="1:15" ht="15.75" customHeight="1" x14ac:dyDescent="0.25">
      <c r="A440" s="16" t="s">
        <v>30</v>
      </c>
      <c r="B440" s="16">
        <v>424099</v>
      </c>
      <c r="C440" s="16">
        <v>424314</v>
      </c>
      <c r="E440" s="16" t="s">
        <v>57</v>
      </c>
      <c r="F440" s="16" t="s">
        <v>260</v>
      </c>
      <c r="I440" s="16" t="s">
        <v>50</v>
      </c>
      <c r="L440" s="16" t="s">
        <v>1426</v>
      </c>
      <c r="M440" s="16" t="s">
        <v>260</v>
      </c>
      <c r="N440" s="16">
        <v>71</v>
      </c>
      <c r="O440" s="16" t="s">
        <v>1427</v>
      </c>
    </row>
    <row r="441" spans="1:15" ht="15.75" customHeight="1" x14ac:dyDescent="0.25">
      <c r="A441" s="16" t="s">
        <v>30</v>
      </c>
      <c r="B441" s="16">
        <v>424463</v>
      </c>
      <c r="C441" s="16">
        <v>425164</v>
      </c>
      <c r="E441" s="16" t="s">
        <v>48</v>
      </c>
      <c r="F441" s="16" t="s">
        <v>260</v>
      </c>
      <c r="I441" s="16" t="s">
        <v>50</v>
      </c>
      <c r="L441" s="16" t="s">
        <v>1428</v>
      </c>
      <c r="M441" s="16" t="s">
        <v>260</v>
      </c>
      <c r="N441" s="16">
        <v>233</v>
      </c>
      <c r="O441" s="16" t="s">
        <v>1429</v>
      </c>
    </row>
    <row r="442" spans="1:15" ht="15.75" customHeight="1" x14ac:dyDescent="0.25">
      <c r="A442" s="16" t="s">
        <v>30</v>
      </c>
      <c r="B442" s="16">
        <v>425439</v>
      </c>
      <c r="C442" s="16">
        <v>426287</v>
      </c>
      <c r="E442" s="16" t="s">
        <v>48</v>
      </c>
      <c r="F442" s="16" t="s">
        <v>1430</v>
      </c>
      <c r="I442" s="16" t="s">
        <v>50</v>
      </c>
      <c r="L442" s="16" t="s">
        <v>1431</v>
      </c>
      <c r="M442" s="16" t="s">
        <v>1430</v>
      </c>
      <c r="N442" s="16">
        <v>282</v>
      </c>
      <c r="O442" s="16" t="s">
        <v>1432</v>
      </c>
    </row>
    <row r="443" spans="1:15" ht="15.75" customHeight="1" x14ac:dyDescent="0.25">
      <c r="A443" s="16" t="s">
        <v>30</v>
      </c>
      <c r="B443" s="16">
        <v>426315</v>
      </c>
      <c r="C443" s="16">
        <v>426482</v>
      </c>
      <c r="E443" s="16" t="s">
        <v>57</v>
      </c>
      <c r="F443" s="16" t="s">
        <v>135</v>
      </c>
      <c r="I443" s="16" t="s">
        <v>50</v>
      </c>
      <c r="L443" s="16" t="s">
        <v>1433</v>
      </c>
      <c r="M443" s="16" t="s">
        <v>135</v>
      </c>
      <c r="N443" s="16">
        <v>55</v>
      </c>
      <c r="O443" s="16" t="s">
        <v>1434</v>
      </c>
    </row>
    <row r="444" spans="1:15" ht="15.75" customHeight="1" x14ac:dyDescent="0.25">
      <c r="A444" s="16" t="s">
        <v>30</v>
      </c>
      <c r="B444" s="16">
        <v>426843</v>
      </c>
      <c r="C444" s="16">
        <v>427013</v>
      </c>
      <c r="E444" s="16" t="s">
        <v>57</v>
      </c>
      <c r="F444" s="16" t="s">
        <v>1435</v>
      </c>
      <c r="I444" s="16" t="s">
        <v>50</v>
      </c>
      <c r="L444" s="16" t="s">
        <v>1436</v>
      </c>
      <c r="M444" s="16" t="s">
        <v>1435</v>
      </c>
      <c r="N444" s="16">
        <v>56</v>
      </c>
      <c r="O444" s="16" t="s">
        <v>1437</v>
      </c>
    </row>
    <row r="445" spans="1:15" ht="15.75" customHeight="1" x14ac:dyDescent="0.25">
      <c r="A445" s="16" t="s">
        <v>30</v>
      </c>
      <c r="B445" s="16">
        <v>427028</v>
      </c>
      <c r="C445" s="16">
        <v>427249</v>
      </c>
      <c r="E445" s="16" t="s">
        <v>48</v>
      </c>
      <c r="F445" s="16" t="s">
        <v>135</v>
      </c>
      <c r="I445" s="16" t="s">
        <v>50</v>
      </c>
      <c r="L445" s="16" t="s">
        <v>1438</v>
      </c>
      <c r="M445" s="16" t="s">
        <v>135</v>
      </c>
      <c r="N445" s="16">
        <v>73</v>
      </c>
      <c r="O445" s="16" t="s">
        <v>1439</v>
      </c>
    </row>
    <row r="446" spans="1:15" ht="15.75" customHeight="1" x14ac:dyDescent="0.25">
      <c r="A446" s="16" t="s">
        <v>30</v>
      </c>
      <c r="B446" s="16">
        <v>427576</v>
      </c>
      <c r="C446" s="16">
        <v>427734</v>
      </c>
      <c r="E446" s="16" t="s">
        <v>48</v>
      </c>
      <c r="F446" s="16" t="s">
        <v>135</v>
      </c>
      <c r="I446" s="16" t="s">
        <v>50</v>
      </c>
      <c r="L446" s="16" t="s">
        <v>1440</v>
      </c>
      <c r="M446" s="16" t="s">
        <v>135</v>
      </c>
      <c r="N446" s="16">
        <v>52</v>
      </c>
      <c r="O446" s="16" t="s">
        <v>1441</v>
      </c>
    </row>
    <row r="447" spans="1:15" ht="15.75" customHeight="1" x14ac:dyDescent="0.25">
      <c r="A447" s="16" t="s">
        <v>30</v>
      </c>
      <c r="B447" s="16">
        <v>427866</v>
      </c>
      <c r="C447" s="16">
        <v>428117</v>
      </c>
      <c r="E447" s="16" t="s">
        <v>48</v>
      </c>
      <c r="F447" s="16" t="s">
        <v>135</v>
      </c>
      <c r="I447" s="16" t="s">
        <v>50</v>
      </c>
      <c r="L447" s="16" t="s">
        <v>1442</v>
      </c>
      <c r="M447" s="16" t="s">
        <v>135</v>
      </c>
      <c r="N447" s="16">
        <v>83</v>
      </c>
      <c r="O447" s="16" t="s">
        <v>1443</v>
      </c>
    </row>
    <row r="448" spans="1:15" ht="15.75" customHeight="1" x14ac:dyDescent="0.25">
      <c r="A448" s="16" t="s">
        <v>30</v>
      </c>
      <c r="B448" s="16">
        <v>428107</v>
      </c>
      <c r="C448" s="16">
        <v>429138</v>
      </c>
      <c r="E448" s="16" t="s">
        <v>48</v>
      </c>
      <c r="F448" s="16" t="s">
        <v>1444</v>
      </c>
      <c r="I448" s="16" t="s">
        <v>50</v>
      </c>
      <c r="L448" s="16" t="s">
        <v>1445</v>
      </c>
      <c r="M448" s="16" t="s">
        <v>1444</v>
      </c>
      <c r="N448" s="16">
        <v>343</v>
      </c>
      <c r="O448" s="16" t="s">
        <v>1446</v>
      </c>
    </row>
    <row r="449" spans="1:15" ht="15.75" customHeight="1" x14ac:dyDescent="0.25">
      <c r="A449" s="16" t="s">
        <v>30</v>
      </c>
      <c r="B449" s="16">
        <v>429229</v>
      </c>
      <c r="C449" s="16">
        <v>429966</v>
      </c>
      <c r="E449" s="16" t="s">
        <v>48</v>
      </c>
      <c r="F449" s="16" t="s">
        <v>1447</v>
      </c>
      <c r="I449" s="16" t="s">
        <v>50</v>
      </c>
      <c r="L449" s="16" t="s">
        <v>1448</v>
      </c>
      <c r="M449" s="16" t="s">
        <v>1447</v>
      </c>
      <c r="N449" s="16">
        <v>245</v>
      </c>
      <c r="O449" s="16" t="s">
        <v>1449</v>
      </c>
    </row>
    <row r="450" spans="1:15" ht="15.75" customHeight="1" x14ac:dyDescent="0.25">
      <c r="A450" s="16" t="s">
        <v>30</v>
      </c>
      <c r="B450" s="16">
        <v>429980</v>
      </c>
      <c r="C450" s="16">
        <v>430324</v>
      </c>
      <c r="E450" s="16" t="s">
        <v>48</v>
      </c>
      <c r="F450" s="16" t="s">
        <v>135</v>
      </c>
      <c r="I450" s="16" t="s">
        <v>50</v>
      </c>
      <c r="L450" s="16" t="s">
        <v>1450</v>
      </c>
      <c r="M450" s="16" t="s">
        <v>135</v>
      </c>
      <c r="N450" s="16">
        <v>114</v>
      </c>
      <c r="O450" s="16" t="s">
        <v>1451</v>
      </c>
    </row>
    <row r="451" spans="1:15" ht="15.75" customHeight="1" x14ac:dyDescent="0.25">
      <c r="A451" s="16" t="s">
        <v>30</v>
      </c>
      <c r="B451" s="16">
        <v>430321</v>
      </c>
      <c r="C451" s="16">
        <v>430614</v>
      </c>
      <c r="E451" s="16" t="s">
        <v>48</v>
      </c>
      <c r="F451" s="16" t="s">
        <v>135</v>
      </c>
      <c r="I451" s="16" t="s">
        <v>50</v>
      </c>
      <c r="L451" s="16" t="s">
        <v>1452</v>
      </c>
      <c r="M451" s="16" t="s">
        <v>135</v>
      </c>
      <c r="N451" s="16">
        <v>97</v>
      </c>
      <c r="O451" s="16" t="s">
        <v>1453</v>
      </c>
    </row>
    <row r="452" spans="1:15" ht="15.75" customHeight="1" x14ac:dyDescent="0.25">
      <c r="A452" s="16" t="s">
        <v>30</v>
      </c>
      <c r="B452" s="16">
        <v>430627</v>
      </c>
      <c r="C452" s="16">
        <v>431574</v>
      </c>
      <c r="E452" s="16" t="s">
        <v>48</v>
      </c>
      <c r="F452" s="16" t="s">
        <v>135</v>
      </c>
      <c r="I452" s="16" t="s">
        <v>50</v>
      </c>
      <c r="L452" s="16" t="s">
        <v>1454</v>
      </c>
      <c r="M452" s="16" t="s">
        <v>135</v>
      </c>
      <c r="N452" s="16">
        <v>315</v>
      </c>
      <c r="O452" s="16" t="s">
        <v>1455</v>
      </c>
    </row>
    <row r="453" spans="1:15" ht="15.75" customHeight="1" x14ac:dyDescent="0.25">
      <c r="A453" s="16" t="s">
        <v>30</v>
      </c>
      <c r="B453" s="16">
        <v>431549</v>
      </c>
      <c r="C453" s="16">
        <v>432199</v>
      </c>
      <c r="E453" s="16" t="s">
        <v>48</v>
      </c>
      <c r="F453" s="16" t="s">
        <v>1456</v>
      </c>
      <c r="I453" s="16" t="s">
        <v>50</v>
      </c>
      <c r="L453" s="16" t="s">
        <v>1457</v>
      </c>
      <c r="M453" s="16" t="s">
        <v>1456</v>
      </c>
      <c r="N453" s="16">
        <v>216</v>
      </c>
      <c r="O453" s="16" t="s">
        <v>1458</v>
      </c>
    </row>
    <row r="454" spans="1:15" ht="15.75" customHeight="1" x14ac:dyDescent="0.25">
      <c r="A454" s="16" t="s">
        <v>30</v>
      </c>
      <c r="B454" s="16">
        <v>432199</v>
      </c>
      <c r="C454" s="16">
        <v>432632</v>
      </c>
      <c r="E454" s="16" t="s">
        <v>48</v>
      </c>
      <c r="F454" s="16" t="s">
        <v>132</v>
      </c>
      <c r="G454" s="16" t="s">
        <v>1459</v>
      </c>
      <c r="I454" s="16" t="s">
        <v>133</v>
      </c>
      <c r="O454" s="16" t="s">
        <v>1460</v>
      </c>
    </row>
    <row r="455" spans="1:15" ht="15.75" customHeight="1" x14ac:dyDescent="0.25">
      <c r="A455" s="16" t="s">
        <v>30</v>
      </c>
      <c r="B455" s="16">
        <v>432694</v>
      </c>
      <c r="C455" s="16">
        <v>433770</v>
      </c>
      <c r="E455" s="16" t="s">
        <v>48</v>
      </c>
      <c r="F455" s="16" t="s">
        <v>135</v>
      </c>
      <c r="I455" s="16" t="s">
        <v>50</v>
      </c>
      <c r="L455" s="16" t="s">
        <v>1461</v>
      </c>
      <c r="M455" s="16" t="s">
        <v>135</v>
      </c>
      <c r="N455" s="16">
        <v>358</v>
      </c>
      <c r="O455" s="16" t="s">
        <v>1462</v>
      </c>
    </row>
    <row r="456" spans="1:15" ht="15.75" customHeight="1" x14ac:dyDescent="0.25">
      <c r="A456" s="16" t="s">
        <v>30</v>
      </c>
      <c r="B456" s="16">
        <v>433895</v>
      </c>
      <c r="C456" s="16">
        <v>434791</v>
      </c>
      <c r="E456" s="16" t="s">
        <v>48</v>
      </c>
      <c r="F456" s="16" t="s">
        <v>1084</v>
      </c>
      <c r="G456" s="16" t="s">
        <v>1085</v>
      </c>
      <c r="I456" s="16" t="s">
        <v>50</v>
      </c>
      <c r="L456" s="16" t="s">
        <v>1463</v>
      </c>
      <c r="M456" s="16" t="s">
        <v>1084</v>
      </c>
      <c r="N456" s="16">
        <v>298</v>
      </c>
      <c r="O456" s="16" t="s">
        <v>1464</v>
      </c>
    </row>
    <row r="457" spans="1:15" ht="15.75" customHeight="1" x14ac:dyDescent="0.25">
      <c r="A457" s="16" t="s">
        <v>30</v>
      </c>
      <c r="B457" s="16">
        <v>434788</v>
      </c>
      <c r="C457" s="16">
        <v>435033</v>
      </c>
      <c r="E457" s="16" t="s">
        <v>48</v>
      </c>
      <c r="F457" s="16" t="s">
        <v>135</v>
      </c>
      <c r="I457" s="16" t="s">
        <v>50</v>
      </c>
      <c r="L457" s="16" t="s">
        <v>1465</v>
      </c>
      <c r="M457" s="16" t="s">
        <v>135</v>
      </c>
      <c r="N457" s="16">
        <v>81</v>
      </c>
      <c r="O457" s="16" t="s">
        <v>1466</v>
      </c>
    </row>
    <row r="458" spans="1:15" ht="15.75" customHeight="1" x14ac:dyDescent="0.25">
      <c r="A458" s="16" t="s">
        <v>30</v>
      </c>
      <c r="B458" s="16">
        <v>435030</v>
      </c>
      <c r="C458" s="16">
        <v>435389</v>
      </c>
      <c r="E458" s="16" t="s">
        <v>48</v>
      </c>
      <c r="F458" s="16" t="s">
        <v>135</v>
      </c>
      <c r="I458" s="16" t="s">
        <v>50</v>
      </c>
      <c r="L458" s="16" t="s">
        <v>1467</v>
      </c>
      <c r="M458" s="16" t="s">
        <v>135</v>
      </c>
      <c r="N458" s="16">
        <v>119</v>
      </c>
      <c r="O458" s="16" t="s">
        <v>1468</v>
      </c>
    </row>
    <row r="459" spans="1:15" ht="15.75" customHeight="1" x14ac:dyDescent="0.25">
      <c r="A459" s="16" t="s">
        <v>30</v>
      </c>
      <c r="B459" s="16">
        <v>435397</v>
      </c>
      <c r="C459" s="16">
        <v>436560</v>
      </c>
      <c r="E459" s="16" t="s">
        <v>48</v>
      </c>
      <c r="F459" s="16" t="s">
        <v>1469</v>
      </c>
      <c r="I459" s="16" t="s">
        <v>50</v>
      </c>
      <c r="L459" s="16" t="s">
        <v>1470</v>
      </c>
      <c r="M459" s="16" t="s">
        <v>1469</v>
      </c>
      <c r="N459" s="16">
        <v>387</v>
      </c>
      <c r="O459" s="16" t="s">
        <v>1471</v>
      </c>
    </row>
    <row r="460" spans="1:15" ht="15.75" customHeight="1" x14ac:dyDescent="0.25">
      <c r="A460" s="16" t="s">
        <v>30</v>
      </c>
      <c r="B460" s="16">
        <v>436611</v>
      </c>
      <c r="C460" s="16">
        <v>437264</v>
      </c>
      <c r="E460" s="16" t="s">
        <v>48</v>
      </c>
      <c r="F460" s="16" t="s">
        <v>135</v>
      </c>
      <c r="I460" s="16" t="s">
        <v>50</v>
      </c>
      <c r="L460" s="16" t="s">
        <v>1472</v>
      </c>
      <c r="M460" s="16" t="s">
        <v>135</v>
      </c>
      <c r="N460" s="16">
        <v>217</v>
      </c>
      <c r="O460" s="16" t="s">
        <v>1473</v>
      </c>
    </row>
    <row r="461" spans="1:15" ht="15.75" customHeight="1" x14ac:dyDescent="0.25">
      <c r="A461" s="16" t="s">
        <v>30</v>
      </c>
      <c r="B461" s="16">
        <v>437268</v>
      </c>
      <c r="C461" s="16">
        <v>437684</v>
      </c>
      <c r="E461" s="16" t="s">
        <v>48</v>
      </c>
      <c r="F461" s="16" t="s">
        <v>135</v>
      </c>
      <c r="I461" s="16" t="s">
        <v>50</v>
      </c>
      <c r="L461" s="16" t="s">
        <v>1474</v>
      </c>
      <c r="M461" s="16" t="s">
        <v>135</v>
      </c>
      <c r="N461" s="16">
        <v>138</v>
      </c>
      <c r="O461" s="16" t="s">
        <v>1475</v>
      </c>
    </row>
    <row r="462" spans="1:15" ht="15.75" customHeight="1" x14ac:dyDescent="0.25">
      <c r="A462" s="16" t="s">
        <v>30</v>
      </c>
      <c r="B462" s="16">
        <v>437756</v>
      </c>
      <c r="C462" s="16">
        <v>438289</v>
      </c>
      <c r="E462" s="16" t="s">
        <v>48</v>
      </c>
      <c r="F462" s="16" t="s">
        <v>135</v>
      </c>
      <c r="I462" s="16" t="s">
        <v>50</v>
      </c>
      <c r="L462" s="16" t="s">
        <v>1476</v>
      </c>
      <c r="M462" s="16" t="s">
        <v>135</v>
      </c>
      <c r="N462" s="16">
        <v>177</v>
      </c>
      <c r="O462" s="16" t="s">
        <v>1477</v>
      </c>
    </row>
    <row r="463" spans="1:15" ht="15.75" customHeight="1" x14ac:dyDescent="0.25">
      <c r="A463" s="16" t="s">
        <v>30</v>
      </c>
      <c r="B463" s="16">
        <v>438279</v>
      </c>
      <c r="C463" s="16">
        <v>438449</v>
      </c>
      <c r="E463" s="16" t="s">
        <v>48</v>
      </c>
      <c r="F463" s="16" t="s">
        <v>135</v>
      </c>
      <c r="I463" s="16" t="s">
        <v>50</v>
      </c>
      <c r="L463" s="16" t="s">
        <v>1478</v>
      </c>
      <c r="M463" s="16" t="s">
        <v>135</v>
      </c>
      <c r="N463" s="16">
        <v>56</v>
      </c>
      <c r="O463" s="16" t="s">
        <v>1479</v>
      </c>
    </row>
    <row r="464" spans="1:15" ht="15.75" customHeight="1" x14ac:dyDescent="0.25">
      <c r="A464" s="16" t="s">
        <v>30</v>
      </c>
      <c r="B464" s="16">
        <v>438554</v>
      </c>
      <c r="C464" s="16">
        <v>438823</v>
      </c>
      <c r="E464" s="16" t="s">
        <v>48</v>
      </c>
      <c r="F464" s="16" t="s">
        <v>1480</v>
      </c>
      <c r="I464" s="16" t="s">
        <v>50</v>
      </c>
      <c r="L464" s="16" t="s">
        <v>1481</v>
      </c>
      <c r="M464" s="16" t="s">
        <v>1480</v>
      </c>
      <c r="N464" s="16">
        <v>89</v>
      </c>
      <c r="O464" s="16" t="s">
        <v>1482</v>
      </c>
    </row>
    <row r="465" spans="1:15" ht="15.75" customHeight="1" x14ac:dyDescent="0.25">
      <c r="A465" s="16" t="s">
        <v>30</v>
      </c>
      <c r="B465" s="16">
        <v>438827</v>
      </c>
      <c r="C465" s="16">
        <v>439114</v>
      </c>
      <c r="E465" s="16" t="s">
        <v>48</v>
      </c>
      <c r="F465" s="16" t="s">
        <v>135</v>
      </c>
      <c r="I465" s="16" t="s">
        <v>50</v>
      </c>
      <c r="L465" s="16" t="s">
        <v>1483</v>
      </c>
      <c r="M465" s="16" t="s">
        <v>135</v>
      </c>
      <c r="N465" s="16">
        <v>95</v>
      </c>
      <c r="O465" s="16" t="s">
        <v>1484</v>
      </c>
    </row>
    <row r="466" spans="1:15" ht="15.75" customHeight="1" x14ac:dyDescent="0.25">
      <c r="A466" s="16" t="s">
        <v>30</v>
      </c>
      <c r="B466" s="16">
        <v>439453</v>
      </c>
      <c r="C466" s="16">
        <v>440478</v>
      </c>
      <c r="E466" s="16" t="s">
        <v>48</v>
      </c>
      <c r="F466" s="16" t="s">
        <v>1485</v>
      </c>
      <c r="I466" s="16" t="s">
        <v>50</v>
      </c>
      <c r="L466" s="16" t="s">
        <v>1486</v>
      </c>
      <c r="M466" s="16" t="s">
        <v>1485</v>
      </c>
      <c r="N466" s="16">
        <v>341</v>
      </c>
      <c r="O466" s="16" t="s">
        <v>1487</v>
      </c>
    </row>
    <row r="467" spans="1:15" ht="15.75" customHeight="1" x14ac:dyDescent="0.25">
      <c r="A467" s="16" t="s">
        <v>30</v>
      </c>
      <c r="B467" s="16">
        <v>440583</v>
      </c>
      <c r="C467" s="16">
        <v>440658</v>
      </c>
      <c r="E467" s="16" t="s">
        <v>57</v>
      </c>
      <c r="F467" s="16" t="s">
        <v>296</v>
      </c>
      <c r="I467" s="16" t="s">
        <v>290</v>
      </c>
      <c r="O467" s="16" t="s">
        <v>1488</v>
      </c>
    </row>
    <row r="468" spans="1:15" ht="15.75" customHeight="1" x14ac:dyDescent="0.25">
      <c r="A468" s="16" t="s">
        <v>30</v>
      </c>
      <c r="B468" s="16">
        <v>440682</v>
      </c>
      <c r="C468" s="16">
        <v>440757</v>
      </c>
      <c r="E468" s="16" t="s">
        <v>57</v>
      </c>
      <c r="F468" s="16" t="s">
        <v>296</v>
      </c>
      <c r="I468" s="16" t="s">
        <v>290</v>
      </c>
      <c r="O468" s="16" t="s">
        <v>1489</v>
      </c>
    </row>
    <row r="469" spans="1:15" ht="15.75" customHeight="1" x14ac:dyDescent="0.25">
      <c r="A469" s="16" t="s">
        <v>30</v>
      </c>
      <c r="B469" s="16">
        <v>440912</v>
      </c>
      <c r="C469" s="16">
        <v>441373</v>
      </c>
      <c r="E469" s="16" t="s">
        <v>57</v>
      </c>
      <c r="F469" s="16" t="s">
        <v>1490</v>
      </c>
      <c r="G469" s="16" t="s">
        <v>1491</v>
      </c>
      <c r="I469" s="16" t="s">
        <v>50</v>
      </c>
      <c r="L469" s="16" t="s">
        <v>1492</v>
      </c>
      <c r="M469" s="16" t="s">
        <v>1490</v>
      </c>
      <c r="N469" s="16">
        <v>153</v>
      </c>
      <c r="O469" s="16" t="s">
        <v>1493</v>
      </c>
    </row>
    <row r="470" spans="1:15" ht="15.75" customHeight="1" x14ac:dyDescent="0.25">
      <c r="A470" s="16" t="s">
        <v>30</v>
      </c>
      <c r="B470" s="16">
        <v>441397</v>
      </c>
      <c r="C470" s="16">
        <v>442680</v>
      </c>
      <c r="E470" s="16" t="s">
        <v>57</v>
      </c>
      <c r="F470" s="16" t="s">
        <v>1494</v>
      </c>
      <c r="G470" s="16" t="s">
        <v>1495</v>
      </c>
      <c r="I470" s="16" t="s">
        <v>50</v>
      </c>
      <c r="L470" s="16" t="s">
        <v>1496</v>
      </c>
      <c r="M470" s="16" t="s">
        <v>1494</v>
      </c>
      <c r="N470" s="16">
        <v>427</v>
      </c>
      <c r="O470" s="16" t="s">
        <v>1497</v>
      </c>
    </row>
    <row r="471" spans="1:15" ht="15.75" customHeight="1" x14ac:dyDescent="0.25">
      <c r="A471" s="16" t="s">
        <v>30</v>
      </c>
      <c r="B471" s="16">
        <v>442722</v>
      </c>
      <c r="C471" s="16">
        <v>443996</v>
      </c>
      <c r="E471" s="16" t="s">
        <v>57</v>
      </c>
      <c r="F471" s="16" t="s">
        <v>1498</v>
      </c>
      <c r="G471" s="16" t="s">
        <v>1499</v>
      </c>
      <c r="I471" s="16" t="s">
        <v>50</v>
      </c>
      <c r="L471" s="16" t="s">
        <v>1500</v>
      </c>
      <c r="M471" s="16" t="s">
        <v>1498</v>
      </c>
      <c r="N471" s="16">
        <v>424</v>
      </c>
      <c r="O471" s="16" t="s">
        <v>1501</v>
      </c>
    </row>
    <row r="472" spans="1:15" ht="15.75" customHeight="1" x14ac:dyDescent="0.25">
      <c r="A472" s="16" t="s">
        <v>30</v>
      </c>
      <c r="B472" s="16">
        <v>444012</v>
      </c>
      <c r="C472" s="16">
        <v>444431</v>
      </c>
      <c r="E472" s="16" t="s">
        <v>57</v>
      </c>
      <c r="F472" s="16" t="s">
        <v>1502</v>
      </c>
      <c r="G472" s="16" t="s">
        <v>1503</v>
      </c>
      <c r="I472" s="16" t="s">
        <v>50</v>
      </c>
      <c r="L472" s="16" t="s">
        <v>1504</v>
      </c>
      <c r="M472" s="16" t="s">
        <v>1502</v>
      </c>
      <c r="N472" s="16">
        <v>139</v>
      </c>
      <c r="O472" s="16" t="s">
        <v>1505</v>
      </c>
    </row>
    <row r="473" spans="1:15" ht="15.75" customHeight="1" x14ac:dyDescent="0.25">
      <c r="A473" s="16" t="s">
        <v>30</v>
      </c>
      <c r="B473" s="16">
        <v>444502</v>
      </c>
      <c r="C473" s="16">
        <v>445188</v>
      </c>
      <c r="E473" s="16" t="s">
        <v>57</v>
      </c>
      <c r="F473" s="16" t="s">
        <v>1506</v>
      </c>
      <c r="G473" s="16" t="s">
        <v>1507</v>
      </c>
      <c r="I473" s="16" t="s">
        <v>50</v>
      </c>
      <c r="L473" s="16" t="s">
        <v>1508</v>
      </c>
      <c r="M473" s="16" t="s">
        <v>1506</v>
      </c>
      <c r="N473" s="16">
        <v>228</v>
      </c>
      <c r="O473" s="16" t="s">
        <v>1509</v>
      </c>
    </row>
    <row r="474" spans="1:15" ht="15.75" customHeight="1" x14ac:dyDescent="0.25">
      <c r="A474" s="16" t="s">
        <v>30</v>
      </c>
      <c r="B474" s="16">
        <v>445205</v>
      </c>
      <c r="C474" s="16">
        <v>445615</v>
      </c>
      <c r="E474" s="16" t="s">
        <v>57</v>
      </c>
      <c r="F474" s="16" t="s">
        <v>1510</v>
      </c>
      <c r="G474" s="16" t="s">
        <v>1511</v>
      </c>
      <c r="I474" s="16" t="s">
        <v>50</v>
      </c>
      <c r="L474" s="16" t="s">
        <v>1512</v>
      </c>
      <c r="M474" s="16" t="s">
        <v>1510</v>
      </c>
      <c r="N474" s="16">
        <v>136</v>
      </c>
      <c r="O474" s="16" t="s">
        <v>1513</v>
      </c>
    </row>
    <row r="475" spans="1:15" ht="15.75" customHeight="1" x14ac:dyDescent="0.25">
      <c r="A475" s="16" t="s">
        <v>30</v>
      </c>
      <c r="B475" s="16">
        <v>445942</v>
      </c>
      <c r="C475" s="16">
        <v>447864</v>
      </c>
      <c r="E475" s="16" t="s">
        <v>48</v>
      </c>
      <c r="F475" s="16" t="s">
        <v>1514</v>
      </c>
      <c r="I475" s="16" t="s">
        <v>50</v>
      </c>
      <c r="L475" s="16" t="s">
        <v>1515</v>
      </c>
      <c r="M475" s="16" t="s">
        <v>1514</v>
      </c>
      <c r="N475" s="16">
        <v>640</v>
      </c>
      <c r="O475" s="16" t="s">
        <v>1516</v>
      </c>
    </row>
    <row r="476" spans="1:15" ht="15.75" customHeight="1" x14ac:dyDescent="0.25">
      <c r="A476" s="16" t="s">
        <v>30</v>
      </c>
      <c r="B476" s="16">
        <v>447877</v>
      </c>
      <c r="C476" s="16">
        <v>448587</v>
      </c>
      <c r="E476" s="16" t="s">
        <v>48</v>
      </c>
      <c r="F476" s="16" t="s">
        <v>1517</v>
      </c>
      <c r="G476" s="16" t="s">
        <v>1518</v>
      </c>
      <c r="I476" s="16" t="s">
        <v>50</v>
      </c>
      <c r="L476" s="16" t="s">
        <v>1519</v>
      </c>
      <c r="M476" s="16" t="s">
        <v>1517</v>
      </c>
      <c r="N476" s="16">
        <v>236</v>
      </c>
      <c r="O476" s="16" t="s">
        <v>1520</v>
      </c>
    </row>
    <row r="477" spans="1:15" ht="15.75" customHeight="1" x14ac:dyDescent="0.25">
      <c r="A477" s="16" t="s">
        <v>30</v>
      </c>
      <c r="B477" s="16">
        <v>448612</v>
      </c>
      <c r="C477" s="16">
        <v>449163</v>
      </c>
      <c r="E477" s="16" t="s">
        <v>48</v>
      </c>
      <c r="F477" s="16" t="s">
        <v>1521</v>
      </c>
      <c r="I477" s="16" t="s">
        <v>50</v>
      </c>
      <c r="L477" s="16" t="s">
        <v>1522</v>
      </c>
      <c r="M477" s="16" t="s">
        <v>1521</v>
      </c>
      <c r="N477" s="16">
        <v>183</v>
      </c>
      <c r="O477" s="16" t="s">
        <v>1523</v>
      </c>
    </row>
    <row r="478" spans="1:15" ht="15.75" customHeight="1" x14ac:dyDescent="0.25">
      <c r="A478" s="16" t="s">
        <v>30</v>
      </c>
      <c r="B478" s="16">
        <v>449206</v>
      </c>
      <c r="C478" s="16">
        <v>450894</v>
      </c>
      <c r="E478" s="16" t="s">
        <v>48</v>
      </c>
      <c r="F478" s="16" t="s">
        <v>1524</v>
      </c>
      <c r="G478" s="16" t="s">
        <v>1525</v>
      </c>
      <c r="I478" s="16" t="s">
        <v>50</v>
      </c>
      <c r="L478" s="16" t="s">
        <v>1526</v>
      </c>
      <c r="M478" s="16" t="s">
        <v>1524</v>
      </c>
      <c r="N478" s="16">
        <v>562</v>
      </c>
      <c r="O478" s="16" t="s">
        <v>1527</v>
      </c>
    </row>
    <row r="479" spans="1:15" ht="15.75" customHeight="1" x14ac:dyDescent="0.25">
      <c r="A479" s="16" t="s">
        <v>30</v>
      </c>
      <c r="B479" s="16">
        <v>450950</v>
      </c>
      <c r="C479" s="16">
        <v>452092</v>
      </c>
      <c r="E479" s="16" t="s">
        <v>48</v>
      </c>
      <c r="F479" s="16" t="s">
        <v>1528</v>
      </c>
      <c r="G479" s="16" t="s">
        <v>1529</v>
      </c>
      <c r="I479" s="16" t="s">
        <v>50</v>
      </c>
      <c r="L479" s="16" t="s">
        <v>1530</v>
      </c>
      <c r="M479" s="16" t="s">
        <v>1528</v>
      </c>
      <c r="N479" s="16">
        <v>380</v>
      </c>
      <c r="O479" s="16" t="s">
        <v>1531</v>
      </c>
    </row>
    <row r="480" spans="1:15" ht="15.75" customHeight="1" x14ac:dyDescent="0.25">
      <c r="A480" s="16" t="s">
        <v>30</v>
      </c>
      <c r="B480" s="16">
        <v>452135</v>
      </c>
      <c r="C480" s="16">
        <v>453996</v>
      </c>
      <c r="E480" s="16" t="s">
        <v>57</v>
      </c>
      <c r="F480" s="16" t="s">
        <v>132</v>
      </c>
      <c r="I480" s="16" t="s">
        <v>133</v>
      </c>
      <c r="O480" s="16" t="s">
        <v>1532</v>
      </c>
    </row>
    <row r="481" spans="1:15" ht="15.75" customHeight="1" x14ac:dyDescent="0.25">
      <c r="A481" s="16" t="s">
        <v>30</v>
      </c>
      <c r="B481" s="16">
        <v>454071</v>
      </c>
      <c r="C481" s="16">
        <v>455162</v>
      </c>
      <c r="E481" s="16" t="s">
        <v>57</v>
      </c>
      <c r="F481" s="16" t="s">
        <v>1533</v>
      </c>
      <c r="G481" s="16" t="s">
        <v>1534</v>
      </c>
      <c r="I481" s="16" t="s">
        <v>50</v>
      </c>
      <c r="L481" s="16" t="s">
        <v>1535</v>
      </c>
      <c r="M481" s="16" t="s">
        <v>1533</v>
      </c>
      <c r="N481" s="16">
        <v>363</v>
      </c>
      <c r="O481" s="16" t="s">
        <v>1536</v>
      </c>
    </row>
    <row r="482" spans="1:15" ht="15.75" customHeight="1" x14ac:dyDescent="0.25">
      <c r="A482" s="16" t="s">
        <v>30</v>
      </c>
      <c r="B482" s="16">
        <v>455210</v>
      </c>
      <c r="C482" s="16">
        <v>455794</v>
      </c>
      <c r="E482" s="16" t="s">
        <v>57</v>
      </c>
      <c r="F482" s="16" t="s">
        <v>1537</v>
      </c>
      <c r="G482" s="16" t="s">
        <v>1538</v>
      </c>
      <c r="I482" s="16" t="s">
        <v>50</v>
      </c>
      <c r="L482" s="16" t="s">
        <v>1539</v>
      </c>
      <c r="M482" s="16" t="s">
        <v>1537</v>
      </c>
      <c r="N482" s="16">
        <v>194</v>
      </c>
      <c r="O482" s="16" t="s">
        <v>1540</v>
      </c>
    </row>
    <row r="483" spans="1:15" ht="15.75" customHeight="1" x14ac:dyDescent="0.25">
      <c r="A483" s="16" t="s">
        <v>30</v>
      </c>
      <c r="B483" s="16">
        <v>455977</v>
      </c>
      <c r="C483" s="16">
        <v>456285</v>
      </c>
      <c r="E483" s="16" t="s">
        <v>48</v>
      </c>
      <c r="F483" s="16" t="s">
        <v>1541</v>
      </c>
      <c r="I483" s="16" t="s">
        <v>50</v>
      </c>
      <c r="L483" s="16" t="s">
        <v>1542</v>
      </c>
      <c r="M483" s="16" t="s">
        <v>1541</v>
      </c>
      <c r="N483" s="16">
        <v>102</v>
      </c>
      <c r="O483" s="16" t="s">
        <v>1543</v>
      </c>
    </row>
    <row r="484" spans="1:15" ht="15.75" customHeight="1" x14ac:dyDescent="0.25">
      <c r="A484" s="16" t="s">
        <v>30</v>
      </c>
      <c r="B484" s="16">
        <v>456288</v>
      </c>
      <c r="C484" s="16">
        <v>457502</v>
      </c>
      <c r="E484" s="16" t="s">
        <v>48</v>
      </c>
      <c r="F484" s="16" t="s">
        <v>1544</v>
      </c>
      <c r="I484" s="16" t="s">
        <v>50</v>
      </c>
      <c r="L484" s="16" t="s">
        <v>1545</v>
      </c>
      <c r="M484" s="16" t="s">
        <v>1544</v>
      </c>
      <c r="N484" s="16">
        <v>404</v>
      </c>
      <c r="O484" s="16" t="s">
        <v>1546</v>
      </c>
    </row>
    <row r="485" spans="1:15" ht="15.75" customHeight="1" x14ac:dyDescent="0.25">
      <c r="A485" s="16" t="s">
        <v>30</v>
      </c>
      <c r="B485" s="16">
        <v>457504</v>
      </c>
      <c r="C485" s="16">
        <v>458823</v>
      </c>
      <c r="E485" s="16" t="s">
        <v>48</v>
      </c>
      <c r="F485" s="16" t="s">
        <v>1547</v>
      </c>
      <c r="G485" s="16" t="s">
        <v>1548</v>
      </c>
      <c r="I485" s="16" t="s">
        <v>50</v>
      </c>
      <c r="L485" s="16" t="s">
        <v>1549</v>
      </c>
      <c r="M485" s="16" t="s">
        <v>1547</v>
      </c>
      <c r="N485" s="16">
        <v>439</v>
      </c>
      <c r="O485" s="16" t="s">
        <v>1550</v>
      </c>
    </row>
    <row r="486" spans="1:15" ht="15.75" customHeight="1" x14ac:dyDescent="0.25">
      <c r="A486" s="16" t="s">
        <v>30</v>
      </c>
      <c r="B486" s="16">
        <v>459018</v>
      </c>
      <c r="C486" s="16">
        <v>459650</v>
      </c>
      <c r="E486" s="16" t="s">
        <v>48</v>
      </c>
      <c r="F486" s="16" t="s">
        <v>1551</v>
      </c>
      <c r="G486" s="16" t="s">
        <v>1552</v>
      </c>
      <c r="I486" s="16" t="s">
        <v>50</v>
      </c>
      <c r="L486" s="16" t="s">
        <v>1553</v>
      </c>
      <c r="M486" s="16" t="s">
        <v>1551</v>
      </c>
      <c r="N486" s="16">
        <v>210</v>
      </c>
      <c r="O486" s="16" t="s">
        <v>1554</v>
      </c>
    </row>
    <row r="487" spans="1:15" ht="15.75" customHeight="1" x14ac:dyDescent="0.25">
      <c r="A487" s="16" t="s">
        <v>30</v>
      </c>
      <c r="B487" s="16">
        <v>459660</v>
      </c>
      <c r="C487" s="16">
        <v>460484</v>
      </c>
      <c r="E487" s="16" t="s">
        <v>48</v>
      </c>
      <c r="F487" s="16" t="s">
        <v>1555</v>
      </c>
      <c r="G487" s="16" t="s">
        <v>1556</v>
      </c>
      <c r="I487" s="16" t="s">
        <v>50</v>
      </c>
      <c r="L487" s="16" t="s">
        <v>1557</v>
      </c>
      <c r="M487" s="16" t="s">
        <v>1555</v>
      </c>
      <c r="N487" s="16">
        <v>274</v>
      </c>
      <c r="O487" s="16" t="s">
        <v>1558</v>
      </c>
    </row>
    <row r="488" spans="1:15" ht="15.75" customHeight="1" x14ac:dyDescent="0.25">
      <c r="A488" s="16" t="s">
        <v>30</v>
      </c>
      <c r="B488" s="16">
        <v>460582</v>
      </c>
      <c r="C488" s="16">
        <v>460869</v>
      </c>
      <c r="E488" s="16" t="s">
        <v>57</v>
      </c>
      <c r="F488" s="16" t="s">
        <v>1559</v>
      </c>
      <c r="I488" s="16" t="s">
        <v>50</v>
      </c>
      <c r="L488" s="16" t="s">
        <v>1560</v>
      </c>
      <c r="M488" s="16" t="s">
        <v>1559</v>
      </c>
      <c r="N488" s="16">
        <v>95</v>
      </c>
      <c r="O488" s="16" t="s">
        <v>1561</v>
      </c>
    </row>
    <row r="489" spans="1:15" ht="15.75" customHeight="1" x14ac:dyDescent="0.25">
      <c r="A489" s="16" t="s">
        <v>30</v>
      </c>
      <c r="B489" s="16">
        <v>461076</v>
      </c>
      <c r="C489" s="16">
        <v>462452</v>
      </c>
      <c r="E489" s="16" t="s">
        <v>48</v>
      </c>
      <c r="F489" s="16" t="s">
        <v>1562</v>
      </c>
      <c r="I489" s="16" t="s">
        <v>50</v>
      </c>
      <c r="L489" s="16" t="s">
        <v>1563</v>
      </c>
      <c r="M489" s="16" t="s">
        <v>1562</v>
      </c>
      <c r="N489" s="16">
        <v>458</v>
      </c>
      <c r="O489" s="16" t="s">
        <v>1564</v>
      </c>
    </row>
    <row r="490" spans="1:15" ht="15.75" customHeight="1" x14ac:dyDescent="0.25">
      <c r="A490" s="16" t="s">
        <v>30</v>
      </c>
      <c r="B490" s="16">
        <v>462528</v>
      </c>
      <c r="C490" s="16">
        <v>463067</v>
      </c>
      <c r="E490" s="16" t="s">
        <v>48</v>
      </c>
      <c r="F490" s="16" t="s">
        <v>1565</v>
      </c>
      <c r="I490" s="16" t="s">
        <v>50</v>
      </c>
      <c r="L490" s="16" t="s">
        <v>1566</v>
      </c>
      <c r="M490" s="16" t="s">
        <v>1565</v>
      </c>
      <c r="N490" s="16">
        <v>179</v>
      </c>
      <c r="O490" s="16" t="s">
        <v>1567</v>
      </c>
    </row>
    <row r="491" spans="1:15" ht="15.75" customHeight="1" x14ac:dyDescent="0.25">
      <c r="A491" s="16" t="s">
        <v>30</v>
      </c>
      <c r="B491" s="16">
        <v>463064</v>
      </c>
      <c r="C491" s="16">
        <v>463735</v>
      </c>
      <c r="E491" s="16" t="s">
        <v>48</v>
      </c>
      <c r="F491" s="16" t="s">
        <v>1568</v>
      </c>
      <c r="G491" s="16" t="s">
        <v>1569</v>
      </c>
      <c r="I491" s="16" t="s">
        <v>50</v>
      </c>
      <c r="L491" s="16" t="s">
        <v>1570</v>
      </c>
      <c r="M491" s="16" t="s">
        <v>1568</v>
      </c>
      <c r="N491" s="16">
        <v>223</v>
      </c>
      <c r="O491" s="16" t="s">
        <v>1571</v>
      </c>
    </row>
    <row r="492" spans="1:15" ht="15.75" customHeight="1" x14ac:dyDescent="0.25">
      <c r="A492" s="16" t="s">
        <v>30</v>
      </c>
      <c r="B492" s="16">
        <v>463743</v>
      </c>
      <c r="C492" s="16">
        <v>465035</v>
      </c>
      <c r="E492" s="16" t="s">
        <v>57</v>
      </c>
      <c r="F492" s="16" t="s">
        <v>1572</v>
      </c>
      <c r="G492" s="16" t="s">
        <v>1573</v>
      </c>
      <c r="I492" s="16" t="s">
        <v>50</v>
      </c>
      <c r="L492" s="16" t="s">
        <v>1574</v>
      </c>
      <c r="M492" s="16" t="s">
        <v>1572</v>
      </c>
      <c r="N492" s="16">
        <v>430</v>
      </c>
      <c r="O492" s="16" t="s">
        <v>1575</v>
      </c>
    </row>
    <row r="493" spans="1:15" ht="15.75" customHeight="1" x14ac:dyDescent="0.25">
      <c r="A493" s="16" t="s">
        <v>30</v>
      </c>
      <c r="B493" s="16">
        <v>465035</v>
      </c>
      <c r="C493" s="16">
        <v>465139</v>
      </c>
      <c r="E493" s="16" t="s">
        <v>57</v>
      </c>
      <c r="F493" s="16" t="s">
        <v>132</v>
      </c>
      <c r="I493" s="16" t="s">
        <v>133</v>
      </c>
      <c r="O493" s="16" t="s">
        <v>1576</v>
      </c>
    </row>
    <row r="494" spans="1:15" ht="15.75" customHeight="1" x14ac:dyDescent="0.25">
      <c r="A494" s="16" t="s">
        <v>30</v>
      </c>
      <c r="B494" s="16">
        <v>465212</v>
      </c>
      <c r="C494" s="16">
        <v>466159</v>
      </c>
      <c r="E494" s="16" t="s">
        <v>57</v>
      </c>
      <c r="F494" s="16" t="s">
        <v>1577</v>
      </c>
      <c r="G494" s="16" t="s">
        <v>1578</v>
      </c>
      <c r="I494" s="16" t="s">
        <v>50</v>
      </c>
      <c r="L494" s="16" t="s">
        <v>1579</v>
      </c>
      <c r="M494" s="16" t="s">
        <v>1577</v>
      </c>
      <c r="N494" s="16">
        <v>315</v>
      </c>
      <c r="O494" s="16" t="s">
        <v>1580</v>
      </c>
    </row>
    <row r="495" spans="1:15" ht="15.75" customHeight="1" x14ac:dyDescent="0.25">
      <c r="A495" s="16" t="s">
        <v>30</v>
      </c>
      <c r="B495" s="16">
        <v>466248</v>
      </c>
      <c r="C495" s="16">
        <v>467033</v>
      </c>
      <c r="E495" s="16" t="s">
        <v>57</v>
      </c>
      <c r="F495" s="16" t="s">
        <v>1581</v>
      </c>
      <c r="G495" s="16" t="s">
        <v>1582</v>
      </c>
      <c r="I495" s="16" t="s">
        <v>50</v>
      </c>
      <c r="L495" s="16" t="s">
        <v>1583</v>
      </c>
      <c r="M495" s="16" t="s">
        <v>1581</v>
      </c>
      <c r="N495" s="16">
        <v>261</v>
      </c>
      <c r="O495" s="16" t="s">
        <v>1584</v>
      </c>
    </row>
    <row r="496" spans="1:15" ht="15.75" customHeight="1" x14ac:dyDescent="0.25">
      <c r="A496" s="16" t="s">
        <v>30</v>
      </c>
      <c r="B496" s="16">
        <v>467033</v>
      </c>
      <c r="C496" s="16">
        <v>467839</v>
      </c>
      <c r="E496" s="16" t="s">
        <v>57</v>
      </c>
      <c r="F496" s="16" t="s">
        <v>1585</v>
      </c>
      <c r="G496" s="16" t="s">
        <v>1586</v>
      </c>
      <c r="I496" s="16" t="s">
        <v>50</v>
      </c>
      <c r="L496" s="16" t="s">
        <v>1587</v>
      </c>
      <c r="M496" s="16" t="s">
        <v>1585</v>
      </c>
      <c r="N496" s="16">
        <v>268</v>
      </c>
      <c r="O496" s="16" t="s">
        <v>1588</v>
      </c>
    </row>
    <row r="497" spans="1:15" ht="15.75" customHeight="1" x14ac:dyDescent="0.25">
      <c r="A497" s="16" t="s">
        <v>30</v>
      </c>
      <c r="B497" s="16">
        <v>468011</v>
      </c>
      <c r="C497" s="16">
        <v>469438</v>
      </c>
      <c r="E497" s="16" t="s">
        <v>48</v>
      </c>
      <c r="F497" s="16" t="s">
        <v>1589</v>
      </c>
      <c r="G497" s="16" t="s">
        <v>1590</v>
      </c>
      <c r="I497" s="16" t="s">
        <v>50</v>
      </c>
      <c r="L497" s="16" t="s">
        <v>1591</v>
      </c>
      <c r="M497" s="16" t="s">
        <v>1589</v>
      </c>
      <c r="N497" s="16">
        <v>475</v>
      </c>
      <c r="O497" s="16" t="s">
        <v>1592</v>
      </c>
    </row>
    <row r="498" spans="1:15" ht="15.75" customHeight="1" x14ac:dyDescent="0.25">
      <c r="A498" s="16" t="s">
        <v>30</v>
      </c>
      <c r="B498" s="16">
        <v>469551</v>
      </c>
      <c r="C498" s="16">
        <v>470507</v>
      </c>
      <c r="E498" s="16" t="s">
        <v>48</v>
      </c>
      <c r="F498" s="16" t="s">
        <v>1593</v>
      </c>
      <c r="I498" s="16" t="s">
        <v>50</v>
      </c>
      <c r="L498" s="16" t="s">
        <v>1594</v>
      </c>
      <c r="M498" s="16" t="s">
        <v>1593</v>
      </c>
      <c r="N498" s="16">
        <v>318</v>
      </c>
      <c r="O498" s="16" t="s">
        <v>1595</v>
      </c>
    </row>
    <row r="499" spans="1:15" ht="15.75" customHeight="1" x14ac:dyDescent="0.25">
      <c r="A499" s="16" t="s">
        <v>30</v>
      </c>
      <c r="B499" s="16">
        <v>470603</v>
      </c>
      <c r="C499" s="16">
        <v>470878</v>
      </c>
      <c r="E499" s="16" t="s">
        <v>57</v>
      </c>
      <c r="F499" s="16" t="s">
        <v>1596</v>
      </c>
      <c r="G499" s="16" t="s">
        <v>1597</v>
      </c>
      <c r="I499" s="16" t="s">
        <v>50</v>
      </c>
      <c r="L499" s="16" t="s">
        <v>1598</v>
      </c>
      <c r="M499" s="16" t="s">
        <v>1596</v>
      </c>
      <c r="N499" s="16">
        <v>91</v>
      </c>
      <c r="O499" s="16" t="s">
        <v>1599</v>
      </c>
    </row>
    <row r="500" spans="1:15" ht="15.75" customHeight="1" x14ac:dyDescent="0.25">
      <c r="A500" s="16" t="s">
        <v>30</v>
      </c>
      <c r="B500" s="16">
        <v>470969</v>
      </c>
      <c r="C500" s="16">
        <v>471937</v>
      </c>
      <c r="E500" s="16" t="s">
        <v>57</v>
      </c>
      <c r="F500" s="16" t="s">
        <v>1600</v>
      </c>
      <c r="G500" s="16" t="s">
        <v>1601</v>
      </c>
      <c r="I500" s="16" t="s">
        <v>50</v>
      </c>
      <c r="L500" s="16" t="s">
        <v>1602</v>
      </c>
      <c r="M500" s="16" t="s">
        <v>1600</v>
      </c>
      <c r="N500" s="16">
        <v>322</v>
      </c>
      <c r="O500" s="16" t="s">
        <v>1603</v>
      </c>
    </row>
    <row r="501" spans="1:15" ht="15.75" customHeight="1" x14ac:dyDescent="0.25">
      <c r="A501" s="16" t="s">
        <v>30</v>
      </c>
      <c r="B501" s="16">
        <v>472359</v>
      </c>
      <c r="C501" s="16">
        <v>475166</v>
      </c>
      <c r="E501" s="16" t="s">
        <v>48</v>
      </c>
      <c r="F501" s="16" t="s">
        <v>1604</v>
      </c>
      <c r="G501" s="16" t="s">
        <v>1605</v>
      </c>
      <c r="I501" s="16" t="s">
        <v>50</v>
      </c>
      <c r="L501" s="16" t="s">
        <v>1606</v>
      </c>
      <c r="M501" s="16" t="s">
        <v>1604</v>
      </c>
      <c r="N501" s="16">
        <v>935</v>
      </c>
      <c r="O501" s="16" t="s">
        <v>1607</v>
      </c>
    </row>
    <row r="502" spans="1:15" ht="15.75" customHeight="1" x14ac:dyDescent="0.25">
      <c r="A502" s="16" t="s">
        <v>30</v>
      </c>
      <c r="B502" s="16">
        <v>475398</v>
      </c>
      <c r="C502" s="16">
        <v>475610</v>
      </c>
      <c r="E502" s="16" t="s">
        <v>48</v>
      </c>
      <c r="F502" s="16" t="s">
        <v>1608</v>
      </c>
      <c r="I502" s="16" t="s">
        <v>50</v>
      </c>
      <c r="L502" s="16" t="s">
        <v>1609</v>
      </c>
      <c r="M502" s="16" t="s">
        <v>1608</v>
      </c>
      <c r="N502" s="16">
        <v>70</v>
      </c>
      <c r="O502" s="16" t="s">
        <v>1610</v>
      </c>
    </row>
    <row r="503" spans="1:15" ht="15.75" customHeight="1" x14ac:dyDescent="0.25">
      <c r="A503" s="16" t="s">
        <v>30</v>
      </c>
      <c r="B503" s="16">
        <v>475940</v>
      </c>
      <c r="C503" s="16">
        <v>476731</v>
      </c>
      <c r="E503" s="16" t="s">
        <v>48</v>
      </c>
      <c r="F503" s="16" t="s">
        <v>1611</v>
      </c>
      <c r="G503" s="16" t="s">
        <v>1612</v>
      </c>
      <c r="I503" s="16" t="s">
        <v>50</v>
      </c>
      <c r="L503" s="16" t="s">
        <v>1613</v>
      </c>
      <c r="M503" s="16" t="s">
        <v>1611</v>
      </c>
      <c r="N503" s="16">
        <v>263</v>
      </c>
      <c r="O503" s="16" t="s">
        <v>1614</v>
      </c>
    </row>
    <row r="504" spans="1:15" ht="15.75" customHeight="1" x14ac:dyDescent="0.25">
      <c r="A504" s="16" t="s">
        <v>30</v>
      </c>
      <c r="B504" s="16">
        <v>476724</v>
      </c>
      <c r="C504" s="16">
        <v>477533</v>
      </c>
      <c r="E504" s="16" t="s">
        <v>48</v>
      </c>
      <c r="F504" s="16" t="s">
        <v>1615</v>
      </c>
      <c r="G504" s="16" t="s">
        <v>1616</v>
      </c>
      <c r="I504" s="16" t="s">
        <v>50</v>
      </c>
      <c r="L504" s="16" t="s">
        <v>1617</v>
      </c>
      <c r="M504" s="16" t="s">
        <v>1615</v>
      </c>
      <c r="N504" s="16">
        <v>269</v>
      </c>
      <c r="O504" s="16" t="s">
        <v>1618</v>
      </c>
    </row>
    <row r="505" spans="1:15" ht="15.75" customHeight="1" x14ac:dyDescent="0.25">
      <c r="A505" s="16" t="s">
        <v>30</v>
      </c>
      <c r="B505" s="16">
        <v>477544</v>
      </c>
      <c r="C505" s="16">
        <v>478224</v>
      </c>
      <c r="E505" s="16" t="s">
        <v>48</v>
      </c>
      <c r="F505" s="16" t="s">
        <v>1619</v>
      </c>
      <c r="G505" s="16" t="s">
        <v>1620</v>
      </c>
      <c r="I505" s="16" t="s">
        <v>50</v>
      </c>
      <c r="L505" s="16" t="s">
        <v>1621</v>
      </c>
      <c r="M505" s="16" t="s">
        <v>1619</v>
      </c>
      <c r="N505" s="16">
        <v>226</v>
      </c>
      <c r="O505" s="16" t="s">
        <v>1622</v>
      </c>
    </row>
    <row r="506" spans="1:15" ht="15.75" customHeight="1" x14ac:dyDescent="0.25">
      <c r="A506" s="16" t="s">
        <v>30</v>
      </c>
      <c r="B506" s="16">
        <v>478208</v>
      </c>
      <c r="C506" s="16">
        <v>479512</v>
      </c>
      <c r="E506" s="16" t="s">
        <v>48</v>
      </c>
      <c r="F506" s="16" t="s">
        <v>990</v>
      </c>
      <c r="I506" s="16" t="s">
        <v>50</v>
      </c>
      <c r="L506" s="16" t="s">
        <v>1623</v>
      </c>
      <c r="M506" s="16" t="s">
        <v>990</v>
      </c>
      <c r="N506" s="16">
        <v>434</v>
      </c>
      <c r="O506" s="16" t="s">
        <v>1624</v>
      </c>
    </row>
    <row r="507" spans="1:15" ht="15.75" customHeight="1" x14ac:dyDescent="0.25">
      <c r="A507" s="16" t="s">
        <v>30</v>
      </c>
      <c r="B507" s="16">
        <v>479681</v>
      </c>
      <c r="C507" s="16">
        <v>481060</v>
      </c>
      <c r="E507" s="16" t="s">
        <v>48</v>
      </c>
      <c r="F507" s="16" t="s">
        <v>1625</v>
      </c>
      <c r="G507" s="16" t="s">
        <v>1626</v>
      </c>
      <c r="I507" s="16" t="s">
        <v>50</v>
      </c>
      <c r="L507" s="16" t="s">
        <v>1627</v>
      </c>
      <c r="M507" s="16" t="s">
        <v>1625</v>
      </c>
      <c r="N507" s="16">
        <v>459</v>
      </c>
      <c r="O507" s="16" t="s">
        <v>1628</v>
      </c>
    </row>
    <row r="508" spans="1:15" ht="15.75" customHeight="1" x14ac:dyDescent="0.25">
      <c r="A508" s="16" t="s">
        <v>30</v>
      </c>
      <c r="B508" s="16">
        <v>481094</v>
      </c>
      <c r="C508" s="16">
        <v>482413</v>
      </c>
      <c r="E508" s="16" t="s">
        <v>57</v>
      </c>
      <c r="F508" s="16" t="s">
        <v>1629</v>
      </c>
      <c r="G508" s="16" t="s">
        <v>1630</v>
      </c>
      <c r="I508" s="16" t="s">
        <v>50</v>
      </c>
      <c r="L508" s="16" t="s">
        <v>1631</v>
      </c>
      <c r="M508" s="16" t="s">
        <v>1629</v>
      </c>
      <c r="N508" s="16">
        <v>439</v>
      </c>
      <c r="O508" s="16" t="s">
        <v>1632</v>
      </c>
    </row>
    <row r="509" spans="1:15" ht="15.75" customHeight="1" x14ac:dyDescent="0.25">
      <c r="A509" s="16" t="s">
        <v>30</v>
      </c>
      <c r="B509" s="16">
        <v>482483</v>
      </c>
      <c r="C509" s="16">
        <v>483181</v>
      </c>
      <c r="E509" s="16" t="s">
        <v>48</v>
      </c>
      <c r="F509" s="16" t="s">
        <v>1633</v>
      </c>
      <c r="I509" s="16" t="s">
        <v>50</v>
      </c>
      <c r="L509" s="16" t="s">
        <v>1634</v>
      </c>
      <c r="M509" s="16" t="s">
        <v>1633</v>
      </c>
      <c r="N509" s="16">
        <v>232</v>
      </c>
      <c r="O509" s="16" t="s">
        <v>1635</v>
      </c>
    </row>
    <row r="510" spans="1:15" ht="15.75" customHeight="1" x14ac:dyDescent="0.25">
      <c r="A510" s="16" t="s">
        <v>30</v>
      </c>
      <c r="B510" s="16">
        <v>483212</v>
      </c>
      <c r="C510" s="16">
        <v>484267</v>
      </c>
      <c r="E510" s="16" t="s">
        <v>57</v>
      </c>
      <c r="F510" s="16" t="s">
        <v>1636</v>
      </c>
      <c r="I510" s="16" t="s">
        <v>50</v>
      </c>
      <c r="L510" s="16" t="s">
        <v>1637</v>
      </c>
      <c r="M510" s="16" t="s">
        <v>1636</v>
      </c>
      <c r="N510" s="16">
        <v>351</v>
      </c>
      <c r="O510" s="16" t="s">
        <v>1638</v>
      </c>
    </row>
    <row r="511" spans="1:15" ht="15.75" customHeight="1" x14ac:dyDescent="0.25">
      <c r="A511" s="16" t="s">
        <v>30</v>
      </c>
      <c r="B511" s="16">
        <v>484414</v>
      </c>
      <c r="C511" s="16">
        <v>485781</v>
      </c>
      <c r="E511" s="16" t="s">
        <v>48</v>
      </c>
      <c r="F511" s="16" t="s">
        <v>1639</v>
      </c>
      <c r="G511" s="16" t="s">
        <v>1640</v>
      </c>
      <c r="I511" s="16" t="s">
        <v>50</v>
      </c>
      <c r="L511" s="16" t="s">
        <v>1641</v>
      </c>
      <c r="M511" s="16" t="s">
        <v>1639</v>
      </c>
      <c r="N511" s="16">
        <v>455</v>
      </c>
      <c r="O511" s="16" t="s">
        <v>1642</v>
      </c>
    </row>
    <row r="512" spans="1:15" ht="15.75" customHeight="1" x14ac:dyDescent="0.25">
      <c r="A512" s="16" t="s">
        <v>30</v>
      </c>
      <c r="B512" s="16">
        <v>485827</v>
      </c>
      <c r="C512" s="16">
        <v>486552</v>
      </c>
      <c r="E512" s="16" t="s">
        <v>57</v>
      </c>
      <c r="F512" s="16" t="s">
        <v>1643</v>
      </c>
      <c r="G512" s="16" t="s">
        <v>1644</v>
      </c>
      <c r="I512" s="16" t="s">
        <v>50</v>
      </c>
      <c r="L512" s="16" t="s">
        <v>1645</v>
      </c>
      <c r="M512" s="16" t="s">
        <v>1643</v>
      </c>
      <c r="N512" s="16">
        <v>241</v>
      </c>
      <c r="O512" s="16" t="s">
        <v>1646</v>
      </c>
    </row>
    <row r="513" spans="1:15" ht="15.75" customHeight="1" x14ac:dyDescent="0.25">
      <c r="A513" s="16" t="s">
        <v>30</v>
      </c>
      <c r="B513" s="16">
        <v>486677</v>
      </c>
      <c r="C513" s="16">
        <v>488221</v>
      </c>
      <c r="E513" s="16" t="s">
        <v>48</v>
      </c>
      <c r="F513" s="16" t="s">
        <v>1647</v>
      </c>
      <c r="G513" s="16" t="s">
        <v>1648</v>
      </c>
      <c r="I513" s="16" t="s">
        <v>50</v>
      </c>
      <c r="L513" s="16" t="s">
        <v>1649</v>
      </c>
      <c r="M513" s="16" t="s">
        <v>1647</v>
      </c>
      <c r="N513" s="16">
        <v>514</v>
      </c>
      <c r="O513" s="16" t="s">
        <v>1650</v>
      </c>
    </row>
    <row r="514" spans="1:15" ht="15.75" customHeight="1" x14ac:dyDescent="0.25">
      <c r="A514" s="16" t="s">
        <v>30</v>
      </c>
      <c r="B514" s="16">
        <v>488231</v>
      </c>
      <c r="C514" s="16">
        <v>488764</v>
      </c>
      <c r="E514" s="16" t="s">
        <v>48</v>
      </c>
      <c r="F514" s="16" t="s">
        <v>1651</v>
      </c>
      <c r="G514" s="16" t="s">
        <v>1652</v>
      </c>
      <c r="I514" s="16" t="s">
        <v>50</v>
      </c>
      <c r="L514" s="16" t="s">
        <v>1653</v>
      </c>
      <c r="M514" s="16" t="s">
        <v>1651</v>
      </c>
      <c r="N514" s="16">
        <v>177</v>
      </c>
      <c r="O514" s="16" t="s">
        <v>1654</v>
      </c>
    </row>
    <row r="515" spans="1:15" ht="15.75" customHeight="1" x14ac:dyDescent="0.25">
      <c r="A515" s="16" t="s">
        <v>30</v>
      </c>
      <c r="B515" s="16">
        <v>488819</v>
      </c>
      <c r="C515" s="16">
        <v>490651</v>
      </c>
      <c r="E515" s="16" t="s">
        <v>57</v>
      </c>
      <c r="F515" s="16" t="s">
        <v>1655</v>
      </c>
      <c r="G515" s="16" t="s">
        <v>1656</v>
      </c>
      <c r="I515" s="16" t="s">
        <v>50</v>
      </c>
      <c r="L515" s="16" t="s">
        <v>1657</v>
      </c>
      <c r="M515" s="16" t="s">
        <v>1655</v>
      </c>
      <c r="N515" s="16">
        <v>610</v>
      </c>
      <c r="O515" s="16" t="s">
        <v>1658</v>
      </c>
    </row>
    <row r="516" spans="1:15" ht="15.75" customHeight="1" x14ac:dyDescent="0.25">
      <c r="A516" s="16" t="s">
        <v>30</v>
      </c>
      <c r="B516" s="16">
        <v>490764</v>
      </c>
      <c r="C516" s="16">
        <v>491036</v>
      </c>
      <c r="E516" s="16" t="s">
        <v>57</v>
      </c>
      <c r="F516" s="16" t="s">
        <v>1659</v>
      </c>
      <c r="I516" s="16" t="s">
        <v>50</v>
      </c>
      <c r="L516" s="16" t="s">
        <v>1660</v>
      </c>
      <c r="M516" s="16" t="s">
        <v>1659</v>
      </c>
      <c r="N516" s="16">
        <v>90</v>
      </c>
      <c r="O516" s="16" t="s">
        <v>1661</v>
      </c>
    </row>
    <row r="517" spans="1:15" ht="15.75" customHeight="1" x14ac:dyDescent="0.25">
      <c r="A517" s="16" t="s">
        <v>30</v>
      </c>
      <c r="B517" s="16">
        <v>491176</v>
      </c>
      <c r="C517" s="16">
        <v>491766</v>
      </c>
      <c r="E517" s="16" t="s">
        <v>57</v>
      </c>
      <c r="F517" s="16" t="s">
        <v>1662</v>
      </c>
      <c r="I517" s="16" t="s">
        <v>50</v>
      </c>
      <c r="L517" s="16" t="s">
        <v>1663</v>
      </c>
      <c r="M517" s="16" t="s">
        <v>1662</v>
      </c>
      <c r="N517" s="16">
        <v>196</v>
      </c>
      <c r="O517" s="16" t="s">
        <v>1664</v>
      </c>
    </row>
    <row r="518" spans="1:15" ht="15.75" customHeight="1" x14ac:dyDescent="0.25">
      <c r="A518" s="16" t="s">
        <v>30</v>
      </c>
      <c r="B518" s="16">
        <v>491802</v>
      </c>
      <c r="C518" s="16">
        <v>492596</v>
      </c>
      <c r="E518" s="16" t="s">
        <v>57</v>
      </c>
      <c r="F518" s="16" t="s">
        <v>1665</v>
      </c>
      <c r="G518" s="16" t="s">
        <v>1666</v>
      </c>
      <c r="I518" s="16" t="s">
        <v>50</v>
      </c>
      <c r="L518" s="16" t="s">
        <v>1667</v>
      </c>
      <c r="M518" s="16" t="s">
        <v>1665</v>
      </c>
      <c r="N518" s="16">
        <v>264</v>
      </c>
      <c r="O518" s="16" t="s">
        <v>1668</v>
      </c>
    </row>
    <row r="519" spans="1:15" ht="15.75" customHeight="1" x14ac:dyDescent="0.25">
      <c r="A519" s="16" t="s">
        <v>30</v>
      </c>
      <c r="B519" s="16">
        <v>492663</v>
      </c>
      <c r="C519" s="16">
        <v>493259</v>
      </c>
      <c r="E519" s="16" t="s">
        <v>57</v>
      </c>
      <c r="F519" s="16" t="s">
        <v>1669</v>
      </c>
      <c r="G519" s="16" t="s">
        <v>1670</v>
      </c>
      <c r="I519" s="16" t="s">
        <v>50</v>
      </c>
      <c r="L519" s="16" t="s">
        <v>1671</v>
      </c>
      <c r="M519" s="16" t="s">
        <v>1669</v>
      </c>
      <c r="N519" s="16">
        <v>198</v>
      </c>
      <c r="O519" s="16" t="s">
        <v>1672</v>
      </c>
    </row>
    <row r="520" spans="1:15" ht="15.75" customHeight="1" x14ac:dyDescent="0.25">
      <c r="A520" s="16" t="s">
        <v>30</v>
      </c>
      <c r="B520" s="16">
        <v>493335</v>
      </c>
      <c r="C520" s="16">
        <v>494021</v>
      </c>
      <c r="E520" s="16" t="s">
        <v>57</v>
      </c>
      <c r="F520" s="16" t="s">
        <v>1673</v>
      </c>
      <c r="I520" s="16" t="s">
        <v>50</v>
      </c>
      <c r="L520" s="16" t="s">
        <v>1674</v>
      </c>
      <c r="M520" s="16" t="s">
        <v>1673</v>
      </c>
      <c r="N520" s="16">
        <v>228</v>
      </c>
      <c r="O520" s="16" t="s">
        <v>1675</v>
      </c>
    </row>
    <row r="521" spans="1:15" ht="15.75" customHeight="1" x14ac:dyDescent="0.25">
      <c r="A521" s="16" t="s">
        <v>30</v>
      </c>
      <c r="B521" s="16">
        <v>494034</v>
      </c>
      <c r="C521" s="16">
        <v>495371</v>
      </c>
      <c r="E521" s="16" t="s">
        <v>57</v>
      </c>
      <c r="F521" s="16" t="s">
        <v>1676</v>
      </c>
      <c r="G521" s="16" t="s">
        <v>1677</v>
      </c>
      <c r="I521" s="16" t="s">
        <v>50</v>
      </c>
      <c r="L521" s="16" t="s">
        <v>1678</v>
      </c>
      <c r="M521" s="16" t="s">
        <v>1676</v>
      </c>
      <c r="N521" s="16">
        <v>445</v>
      </c>
      <c r="O521" s="16" t="s">
        <v>1679</v>
      </c>
    </row>
    <row r="522" spans="1:15" ht="15.75" customHeight="1" x14ac:dyDescent="0.25">
      <c r="A522" s="16" t="s">
        <v>30</v>
      </c>
      <c r="B522" s="16">
        <v>495381</v>
      </c>
      <c r="C522" s="16">
        <v>495794</v>
      </c>
      <c r="E522" s="16" t="s">
        <v>57</v>
      </c>
      <c r="F522" s="16" t="s">
        <v>1680</v>
      </c>
      <c r="I522" s="16" t="s">
        <v>50</v>
      </c>
      <c r="L522" s="16" t="s">
        <v>1681</v>
      </c>
      <c r="M522" s="16" t="s">
        <v>1680</v>
      </c>
      <c r="N522" s="16">
        <v>137</v>
      </c>
      <c r="O522" s="16" t="s">
        <v>1682</v>
      </c>
    </row>
    <row r="523" spans="1:15" ht="15.75" customHeight="1" x14ac:dyDescent="0.25">
      <c r="A523" s="16" t="s">
        <v>30</v>
      </c>
      <c r="B523" s="16">
        <v>495791</v>
      </c>
      <c r="C523" s="16">
        <v>496312</v>
      </c>
      <c r="E523" s="16" t="s">
        <v>57</v>
      </c>
      <c r="F523" s="16" t="s">
        <v>1683</v>
      </c>
      <c r="G523" s="16" t="s">
        <v>1684</v>
      </c>
      <c r="I523" s="16" t="s">
        <v>50</v>
      </c>
      <c r="L523" s="16" t="s">
        <v>1685</v>
      </c>
      <c r="M523" s="16" t="s">
        <v>1683</v>
      </c>
      <c r="N523" s="16">
        <v>173</v>
      </c>
      <c r="O523" s="16" t="s">
        <v>1686</v>
      </c>
    </row>
    <row r="524" spans="1:15" ht="15.75" customHeight="1" x14ac:dyDescent="0.25">
      <c r="A524" s="16" t="s">
        <v>30</v>
      </c>
      <c r="B524" s="16">
        <v>496309</v>
      </c>
      <c r="C524" s="16">
        <v>496814</v>
      </c>
      <c r="E524" s="16" t="s">
        <v>57</v>
      </c>
      <c r="F524" s="16" t="s">
        <v>132</v>
      </c>
      <c r="G524" s="16" t="s">
        <v>1687</v>
      </c>
      <c r="I524" s="16" t="s">
        <v>133</v>
      </c>
      <c r="O524" s="16" t="s">
        <v>1688</v>
      </c>
    </row>
    <row r="525" spans="1:15" ht="15.75" customHeight="1" x14ac:dyDescent="0.25">
      <c r="A525" s="16" t="s">
        <v>30</v>
      </c>
      <c r="B525" s="16">
        <v>496815</v>
      </c>
      <c r="C525" s="16">
        <v>497612</v>
      </c>
      <c r="E525" s="16" t="s">
        <v>57</v>
      </c>
      <c r="F525" s="16" t="s">
        <v>1689</v>
      </c>
      <c r="I525" s="16" t="s">
        <v>50</v>
      </c>
      <c r="L525" s="16" t="s">
        <v>1690</v>
      </c>
      <c r="M525" s="16" t="s">
        <v>1689</v>
      </c>
      <c r="N525" s="16">
        <v>265</v>
      </c>
      <c r="O525" s="16" t="s">
        <v>1691</v>
      </c>
    </row>
    <row r="526" spans="1:15" ht="15.75" customHeight="1" x14ac:dyDescent="0.25">
      <c r="A526" s="16" t="s">
        <v>30</v>
      </c>
      <c r="B526" s="16">
        <v>497711</v>
      </c>
      <c r="C526" s="16">
        <v>500305</v>
      </c>
      <c r="E526" s="16" t="s">
        <v>48</v>
      </c>
      <c r="F526" s="16" t="s">
        <v>1692</v>
      </c>
      <c r="I526" s="16" t="s">
        <v>50</v>
      </c>
      <c r="L526" s="16" t="s">
        <v>1693</v>
      </c>
      <c r="M526" s="16" t="s">
        <v>1692</v>
      </c>
      <c r="N526" s="16">
        <v>864</v>
      </c>
      <c r="O526" s="16" t="s">
        <v>1694</v>
      </c>
    </row>
    <row r="527" spans="1:15" ht="15.75" customHeight="1" x14ac:dyDescent="0.25">
      <c r="A527" s="16" t="s">
        <v>30</v>
      </c>
      <c r="B527" s="16">
        <v>500378</v>
      </c>
      <c r="C527" s="16">
        <v>501223</v>
      </c>
      <c r="E527" s="16" t="s">
        <v>48</v>
      </c>
      <c r="F527" s="16" t="s">
        <v>1695</v>
      </c>
      <c r="I527" s="16" t="s">
        <v>50</v>
      </c>
      <c r="L527" s="16" t="s">
        <v>1696</v>
      </c>
      <c r="M527" s="16" t="s">
        <v>1695</v>
      </c>
      <c r="N527" s="16">
        <v>281</v>
      </c>
      <c r="O527" s="16" t="s">
        <v>1697</v>
      </c>
    </row>
    <row r="528" spans="1:15" ht="15.75" customHeight="1" x14ac:dyDescent="0.25">
      <c r="A528" s="16" t="s">
        <v>30</v>
      </c>
      <c r="B528" s="16">
        <v>501392</v>
      </c>
      <c r="C528" s="16">
        <v>501721</v>
      </c>
      <c r="E528" s="16" t="s">
        <v>48</v>
      </c>
      <c r="F528" s="16" t="s">
        <v>1698</v>
      </c>
      <c r="I528" s="16" t="s">
        <v>50</v>
      </c>
      <c r="L528" s="16" t="s">
        <v>1699</v>
      </c>
      <c r="M528" s="16" t="s">
        <v>1698</v>
      </c>
      <c r="N528" s="16">
        <v>109</v>
      </c>
      <c r="O528" s="16" t="s">
        <v>1700</v>
      </c>
    </row>
    <row r="529" spans="1:15" ht="15.75" customHeight="1" x14ac:dyDescent="0.25">
      <c r="A529" s="16" t="s">
        <v>30</v>
      </c>
      <c r="B529" s="16">
        <v>501852</v>
      </c>
      <c r="C529" s="16">
        <v>502454</v>
      </c>
      <c r="E529" s="16" t="s">
        <v>48</v>
      </c>
      <c r="F529" s="16" t="s">
        <v>1701</v>
      </c>
      <c r="G529" s="16" t="s">
        <v>1702</v>
      </c>
      <c r="I529" s="16" t="s">
        <v>50</v>
      </c>
      <c r="L529" s="16" t="s">
        <v>1703</v>
      </c>
      <c r="M529" s="16" t="s">
        <v>1701</v>
      </c>
      <c r="N529" s="16">
        <v>200</v>
      </c>
      <c r="O529" s="16" t="s">
        <v>1704</v>
      </c>
    </row>
    <row r="530" spans="1:15" ht="15.75" customHeight="1" x14ac:dyDescent="0.25">
      <c r="A530" s="16" t="s">
        <v>30</v>
      </c>
      <c r="B530" s="16">
        <v>502470</v>
      </c>
      <c r="C530" s="16">
        <v>504425</v>
      </c>
      <c r="E530" s="16" t="s">
        <v>48</v>
      </c>
      <c r="F530" s="16" t="s">
        <v>1705</v>
      </c>
      <c r="I530" s="16" t="s">
        <v>50</v>
      </c>
      <c r="L530" s="16" t="s">
        <v>1706</v>
      </c>
      <c r="M530" s="16" t="s">
        <v>1705</v>
      </c>
      <c r="N530" s="16">
        <v>651</v>
      </c>
      <c r="O530" s="16" t="s">
        <v>1707</v>
      </c>
    </row>
    <row r="531" spans="1:15" ht="15.75" customHeight="1" x14ac:dyDescent="0.25">
      <c r="A531" s="16" t="s">
        <v>30</v>
      </c>
      <c r="B531" s="16">
        <v>504534</v>
      </c>
      <c r="C531" s="16">
        <v>504875</v>
      </c>
      <c r="E531" s="16" t="s">
        <v>48</v>
      </c>
      <c r="F531" s="16" t="s">
        <v>1708</v>
      </c>
      <c r="G531" s="16" t="s">
        <v>1709</v>
      </c>
      <c r="I531" s="16" t="s">
        <v>50</v>
      </c>
      <c r="L531" s="16" t="s">
        <v>1710</v>
      </c>
      <c r="M531" s="16" t="s">
        <v>1708</v>
      </c>
      <c r="N531" s="16">
        <v>113</v>
      </c>
      <c r="O531" s="16" t="s">
        <v>1711</v>
      </c>
    </row>
    <row r="532" spans="1:15" ht="15.75" customHeight="1" x14ac:dyDescent="0.25">
      <c r="A532" s="16" t="s">
        <v>30</v>
      </c>
      <c r="B532" s="16">
        <v>504900</v>
      </c>
      <c r="C532" s="16">
        <v>504985</v>
      </c>
      <c r="E532" s="16" t="s">
        <v>48</v>
      </c>
      <c r="F532" s="16" t="s">
        <v>294</v>
      </c>
      <c r="I532" s="16" t="s">
        <v>290</v>
      </c>
      <c r="O532" s="16" t="s">
        <v>1712</v>
      </c>
    </row>
    <row r="533" spans="1:15" ht="15.75" customHeight="1" x14ac:dyDescent="0.25">
      <c r="A533" s="16" t="s">
        <v>30</v>
      </c>
      <c r="B533" s="16">
        <v>505420</v>
      </c>
      <c r="C533" s="16">
        <v>507090</v>
      </c>
      <c r="E533" s="16" t="s">
        <v>57</v>
      </c>
      <c r="F533" s="16" t="s">
        <v>1713</v>
      </c>
      <c r="I533" s="16" t="s">
        <v>50</v>
      </c>
      <c r="L533" s="16" t="s">
        <v>1714</v>
      </c>
      <c r="M533" s="16" t="s">
        <v>1713</v>
      </c>
      <c r="N533" s="16">
        <v>556</v>
      </c>
      <c r="O533" s="16" t="s">
        <v>1715</v>
      </c>
    </row>
    <row r="534" spans="1:15" ht="15.75" customHeight="1" x14ac:dyDescent="0.25">
      <c r="A534" s="16" t="s">
        <v>30</v>
      </c>
      <c r="B534" s="16">
        <v>507092</v>
      </c>
      <c r="C534" s="16">
        <v>508033</v>
      </c>
      <c r="E534" s="16" t="s">
        <v>57</v>
      </c>
      <c r="F534" s="16" t="s">
        <v>1716</v>
      </c>
      <c r="G534" s="16" t="s">
        <v>1717</v>
      </c>
      <c r="I534" s="16" t="s">
        <v>50</v>
      </c>
      <c r="L534" s="16" t="s">
        <v>1718</v>
      </c>
      <c r="M534" s="16" t="s">
        <v>1716</v>
      </c>
      <c r="N534" s="16">
        <v>313</v>
      </c>
      <c r="O534" s="16" t="s">
        <v>1719</v>
      </c>
    </row>
    <row r="535" spans="1:15" ht="15.75" customHeight="1" x14ac:dyDescent="0.25">
      <c r="A535" s="16" t="s">
        <v>30</v>
      </c>
      <c r="B535" s="16">
        <v>508035</v>
      </c>
      <c r="C535" s="16">
        <v>509534</v>
      </c>
      <c r="E535" s="16" t="s">
        <v>57</v>
      </c>
      <c r="F535" s="16" t="s">
        <v>1720</v>
      </c>
      <c r="G535" s="16" t="s">
        <v>1721</v>
      </c>
      <c r="I535" s="16" t="s">
        <v>50</v>
      </c>
      <c r="L535" s="16" t="s">
        <v>1722</v>
      </c>
      <c r="M535" s="16" t="s">
        <v>1720</v>
      </c>
      <c r="N535" s="16">
        <v>499</v>
      </c>
      <c r="O535" s="16" t="s">
        <v>1723</v>
      </c>
    </row>
    <row r="536" spans="1:15" ht="15.75" customHeight="1" x14ac:dyDescent="0.25">
      <c r="A536" s="16" t="s">
        <v>30</v>
      </c>
      <c r="B536" s="16">
        <v>509606</v>
      </c>
      <c r="C536" s="16">
        <v>510136</v>
      </c>
      <c r="E536" s="16" t="s">
        <v>57</v>
      </c>
      <c r="F536" s="16" t="s">
        <v>135</v>
      </c>
      <c r="I536" s="16" t="s">
        <v>50</v>
      </c>
      <c r="L536" s="16" t="s">
        <v>1724</v>
      </c>
      <c r="M536" s="16" t="s">
        <v>135</v>
      </c>
      <c r="N536" s="16">
        <v>176</v>
      </c>
      <c r="O536" s="16" t="s">
        <v>1725</v>
      </c>
    </row>
    <row r="537" spans="1:15" ht="15.75" customHeight="1" x14ac:dyDescent="0.25">
      <c r="A537" s="16" t="s">
        <v>30</v>
      </c>
      <c r="B537" s="16">
        <v>510229</v>
      </c>
      <c r="C537" s="16">
        <v>510507</v>
      </c>
      <c r="E537" s="16" t="s">
        <v>57</v>
      </c>
      <c r="F537" s="16" t="s">
        <v>1726</v>
      </c>
      <c r="G537" s="16" t="s">
        <v>1727</v>
      </c>
      <c r="I537" s="16" t="s">
        <v>50</v>
      </c>
      <c r="L537" s="16" t="s">
        <v>1728</v>
      </c>
      <c r="M537" s="16" t="s">
        <v>1726</v>
      </c>
      <c r="N537" s="16">
        <v>92</v>
      </c>
      <c r="O537" s="16" t="s">
        <v>1729</v>
      </c>
    </row>
    <row r="538" spans="1:15" ht="15.75" customHeight="1" x14ac:dyDescent="0.25">
      <c r="A538" s="16" t="s">
        <v>30</v>
      </c>
      <c r="B538" s="16">
        <v>510516</v>
      </c>
      <c r="C538" s="16">
        <v>510707</v>
      </c>
      <c r="E538" s="16" t="s">
        <v>57</v>
      </c>
      <c r="F538" s="16" t="s">
        <v>1730</v>
      </c>
      <c r="I538" s="16" t="s">
        <v>50</v>
      </c>
      <c r="L538" s="16" t="s">
        <v>1731</v>
      </c>
      <c r="M538" s="16" t="s">
        <v>1730</v>
      </c>
      <c r="N538" s="16">
        <v>63</v>
      </c>
      <c r="O538" s="16" t="s">
        <v>1732</v>
      </c>
    </row>
    <row r="539" spans="1:15" ht="15.75" customHeight="1" x14ac:dyDescent="0.25">
      <c r="A539" s="16" t="s">
        <v>30</v>
      </c>
      <c r="B539" s="16">
        <v>510779</v>
      </c>
      <c r="C539" s="16">
        <v>512077</v>
      </c>
      <c r="E539" s="16" t="s">
        <v>57</v>
      </c>
      <c r="F539" s="16" t="s">
        <v>1733</v>
      </c>
      <c r="I539" s="16" t="s">
        <v>50</v>
      </c>
      <c r="L539" s="16" t="s">
        <v>1734</v>
      </c>
      <c r="M539" s="16" t="s">
        <v>1733</v>
      </c>
      <c r="N539" s="16">
        <v>432</v>
      </c>
      <c r="O539" s="16" t="s">
        <v>1735</v>
      </c>
    </row>
    <row r="540" spans="1:15" ht="15.75" customHeight="1" x14ac:dyDescent="0.25">
      <c r="A540" s="16" t="s">
        <v>30</v>
      </c>
      <c r="B540" s="16">
        <v>512128</v>
      </c>
      <c r="C540" s="16">
        <v>512652</v>
      </c>
      <c r="E540" s="16" t="s">
        <v>57</v>
      </c>
      <c r="F540" s="16" t="s">
        <v>1736</v>
      </c>
      <c r="I540" s="16" t="s">
        <v>50</v>
      </c>
      <c r="L540" s="16" t="s">
        <v>1737</v>
      </c>
      <c r="M540" s="16" t="s">
        <v>1736</v>
      </c>
      <c r="N540" s="16">
        <v>174</v>
      </c>
      <c r="O540" s="16" t="s">
        <v>1738</v>
      </c>
    </row>
    <row r="541" spans="1:15" ht="15.75" customHeight="1" x14ac:dyDescent="0.25">
      <c r="A541" s="16" t="s">
        <v>30</v>
      </c>
      <c r="B541" s="16">
        <v>512679</v>
      </c>
      <c r="C541" s="16">
        <v>513461</v>
      </c>
      <c r="E541" s="16" t="s">
        <v>57</v>
      </c>
      <c r="F541" s="16" t="s">
        <v>1739</v>
      </c>
      <c r="I541" s="16" t="s">
        <v>50</v>
      </c>
      <c r="L541" s="16" t="s">
        <v>1740</v>
      </c>
      <c r="M541" s="16" t="s">
        <v>1739</v>
      </c>
      <c r="N541" s="16">
        <v>260</v>
      </c>
      <c r="O541" s="16" t="s">
        <v>1741</v>
      </c>
    </row>
    <row r="542" spans="1:15" ht="15.75" customHeight="1" x14ac:dyDescent="0.25">
      <c r="A542" s="16" t="s">
        <v>30</v>
      </c>
      <c r="B542" s="16">
        <v>513514</v>
      </c>
      <c r="C542" s="16">
        <v>514497</v>
      </c>
      <c r="E542" s="16" t="s">
        <v>57</v>
      </c>
      <c r="F542" s="16" t="s">
        <v>1742</v>
      </c>
      <c r="I542" s="16" t="s">
        <v>50</v>
      </c>
      <c r="L542" s="16" t="s">
        <v>1743</v>
      </c>
      <c r="M542" s="16" t="s">
        <v>1742</v>
      </c>
      <c r="N542" s="16">
        <v>327</v>
      </c>
      <c r="O542" s="16" t="s">
        <v>1744</v>
      </c>
    </row>
    <row r="543" spans="1:15" ht="15.75" customHeight="1" x14ac:dyDescent="0.25">
      <c r="A543" s="16" t="s">
        <v>30</v>
      </c>
      <c r="B543" s="16">
        <v>515785</v>
      </c>
      <c r="C543" s="16">
        <v>516972</v>
      </c>
      <c r="E543" s="16" t="s">
        <v>48</v>
      </c>
      <c r="F543" s="16" t="s">
        <v>132</v>
      </c>
      <c r="I543" s="16" t="s">
        <v>133</v>
      </c>
      <c r="O543" s="16" t="s">
        <v>1745</v>
      </c>
    </row>
    <row r="544" spans="1:15" ht="15.75" customHeight="1" x14ac:dyDescent="0.25">
      <c r="A544" s="16" t="s">
        <v>30</v>
      </c>
      <c r="B544" s="16">
        <v>517879</v>
      </c>
      <c r="C544" s="16">
        <v>518511</v>
      </c>
      <c r="E544" s="16" t="s">
        <v>57</v>
      </c>
      <c r="F544" s="16" t="s">
        <v>1746</v>
      </c>
      <c r="G544" s="16" t="s">
        <v>1747</v>
      </c>
      <c r="I544" s="16" t="s">
        <v>50</v>
      </c>
      <c r="L544" s="16" t="s">
        <v>1748</v>
      </c>
      <c r="M544" s="16" t="s">
        <v>1746</v>
      </c>
      <c r="N544" s="16">
        <v>210</v>
      </c>
      <c r="O544" s="16" t="s">
        <v>1749</v>
      </c>
    </row>
    <row r="545" spans="1:15" ht="15.75" customHeight="1" x14ac:dyDescent="0.25">
      <c r="A545" s="16" t="s">
        <v>30</v>
      </c>
      <c r="B545" s="16">
        <v>518528</v>
      </c>
      <c r="C545" s="16">
        <v>519571</v>
      </c>
      <c r="E545" s="16" t="s">
        <v>57</v>
      </c>
      <c r="F545" s="16" t="s">
        <v>1750</v>
      </c>
      <c r="G545" s="16" t="s">
        <v>1751</v>
      </c>
      <c r="I545" s="16" t="s">
        <v>50</v>
      </c>
      <c r="L545" s="16" t="s">
        <v>1752</v>
      </c>
      <c r="M545" s="16" t="s">
        <v>1750</v>
      </c>
      <c r="N545" s="16">
        <v>347</v>
      </c>
      <c r="O545" s="16" t="s">
        <v>1753</v>
      </c>
    </row>
    <row r="546" spans="1:15" ht="15.75" customHeight="1" x14ac:dyDescent="0.25">
      <c r="A546" s="16" t="s">
        <v>30</v>
      </c>
      <c r="B546" s="16">
        <v>519641</v>
      </c>
      <c r="C546" s="16">
        <v>520576</v>
      </c>
      <c r="E546" s="16" t="s">
        <v>57</v>
      </c>
      <c r="F546" s="16" t="s">
        <v>270</v>
      </c>
      <c r="I546" s="16" t="s">
        <v>50</v>
      </c>
      <c r="L546" s="16" t="s">
        <v>1754</v>
      </c>
      <c r="M546" s="16" t="s">
        <v>270</v>
      </c>
      <c r="N546" s="16">
        <v>311</v>
      </c>
      <c r="O546" s="16" t="s">
        <v>1755</v>
      </c>
    </row>
    <row r="547" spans="1:15" ht="15.75" customHeight="1" x14ac:dyDescent="0.25">
      <c r="A547" s="16" t="s">
        <v>30</v>
      </c>
      <c r="B547" s="16">
        <v>520652</v>
      </c>
      <c r="C547" s="16">
        <v>521191</v>
      </c>
      <c r="E547" s="16" t="s">
        <v>57</v>
      </c>
      <c r="F547" s="16" t="s">
        <v>1756</v>
      </c>
      <c r="G547" s="16" t="s">
        <v>1757</v>
      </c>
      <c r="I547" s="16" t="s">
        <v>50</v>
      </c>
      <c r="L547" s="16" t="s">
        <v>1758</v>
      </c>
      <c r="M547" s="16" t="s">
        <v>1756</v>
      </c>
      <c r="N547" s="16">
        <v>179</v>
      </c>
      <c r="O547" s="16" t="s">
        <v>1759</v>
      </c>
    </row>
    <row r="548" spans="1:15" ht="15.75" customHeight="1" x14ac:dyDescent="0.25">
      <c r="A548" s="16" t="s">
        <v>30</v>
      </c>
      <c r="B548" s="16">
        <v>521323</v>
      </c>
      <c r="C548" s="16">
        <v>522114</v>
      </c>
      <c r="E548" s="16" t="s">
        <v>48</v>
      </c>
      <c r="F548" s="16" t="s">
        <v>1760</v>
      </c>
      <c r="G548" s="16" t="s">
        <v>1761</v>
      </c>
      <c r="I548" s="16" t="s">
        <v>50</v>
      </c>
      <c r="L548" s="16" t="s">
        <v>1762</v>
      </c>
      <c r="M548" s="16" t="s">
        <v>1760</v>
      </c>
      <c r="N548" s="16">
        <v>263</v>
      </c>
      <c r="O548" s="16" t="s">
        <v>1763</v>
      </c>
    </row>
    <row r="549" spans="1:15" ht="15.75" customHeight="1" x14ac:dyDescent="0.25">
      <c r="A549" s="16" t="s">
        <v>30</v>
      </c>
      <c r="B549" s="16">
        <v>522164</v>
      </c>
      <c r="C549" s="16">
        <v>523039</v>
      </c>
      <c r="E549" s="16" t="s">
        <v>57</v>
      </c>
      <c r="F549" s="16" t="s">
        <v>1764</v>
      </c>
      <c r="I549" s="16" t="s">
        <v>50</v>
      </c>
      <c r="L549" s="16" t="s">
        <v>1765</v>
      </c>
      <c r="M549" s="16" t="s">
        <v>1764</v>
      </c>
      <c r="N549" s="16">
        <v>291</v>
      </c>
      <c r="O549" s="16" t="s">
        <v>1766</v>
      </c>
    </row>
    <row r="550" spans="1:15" ht="15.75" customHeight="1" x14ac:dyDescent="0.25">
      <c r="A550" s="16" t="s">
        <v>30</v>
      </c>
      <c r="B550" s="16">
        <v>523232</v>
      </c>
      <c r="C550" s="16">
        <v>525643</v>
      </c>
      <c r="E550" s="16" t="s">
        <v>48</v>
      </c>
      <c r="F550" s="16" t="s">
        <v>1767</v>
      </c>
      <c r="G550" s="16" t="s">
        <v>1768</v>
      </c>
      <c r="I550" s="16" t="s">
        <v>50</v>
      </c>
      <c r="L550" s="16" t="s">
        <v>1769</v>
      </c>
      <c r="M550" s="16" t="s">
        <v>1767</v>
      </c>
      <c r="N550" s="16">
        <v>803</v>
      </c>
      <c r="O550" s="16" t="s">
        <v>1770</v>
      </c>
    </row>
    <row r="551" spans="1:15" ht="15.75" customHeight="1" x14ac:dyDescent="0.25">
      <c r="A551" s="16" t="s">
        <v>30</v>
      </c>
      <c r="B551" s="16">
        <v>525760</v>
      </c>
      <c r="C551" s="16">
        <v>526911</v>
      </c>
      <c r="E551" s="16" t="s">
        <v>48</v>
      </c>
      <c r="F551" s="16" t="s">
        <v>1771</v>
      </c>
      <c r="G551" s="16" t="s">
        <v>1772</v>
      </c>
      <c r="I551" s="16" t="s">
        <v>50</v>
      </c>
      <c r="L551" s="16" t="s">
        <v>1773</v>
      </c>
      <c r="M551" s="16" t="s">
        <v>1771</v>
      </c>
      <c r="N551" s="16">
        <v>383</v>
      </c>
      <c r="O551" s="16" t="s">
        <v>1774</v>
      </c>
    </row>
    <row r="552" spans="1:15" ht="15.75" customHeight="1" x14ac:dyDescent="0.25">
      <c r="A552" s="16" t="s">
        <v>30</v>
      </c>
      <c r="B552" s="16">
        <v>527045</v>
      </c>
      <c r="C552" s="16">
        <v>527704</v>
      </c>
      <c r="E552" s="16" t="s">
        <v>48</v>
      </c>
      <c r="F552" s="16" t="s">
        <v>1775</v>
      </c>
      <c r="G552" s="16" t="s">
        <v>1776</v>
      </c>
      <c r="I552" s="16" t="s">
        <v>50</v>
      </c>
      <c r="L552" s="16" t="s">
        <v>1777</v>
      </c>
      <c r="M552" s="16" t="s">
        <v>1775</v>
      </c>
      <c r="N552" s="16">
        <v>219</v>
      </c>
      <c r="O552" s="16" t="s">
        <v>1778</v>
      </c>
    </row>
    <row r="553" spans="1:15" ht="15.75" customHeight="1" x14ac:dyDescent="0.25">
      <c r="A553" s="16" t="s">
        <v>30</v>
      </c>
      <c r="B553" s="16">
        <v>527734</v>
      </c>
      <c r="C553" s="16">
        <v>528966</v>
      </c>
      <c r="E553" s="16" t="s">
        <v>48</v>
      </c>
      <c r="F553" s="16" t="s">
        <v>1779</v>
      </c>
      <c r="G553" s="16" t="s">
        <v>1780</v>
      </c>
      <c r="I553" s="16" t="s">
        <v>50</v>
      </c>
      <c r="L553" s="16" t="s">
        <v>1781</v>
      </c>
      <c r="M553" s="16" t="s">
        <v>1779</v>
      </c>
      <c r="N553" s="16">
        <v>410</v>
      </c>
      <c r="O553" s="16" t="s">
        <v>1782</v>
      </c>
    </row>
    <row r="554" spans="1:15" ht="15.75" customHeight="1" x14ac:dyDescent="0.25">
      <c r="A554" s="16" t="s">
        <v>30</v>
      </c>
      <c r="B554" s="16">
        <v>529009</v>
      </c>
      <c r="C554" s="16">
        <v>529851</v>
      </c>
      <c r="E554" s="16" t="s">
        <v>57</v>
      </c>
      <c r="F554" s="16" t="s">
        <v>1783</v>
      </c>
      <c r="I554" s="16" t="s">
        <v>50</v>
      </c>
      <c r="L554" s="16" t="s">
        <v>1784</v>
      </c>
      <c r="M554" s="16" t="s">
        <v>1783</v>
      </c>
      <c r="N554" s="16">
        <v>280</v>
      </c>
      <c r="O554" s="16" t="s">
        <v>1785</v>
      </c>
    </row>
    <row r="555" spans="1:15" ht="15.75" customHeight="1" x14ac:dyDescent="0.25">
      <c r="A555" s="16" t="s">
        <v>30</v>
      </c>
      <c r="B555" s="16">
        <v>529861</v>
      </c>
      <c r="C555" s="16">
        <v>530724</v>
      </c>
      <c r="E555" s="16" t="s">
        <v>57</v>
      </c>
      <c r="F555" s="16" t="s">
        <v>1786</v>
      </c>
      <c r="I555" s="16" t="s">
        <v>50</v>
      </c>
      <c r="L555" s="16" t="s">
        <v>1787</v>
      </c>
      <c r="M555" s="16" t="s">
        <v>1786</v>
      </c>
      <c r="N555" s="16">
        <v>287</v>
      </c>
      <c r="O555" s="16" t="s">
        <v>1788</v>
      </c>
    </row>
    <row r="556" spans="1:15" ht="15.75" customHeight="1" x14ac:dyDescent="0.25">
      <c r="A556" s="16" t="s">
        <v>30</v>
      </c>
      <c r="B556" s="16">
        <v>531173</v>
      </c>
      <c r="C556" s="16">
        <v>532084</v>
      </c>
      <c r="E556" s="16" t="s">
        <v>48</v>
      </c>
      <c r="F556" s="16" t="s">
        <v>1789</v>
      </c>
      <c r="G556" s="16" t="s">
        <v>1790</v>
      </c>
      <c r="I556" s="16" t="s">
        <v>50</v>
      </c>
      <c r="L556" s="16" t="s">
        <v>1791</v>
      </c>
      <c r="M556" s="16" t="s">
        <v>1789</v>
      </c>
      <c r="N556" s="16">
        <v>303</v>
      </c>
      <c r="O556" s="16" t="s">
        <v>1792</v>
      </c>
    </row>
    <row r="557" spans="1:15" ht="15.75" customHeight="1" x14ac:dyDescent="0.25">
      <c r="A557" s="16" t="s">
        <v>30</v>
      </c>
      <c r="B557" s="16">
        <v>532177</v>
      </c>
      <c r="C557" s="16">
        <v>533460</v>
      </c>
      <c r="E557" s="16" t="s">
        <v>48</v>
      </c>
      <c r="F557" s="16" t="s">
        <v>1793</v>
      </c>
      <c r="G557" s="16" t="s">
        <v>1794</v>
      </c>
      <c r="I557" s="16" t="s">
        <v>50</v>
      </c>
      <c r="L557" s="16" t="s">
        <v>1795</v>
      </c>
      <c r="M557" s="16" t="s">
        <v>1793</v>
      </c>
      <c r="N557" s="16">
        <v>427</v>
      </c>
      <c r="O557" s="16" t="s">
        <v>1796</v>
      </c>
    </row>
    <row r="558" spans="1:15" ht="15.75" customHeight="1" x14ac:dyDescent="0.25">
      <c r="A558" s="16" t="s">
        <v>30</v>
      </c>
      <c r="B558" s="16">
        <v>533574</v>
      </c>
      <c r="C558" s="16">
        <v>534632</v>
      </c>
      <c r="E558" s="16" t="s">
        <v>48</v>
      </c>
      <c r="F558" s="16" t="s">
        <v>1797</v>
      </c>
      <c r="G558" s="16" t="s">
        <v>1798</v>
      </c>
      <c r="I558" s="16" t="s">
        <v>50</v>
      </c>
      <c r="L558" s="16" t="s">
        <v>1799</v>
      </c>
      <c r="M558" s="16" t="s">
        <v>1797</v>
      </c>
      <c r="N558" s="16">
        <v>352</v>
      </c>
      <c r="O558" s="16" t="s">
        <v>1800</v>
      </c>
    </row>
    <row r="559" spans="1:15" ht="15.75" customHeight="1" x14ac:dyDescent="0.25">
      <c r="A559" s="16" t="s">
        <v>30</v>
      </c>
      <c r="B559" s="16">
        <v>534744</v>
      </c>
      <c r="C559" s="16">
        <v>535832</v>
      </c>
      <c r="E559" s="16" t="s">
        <v>48</v>
      </c>
      <c r="F559" s="16" t="s">
        <v>1801</v>
      </c>
      <c r="G559" s="16" t="s">
        <v>1802</v>
      </c>
      <c r="I559" s="16" t="s">
        <v>50</v>
      </c>
      <c r="L559" s="16" t="s">
        <v>1803</v>
      </c>
      <c r="M559" s="16" t="s">
        <v>1801</v>
      </c>
      <c r="N559" s="16">
        <v>362</v>
      </c>
      <c r="O559" s="16" t="s">
        <v>1804</v>
      </c>
    </row>
    <row r="560" spans="1:15" ht="15.75" customHeight="1" x14ac:dyDescent="0.25">
      <c r="A560" s="16" t="s">
        <v>30</v>
      </c>
      <c r="B560" s="16">
        <v>535898</v>
      </c>
      <c r="C560" s="16">
        <v>536497</v>
      </c>
      <c r="E560" s="16" t="s">
        <v>48</v>
      </c>
      <c r="F560" s="16" t="s">
        <v>1805</v>
      </c>
      <c r="G560" s="16" t="s">
        <v>1806</v>
      </c>
      <c r="I560" s="16" t="s">
        <v>50</v>
      </c>
      <c r="L560" s="16" t="s">
        <v>1807</v>
      </c>
      <c r="M560" s="16" t="s">
        <v>1805</v>
      </c>
      <c r="N560" s="16">
        <v>199</v>
      </c>
      <c r="O560" s="16" t="s">
        <v>1808</v>
      </c>
    </row>
    <row r="561" spans="1:15" ht="15.75" customHeight="1" x14ac:dyDescent="0.25">
      <c r="A561" s="16" t="s">
        <v>30</v>
      </c>
      <c r="B561" s="16">
        <v>536533</v>
      </c>
      <c r="C561" s="16">
        <v>537282</v>
      </c>
      <c r="E561" s="16" t="s">
        <v>48</v>
      </c>
      <c r="F561" s="16" t="s">
        <v>1809</v>
      </c>
      <c r="G561" s="16" t="s">
        <v>1810</v>
      </c>
      <c r="I561" s="16" t="s">
        <v>50</v>
      </c>
      <c r="L561" s="16" t="s">
        <v>1811</v>
      </c>
      <c r="M561" s="16" t="s">
        <v>1809</v>
      </c>
      <c r="N561" s="16">
        <v>249</v>
      </c>
      <c r="O561" s="16" t="s">
        <v>1812</v>
      </c>
    </row>
    <row r="562" spans="1:15" ht="15.75" customHeight="1" x14ac:dyDescent="0.25">
      <c r="A562" s="16" t="s">
        <v>30</v>
      </c>
      <c r="B562" s="16">
        <v>537264</v>
      </c>
      <c r="C562" s="16">
        <v>538040</v>
      </c>
      <c r="E562" s="16" t="s">
        <v>48</v>
      </c>
      <c r="F562" s="16" t="s">
        <v>1813</v>
      </c>
      <c r="G562" s="16" t="s">
        <v>1814</v>
      </c>
      <c r="I562" s="16" t="s">
        <v>50</v>
      </c>
      <c r="L562" s="16" t="s">
        <v>1815</v>
      </c>
      <c r="M562" s="16" t="s">
        <v>1813</v>
      </c>
      <c r="N562" s="16">
        <v>258</v>
      </c>
      <c r="O562" s="16" t="s">
        <v>1816</v>
      </c>
    </row>
    <row r="563" spans="1:15" ht="15.75" customHeight="1" x14ac:dyDescent="0.25">
      <c r="A563" s="16" t="s">
        <v>30</v>
      </c>
      <c r="B563" s="16">
        <v>538040</v>
      </c>
      <c r="C563" s="16">
        <v>538705</v>
      </c>
      <c r="E563" s="16" t="s">
        <v>48</v>
      </c>
      <c r="F563" s="16" t="s">
        <v>1817</v>
      </c>
      <c r="G563" s="16" t="s">
        <v>1818</v>
      </c>
      <c r="I563" s="16" t="s">
        <v>50</v>
      </c>
      <c r="L563" s="16" t="s">
        <v>1819</v>
      </c>
      <c r="M563" s="16" t="s">
        <v>1817</v>
      </c>
      <c r="N563" s="16">
        <v>221</v>
      </c>
      <c r="O563" s="16" t="s">
        <v>1820</v>
      </c>
    </row>
    <row r="564" spans="1:15" ht="15.75" customHeight="1" x14ac:dyDescent="0.25">
      <c r="A564" s="16" t="s">
        <v>30</v>
      </c>
      <c r="B564" s="16">
        <v>538969</v>
      </c>
      <c r="C564" s="16">
        <v>540171</v>
      </c>
      <c r="E564" s="16" t="s">
        <v>48</v>
      </c>
      <c r="F564" s="16" t="s">
        <v>1821</v>
      </c>
      <c r="I564" s="16" t="s">
        <v>50</v>
      </c>
      <c r="L564" s="16" t="s">
        <v>1822</v>
      </c>
      <c r="M564" s="16" t="s">
        <v>1821</v>
      </c>
      <c r="N564" s="16">
        <v>400</v>
      </c>
      <c r="O564" s="16" t="s">
        <v>1823</v>
      </c>
    </row>
    <row r="565" spans="1:15" ht="15.75" customHeight="1" x14ac:dyDescent="0.25">
      <c r="A565" s="16" t="s">
        <v>30</v>
      </c>
      <c r="B565" s="16">
        <v>540357</v>
      </c>
      <c r="C565" s="16">
        <v>540785</v>
      </c>
      <c r="E565" s="16" t="s">
        <v>57</v>
      </c>
      <c r="F565" s="16" t="s">
        <v>1824</v>
      </c>
      <c r="G565" s="16" t="s">
        <v>1825</v>
      </c>
      <c r="I565" s="16" t="s">
        <v>50</v>
      </c>
      <c r="L565" s="16" t="s">
        <v>1826</v>
      </c>
      <c r="M565" s="16" t="s">
        <v>1824</v>
      </c>
      <c r="N565" s="16">
        <v>142</v>
      </c>
      <c r="O565" s="16" t="s">
        <v>1827</v>
      </c>
    </row>
    <row r="566" spans="1:15" ht="15.75" customHeight="1" x14ac:dyDescent="0.25">
      <c r="A566" s="16" t="s">
        <v>30</v>
      </c>
      <c r="B566" s="16">
        <v>540815</v>
      </c>
      <c r="C566" s="16">
        <v>542188</v>
      </c>
      <c r="E566" s="16" t="s">
        <v>57</v>
      </c>
      <c r="F566" s="16" t="s">
        <v>1828</v>
      </c>
      <c r="G566" s="16" t="s">
        <v>1829</v>
      </c>
      <c r="I566" s="16" t="s">
        <v>50</v>
      </c>
      <c r="L566" s="16" t="s">
        <v>1830</v>
      </c>
      <c r="M566" s="16" t="s">
        <v>1828</v>
      </c>
      <c r="N566" s="16">
        <v>457</v>
      </c>
      <c r="O566" s="16" t="s">
        <v>1831</v>
      </c>
    </row>
    <row r="567" spans="1:15" ht="15.75" customHeight="1" x14ac:dyDescent="0.25">
      <c r="A567" s="16" t="s">
        <v>30</v>
      </c>
      <c r="B567" s="16">
        <v>542205</v>
      </c>
      <c r="C567" s="16">
        <v>543074</v>
      </c>
      <c r="E567" s="16" t="s">
        <v>57</v>
      </c>
      <c r="F567" s="16" t="s">
        <v>1832</v>
      </c>
      <c r="G567" s="16" t="s">
        <v>1833</v>
      </c>
      <c r="I567" s="16" t="s">
        <v>50</v>
      </c>
      <c r="L567" s="16" t="s">
        <v>1834</v>
      </c>
      <c r="M567" s="16" t="s">
        <v>1832</v>
      </c>
      <c r="N567" s="16">
        <v>289</v>
      </c>
      <c r="O567" s="16" t="s">
        <v>1835</v>
      </c>
    </row>
    <row r="568" spans="1:15" ht="15.75" customHeight="1" x14ac:dyDescent="0.25">
      <c r="A568" s="16" t="s">
        <v>30</v>
      </c>
      <c r="B568" s="16">
        <v>543090</v>
      </c>
      <c r="C568" s="16">
        <v>544631</v>
      </c>
      <c r="E568" s="16" t="s">
        <v>57</v>
      </c>
      <c r="F568" s="16" t="s">
        <v>1836</v>
      </c>
      <c r="G568" s="16" t="s">
        <v>1837</v>
      </c>
      <c r="I568" s="16" t="s">
        <v>50</v>
      </c>
      <c r="L568" s="16" t="s">
        <v>1838</v>
      </c>
      <c r="M568" s="16" t="s">
        <v>1836</v>
      </c>
      <c r="N568" s="16">
        <v>513</v>
      </c>
      <c r="O568" s="16" t="s">
        <v>1839</v>
      </c>
    </row>
    <row r="569" spans="1:15" ht="15.75" customHeight="1" x14ac:dyDescent="0.25">
      <c r="A569" s="16" t="s">
        <v>30</v>
      </c>
      <c r="B569" s="16">
        <v>544644</v>
      </c>
      <c r="C569" s="16">
        <v>545177</v>
      </c>
      <c r="E569" s="16" t="s">
        <v>57</v>
      </c>
      <c r="F569" s="16" t="s">
        <v>1840</v>
      </c>
      <c r="G569" s="16" t="s">
        <v>1841</v>
      </c>
      <c r="I569" s="16" t="s">
        <v>50</v>
      </c>
      <c r="L569" s="16" t="s">
        <v>1842</v>
      </c>
      <c r="M569" s="16" t="s">
        <v>1840</v>
      </c>
      <c r="N569" s="16">
        <v>177</v>
      </c>
      <c r="O569" s="16" t="s">
        <v>1843</v>
      </c>
    </row>
    <row r="570" spans="1:15" ht="15.75" customHeight="1" x14ac:dyDescent="0.25">
      <c r="A570" s="16" t="s">
        <v>30</v>
      </c>
      <c r="B570" s="16">
        <v>545190</v>
      </c>
      <c r="C570" s="16">
        <v>545660</v>
      </c>
      <c r="E570" s="16" t="s">
        <v>57</v>
      </c>
      <c r="F570" s="16" t="s">
        <v>1844</v>
      </c>
      <c r="G570" s="16" t="s">
        <v>1845</v>
      </c>
      <c r="I570" s="16" t="s">
        <v>50</v>
      </c>
      <c r="L570" s="16" t="s">
        <v>1846</v>
      </c>
      <c r="M570" s="16" t="s">
        <v>1844</v>
      </c>
      <c r="N570" s="16">
        <v>156</v>
      </c>
      <c r="O570" s="16" t="s">
        <v>1847</v>
      </c>
    </row>
    <row r="571" spans="1:15" ht="15.75" customHeight="1" x14ac:dyDescent="0.25">
      <c r="A571" s="16" t="s">
        <v>30</v>
      </c>
      <c r="B571" s="16">
        <v>545710</v>
      </c>
      <c r="C571" s="16">
        <v>545964</v>
      </c>
      <c r="E571" s="16" t="s">
        <v>57</v>
      </c>
      <c r="F571" s="16" t="s">
        <v>1848</v>
      </c>
      <c r="G571" s="16" t="s">
        <v>1849</v>
      </c>
      <c r="I571" s="16" t="s">
        <v>50</v>
      </c>
      <c r="L571" s="16" t="s">
        <v>1850</v>
      </c>
      <c r="M571" s="16" t="s">
        <v>1848</v>
      </c>
      <c r="N571" s="16">
        <v>84</v>
      </c>
      <c r="O571" s="16" t="s">
        <v>1851</v>
      </c>
    </row>
    <row r="572" spans="1:15" ht="15.75" customHeight="1" x14ac:dyDescent="0.25">
      <c r="A572" s="16" t="s">
        <v>30</v>
      </c>
      <c r="B572" s="16">
        <v>546020</v>
      </c>
      <c r="C572" s="16">
        <v>546808</v>
      </c>
      <c r="E572" s="16" t="s">
        <v>57</v>
      </c>
      <c r="F572" s="16" t="s">
        <v>1852</v>
      </c>
      <c r="G572" s="16" t="s">
        <v>1853</v>
      </c>
      <c r="I572" s="16" t="s">
        <v>50</v>
      </c>
      <c r="L572" s="16" t="s">
        <v>1854</v>
      </c>
      <c r="M572" s="16" t="s">
        <v>1852</v>
      </c>
      <c r="N572" s="16">
        <v>262</v>
      </c>
      <c r="O572" s="16" t="s">
        <v>1855</v>
      </c>
    </row>
    <row r="573" spans="1:15" ht="15.75" customHeight="1" x14ac:dyDescent="0.25">
      <c r="A573" s="16" t="s">
        <v>30</v>
      </c>
      <c r="B573" s="16">
        <v>546845</v>
      </c>
      <c r="C573" s="16">
        <v>547219</v>
      </c>
      <c r="E573" s="16" t="s">
        <v>57</v>
      </c>
      <c r="F573" s="16" t="s">
        <v>1856</v>
      </c>
      <c r="I573" s="16" t="s">
        <v>50</v>
      </c>
      <c r="L573" s="16" t="s">
        <v>1857</v>
      </c>
      <c r="M573" s="16" t="s">
        <v>1856</v>
      </c>
      <c r="N573" s="16">
        <v>124</v>
      </c>
      <c r="O573" s="16" t="s">
        <v>1858</v>
      </c>
    </row>
    <row r="574" spans="1:15" ht="15.75" customHeight="1" x14ac:dyDescent="0.25">
      <c r="A574" s="16" t="s">
        <v>30</v>
      </c>
      <c r="B574" s="16">
        <v>547345</v>
      </c>
      <c r="C574" s="16">
        <v>547956</v>
      </c>
      <c r="E574" s="16" t="s">
        <v>57</v>
      </c>
      <c r="F574" s="16" t="s">
        <v>1859</v>
      </c>
      <c r="G574" s="16" t="s">
        <v>1860</v>
      </c>
      <c r="I574" s="16" t="s">
        <v>50</v>
      </c>
      <c r="L574" s="16" t="s">
        <v>1861</v>
      </c>
      <c r="M574" s="16" t="s">
        <v>1859</v>
      </c>
      <c r="N574" s="16">
        <v>203</v>
      </c>
      <c r="O574" s="16" t="s">
        <v>1862</v>
      </c>
    </row>
    <row r="575" spans="1:15" ht="15.75" customHeight="1" x14ac:dyDescent="0.25">
      <c r="A575" s="16" t="s">
        <v>30</v>
      </c>
      <c r="B575" s="16">
        <v>548096</v>
      </c>
      <c r="C575" s="16">
        <v>548473</v>
      </c>
      <c r="E575" s="16" t="s">
        <v>57</v>
      </c>
      <c r="F575" s="16" t="s">
        <v>1863</v>
      </c>
      <c r="I575" s="16" t="s">
        <v>50</v>
      </c>
      <c r="L575" s="16" t="s">
        <v>1864</v>
      </c>
      <c r="M575" s="16" t="s">
        <v>1863</v>
      </c>
      <c r="N575" s="16">
        <v>125</v>
      </c>
      <c r="O575" s="16" t="s">
        <v>1865</v>
      </c>
    </row>
    <row r="576" spans="1:15" ht="15.75" customHeight="1" x14ac:dyDescent="0.25">
      <c r="A576" s="16" t="s">
        <v>30</v>
      </c>
      <c r="B576" s="16">
        <v>548589</v>
      </c>
      <c r="C576" s="16">
        <v>549191</v>
      </c>
      <c r="E576" s="16" t="s">
        <v>48</v>
      </c>
      <c r="F576" s="16" t="s">
        <v>1866</v>
      </c>
      <c r="I576" s="16" t="s">
        <v>50</v>
      </c>
      <c r="L576" s="16" t="s">
        <v>1867</v>
      </c>
      <c r="M576" s="16" t="s">
        <v>1866</v>
      </c>
      <c r="N576" s="16">
        <v>200</v>
      </c>
      <c r="O576" s="16" t="s">
        <v>1868</v>
      </c>
    </row>
    <row r="577" spans="1:15" ht="15.75" customHeight="1" x14ac:dyDescent="0.25">
      <c r="A577" s="16" t="s">
        <v>30</v>
      </c>
      <c r="B577" s="16">
        <v>549191</v>
      </c>
      <c r="C577" s="16">
        <v>549664</v>
      </c>
      <c r="E577" s="16" t="s">
        <v>48</v>
      </c>
      <c r="F577" s="16" t="s">
        <v>1869</v>
      </c>
      <c r="I577" s="16" t="s">
        <v>50</v>
      </c>
      <c r="L577" s="16" t="s">
        <v>1870</v>
      </c>
      <c r="M577" s="16" t="s">
        <v>1869</v>
      </c>
      <c r="N577" s="16">
        <v>157</v>
      </c>
      <c r="O577" s="16" t="s">
        <v>1871</v>
      </c>
    </row>
    <row r="578" spans="1:15" ht="15.75" customHeight="1" x14ac:dyDescent="0.25">
      <c r="A578" s="16" t="s">
        <v>30</v>
      </c>
      <c r="B578" s="16">
        <v>549849</v>
      </c>
      <c r="C578" s="16">
        <v>550352</v>
      </c>
      <c r="E578" s="16" t="s">
        <v>48</v>
      </c>
      <c r="F578" s="16" t="s">
        <v>1872</v>
      </c>
      <c r="G578" s="16" t="s">
        <v>1873</v>
      </c>
      <c r="I578" s="16" t="s">
        <v>50</v>
      </c>
      <c r="L578" s="16" t="s">
        <v>1874</v>
      </c>
      <c r="M578" s="16" t="s">
        <v>1872</v>
      </c>
      <c r="N578" s="16">
        <v>167</v>
      </c>
      <c r="O578" s="16" t="s">
        <v>1875</v>
      </c>
    </row>
    <row r="579" spans="1:15" ht="15.75" customHeight="1" x14ac:dyDescent="0.25">
      <c r="A579" s="16" t="s">
        <v>30</v>
      </c>
      <c r="B579" s="16">
        <v>550454</v>
      </c>
      <c r="C579" s="16">
        <v>551249</v>
      </c>
      <c r="E579" s="16" t="s">
        <v>48</v>
      </c>
      <c r="F579" s="16" t="s">
        <v>132</v>
      </c>
      <c r="I579" s="16" t="s">
        <v>133</v>
      </c>
      <c r="O579" s="16" t="s">
        <v>1876</v>
      </c>
    </row>
    <row r="580" spans="1:15" ht="15.75" customHeight="1" x14ac:dyDescent="0.25">
      <c r="A580" s="16" t="s">
        <v>30</v>
      </c>
      <c r="B580" s="16">
        <v>551296</v>
      </c>
      <c r="C580" s="16">
        <v>552003</v>
      </c>
      <c r="E580" s="16" t="s">
        <v>57</v>
      </c>
      <c r="F580" s="16" t="s">
        <v>1877</v>
      </c>
      <c r="G580" s="16" t="s">
        <v>1878</v>
      </c>
      <c r="I580" s="16" t="s">
        <v>50</v>
      </c>
      <c r="L580" s="16" t="s">
        <v>1879</v>
      </c>
      <c r="M580" s="16" t="s">
        <v>1877</v>
      </c>
      <c r="N580" s="16">
        <v>235</v>
      </c>
      <c r="O580" s="16" t="s">
        <v>1880</v>
      </c>
    </row>
    <row r="581" spans="1:15" ht="15.75" customHeight="1" x14ac:dyDescent="0.25">
      <c r="A581" s="16" t="s">
        <v>30</v>
      </c>
      <c r="B581" s="16">
        <v>552223</v>
      </c>
      <c r="C581" s="16">
        <v>552750</v>
      </c>
      <c r="E581" s="16" t="s">
        <v>48</v>
      </c>
      <c r="F581" s="16" t="s">
        <v>1881</v>
      </c>
      <c r="G581" s="16" t="s">
        <v>1882</v>
      </c>
      <c r="I581" s="16" t="s">
        <v>50</v>
      </c>
      <c r="L581" s="16" t="s">
        <v>1883</v>
      </c>
      <c r="M581" s="16" t="s">
        <v>1881</v>
      </c>
      <c r="N581" s="16">
        <v>175</v>
      </c>
      <c r="O581" s="16" t="s">
        <v>1884</v>
      </c>
    </row>
    <row r="582" spans="1:15" ht="15.75" customHeight="1" x14ac:dyDescent="0.25">
      <c r="A582" s="16" t="s">
        <v>30</v>
      </c>
      <c r="B582" s="16">
        <v>552761</v>
      </c>
      <c r="C582" s="16">
        <v>554095</v>
      </c>
      <c r="E582" s="16" t="s">
        <v>48</v>
      </c>
      <c r="F582" s="16" t="s">
        <v>1885</v>
      </c>
      <c r="G582" s="16" t="s">
        <v>1886</v>
      </c>
      <c r="I582" s="16" t="s">
        <v>50</v>
      </c>
      <c r="L582" s="16" t="s">
        <v>1887</v>
      </c>
      <c r="M582" s="16" t="s">
        <v>1885</v>
      </c>
      <c r="N582" s="16">
        <v>444</v>
      </c>
      <c r="O582" s="16" t="s">
        <v>1888</v>
      </c>
    </row>
    <row r="583" spans="1:15" ht="15.75" customHeight="1" x14ac:dyDescent="0.25">
      <c r="A583" s="16" t="s">
        <v>30</v>
      </c>
      <c r="B583" s="16">
        <v>554165</v>
      </c>
      <c r="C583" s="16">
        <v>555217</v>
      </c>
      <c r="E583" s="16" t="s">
        <v>57</v>
      </c>
      <c r="F583" s="16" t="s">
        <v>1889</v>
      </c>
      <c r="I583" s="16" t="s">
        <v>50</v>
      </c>
      <c r="L583" s="16" t="s">
        <v>1890</v>
      </c>
      <c r="M583" s="16" t="s">
        <v>1889</v>
      </c>
      <c r="N583" s="16">
        <v>350</v>
      </c>
      <c r="O583" s="16" t="s">
        <v>1891</v>
      </c>
    </row>
    <row r="584" spans="1:15" ht="15.75" customHeight="1" x14ac:dyDescent="0.25">
      <c r="A584" s="16" t="s">
        <v>30</v>
      </c>
      <c r="B584" s="16">
        <v>555357</v>
      </c>
      <c r="C584" s="16">
        <v>556652</v>
      </c>
      <c r="E584" s="16" t="s">
        <v>48</v>
      </c>
      <c r="F584" s="16" t="s">
        <v>1892</v>
      </c>
      <c r="I584" s="16" t="s">
        <v>50</v>
      </c>
      <c r="L584" s="16" t="s">
        <v>1893</v>
      </c>
      <c r="M584" s="16" t="s">
        <v>1892</v>
      </c>
      <c r="N584" s="16">
        <v>431</v>
      </c>
      <c r="O584" s="16" t="s">
        <v>1894</v>
      </c>
    </row>
    <row r="585" spans="1:15" ht="15.75" customHeight="1" x14ac:dyDescent="0.25">
      <c r="A585" s="16" t="s">
        <v>30</v>
      </c>
      <c r="B585" s="16">
        <v>556816</v>
      </c>
      <c r="C585" s="16">
        <v>558258</v>
      </c>
      <c r="E585" s="16" t="s">
        <v>48</v>
      </c>
      <c r="F585" s="16" t="s">
        <v>1895</v>
      </c>
      <c r="I585" s="16" t="s">
        <v>50</v>
      </c>
      <c r="L585" s="16" t="s">
        <v>1896</v>
      </c>
      <c r="M585" s="16" t="s">
        <v>1895</v>
      </c>
      <c r="N585" s="16">
        <v>480</v>
      </c>
      <c r="O585" s="16" t="s">
        <v>1897</v>
      </c>
    </row>
    <row r="586" spans="1:15" ht="15.75" customHeight="1" x14ac:dyDescent="0.25">
      <c r="A586" s="16" t="s">
        <v>30</v>
      </c>
      <c r="B586" s="16">
        <v>558422</v>
      </c>
      <c r="C586" s="16">
        <v>558841</v>
      </c>
      <c r="E586" s="16" t="s">
        <v>48</v>
      </c>
      <c r="F586" s="16" t="s">
        <v>1898</v>
      </c>
      <c r="G586" s="16" t="s">
        <v>1899</v>
      </c>
      <c r="I586" s="16" t="s">
        <v>50</v>
      </c>
      <c r="L586" s="16" t="s">
        <v>1900</v>
      </c>
      <c r="M586" s="16" t="s">
        <v>1898</v>
      </c>
      <c r="N586" s="16">
        <v>139</v>
      </c>
      <c r="O586" s="16" t="s">
        <v>1901</v>
      </c>
    </row>
    <row r="587" spans="1:15" ht="15.75" customHeight="1" x14ac:dyDescent="0.25">
      <c r="A587" s="16" t="s">
        <v>30</v>
      </c>
      <c r="B587" s="16">
        <v>558855</v>
      </c>
      <c r="C587" s="16">
        <v>560336</v>
      </c>
      <c r="E587" s="16" t="s">
        <v>48</v>
      </c>
      <c r="F587" s="16" t="s">
        <v>1902</v>
      </c>
      <c r="G587" s="16" t="s">
        <v>1903</v>
      </c>
      <c r="I587" s="16" t="s">
        <v>50</v>
      </c>
      <c r="L587" s="16" t="s">
        <v>1904</v>
      </c>
      <c r="M587" s="16" t="s">
        <v>1902</v>
      </c>
      <c r="N587" s="16">
        <v>493</v>
      </c>
      <c r="O587" s="16" t="s">
        <v>1905</v>
      </c>
    </row>
    <row r="588" spans="1:15" ht="15.75" customHeight="1" x14ac:dyDescent="0.25">
      <c r="A588" s="16" t="s">
        <v>30</v>
      </c>
      <c r="B588" s="16">
        <v>560352</v>
      </c>
      <c r="C588" s="16">
        <v>561320</v>
      </c>
      <c r="E588" s="16" t="s">
        <v>48</v>
      </c>
      <c r="F588" s="16" t="s">
        <v>1906</v>
      </c>
      <c r="G588" s="16" t="s">
        <v>1907</v>
      </c>
      <c r="I588" s="16" t="s">
        <v>50</v>
      </c>
      <c r="L588" s="16" t="s">
        <v>1908</v>
      </c>
      <c r="M588" s="16" t="s">
        <v>1906</v>
      </c>
      <c r="N588" s="16">
        <v>322</v>
      </c>
      <c r="O588" s="16" t="s">
        <v>1909</v>
      </c>
    </row>
    <row r="589" spans="1:15" ht="15.75" customHeight="1" x14ac:dyDescent="0.25">
      <c r="A589" s="16" t="s">
        <v>30</v>
      </c>
      <c r="B589" s="16">
        <v>561340</v>
      </c>
      <c r="C589" s="16">
        <v>562218</v>
      </c>
      <c r="E589" s="16" t="s">
        <v>48</v>
      </c>
      <c r="F589" s="16" t="s">
        <v>1910</v>
      </c>
      <c r="G589" s="16" t="s">
        <v>1911</v>
      </c>
      <c r="I589" s="16" t="s">
        <v>50</v>
      </c>
      <c r="L589" s="16" t="s">
        <v>1912</v>
      </c>
      <c r="M589" s="16" t="s">
        <v>1910</v>
      </c>
      <c r="N589" s="16">
        <v>292</v>
      </c>
      <c r="O589" s="16" t="s">
        <v>1913</v>
      </c>
    </row>
    <row r="590" spans="1:15" ht="15.75" customHeight="1" x14ac:dyDescent="0.25">
      <c r="A590" s="16" t="s">
        <v>30</v>
      </c>
      <c r="B590" s="16">
        <v>562316</v>
      </c>
      <c r="C590" s="16">
        <v>563236</v>
      </c>
      <c r="E590" s="16" t="s">
        <v>48</v>
      </c>
      <c r="F590" s="16" t="s">
        <v>1914</v>
      </c>
      <c r="G590" s="16" t="s">
        <v>1915</v>
      </c>
      <c r="I590" s="16" t="s">
        <v>50</v>
      </c>
      <c r="L590" s="16" t="s">
        <v>1916</v>
      </c>
      <c r="M590" s="16" t="s">
        <v>1914</v>
      </c>
      <c r="N590" s="16">
        <v>306</v>
      </c>
      <c r="O590" s="16" t="s">
        <v>1917</v>
      </c>
    </row>
    <row r="591" spans="1:15" ht="15.75" customHeight="1" x14ac:dyDescent="0.25">
      <c r="A591" s="16" t="s">
        <v>30</v>
      </c>
      <c r="B591" s="16">
        <v>563264</v>
      </c>
      <c r="C591" s="16">
        <v>564262</v>
      </c>
      <c r="E591" s="16" t="s">
        <v>48</v>
      </c>
      <c r="F591" s="16" t="s">
        <v>1918</v>
      </c>
      <c r="I591" s="16" t="s">
        <v>50</v>
      </c>
      <c r="L591" s="16" t="s">
        <v>1919</v>
      </c>
      <c r="M591" s="16" t="s">
        <v>1918</v>
      </c>
      <c r="N591" s="16">
        <v>332</v>
      </c>
      <c r="O591" s="16" t="s">
        <v>1920</v>
      </c>
    </row>
    <row r="592" spans="1:15" ht="15.75" customHeight="1" x14ac:dyDescent="0.25">
      <c r="A592" s="16" t="s">
        <v>30</v>
      </c>
      <c r="B592" s="16">
        <v>564368</v>
      </c>
      <c r="C592" s="16">
        <v>564919</v>
      </c>
      <c r="E592" s="16" t="s">
        <v>48</v>
      </c>
      <c r="F592" s="16" t="s">
        <v>1921</v>
      </c>
      <c r="I592" s="16" t="s">
        <v>50</v>
      </c>
      <c r="L592" s="16" t="s">
        <v>1922</v>
      </c>
      <c r="M592" s="16" t="s">
        <v>1921</v>
      </c>
      <c r="N592" s="16">
        <v>183</v>
      </c>
      <c r="O592" s="16" t="s">
        <v>1923</v>
      </c>
    </row>
    <row r="593" spans="1:15" ht="15.75" customHeight="1" x14ac:dyDescent="0.25">
      <c r="A593" s="16" t="s">
        <v>30</v>
      </c>
      <c r="B593" s="16">
        <v>565059</v>
      </c>
      <c r="C593" s="16">
        <v>565547</v>
      </c>
      <c r="E593" s="16" t="s">
        <v>57</v>
      </c>
      <c r="F593" s="16" t="s">
        <v>1924</v>
      </c>
      <c r="G593" s="16" t="s">
        <v>1925</v>
      </c>
      <c r="I593" s="16" t="s">
        <v>50</v>
      </c>
      <c r="L593" s="16" t="s">
        <v>1926</v>
      </c>
      <c r="M593" s="16" t="s">
        <v>1924</v>
      </c>
      <c r="N593" s="16">
        <v>162</v>
      </c>
      <c r="O593" s="16" t="s">
        <v>1927</v>
      </c>
    </row>
    <row r="594" spans="1:15" ht="15.75" customHeight="1" x14ac:dyDescent="0.25">
      <c r="A594" s="16" t="s">
        <v>30</v>
      </c>
      <c r="B594" s="16">
        <v>565599</v>
      </c>
      <c r="C594" s="16">
        <v>566516</v>
      </c>
      <c r="E594" s="16" t="s">
        <v>57</v>
      </c>
      <c r="F594" s="16" t="s">
        <v>1928</v>
      </c>
      <c r="G594" s="16" t="s">
        <v>1929</v>
      </c>
      <c r="I594" s="16" t="s">
        <v>50</v>
      </c>
      <c r="L594" s="16" t="s">
        <v>1930</v>
      </c>
      <c r="M594" s="16" t="s">
        <v>1928</v>
      </c>
      <c r="N594" s="16">
        <v>305</v>
      </c>
      <c r="O594" s="16" t="s">
        <v>1931</v>
      </c>
    </row>
    <row r="595" spans="1:15" ht="15.75" customHeight="1" x14ac:dyDescent="0.25">
      <c r="A595" s="16" t="s">
        <v>30</v>
      </c>
      <c r="B595" s="16">
        <v>566578</v>
      </c>
      <c r="C595" s="16">
        <v>567297</v>
      </c>
      <c r="E595" s="16" t="s">
        <v>48</v>
      </c>
      <c r="F595" s="16" t="s">
        <v>1932</v>
      </c>
      <c r="G595" s="16" t="s">
        <v>1933</v>
      </c>
      <c r="I595" s="16" t="s">
        <v>50</v>
      </c>
      <c r="L595" s="16" t="s">
        <v>1934</v>
      </c>
      <c r="M595" s="16" t="s">
        <v>1932</v>
      </c>
      <c r="N595" s="16">
        <v>239</v>
      </c>
      <c r="O595" s="16" t="s">
        <v>1935</v>
      </c>
    </row>
    <row r="596" spans="1:15" ht="15.75" customHeight="1" x14ac:dyDescent="0.25">
      <c r="A596" s="16" t="s">
        <v>30</v>
      </c>
      <c r="B596" s="16">
        <v>567350</v>
      </c>
      <c r="C596" s="16">
        <v>568294</v>
      </c>
      <c r="E596" s="16" t="s">
        <v>57</v>
      </c>
      <c r="F596" s="16" t="s">
        <v>1936</v>
      </c>
      <c r="G596" s="16" t="s">
        <v>1937</v>
      </c>
      <c r="I596" s="16" t="s">
        <v>50</v>
      </c>
      <c r="L596" s="16" t="s">
        <v>1938</v>
      </c>
      <c r="M596" s="16" t="s">
        <v>1936</v>
      </c>
      <c r="N596" s="16">
        <v>314</v>
      </c>
      <c r="O596" s="16" t="s">
        <v>1939</v>
      </c>
    </row>
    <row r="597" spans="1:15" ht="15.75" customHeight="1" x14ac:dyDescent="0.25">
      <c r="A597" s="16" t="s">
        <v>30</v>
      </c>
      <c r="B597" s="16">
        <v>568488</v>
      </c>
      <c r="C597" s="16">
        <v>572738</v>
      </c>
      <c r="E597" s="16" t="s">
        <v>57</v>
      </c>
      <c r="F597" s="16" t="s">
        <v>1940</v>
      </c>
      <c r="G597" s="16" t="s">
        <v>1941</v>
      </c>
      <c r="I597" s="16" t="s">
        <v>50</v>
      </c>
      <c r="L597" s="16" t="s">
        <v>1942</v>
      </c>
      <c r="M597" s="16" t="s">
        <v>1940</v>
      </c>
      <c r="N597" s="16">
        <v>1416</v>
      </c>
      <c r="O597" s="16" t="s">
        <v>1943</v>
      </c>
    </row>
    <row r="598" spans="1:15" ht="15.75" customHeight="1" x14ac:dyDescent="0.25">
      <c r="A598" s="16" t="s">
        <v>30</v>
      </c>
      <c r="B598" s="16">
        <v>572945</v>
      </c>
      <c r="C598" s="16">
        <v>576976</v>
      </c>
      <c r="E598" s="16" t="s">
        <v>57</v>
      </c>
      <c r="F598" s="16" t="s">
        <v>1944</v>
      </c>
      <c r="G598" s="16" t="s">
        <v>1945</v>
      </c>
      <c r="I598" s="16" t="s">
        <v>50</v>
      </c>
      <c r="L598" s="16" t="s">
        <v>1946</v>
      </c>
      <c r="M598" s="16" t="s">
        <v>1944</v>
      </c>
      <c r="N598" s="16">
        <v>1343</v>
      </c>
      <c r="O598" s="16" t="s">
        <v>1947</v>
      </c>
    </row>
    <row r="599" spans="1:15" ht="15.75" customHeight="1" x14ac:dyDescent="0.25">
      <c r="A599" s="16" t="s">
        <v>30</v>
      </c>
      <c r="B599" s="16">
        <v>577360</v>
      </c>
      <c r="C599" s="16">
        <v>578049</v>
      </c>
      <c r="E599" s="16" t="s">
        <v>57</v>
      </c>
      <c r="F599" s="16" t="s">
        <v>1948</v>
      </c>
      <c r="G599" s="16" t="s">
        <v>1949</v>
      </c>
      <c r="I599" s="16" t="s">
        <v>50</v>
      </c>
      <c r="L599" s="16" t="s">
        <v>1950</v>
      </c>
      <c r="M599" s="16" t="s">
        <v>1948</v>
      </c>
      <c r="N599" s="16">
        <v>229</v>
      </c>
      <c r="O599" s="16" t="s">
        <v>1951</v>
      </c>
    </row>
    <row r="600" spans="1:15" ht="15.75" customHeight="1" x14ac:dyDescent="0.25">
      <c r="A600" s="16" t="s">
        <v>30</v>
      </c>
      <c r="B600" s="16">
        <v>578054</v>
      </c>
      <c r="C600" s="16">
        <v>578482</v>
      </c>
      <c r="E600" s="16" t="s">
        <v>57</v>
      </c>
      <c r="F600" s="16" t="s">
        <v>1952</v>
      </c>
      <c r="G600" s="16" t="s">
        <v>1953</v>
      </c>
      <c r="I600" s="16" t="s">
        <v>50</v>
      </c>
      <c r="L600" s="16" t="s">
        <v>1954</v>
      </c>
      <c r="M600" s="16" t="s">
        <v>1952</v>
      </c>
      <c r="N600" s="16">
        <v>142</v>
      </c>
      <c r="O600" s="16" t="s">
        <v>1955</v>
      </c>
    </row>
    <row r="601" spans="1:15" ht="15.75" customHeight="1" x14ac:dyDescent="0.25">
      <c r="A601" s="16" t="s">
        <v>30</v>
      </c>
      <c r="B601" s="16">
        <v>578655</v>
      </c>
      <c r="C601" s="16">
        <v>579371</v>
      </c>
      <c r="E601" s="16" t="s">
        <v>57</v>
      </c>
      <c r="F601" s="16" t="s">
        <v>1956</v>
      </c>
      <c r="G601" s="16" t="s">
        <v>1957</v>
      </c>
      <c r="I601" s="16" t="s">
        <v>50</v>
      </c>
      <c r="L601" s="16" t="s">
        <v>1958</v>
      </c>
      <c r="M601" s="16" t="s">
        <v>1956</v>
      </c>
      <c r="N601" s="16">
        <v>238</v>
      </c>
      <c r="O601" s="16" t="s">
        <v>1959</v>
      </c>
    </row>
    <row r="602" spans="1:15" ht="15.75" customHeight="1" x14ac:dyDescent="0.25">
      <c r="A602" s="16" t="s">
        <v>30</v>
      </c>
      <c r="B602" s="16">
        <v>579455</v>
      </c>
      <c r="C602" s="16">
        <v>580708</v>
      </c>
      <c r="E602" s="16" t="s">
        <v>57</v>
      </c>
      <c r="F602" s="16" t="s">
        <v>1960</v>
      </c>
      <c r="I602" s="16" t="s">
        <v>50</v>
      </c>
      <c r="L602" s="16" t="s">
        <v>1961</v>
      </c>
      <c r="M602" s="16" t="s">
        <v>1960</v>
      </c>
      <c r="N602" s="16">
        <v>417</v>
      </c>
      <c r="O602" s="16" t="s">
        <v>1962</v>
      </c>
    </row>
    <row r="603" spans="1:15" ht="15.75" customHeight="1" x14ac:dyDescent="0.25">
      <c r="A603" s="16" t="s">
        <v>30</v>
      </c>
      <c r="B603" s="16">
        <v>580809</v>
      </c>
      <c r="C603" s="16">
        <v>581597</v>
      </c>
      <c r="E603" s="16" t="s">
        <v>57</v>
      </c>
      <c r="F603" s="16" t="s">
        <v>1963</v>
      </c>
      <c r="I603" s="16" t="s">
        <v>50</v>
      </c>
      <c r="L603" s="16" t="s">
        <v>1964</v>
      </c>
      <c r="M603" s="16" t="s">
        <v>1963</v>
      </c>
      <c r="N603" s="16">
        <v>262</v>
      </c>
      <c r="O603" s="16" t="s">
        <v>1965</v>
      </c>
    </row>
    <row r="604" spans="1:15" ht="15.75" customHeight="1" x14ac:dyDescent="0.25">
      <c r="A604" s="16" t="s">
        <v>30</v>
      </c>
      <c r="B604" s="16">
        <v>581606</v>
      </c>
      <c r="C604" s="16">
        <v>583150</v>
      </c>
      <c r="E604" s="16" t="s">
        <v>57</v>
      </c>
      <c r="F604" s="16" t="s">
        <v>1966</v>
      </c>
      <c r="I604" s="16" t="s">
        <v>50</v>
      </c>
      <c r="L604" s="16" t="s">
        <v>1967</v>
      </c>
      <c r="M604" s="16" t="s">
        <v>1966</v>
      </c>
      <c r="N604" s="16">
        <v>514</v>
      </c>
      <c r="O604" s="16" t="s">
        <v>1968</v>
      </c>
    </row>
    <row r="605" spans="1:15" ht="15.75" customHeight="1" x14ac:dyDescent="0.25">
      <c r="A605" s="16" t="s">
        <v>30</v>
      </c>
      <c r="B605" s="16">
        <v>583366</v>
      </c>
      <c r="C605" s="16">
        <v>584022</v>
      </c>
      <c r="E605" s="16" t="s">
        <v>48</v>
      </c>
      <c r="F605" s="16" t="s">
        <v>1969</v>
      </c>
      <c r="I605" s="16" t="s">
        <v>50</v>
      </c>
      <c r="L605" s="16" t="s">
        <v>1970</v>
      </c>
      <c r="M605" s="16" t="s">
        <v>1969</v>
      </c>
      <c r="N605" s="16">
        <v>218</v>
      </c>
      <c r="O605" s="16" t="s">
        <v>1971</v>
      </c>
    </row>
    <row r="606" spans="1:15" ht="15.75" customHeight="1" x14ac:dyDescent="0.25">
      <c r="A606" s="16" t="s">
        <v>30</v>
      </c>
      <c r="B606" s="16">
        <v>583978</v>
      </c>
      <c r="C606" s="16">
        <v>585018</v>
      </c>
      <c r="E606" s="16" t="s">
        <v>57</v>
      </c>
      <c r="F606" s="16" t="s">
        <v>917</v>
      </c>
      <c r="I606" s="16" t="s">
        <v>50</v>
      </c>
      <c r="L606" s="16" t="s">
        <v>1972</v>
      </c>
      <c r="M606" s="16" t="s">
        <v>917</v>
      </c>
      <c r="N606" s="16">
        <v>346</v>
      </c>
      <c r="O606" s="16" t="s">
        <v>1973</v>
      </c>
    </row>
    <row r="607" spans="1:15" ht="15.75" customHeight="1" x14ac:dyDescent="0.25">
      <c r="A607" s="16" t="s">
        <v>30</v>
      </c>
      <c r="B607" s="16">
        <v>585086</v>
      </c>
      <c r="C607" s="16">
        <v>586165</v>
      </c>
      <c r="E607" s="16" t="s">
        <v>57</v>
      </c>
      <c r="F607" s="16" t="s">
        <v>1974</v>
      </c>
      <c r="G607" s="16" t="s">
        <v>1975</v>
      </c>
      <c r="I607" s="16" t="s">
        <v>50</v>
      </c>
      <c r="L607" s="16" t="s">
        <v>1976</v>
      </c>
      <c r="M607" s="16" t="s">
        <v>1974</v>
      </c>
      <c r="N607" s="16">
        <v>359</v>
      </c>
      <c r="O607" s="16" t="s">
        <v>1977</v>
      </c>
    </row>
    <row r="608" spans="1:15" ht="15.75" customHeight="1" x14ac:dyDescent="0.25">
      <c r="A608" s="16" t="s">
        <v>30</v>
      </c>
      <c r="B608" s="16">
        <v>586277</v>
      </c>
      <c r="C608" s="16">
        <v>587437</v>
      </c>
      <c r="E608" s="16" t="s">
        <v>57</v>
      </c>
      <c r="F608" s="16" t="s">
        <v>1978</v>
      </c>
      <c r="G608" s="16" t="s">
        <v>1979</v>
      </c>
      <c r="I608" s="16" t="s">
        <v>50</v>
      </c>
      <c r="L608" s="16" t="s">
        <v>1980</v>
      </c>
      <c r="M608" s="16" t="s">
        <v>1978</v>
      </c>
      <c r="N608" s="16">
        <v>386</v>
      </c>
      <c r="O608" s="16" t="s">
        <v>1981</v>
      </c>
    </row>
    <row r="609" spans="1:15" ht="15.75" customHeight="1" x14ac:dyDescent="0.25">
      <c r="A609" s="16" t="s">
        <v>30</v>
      </c>
      <c r="B609" s="16">
        <v>587533</v>
      </c>
      <c r="C609" s="16">
        <v>588327</v>
      </c>
      <c r="E609" s="16" t="s">
        <v>57</v>
      </c>
      <c r="F609" s="16" t="s">
        <v>478</v>
      </c>
      <c r="I609" s="16" t="s">
        <v>50</v>
      </c>
      <c r="L609" s="16" t="s">
        <v>1982</v>
      </c>
      <c r="M609" s="16" t="s">
        <v>478</v>
      </c>
      <c r="N609" s="16">
        <v>264</v>
      </c>
      <c r="O609" s="16" t="s">
        <v>1983</v>
      </c>
    </row>
    <row r="610" spans="1:15" ht="15.75" customHeight="1" x14ac:dyDescent="0.25">
      <c r="A610" s="16" t="s">
        <v>30</v>
      </c>
      <c r="B610" s="16">
        <v>588405</v>
      </c>
      <c r="C610" s="16">
        <v>588665</v>
      </c>
      <c r="E610" s="16" t="s">
        <v>48</v>
      </c>
      <c r="F610" s="16" t="s">
        <v>1984</v>
      </c>
      <c r="I610" s="16" t="s">
        <v>50</v>
      </c>
      <c r="L610" s="16" t="s">
        <v>1985</v>
      </c>
      <c r="M610" s="16" t="s">
        <v>1984</v>
      </c>
      <c r="N610" s="16">
        <v>86</v>
      </c>
      <c r="O610" s="16" t="s">
        <v>1986</v>
      </c>
    </row>
    <row r="611" spans="1:15" ht="15.75" customHeight="1" x14ac:dyDescent="0.25">
      <c r="A611" s="16" t="s">
        <v>30</v>
      </c>
      <c r="B611" s="16">
        <v>588799</v>
      </c>
      <c r="C611" s="16">
        <v>590019</v>
      </c>
      <c r="E611" s="16" t="s">
        <v>57</v>
      </c>
      <c r="F611" s="16" t="s">
        <v>1987</v>
      </c>
      <c r="I611" s="16" t="s">
        <v>50</v>
      </c>
      <c r="L611" s="16" t="s">
        <v>1988</v>
      </c>
      <c r="M611" s="16" t="s">
        <v>1987</v>
      </c>
      <c r="N611" s="16">
        <v>406</v>
      </c>
      <c r="O611" s="16" t="s">
        <v>1989</v>
      </c>
    </row>
    <row r="612" spans="1:15" ht="15.75" customHeight="1" x14ac:dyDescent="0.25">
      <c r="A612" s="16" t="s">
        <v>30</v>
      </c>
      <c r="B612" s="16">
        <v>590056</v>
      </c>
      <c r="C612" s="16">
        <v>590637</v>
      </c>
      <c r="E612" s="16" t="s">
        <v>57</v>
      </c>
      <c r="F612" s="16" t="s">
        <v>1990</v>
      </c>
      <c r="I612" s="16" t="s">
        <v>50</v>
      </c>
      <c r="L612" s="16" t="s">
        <v>1991</v>
      </c>
      <c r="M612" s="16" t="s">
        <v>1990</v>
      </c>
      <c r="N612" s="16">
        <v>193</v>
      </c>
      <c r="O612" s="16" t="s">
        <v>1992</v>
      </c>
    </row>
    <row r="613" spans="1:15" ht="15.75" customHeight="1" x14ac:dyDescent="0.25">
      <c r="A613" s="16" t="s">
        <v>30</v>
      </c>
      <c r="B613" s="16">
        <v>590646</v>
      </c>
      <c r="C613" s="16">
        <v>591674</v>
      </c>
      <c r="E613" s="16" t="s">
        <v>57</v>
      </c>
      <c r="F613" s="16" t="s">
        <v>1993</v>
      </c>
      <c r="G613" s="16" t="s">
        <v>1994</v>
      </c>
      <c r="I613" s="16" t="s">
        <v>50</v>
      </c>
      <c r="L613" s="16" t="s">
        <v>1995</v>
      </c>
      <c r="M613" s="16" t="s">
        <v>1993</v>
      </c>
      <c r="N613" s="16">
        <v>342</v>
      </c>
      <c r="O613" s="16" t="s">
        <v>1996</v>
      </c>
    </row>
    <row r="614" spans="1:15" ht="15.75" customHeight="1" x14ac:dyDescent="0.25">
      <c r="A614" s="16" t="s">
        <v>30</v>
      </c>
      <c r="B614" s="16">
        <v>591906</v>
      </c>
      <c r="C614" s="16">
        <v>592121</v>
      </c>
      <c r="E614" s="16" t="s">
        <v>48</v>
      </c>
      <c r="F614" s="16" t="s">
        <v>1997</v>
      </c>
      <c r="G614" s="16" t="s">
        <v>1998</v>
      </c>
      <c r="I614" s="16" t="s">
        <v>50</v>
      </c>
      <c r="L614" s="16" t="s">
        <v>1999</v>
      </c>
      <c r="M614" s="16" t="s">
        <v>1997</v>
      </c>
      <c r="N614" s="16">
        <v>71</v>
      </c>
      <c r="O614" s="16" t="s">
        <v>2000</v>
      </c>
    </row>
    <row r="615" spans="1:15" ht="15.75" customHeight="1" x14ac:dyDescent="0.25">
      <c r="A615" s="16" t="s">
        <v>30</v>
      </c>
      <c r="B615" s="16">
        <v>592255</v>
      </c>
      <c r="C615" s="16">
        <v>594036</v>
      </c>
      <c r="E615" s="16" t="s">
        <v>48</v>
      </c>
      <c r="F615" s="16" t="s">
        <v>2001</v>
      </c>
      <c r="G615" s="16" t="s">
        <v>2002</v>
      </c>
      <c r="I615" s="16" t="s">
        <v>50</v>
      </c>
      <c r="L615" s="16" t="s">
        <v>2003</v>
      </c>
      <c r="M615" s="16" t="s">
        <v>2001</v>
      </c>
      <c r="N615" s="16">
        <v>593</v>
      </c>
      <c r="O615" s="16" t="s">
        <v>2004</v>
      </c>
    </row>
    <row r="616" spans="1:15" ht="15.75" customHeight="1" x14ac:dyDescent="0.25">
      <c r="A616" s="16" t="s">
        <v>30</v>
      </c>
      <c r="B616" s="16">
        <v>594106</v>
      </c>
      <c r="C616" s="16">
        <v>595995</v>
      </c>
      <c r="E616" s="16" t="s">
        <v>48</v>
      </c>
      <c r="F616" s="16" t="s">
        <v>2005</v>
      </c>
      <c r="G616" s="16" t="s">
        <v>2006</v>
      </c>
      <c r="I616" s="16" t="s">
        <v>50</v>
      </c>
      <c r="L616" s="16" t="s">
        <v>2007</v>
      </c>
      <c r="M616" s="16" t="s">
        <v>2005</v>
      </c>
      <c r="N616" s="16">
        <v>629</v>
      </c>
      <c r="O616" s="16" t="s">
        <v>2008</v>
      </c>
    </row>
    <row r="617" spans="1:15" ht="15.75" customHeight="1" x14ac:dyDescent="0.25">
      <c r="A617" s="16" t="s">
        <v>30</v>
      </c>
      <c r="B617" s="16">
        <v>596299</v>
      </c>
      <c r="C617" s="16">
        <v>597717</v>
      </c>
      <c r="E617" s="16" t="s">
        <v>57</v>
      </c>
      <c r="F617" s="16" t="s">
        <v>2009</v>
      </c>
      <c r="G617" s="16" t="s">
        <v>2010</v>
      </c>
      <c r="I617" s="16" t="s">
        <v>50</v>
      </c>
      <c r="L617" s="16" t="s">
        <v>2011</v>
      </c>
      <c r="M617" s="16" t="s">
        <v>2009</v>
      </c>
      <c r="N617" s="16">
        <v>472</v>
      </c>
      <c r="O617" s="16" t="s">
        <v>2012</v>
      </c>
    </row>
    <row r="618" spans="1:15" ht="15.75" customHeight="1" x14ac:dyDescent="0.25">
      <c r="A618" s="16" t="s">
        <v>30</v>
      </c>
      <c r="B618" s="16">
        <v>597873</v>
      </c>
      <c r="C618" s="16">
        <v>598688</v>
      </c>
      <c r="E618" s="16" t="s">
        <v>57</v>
      </c>
      <c r="F618" s="16" t="s">
        <v>2013</v>
      </c>
      <c r="I618" s="16" t="s">
        <v>50</v>
      </c>
      <c r="L618" s="16" t="s">
        <v>2014</v>
      </c>
      <c r="M618" s="16" t="s">
        <v>2013</v>
      </c>
      <c r="N618" s="16">
        <v>271</v>
      </c>
      <c r="O618" s="16" t="s">
        <v>2015</v>
      </c>
    </row>
    <row r="619" spans="1:15" ht="15.75" customHeight="1" x14ac:dyDescent="0.25">
      <c r="A619" s="16" t="s">
        <v>30</v>
      </c>
      <c r="B619" s="16">
        <v>598763</v>
      </c>
      <c r="C619" s="16">
        <v>599398</v>
      </c>
      <c r="E619" s="16" t="s">
        <v>57</v>
      </c>
      <c r="F619" s="16" t="s">
        <v>2016</v>
      </c>
      <c r="G619" s="16" t="s">
        <v>2017</v>
      </c>
      <c r="I619" s="16" t="s">
        <v>50</v>
      </c>
      <c r="L619" s="16" t="s">
        <v>2018</v>
      </c>
      <c r="M619" s="16" t="s">
        <v>2016</v>
      </c>
      <c r="N619" s="16">
        <v>211</v>
      </c>
      <c r="O619" s="16" t="s">
        <v>2019</v>
      </c>
    </row>
    <row r="620" spans="1:15" ht="15.75" customHeight="1" x14ac:dyDescent="0.25">
      <c r="A620" s="16" t="s">
        <v>30</v>
      </c>
      <c r="B620" s="16">
        <v>599543</v>
      </c>
      <c r="C620" s="16">
        <v>600250</v>
      </c>
      <c r="E620" s="16" t="s">
        <v>57</v>
      </c>
      <c r="F620" s="16" t="s">
        <v>2020</v>
      </c>
      <c r="I620" s="16" t="s">
        <v>50</v>
      </c>
      <c r="L620" s="16" t="s">
        <v>2021</v>
      </c>
      <c r="M620" s="16" t="s">
        <v>2020</v>
      </c>
      <c r="N620" s="16">
        <v>235</v>
      </c>
      <c r="O620" s="16" t="s">
        <v>2022</v>
      </c>
    </row>
    <row r="621" spans="1:15" ht="15.75" customHeight="1" x14ac:dyDescent="0.25">
      <c r="A621" s="16" t="s">
        <v>30</v>
      </c>
      <c r="B621" s="16">
        <v>600235</v>
      </c>
      <c r="C621" s="16">
        <v>600792</v>
      </c>
      <c r="E621" s="16" t="s">
        <v>57</v>
      </c>
      <c r="F621" s="16" t="s">
        <v>2023</v>
      </c>
      <c r="G621" s="16" t="s">
        <v>2024</v>
      </c>
      <c r="I621" s="16" t="s">
        <v>50</v>
      </c>
      <c r="L621" s="16" t="s">
        <v>2025</v>
      </c>
      <c r="M621" s="16" t="s">
        <v>2023</v>
      </c>
      <c r="N621" s="16">
        <v>185</v>
      </c>
      <c r="O621" s="16" t="s">
        <v>2026</v>
      </c>
    </row>
    <row r="622" spans="1:15" ht="15.75" customHeight="1" x14ac:dyDescent="0.25">
      <c r="A622" s="16" t="s">
        <v>30</v>
      </c>
      <c r="B622" s="16">
        <v>600920</v>
      </c>
      <c r="C622" s="16">
        <v>602638</v>
      </c>
      <c r="E622" s="16" t="s">
        <v>57</v>
      </c>
      <c r="F622" s="16" t="s">
        <v>2027</v>
      </c>
      <c r="G622" s="16" t="s">
        <v>2028</v>
      </c>
      <c r="I622" s="16" t="s">
        <v>50</v>
      </c>
      <c r="L622" s="16" t="s">
        <v>2029</v>
      </c>
      <c r="M622" s="16" t="s">
        <v>2027</v>
      </c>
      <c r="N622" s="16">
        <v>572</v>
      </c>
      <c r="O622" s="16" t="s">
        <v>2030</v>
      </c>
    </row>
    <row r="623" spans="1:15" ht="15.75" customHeight="1" x14ac:dyDescent="0.25">
      <c r="A623" s="16" t="s">
        <v>30</v>
      </c>
      <c r="B623" s="16">
        <v>602650</v>
      </c>
      <c r="C623" s="16">
        <v>602955</v>
      </c>
      <c r="E623" s="16" t="s">
        <v>57</v>
      </c>
      <c r="F623" s="16" t="s">
        <v>2031</v>
      </c>
      <c r="G623" s="16" t="s">
        <v>2032</v>
      </c>
      <c r="I623" s="16" t="s">
        <v>50</v>
      </c>
      <c r="L623" s="16" t="s">
        <v>2033</v>
      </c>
      <c r="M623" s="16" t="s">
        <v>2031</v>
      </c>
      <c r="N623" s="16">
        <v>101</v>
      </c>
      <c r="O623" s="16" t="s">
        <v>2034</v>
      </c>
    </row>
    <row r="624" spans="1:15" ht="15.75" customHeight="1" x14ac:dyDescent="0.25">
      <c r="A624" s="16" t="s">
        <v>30</v>
      </c>
      <c r="B624" s="16">
        <v>603032</v>
      </c>
      <c r="C624" s="16">
        <v>603334</v>
      </c>
      <c r="E624" s="16" t="s">
        <v>57</v>
      </c>
      <c r="F624" s="16" t="s">
        <v>2035</v>
      </c>
      <c r="G624" s="16" t="s">
        <v>2036</v>
      </c>
      <c r="I624" s="16" t="s">
        <v>50</v>
      </c>
      <c r="L624" s="16" t="s">
        <v>2037</v>
      </c>
      <c r="M624" s="16" t="s">
        <v>2035</v>
      </c>
      <c r="N624" s="16">
        <v>100</v>
      </c>
      <c r="O624" s="16" t="s">
        <v>2038</v>
      </c>
    </row>
    <row r="625" spans="1:15" ht="15.75" customHeight="1" x14ac:dyDescent="0.25">
      <c r="A625" s="16" t="s">
        <v>30</v>
      </c>
      <c r="B625" s="16">
        <v>603497</v>
      </c>
      <c r="C625" s="16">
        <v>603787</v>
      </c>
      <c r="E625" s="16" t="s">
        <v>48</v>
      </c>
      <c r="F625" s="16" t="s">
        <v>2039</v>
      </c>
      <c r="I625" s="16" t="s">
        <v>50</v>
      </c>
      <c r="L625" s="16" t="s">
        <v>2040</v>
      </c>
      <c r="M625" s="16" t="s">
        <v>2039</v>
      </c>
      <c r="N625" s="16">
        <v>96</v>
      </c>
      <c r="O625" s="16" t="s">
        <v>2041</v>
      </c>
    </row>
    <row r="626" spans="1:15" ht="15.75" customHeight="1" x14ac:dyDescent="0.25">
      <c r="A626" s="16" t="s">
        <v>30</v>
      </c>
      <c r="B626" s="16">
        <v>603810</v>
      </c>
      <c r="C626" s="16">
        <v>605456</v>
      </c>
      <c r="E626" s="16" t="s">
        <v>48</v>
      </c>
      <c r="F626" s="16" t="s">
        <v>2042</v>
      </c>
      <c r="G626" s="16" t="s">
        <v>2043</v>
      </c>
      <c r="I626" s="16" t="s">
        <v>50</v>
      </c>
      <c r="L626" s="16" t="s">
        <v>2044</v>
      </c>
      <c r="M626" s="16" t="s">
        <v>2042</v>
      </c>
      <c r="N626" s="16">
        <v>548</v>
      </c>
      <c r="O626" s="16" t="s">
        <v>2045</v>
      </c>
    </row>
    <row r="627" spans="1:15" ht="15.75" customHeight="1" x14ac:dyDescent="0.25">
      <c r="A627" s="16" t="s">
        <v>30</v>
      </c>
      <c r="B627" s="16">
        <v>605631</v>
      </c>
      <c r="C627" s="16">
        <v>606080</v>
      </c>
      <c r="E627" s="16" t="s">
        <v>57</v>
      </c>
      <c r="F627" s="16" t="s">
        <v>2046</v>
      </c>
      <c r="G627" s="16" t="s">
        <v>2047</v>
      </c>
      <c r="I627" s="16" t="s">
        <v>50</v>
      </c>
      <c r="L627" s="16" t="s">
        <v>2048</v>
      </c>
      <c r="M627" s="16" t="s">
        <v>2046</v>
      </c>
      <c r="N627" s="16">
        <v>149</v>
      </c>
      <c r="O627" s="16" t="s">
        <v>2049</v>
      </c>
    </row>
    <row r="628" spans="1:15" ht="15.75" customHeight="1" x14ac:dyDescent="0.25">
      <c r="A628" s="16" t="s">
        <v>30</v>
      </c>
      <c r="B628" s="16">
        <v>606097</v>
      </c>
      <c r="C628" s="16">
        <v>606324</v>
      </c>
      <c r="E628" s="16" t="s">
        <v>57</v>
      </c>
      <c r="F628" s="16" t="s">
        <v>2050</v>
      </c>
      <c r="G628" s="16" t="s">
        <v>2051</v>
      </c>
      <c r="I628" s="16" t="s">
        <v>50</v>
      </c>
      <c r="L628" s="16" t="s">
        <v>2052</v>
      </c>
      <c r="M628" s="16" t="s">
        <v>2050</v>
      </c>
      <c r="N628" s="16">
        <v>75</v>
      </c>
      <c r="O628" s="16" t="s">
        <v>2053</v>
      </c>
    </row>
    <row r="629" spans="1:15" ht="15.75" customHeight="1" x14ac:dyDescent="0.25">
      <c r="A629" s="16" t="s">
        <v>30</v>
      </c>
      <c r="B629" s="16">
        <v>606337</v>
      </c>
      <c r="C629" s="16">
        <v>606663</v>
      </c>
      <c r="E629" s="16" t="s">
        <v>57</v>
      </c>
      <c r="F629" s="16" t="s">
        <v>2054</v>
      </c>
      <c r="G629" s="16" t="s">
        <v>2055</v>
      </c>
      <c r="I629" s="16" t="s">
        <v>50</v>
      </c>
      <c r="L629" s="16" t="s">
        <v>2056</v>
      </c>
      <c r="M629" s="16" t="s">
        <v>2054</v>
      </c>
      <c r="N629" s="16">
        <v>108</v>
      </c>
      <c r="O629" s="16" t="s">
        <v>2057</v>
      </c>
    </row>
    <row r="630" spans="1:15" ht="15.75" customHeight="1" x14ac:dyDescent="0.25">
      <c r="A630" s="16" t="s">
        <v>30</v>
      </c>
      <c r="B630" s="16">
        <v>606650</v>
      </c>
      <c r="C630" s="16">
        <v>607027</v>
      </c>
      <c r="E630" s="16" t="s">
        <v>57</v>
      </c>
      <c r="F630" s="16" t="s">
        <v>2058</v>
      </c>
      <c r="G630" s="16" t="s">
        <v>2059</v>
      </c>
      <c r="I630" s="16" t="s">
        <v>50</v>
      </c>
      <c r="L630" s="16" t="s">
        <v>2060</v>
      </c>
      <c r="M630" s="16" t="s">
        <v>2058</v>
      </c>
      <c r="N630" s="16">
        <v>125</v>
      </c>
      <c r="O630" s="16" t="s">
        <v>2061</v>
      </c>
    </row>
    <row r="631" spans="1:15" ht="15.75" customHeight="1" x14ac:dyDescent="0.25">
      <c r="A631" s="16" t="s">
        <v>30</v>
      </c>
      <c r="B631" s="16">
        <v>607227</v>
      </c>
      <c r="C631" s="16">
        <v>607445</v>
      </c>
      <c r="E631" s="16" t="s">
        <v>57</v>
      </c>
      <c r="F631" s="16" t="s">
        <v>2062</v>
      </c>
      <c r="G631" s="16" t="s">
        <v>2063</v>
      </c>
      <c r="I631" s="16" t="s">
        <v>50</v>
      </c>
      <c r="L631" s="16" t="s">
        <v>2064</v>
      </c>
      <c r="M631" s="16" t="s">
        <v>2062</v>
      </c>
      <c r="N631" s="16">
        <v>72</v>
      </c>
      <c r="O631" s="16" t="s">
        <v>2065</v>
      </c>
    </row>
    <row r="632" spans="1:15" ht="15.75" customHeight="1" x14ac:dyDescent="0.25">
      <c r="A632" s="16" t="s">
        <v>30</v>
      </c>
      <c r="B632" s="16">
        <v>607651</v>
      </c>
      <c r="C632" s="16">
        <v>608514</v>
      </c>
      <c r="E632" s="16" t="s">
        <v>48</v>
      </c>
      <c r="F632" s="16" t="s">
        <v>2066</v>
      </c>
      <c r="G632" s="16" t="s">
        <v>2067</v>
      </c>
      <c r="I632" s="16" t="s">
        <v>50</v>
      </c>
      <c r="L632" s="16" t="s">
        <v>2068</v>
      </c>
      <c r="M632" s="16" t="s">
        <v>2066</v>
      </c>
      <c r="N632" s="16">
        <v>287</v>
      </c>
      <c r="O632" s="16" t="s">
        <v>2069</v>
      </c>
    </row>
    <row r="633" spans="1:15" ht="15.75" customHeight="1" x14ac:dyDescent="0.25">
      <c r="A633" s="16" t="s">
        <v>30</v>
      </c>
      <c r="B633" s="16">
        <v>608553</v>
      </c>
      <c r="C633" s="16">
        <v>609489</v>
      </c>
      <c r="E633" s="16" t="s">
        <v>57</v>
      </c>
      <c r="F633" s="16" t="s">
        <v>132</v>
      </c>
      <c r="I633" s="16" t="s">
        <v>133</v>
      </c>
      <c r="O633" s="16" t="s">
        <v>2070</v>
      </c>
    </row>
    <row r="634" spans="1:15" ht="15.75" customHeight="1" x14ac:dyDescent="0.25">
      <c r="A634" s="16" t="s">
        <v>30</v>
      </c>
      <c r="B634" s="16">
        <v>609608</v>
      </c>
      <c r="C634" s="16">
        <v>610435</v>
      </c>
      <c r="E634" s="16" t="s">
        <v>48</v>
      </c>
      <c r="F634" s="16" t="s">
        <v>2071</v>
      </c>
      <c r="G634" s="16" t="s">
        <v>2072</v>
      </c>
      <c r="I634" s="16" t="s">
        <v>50</v>
      </c>
      <c r="L634" s="16" t="s">
        <v>2073</v>
      </c>
      <c r="M634" s="16" t="s">
        <v>2071</v>
      </c>
      <c r="N634" s="16">
        <v>275</v>
      </c>
      <c r="O634" s="16" t="s">
        <v>2074</v>
      </c>
    </row>
    <row r="635" spans="1:15" ht="15.75" customHeight="1" x14ac:dyDescent="0.25">
      <c r="A635" s="16" t="s">
        <v>30</v>
      </c>
      <c r="B635" s="16">
        <v>610445</v>
      </c>
      <c r="C635" s="16">
        <v>611068</v>
      </c>
      <c r="E635" s="16" t="s">
        <v>48</v>
      </c>
      <c r="F635" s="16" t="s">
        <v>2075</v>
      </c>
      <c r="I635" s="16" t="s">
        <v>50</v>
      </c>
      <c r="L635" s="16" t="s">
        <v>2076</v>
      </c>
      <c r="M635" s="16" t="s">
        <v>2075</v>
      </c>
      <c r="N635" s="16">
        <v>207</v>
      </c>
      <c r="O635" s="16" t="s">
        <v>2077</v>
      </c>
    </row>
    <row r="636" spans="1:15" ht="15.75" customHeight="1" x14ac:dyDescent="0.25">
      <c r="A636" s="16" t="s">
        <v>30</v>
      </c>
      <c r="B636" s="16">
        <v>611194</v>
      </c>
      <c r="C636" s="16">
        <v>612648</v>
      </c>
      <c r="E636" s="16" t="s">
        <v>57</v>
      </c>
      <c r="F636" s="16" t="s">
        <v>2078</v>
      </c>
      <c r="G636" s="16" t="s">
        <v>2079</v>
      </c>
      <c r="I636" s="16" t="s">
        <v>50</v>
      </c>
      <c r="L636" s="16" t="s">
        <v>2080</v>
      </c>
      <c r="M636" s="16" t="s">
        <v>2078</v>
      </c>
      <c r="N636" s="16">
        <v>484</v>
      </c>
      <c r="O636" s="16" t="s">
        <v>2081</v>
      </c>
    </row>
    <row r="637" spans="1:15" ht="15.75" customHeight="1" x14ac:dyDescent="0.25">
      <c r="A637" s="16" t="s">
        <v>30</v>
      </c>
      <c r="B637" s="16">
        <v>612929</v>
      </c>
      <c r="C637" s="16">
        <v>613471</v>
      </c>
      <c r="E637" s="16" t="s">
        <v>57</v>
      </c>
      <c r="F637" s="16" t="s">
        <v>2082</v>
      </c>
      <c r="I637" s="16" t="s">
        <v>50</v>
      </c>
      <c r="L637" s="16" t="s">
        <v>2083</v>
      </c>
      <c r="M637" s="16" t="s">
        <v>2082</v>
      </c>
      <c r="N637" s="16">
        <v>180</v>
      </c>
      <c r="O637" s="16" t="s">
        <v>2084</v>
      </c>
    </row>
    <row r="638" spans="1:15" ht="15.75" customHeight="1" x14ac:dyDescent="0.25">
      <c r="A638" s="16" t="s">
        <v>30</v>
      </c>
      <c r="B638" s="16">
        <v>613625</v>
      </c>
      <c r="C638" s="16">
        <v>614323</v>
      </c>
      <c r="E638" s="16" t="s">
        <v>57</v>
      </c>
      <c r="F638" s="16" t="s">
        <v>2085</v>
      </c>
      <c r="G638" s="16" t="s">
        <v>2086</v>
      </c>
      <c r="I638" s="16" t="s">
        <v>50</v>
      </c>
      <c r="L638" s="16" t="s">
        <v>2087</v>
      </c>
      <c r="M638" s="16" t="s">
        <v>2085</v>
      </c>
      <c r="N638" s="16">
        <v>232</v>
      </c>
      <c r="O638" s="16" t="s">
        <v>2088</v>
      </c>
    </row>
    <row r="639" spans="1:15" ht="15.75" customHeight="1" x14ac:dyDescent="0.25">
      <c r="A639" s="16" t="s">
        <v>30</v>
      </c>
      <c r="B639" s="16">
        <v>614408</v>
      </c>
      <c r="C639" s="16">
        <v>615892</v>
      </c>
      <c r="E639" s="16" t="s">
        <v>57</v>
      </c>
      <c r="F639" s="16" t="s">
        <v>2089</v>
      </c>
      <c r="G639" s="16" t="s">
        <v>2090</v>
      </c>
      <c r="I639" s="16" t="s">
        <v>50</v>
      </c>
      <c r="L639" s="16" t="s">
        <v>2091</v>
      </c>
      <c r="M639" s="16" t="s">
        <v>2089</v>
      </c>
      <c r="N639" s="16">
        <v>494</v>
      </c>
      <c r="O639" s="16" t="s">
        <v>2092</v>
      </c>
    </row>
    <row r="640" spans="1:15" ht="15.75" customHeight="1" x14ac:dyDescent="0.25">
      <c r="A640" s="16" t="s">
        <v>30</v>
      </c>
      <c r="B640" s="16">
        <v>615968</v>
      </c>
      <c r="C640" s="16">
        <v>616777</v>
      </c>
      <c r="E640" s="16" t="s">
        <v>57</v>
      </c>
      <c r="F640" s="16" t="s">
        <v>2093</v>
      </c>
      <c r="G640" s="16" t="s">
        <v>2094</v>
      </c>
      <c r="I640" s="16" t="s">
        <v>50</v>
      </c>
      <c r="L640" s="16" t="s">
        <v>2095</v>
      </c>
      <c r="M640" s="16" t="s">
        <v>2093</v>
      </c>
      <c r="N640" s="16">
        <v>269</v>
      </c>
      <c r="O640" s="16" t="s">
        <v>2096</v>
      </c>
    </row>
    <row r="641" spans="1:15" ht="15.75" customHeight="1" x14ac:dyDescent="0.25">
      <c r="A641" s="16" t="s">
        <v>30</v>
      </c>
      <c r="B641" s="16">
        <v>616782</v>
      </c>
      <c r="C641" s="16">
        <v>617198</v>
      </c>
      <c r="E641" s="16" t="s">
        <v>57</v>
      </c>
      <c r="F641" s="16" t="s">
        <v>135</v>
      </c>
      <c r="I641" s="16" t="s">
        <v>50</v>
      </c>
      <c r="L641" s="16" t="s">
        <v>2097</v>
      </c>
      <c r="M641" s="16" t="s">
        <v>135</v>
      </c>
      <c r="N641" s="16">
        <v>138</v>
      </c>
      <c r="O641" s="16" t="s">
        <v>2098</v>
      </c>
    </row>
    <row r="642" spans="1:15" ht="15.75" customHeight="1" x14ac:dyDescent="0.25">
      <c r="A642" s="16" t="s">
        <v>30</v>
      </c>
      <c r="B642" s="16">
        <v>617255</v>
      </c>
      <c r="C642" s="16">
        <v>619240</v>
      </c>
      <c r="E642" s="16" t="s">
        <v>57</v>
      </c>
      <c r="F642" s="16" t="s">
        <v>2099</v>
      </c>
      <c r="I642" s="16" t="s">
        <v>50</v>
      </c>
      <c r="L642" s="16" t="s">
        <v>2100</v>
      </c>
      <c r="M642" s="16" t="s">
        <v>2099</v>
      </c>
      <c r="N642" s="16">
        <v>661</v>
      </c>
      <c r="O642" s="16" t="s">
        <v>2101</v>
      </c>
    </row>
    <row r="643" spans="1:15" ht="15.75" customHeight="1" x14ac:dyDescent="0.25">
      <c r="A643" s="16" t="s">
        <v>30</v>
      </c>
      <c r="B643" s="16">
        <v>619469</v>
      </c>
      <c r="C643" s="16">
        <v>619864</v>
      </c>
      <c r="E643" s="16" t="s">
        <v>48</v>
      </c>
      <c r="F643" s="16" t="s">
        <v>2102</v>
      </c>
      <c r="G643" s="16" t="s">
        <v>2103</v>
      </c>
      <c r="I643" s="16" t="s">
        <v>50</v>
      </c>
      <c r="L643" s="16" t="s">
        <v>2104</v>
      </c>
      <c r="M643" s="16" t="s">
        <v>2102</v>
      </c>
      <c r="N643" s="16">
        <v>131</v>
      </c>
      <c r="O643" s="16" t="s">
        <v>2105</v>
      </c>
    </row>
    <row r="644" spans="1:15" ht="15.75" customHeight="1" x14ac:dyDescent="0.25">
      <c r="A644" s="16" t="s">
        <v>30</v>
      </c>
      <c r="B644" s="16">
        <v>619890</v>
      </c>
      <c r="C644" s="16">
        <v>620342</v>
      </c>
      <c r="E644" s="16" t="s">
        <v>57</v>
      </c>
      <c r="F644" s="16" t="s">
        <v>2106</v>
      </c>
      <c r="G644" s="16" t="s">
        <v>2107</v>
      </c>
      <c r="I644" s="16" t="s">
        <v>50</v>
      </c>
      <c r="L644" s="16" t="s">
        <v>2108</v>
      </c>
      <c r="M644" s="16" t="s">
        <v>2106</v>
      </c>
      <c r="N644" s="16">
        <v>150</v>
      </c>
      <c r="O644" s="16" t="s">
        <v>2109</v>
      </c>
    </row>
    <row r="645" spans="1:15" ht="15.75" customHeight="1" x14ac:dyDescent="0.25">
      <c r="A645" s="16" t="s">
        <v>30</v>
      </c>
      <c r="B645" s="16">
        <v>620496</v>
      </c>
      <c r="C645" s="16">
        <v>621488</v>
      </c>
      <c r="E645" s="16" t="s">
        <v>48</v>
      </c>
      <c r="F645" s="16" t="s">
        <v>2110</v>
      </c>
      <c r="G645" s="16" t="s">
        <v>2111</v>
      </c>
      <c r="I645" s="16" t="s">
        <v>50</v>
      </c>
      <c r="L645" s="16" t="s">
        <v>2112</v>
      </c>
      <c r="M645" s="16" t="s">
        <v>2110</v>
      </c>
      <c r="N645" s="16">
        <v>330</v>
      </c>
      <c r="O645" s="16" t="s">
        <v>2113</v>
      </c>
    </row>
    <row r="646" spans="1:15" ht="15.75" customHeight="1" x14ac:dyDescent="0.25">
      <c r="A646" s="16" t="s">
        <v>30</v>
      </c>
      <c r="B646" s="16">
        <v>621553</v>
      </c>
      <c r="C646" s="16">
        <v>622227</v>
      </c>
      <c r="E646" s="16" t="s">
        <v>57</v>
      </c>
      <c r="F646" s="16" t="s">
        <v>2114</v>
      </c>
      <c r="I646" s="16" t="s">
        <v>50</v>
      </c>
      <c r="L646" s="16" t="s">
        <v>2115</v>
      </c>
      <c r="M646" s="16" t="s">
        <v>2114</v>
      </c>
      <c r="N646" s="16">
        <v>224</v>
      </c>
      <c r="O646" s="16" t="s">
        <v>2116</v>
      </c>
    </row>
    <row r="647" spans="1:15" ht="15.75" customHeight="1" x14ac:dyDescent="0.25">
      <c r="A647" s="16" t="s">
        <v>30</v>
      </c>
      <c r="B647" s="16">
        <v>622273</v>
      </c>
      <c r="C647" s="16">
        <v>622947</v>
      </c>
      <c r="E647" s="16" t="s">
        <v>57</v>
      </c>
      <c r="F647" s="16" t="s">
        <v>2117</v>
      </c>
      <c r="G647" s="16" t="s">
        <v>2118</v>
      </c>
      <c r="I647" s="16" t="s">
        <v>50</v>
      </c>
      <c r="L647" s="16" t="s">
        <v>2119</v>
      </c>
      <c r="M647" s="16" t="s">
        <v>2117</v>
      </c>
      <c r="N647" s="16">
        <v>224</v>
      </c>
      <c r="O647" s="16" t="s">
        <v>2120</v>
      </c>
    </row>
    <row r="648" spans="1:15" ht="15.75" customHeight="1" x14ac:dyDescent="0.25">
      <c r="A648" s="16" t="s">
        <v>30</v>
      </c>
      <c r="B648" s="16">
        <v>623094</v>
      </c>
      <c r="C648" s="16">
        <v>625514</v>
      </c>
      <c r="E648" s="16" t="s">
        <v>57</v>
      </c>
      <c r="F648" s="16" t="s">
        <v>2121</v>
      </c>
      <c r="G648" s="16" t="s">
        <v>2122</v>
      </c>
      <c r="I648" s="16" t="s">
        <v>50</v>
      </c>
      <c r="L648" s="16" t="s">
        <v>2123</v>
      </c>
      <c r="M648" s="16" t="s">
        <v>2121</v>
      </c>
      <c r="N648" s="16">
        <v>806</v>
      </c>
      <c r="O648" s="16" t="s">
        <v>2124</v>
      </c>
    </row>
    <row r="649" spans="1:15" ht="15.75" customHeight="1" x14ac:dyDescent="0.25">
      <c r="A649" s="16" t="s">
        <v>30</v>
      </c>
      <c r="B649" s="16">
        <v>625640</v>
      </c>
      <c r="C649" s="16">
        <v>627952</v>
      </c>
      <c r="E649" s="16" t="s">
        <v>57</v>
      </c>
      <c r="F649" s="16" t="s">
        <v>2125</v>
      </c>
      <c r="I649" s="16" t="s">
        <v>50</v>
      </c>
      <c r="L649" s="16" t="s">
        <v>2126</v>
      </c>
      <c r="M649" s="16" t="s">
        <v>2125</v>
      </c>
      <c r="N649" s="16">
        <v>770</v>
      </c>
      <c r="O649" s="16" t="s">
        <v>2127</v>
      </c>
    </row>
    <row r="650" spans="1:15" ht="15.75" customHeight="1" x14ac:dyDescent="0.25">
      <c r="A650" s="16" t="s">
        <v>30</v>
      </c>
      <c r="B650" s="16">
        <v>628048</v>
      </c>
      <c r="C650" s="16">
        <v>628524</v>
      </c>
      <c r="E650" s="16" t="s">
        <v>48</v>
      </c>
      <c r="F650" s="16" t="s">
        <v>2128</v>
      </c>
      <c r="G650" s="16" t="s">
        <v>2129</v>
      </c>
      <c r="I650" s="16" t="s">
        <v>50</v>
      </c>
      <c r="L650" s="16" t="s">
        <v>2130</v>
      </c>
      <c r="M650" s="16" t="s">
        <v>2128</v>
      </c>
      <c r="N650" s="16">
        <v>158</v>
      </c>
      <c r="O650" s="16" t="s">
        <v>2131</v>
      </c>
    </row>
    <row r="651" spans="1:15" ht="15.75" customHeight="1" x14ac:dyDescent="0.25">
      <c r="A651" s="16" t="s">
        <v>30</v>
      </c>
      <c r="B651" s="16">
        <v>628594</v>
      </c>
      <c r="C651" s="16">
        <v>629211</v>
      </c>
      <c r="E651" s="16" t="s">
        <v>57</v>
      </c>
      <c r="F651" s="16" t="s">
        <v>2132</v>
      </c>
      <c r="G651" s="16" t="s">
        <v>2133</v>
      </c>
      <c r="I651" s="16" t="s">
        <v>50</v>
      </c>
      <c r="L651" s="16" t="s">
        <v>2134</v>
      </c>
      <c r="M651" s="16" t="s">
        <v>2132</v>
      </c>
      <c r="N651" s="16">
        <v>205</v>
      </c>
      <c r="O651" s="16" t="s">
        <v>2135</v>
      </c>
    </row>
    <row r="652" spans="1:15" ht="15.75" customHeight="1" x14ac:dyDescent="0.25">
      <c r="A652" s="16" t="s">
        <v>30</v>
      </c>
      <c r="B652" s="16">
        <v>629211</v>
      </c>
      <c r="C652" s="16">
        <v>630116</v>
      </c>
      <c r="E652" s="16" t="s">
        <v>57</v>
      </c>
      <c r="F652" s="16" t="s">
        <v>2136</v>
      </c>
      <c r="G652" s="16" t="s">
        <v>2137</v>
      </c>
      <c r="I652" s="16" t="s">
        <v>50</v>
      </c>
      <c r="L652" s="16" t="s">
        <v>2138</v>
      </c>
      <c r="M652" s="16" t="s">
        <v>2136</v>
      </c>
      <c r="N652" s="16">
        <v>301</v>
      </c>
      <c r="O652" s="16" t="s">
        <v>2139</v>
      </c>
    </row>
    <row r="653" spans="1:15" ht="15.75" customHeight="1" x14ac:dyDescent="0.25">
      <c r="A653" s="16" t="s">
        <v>30</v>
      </c>
      <c r="B653" s="16">
        <v>630239</v>
      </c>
      <c r="C653" s="16">
        <v>630964</v>
      </c>
      <c r="E653" s="16" t="s">
        <v>48</v>
      </c>
      <c r="F653" s="16" t="s">
        <v>2140</v>
      </c>
      <c r="I653" s="16" t="s">
        <v>50</v>
      </c>
      <c r="L653" s="16" t="s">
        <v>2141</v>
      </c>
      <c r="M653" s="16" t="s">
        <v>2140</v>
      </c>
      <c r="N653" s="16">
        <v>241</v>
      </c>
      <c r="O653" s="16" t="s">
        <v>2142</v>
      </c>
    </row>
    <row r="654" spans="1:15" ht="15.75" customHeight="1" x14ac:dyDescent="0.25">
      <c r="A654" s="16" t="s">
        <v>30</v>
      </c>
      <c r="B654" s="16">
        <v>631056</v>
      </c>
      <c r="C654" s="16">
        <v>631277</v>
      </c>
      <c r="E654" s="16" t="s">
        <v>57</v>
      </c>
      <c r="F654" s="16" t="s">
        <v>2143</v>
      </c>
      <c r="I654" s="16" t="s">
        <v>50</v>
      </c>
      <c r="L654" s="16" t="s">
        <v>2144</v>
      </c>
      <c r="M654" s="16" t="s">
        <v>2143</v>
      </c>
      <c r="N654" s="16">
        <v>73</v>
      </c>
      <c r="O654" s="16" t="s">
        <v>2145</v>
      </c>
    </row>
    <row r="655" spans="1:15" ht="15.75" customHeight="1" x14ac:dyDescent="0.25">
      <c r="A655" s="16" t="s">
        <v>30</v>
      </c>
      <c r="B655" s="16">
        <v>631375</v>
      </c>
      <c r="C655" s="16">
        <v>632100</v>
      </c>
      <c r="E655" s="16" t="s">
        <v>48</v>
      </c>
      <c r="F655" s="16" t="s">
        <v>2146</v>
      </c>
      <c r="G655" s="16" t="s">
        <v>2147</v>
      </c>
      <c r="I655" s="16" t="s">
        <v>50</v>
      </c>
      <c r="L655" s="16" t="s">
        <v>2148</v>
      </c>
      <c r="M655" s="16" t="s">
        <v>2146</v>
      </c>
      <c r="N655" s="16">
        <v>241</v>
      </c>
      <c r="O655" s="16" t="s">
        <v>2149</v>
      </c>
    </row>
    <row r="656" spans="1:15" ht="15.75" customHeight="1" x14ac:dyDescent="0.25">
      <c r="A656" s="16" t="s">
        <v>30</v>
      </c>
      <c r="B656" s="16">
        <v>632190</v>
      </c>
      <c r="C656" s="16">
        <v>632855</v>
      </c>
      <c r="E656" s="16" t="s">
        <v>48</v>
      </c>
      <c r="F656" s="16" t="s">
        <v>2150</v>
      </c>
      <c r="I656" s="16" t="s">
        <v>50</v>
      </c>
      <c r="L656" s="16" t="s">
        <v>2151</v>
      </c>
      <c r="M656" s="16" t="s">
        <v>2150</v>
      </c>
      <c r="N656" s="16">
        <v>221</v>
      </c>
      <c r="O656" s="16" t="s">
        <v>2152</v>
      </c>
    </row>
    <row r="657" spans="1:15" ht="15.75" customHeight="1" x14ac:dyDescent="0.25">
      <c r="A657" s="16" t="s">
        <v>30</v>
      </c>
      <c r="B657" s="16">
        <v>632855</v>
      </c>
      <c r="C657" s="16">
        <v>633235</v>
      </c>
      <c r="E657" s="16" t="s">
        <v>48</v>
      </c>
      <c r="F657" s="16" t="s">
        <v>2153</v>
      </c>
      <c r="G657" s="16" t="s">
        <v>2154</v>
      </c>
      <c r="I657" s="16" t="s">
        <v>50</v>
      </c>
      <c r="L657" s="16" t="s">
        <v>2155</v>
      </c>
      <c r="M657" s="16" t="s">
        <v>2153</v>
      </c>
      <c r="N657" s="16">
        <v>126</v>
      </c>
      <c r="O657" s="16" t="s">
        <v>2156</v>
      </c>
    </row>
    <row r="658" spans="1:15" ht="15.75" customHeight="1" x14ac:dyDescent="0.25">
      <c r="A658" s="16" t="s">
        <v>30</v>
      </c>
      <c r="B658" s="16">
        <v>633232</v>
      </c>
      <c r="C658" s="16">
        <v>633591</v>
      </c>
      <c r="E658" s="16" t="s">
        <v>48</v>
      </c>
      <c r="F658" s="16" t="s">
        <v>2157</v>
      </c>
      <c r="G658" s="16" t="s">
        <v>2158</v>
      </c>
      <c r="I658" s="16" t="s">
        <v>50</v>
      </c>
      <c r="L658" s="16" t="s">
        <v>2159</v>
      </c>
      <c r="M658" s="16" t="s">
        <v>2157</v>
      </c>
      <c r="N658" s="16">
        <v>119</v>
      </c>
      <c r="O658" s="16" t="s">
        <v>2160</v>
      </c>
    </row>
    <row r="659" spans="1:15" ht="15.75" customHeight="1" x14ac:dyDescent="0.25">
      <c r="A659" s="16" t="s">
        <v>30</v>
      </c>
      <c r="B659" s="16">
        <v>633600</v>
      </c>
      <c r="C659" s="16">
        <v>633887</v>
      </c>
      <c r="E659" s="16" t="s">
        <v>48</v>
      </c>
      <c r="F659" s="16" t="s">
        <v>2161</v>
      </c>
      <c r="I659" s="16" t="s">
        <v>50</v>
      </c>
      <c r="L659" s="16" t="s">
        <v>2162</v>
      </c>
      <c r="M659" s="16" t="s">
        <v>2161</v>
      </c>
      <c r="N659" s="16">
        <v>95</v>
      </c>
      <c r="O659" s="16" t="s">
        <v>2163</v>
      </c>
    </row>
    <row r="660" spans="1:15" ht="15.75" customHeight="1" x14ac:dyDescent="0.25">
      <c r="A660" s="16" t="s">
        <v>30</v>
      </c>
      <c r="B660" s="16">
        <v>634018</v>
      </c>
      <c r="C660" s="16">
        <v>635202</v>
      </c>
      <c r="E660" s="16" t="s">
        <v>57</v>
      </c>
      <c r="F660" s="16" t="s">
        <v>2164</v>
      </c>
      <c r="G660" s="16" t="s">
        <v>2165</v>
      </c>
      <c r="I660" s="16" t="s">
        <v>50</v>
      </c>
      <c r="L660" s="16" t="s">
        <v>2166</v>
      </c>
      <c r="M660" s="16" t="s">
        <v>2164</v>
      </c>
      <c r="N660" s="16">
        <v>394</v>
      </c>
      <c r="O660" s="16" t="s">
        <v>2167</v>
      </c>
    </row>
    <row r="661" spans="1:15" ht="15.75" customHeight="1" x14ac:dyDescent="0.25">
      <c r="A661" s="16" t="s">
        <v>30</v>
      </c>
      <c r="B661" s="16">
        <v>635307</v>
      </c>
      <c r="C661" s="16">
        <v>635382</v>
      </c>
      <c r="E661" s="16" t="s">
        <v>57</v>
      </c>
      <c r="F661" s="16" t="s">
        <v>2168</v>
      </c>
      <c r="I661" s="16" t="s">
        <v>290</v>
      </c>
      <c r="O661" s="16" t="s">
        <v>2169</v>
      </c>
    </row>
    <row r="662" spans="1:15" ht="15.75" customHeight="1" x14ac:dyDescent="0.25">
      <c r="A662" s="16" t="s">
        <v>30</v>
      </c>
      <c r="B662" s="16">
        <v>635386</v>
      </c>
      <c r="C662" s="16">
        <v>635460</v>
      </c>
      <c r="E662" s="16" t="s">
        <v>57</v>
      </c>
      <c r="F662" s="16" t="s">
        <v>289</v>
      </c>
      <c r="I662" s="16" t="s">
        <v>290</v>
      </c>
      <c r="O662" s="16" t="s">
        <v>2170</v>
      </c>
    </row>
    <row r="663" spans="1:15" ht="15.75" customHeight="1" x14ac:dyDescent="0.25">
      <c r="A663" s="16" t="s">
        <v>30</v>
      </c>
      <c r="B663" s="16">
        <v>635503</v>
      </c>
      <c r="C663" s="16">
        <v>635587</v>
      </c>
      <c r="E663" s="16" t="s">
        <v>57</v>
      </c>
      <c r="F663" s="16" t="s">
        <v>2171</v>
      </c>
      <c r="I663" s="16" t="s">
        <v>290</v>
      </c>
      <c r="O663" s="16" t="s">
        <v>2172</v>
      </c>
    </row>
    <row r="664" spans="1:15" ht="15.75" customHeight="1" x14ac:dyDescent="0.25">
      <c r="A664" s="16" t="s">
        <v>30</v>
      </c>
      <c r="B664" s="16">
        <v>635617</v>
      </c>
      <c r="C664" s="16">
        <v>635692</v>
      </c>
      <c r="E664" s="16" t="s">
        <v>57</v>
      </c>
      <c r="F664" s="16" t="s">
        <v>2168</v>
      </c>
      <c r="I664" s="16" t="s">
        <v>290</v>
      </c>
      <c r="O664" s="16" t="s">
        <v>2173</v>
      </c>
    </row>
    <row r="665" spans="1:15" ht="15.75" customHeight="1" x14ac:dyDescent="0.25">
      <c r="A665" s="16" t="s">
        <v>30</v>
      </c>
      <c r="B665" s="16">
        <v>635908</v>
      </c>
      <c r="C665" s="16">
        <v>636831</v>
      </c>
      <c r="E665" s="16" t="s">
        <v>48</v>
      </c>
      <c r="F665" s="16" t="s">
        <v>2174</v>
      </c>
      <c r="G665" s="16" t="s">
        <v>2175</v>
      </c>
      <c r="I665" s="16" t="s">
        <v>50</v>
      </c>
      <c r="L665" s="16" t="s">
        <v>2176</v>
      </c>
      <c r="M665" s="16" t="s">
        <v>2174</v>
      </c>
      <c r="N665" s="16">
        <v>307</v>
      </c>
      <c r="O665" s="16" t="s">
        <v>2177</v>
      </c>
    </row>
    <row r="666" spans="1:15" ht="15.75" customHeight="1" x14ac:dyDescent="0.25">
      <c r="A666" s="16" t="s">
        <v>30</v>
      </c>
      <c r="B666" s="16">
        <v>636922</v>
      </c>
      <c r="C666" s="16">
        <v>637869</v>
      </c>
      <c r="E666" s="16" t="s">
        <v>57</v>
      </c>
      <c r="F666" s="16" t="s">
        <v>2178</v>
      </c>
      <c r="G666" s="16" t="s">
        <v>2179</v>
      </c>
      <c r="I666" s="16" t="s">
        <v>50</v>
      </c>
      <c r="L666" s="16" t="s">
        <v>2180</v>
      </c>
      <c r="M666" s="16" t="s">
        <v>2178</v>
      </c>
      <c r="N666" s="16">
        <v>315</v>
      </c>
      <c r="O666" s="16" t="s">
        <v>2181</v>
      </c>
    </row>
    <row r="667" spans="1:15" ht="15.75" customHeight="1" x14ac:dyDescent="0.25">
      <c r="A667" s="16" t="s">
        <v>30</v>
      </c>
      <c r="B667" s="16">
        <v>637949</v>
      </c>
      <c r="C667" s="16">
        <v>638524</v>
      </c>
      <c r="E667" s="16" t="s">
        <v>57</v>
      </c>
      <c r="F667" s="16" t="s">
        <v>2182</v>
      </c>
      <c r="I667" s="16" t="s">
        <v>50</v>
      </c>
      <c r="L667" s="16" t="s">
        <v>2183</v>
      </c>
      <c r="M667" s="16" t="s">
        <v>2182</v>
      </c>
      <c r="N667" s="16">
        <v>191</v>
      </c>
      <c r="O667" s="16" t="s">
        <v>2184</v>
      </c>
    </row>
    <row r="668" spans="1:15" ht="15.75" customHeight="1" x14ac:dyDescent="0.25">
      <c r="A668" s="16" t="s">
        <v>30</v>
      </c>
      <c r="B668" s="16">
        <v>638549</v>
      </c>
      <c r="C668" s="16">
        <v>639118</v>
      </c>
      <c r="E668" s="16" t="s">
        <v>57</v>
      </c>
      <c r="F668" s="16" t="s">
        <v>2185</v>
      </c>
      <c r="G668" s="16" t="s">
        <v>2186</v>
      </c>
      <c r="I668" s="16" t="s">
        <v>50</v>
      </c>
      <c r="L668" s="16" t="s">
        <v>2187</v>
      </c>
      <c r="M668" s="16" t="s">
        <v>2185</v>
      </c>
      <c r="N668" s="16">
        <v>189</v>
      </c>
      <c r="O668" s="16" t="s">
        <v>2188</v>
      </c>
    </row>
    <row r="669" spans="1:15" ht="15.75" customHeight="1" x14ac:dyDescent="0.25">
      <c r="A669" s="16" t="s">
        <v>30</v>
      </c>
      <c r="B669" s="16">
        <v>639227</v>
      </c>
      <c r="C669" s="16">
        <v>639484</v>
      </c>
      <c r="E669" s="16" t="s">
        <v>57</v>
      </c>
      <c r="F669" s="16" t="s">
        <v>2189</v>
      </c>
      <c r="I669" s="16" t="s">
        <v>50</v>
      </c>
      <c r="L669" s="16" t="s">
        <v>2190</v>
      </c>
      <c r="M669" s="16" t="s">
        <v>2189</v>
      </c>
      <c r="N669" s="16">
        <v>85</v>
      </c>
      <c r="O669" s="16" t="s">
        <v>2191</v>
      </c>
    </row>
    <row r="670" spans="1:15" ht="15.75" customHeight="1" x14ac:dyDescent="0.25">
      <c r="A670" s="16" t="s">
        <v>30</v>
      </c>
      <c r="B670" s="16">
        <v>639574</v>
      </c>
      <c r="C670" s="16">
        <v>639960</v>
      </c>
      <c r="E670" s="16" t="s">
        <v>57</v>
      </c>
      <c r="F670" s="16" t="s">
        <v>2192</v>
      </c>
      <c r="G670" s="16" t="s">
        <v>2193</v>
      </c>
      <c r="I670" s="16" t="s">
        <v>50</v>
      </c>
      <c r="L670" s="16" t="s">
        <v>2194</v>
      </c>
      <c r="M670" s="16" t="s">
        <v>2192</v>
      </c>
      <c r="N670" s="16">
        <v>128</v>
      </c>
      <c r="O670" s="16" t="s">
        <v>2195</v>
      </c>
    </row>
    <row r="671" spans="1:15" ht="15.75" customHeight="1" x14ac:dyDescent="0.25">
      <c r="A671" s="16" t="s">
        <v>30</v>
      </c>
      <c r="B671" s="16">
        <v>640033</v>
      </c>
      <c r="C671" s="16">
        <v>641409</v>
      </c>
      <c r="E671" s="16" t="s">
        <v>57</v>
      </c>
      <c r="F671" s="16" t="s">
        <v>2196</v>
      </c>
      <c r="G671" s="16" t="s">
        <v>2197</v>
      </c>
      <c r="I671" s="16" t="s">
        <v>50</v>
      </c>
      <c r="L671" s="16" t="s">
        <v>2198</v>
      </c>
      <c r="M671" s="16" t="s">
        <v>2196</v>
      </c>
      <c r="N671" s="16">
        <v>458</v>
      </c>
      <c r="O671" s="16" t="s">
        <v>2199</v>
      </c>
    </row>
    <row r="672" spans="1:15" ht="15.75" customHeight="1" x14ac:dyDescent="0.25">
      <c r="A672" s="16" t="s">
        <v>30</v>
      </c>
      <c r="B672" s="16">
        <v>641422</v>
      </c>
      <c r="C672" s="16">
        <v>642774</v>
      </c>
      <c r="E672" s="16" t="s">
        <v>57</v>
      </c>
      <c r="F672" s="16" t="s">
        <v>2200</v>
      </c>
      <c r="G672" s="16" t="s">
        <v>2201</v>
      </c>
      <c r="I672" s="16" t="s">
        <v>50</v>
      </c>
      <c r="L672" s="16" t="s">
        <v>2202</v>
      </c>
      <c r="M672" s="16" t="s">
        <v>2200</v>
      </c>
      <c r="N672" s="16">
        <v>450</v>
      </c>
      <c r="O672" s="16" t="s">
        <v>2203</v>
      </c>
    </row>
    <row r="673" spans="1:15" ht="15.75" customHeight="1" x14ac:dyDescent="0.25">
      <c r="A673" s="16" t="s">
        <v>30</v>
      </c>
      <c r="B673" s="16">
        <v>642774</v>
      </c>
      <c r="C673" s="16">
        <v>643730</v>
      </c>
      <c r="E673" s="16" t="s">
        <v>57</v>
      </c>
      <c r="F673" s="16" t="s">
        <v>2204</v>
      </c>
      <c r="G673" s="16" t="s">
        <v>2205</v>
      </c>
      <c r="I673" s="16" t="s">
        <v>50</v>
      </c>
      <c r="L673" s="16" t="s">
        <v>2206</v>
      </c>
      <c r="M673" s="16" t="s">
        <v>2204</v>
      </c>
      <c r="N673" s="16">
        <v>318</v>
      </c>
      <c r="O673" s="16" t="s">
        <v>2207</v>
      </c>
    </row>
    <row r="674" spans="1:15" ht="15.75" customHeight="1" x14ac:dyDescent="0.25">
      <c r="A674" s="16" t="s">
        <v>30</v>
      </c>
      <c r="B674" s="16">
        <v>643831</v>
      </c>
      <c r="C674" s="16">
        <v>644340</v>
      </c>
      <c r="E674" s="16" t="s">
        <v>57</v>
      </c>
      <c r="F674" s="16" t="s">
        <v>2208</v>
      </c>
      <c r="G674" s="16" t="s">
        <v>2209</v>
      </c>
      <c r="I674" s="16" t="s">
        <v>50</v>
      </c>
      <c r="L674" s="16" t="s">
        <v>2210</v>
      </c>
      <c r="M674" s="16" t="s">
        <v>2208</v>
      </c>
      <c r="N674" s="16">
        <v>169</v>
      </c>
      <c r="O674" s="16" t="s">
        <v>2211</v>
      </c>
    </row>
    <row r="675" spans="1:15" ht="15.75" customHeight="1" x14ac:dyDescent="0.25">
      <c r="A675" s="16" t="s">
        <v>30</v>
      </c>
      <c r="B675" s="16">
        <v>644530</v>
      </c>
      <c r="C675" s="16">
        <v>644952</v>
      </c>
      <c r="E675" s="16" t="s">
        <v>57</v>
      </c>
      <c r="F675" s="16" t="s">
        <v>2212</v>
      </c>
      <c r="I675" s="16" t="s">
        <v>50</v>
      </c>
      <c r="L675" s="16" t="s">
        <v>2213</v>
      </c>
      <c r="M675" s="16" t="s">
        <v>2212</v>
      </c>
      <c r="N675" s="16">
        <v>140</v>
      </c>
      <c r="O675" s="16" t="s">
        <v>2214</v>
      </c>
    </row>
    <row r="676" spans="1:15" ht="15.75" customHeight="1" x14ac:dyDescent="0.25">
      <c r="A676" s="16" t="s">
        <v>30</v>
      </c>
      <c r="B676" s="16">
        <v>644945</v>
      </c>
      <c r="C676" s="16">
        <v>645130</v>
      </c>
      <c r="E676" s="16" t="s">
        <v>57</v>
      </c>
      <c r="F676" s="16" t="s">
        <v>135</v>
      </c>
      <c r="I676" s="16" t="s">
        <v>50</v>
      </c>
      <c r="L676" s="16" t="s">
        <v>2215</v>
      </c>
      <c r="M676" s="16" t="s">
        <v>135</v>
      </c>
      <c r="N676" s="16">
        <v>61</v>
      </c>
      <c r="O676" s="16" t="s">
        <v>2216</v>
      </c>
    </row>
    <row r="677" spans="1:15" ht="15.75" customHeight="1" x14ac:dyDescent="0.25">
      <c r="A677" s="16" t="s">
        <v>30</v>
      </c>
      <c r="B677" s="16">
        <v>645386</v>
      </c>
      <c r="C677" s="16">
        <v>645501</v>
      </c>
      <c r="E677" s="16" t="s">
        <v>57</v>
      </c>
      <c r="F677" s="16" t="s">
        <v>393</v>
      </c>
      <c r="G677" s="16" t="s">
        <v>394</v>
      </c>
      <c r="I677" s="16" t="s">
        <v>395</v>
      </c>
      <c r="O677" s="16" t="s">
        <v>2217</v>
      </c>
    </row>
    <row r="678" spans="1:15" ht="15.75" customHeight="1" x14ac:dyDescent="0.25">
      <c r="A678" s="16" t="s">
        <v>30</v>
      </c>
      <c r="B678" s="16">
        <v>645746</v>
      </c>
      <c r="C678" s="16">
        <v>648861</v>
      </c>
      <c r="E678" s="16" t="s">
        <v>57</v>
      </c>
      <c r="F678" s="16" t="s">
        <v>397</v>
      </c>
      <c r="I678" s="16" t="s">
        <v>395</v>
      </c>
      <c r="O678" s="16" t="s">
        <v>2218</v>
      </c>
    </row>
    <row r="679" spans="1:15" ht="15.75" customHeight="1" x14ac:dyDescent="0.25">
      <c r="A679" s="16" t="s">
        <v>30</v>
      </c>
      <c r="B679" s="16">
        <v>649132</v>
      </c>
      <c r="C679" s="16">
        <v>649207</v>
      </c>
      <c r="E679" s="16" t="s">
        <v>57</v>
      </c>
      <c r="F679" s="16" t="s">
        <v>399</v>
      </c>
      <c r="I679" s="16" t="s">
        <v>290</v>
      </c>
      <c r="O679" s="16" t="s">
        <v>2219</v>
      </c>
    </row>
    <row r="680" spans="1:15" ht="15.75" customHeight="1" x14ac:dyDescent="0.25">
      <c r="A680" s="16" t="s">
        <v>30</v>
      </c>
      <c r="B680" s="16">
        <v>649339</v>
      </c>
      <c r="C680" s="16">
        <v>650878</v>
      </c>
      <c r="E680" s="16" t="s">
        <v>57</v>
      </c>
      <c r="F680" s="16" t="s">
        <v>401</v>
      </c>
      <c r="I680" s="16" t="s">
        <v>395</v>
      </c>
      <c r="O680" s="16" t="s">
        <v>2220</v>
      </c>
    </row>
    <row r="681" spans="1:15" ht="15.75" customHeight="1" x14ac:dyDescent="0.25">
      <c r="A681" s="16" t="s">
        <v>30</v>
      </c>
      <c r="B681" s="16">
        <v>651175</v>
      </c>
      <c r="C681" s="16">
        <v>651828</v>
      </c>
      <c r="E681" s="16" t="s">
        <v>57</v>
      </c>
      <c r="F681" s="16" t="s">
        <v>2221</v>
      </c>
      <c r="G681" s="16" t="s">
        <v>2222</v>
      </c>
      <c r="I681" s="16" t="s">
        <v>50</v>
      </c>
      <c r="L681" s="16" t="s">
        <v>2223</v>
      </c>
      <c r="M681" s="16" t="s">
        <v>2221</v>
      </c>
      <c r="N681" s="16">
        <v>217</v>
      </c>
      <c r="O681" s="16" t="s">
        <v>2224</v>
      </c>
    </row>
    <row r="682" spans="1:15" ht="15.75" customHeight="1" x14ac:dyDescent="0.25">
      <c r="A682" s="16" t="s">
        <v>30</v>
      </c>
      <c r="B682" s="16">
        <v>652200</v>
      </c>
      <c r="C682" s="16">
        <v>653264</v>
      </c>
      <c r="E682" s="16" t="s">
        <v>48</v>
      </c>
      <c r="F682" s="16" t="s">
        <v>2225</v>
      </c>
      <c r="G682" s="16" t="s">
        <v>2226</v>
      </c>
      <c r="I682" s="16" t="s">
        <v>50</v>
      </c>
      <c r="L682" s="16" t="s">
        <v>2227</v>
      </c>
      <c r="M682" s="16" t="s">
        <v>2225</v>
      </c>
      <c r="N682" s="16">
        <v>354</v>
      </c>
      <c r="O682" s="16" t="s">
        <v>2228</v>
      </c>
    </row>
    <row r="683" spans="1:15" ht="15.75" customHeight="1" x14ac:dyDescent="0.25">
      <c r="A683" s="16" t="s">
        <v>30</v>
      </c>
      <c r="B683" s="16">
        <v>653343</v>
      </c>
      <c r="C683" s="16">
        <v>653801</v>
      </c>
      <c r="E683" s="16" t="s">
        <v>48</v>
      </c>
      <c r="F683" s="16" t="s">
        <v>2229</v>
      </c>
      <c r="G683" s="16" t="s">
        <v>2230</v>
      </c>
      <c r="I683" s="16" t="s">
        <v>50</v>
      </c>
      <c r="L683" s="16" t="s">
        <v>2231</v>
      </c>
      <c r="M683" s="16" t="s">
        <v>2229</v>
      </c>
      <c r="N683" s="16">
        <v>152</v>
      </c>
      <c r="O683" s="16" t="s">
        <v>2232</v>
      </c>
    </row>
    <row r="684" spans="1:15" ht="15.75" customHeight="1" x14ac:dyDescent="0.25">
      <c r="A684" s="16" t="s">
        <v>30</v>
      </c>
      <c r="B684" s="16">
        <v>653798</v>
      </c>
      <c r="C684" s="16">
        <v>654184</v>
      </c>
      <c r="E684" s="16" t="s">
        <v>57</v>
      </c>
      <c r="F684" s="16" t="s">
        <v>2233</v>
      </c>
      <c r="G684" s="16" t="s">
        <v>2234</v>
      </c>
      <c r="I684" s="16" t="s">
        <v>50</v>
      </c>
      <c r="L684" s="16" t="s">
        <v>2235</v>
      </c>
      <c r="M684" s="16" t="s">
        <v>2233</v>
      </c>
      <c r="N684" s="16">
        <v>128</v>
      </c>
      <c r="O684" s="16" t="s">
        <v>2236</v>
      </c>
    </row>
    <row r="685" spans="1:15" ht="15.75" customHeight="1" x14ac:dyDescent="0.25">
      <c r="A685" s="16" t="s">
        <v>30</v>
      </c>
      <c r="B685" s="16">
        <v>654184</v>
      </c>
      <c r="C685" s="16">
        <v>655002</v>
      </c>
      <c r="E685" s="16" t="s">
        <v>57</v>
      </c>
      <c r="F685" s="16" t="s">
        <v>2237</v>
      </c>
      <c r="I685" s="16" t="s">
        <v>50</v>
      </c>
      <c r="L685" s="16" t="s">
        <v>2238</v>
      </c>
      <c r="M685" s="16" t="s">
        <v>2237</v>
      </c>
      <c r="N685" s="16">
        <v>272</v>
      </c>
      <c r="O685" s="16" t="s">
        <v>2239</v>
      </c>
    </row>
    <row r="686" spans="1:15" ht="15.75" customHeight="1" x14ac:dyDescent="0.25">
      <c r="A686" s="16" t="s">
        <v>30</v>
      </c>
      <c r="B686" s="16">
        <v>655405</v>
      </c>
      <c r="C686" s="16">
        <v>656409</v>
      </c>
      <c r="E686" s="16" t="s">
        <v>48</v>
      </c>
      <c r="F686" s="16" t="s">
        <v>2240</v>
      </c>
      <c r="I686" s="16" t="s">
        <v>50</v>
      </c>
      <c r="L686" s="16" t="s">
        <v>2241</v>
      </c>
      <c r="M686" s="16" t="s">
        <v>2240</v>
      </c>
      <c r="N686" s="16">
        <v>334</v>
      </c>
      <c r="O686" s="16" t="s">
        <v>2242</v>
      </c>
    </row>
    <row r="687" spans="1:15" ht="15.75" customHeight="1" x14ac:dyDescent="0.25">
      <c r="A687" s="16" t="s">
        <v>30</v>
      </c>
      <c r="B687" s="16">
        <v>656419</v>
      </c>
      <c r="C687" s="16">
        <v>657351</v>
      </c>
      <c r="E687" s="16" t="s">
        <v>48</v>
      </c>
      <c r="F687" s="16" t="s">
        <v>2243</v>
      </c>
      <c r="G687" s="16" t="s">
        <v>2244</v>
      </c>
      <c r="I687" s="16" t="s">
        <v>50</v>
      </c>
      <c r="L687" s="16" t="s">
        <v>2245</v>
      </c>
      <c r="M687" s="16" t="s">
        <v>2243</v>
      </c>
      <c r="N687" s="16">
        <v>310</v>
      </c>
      <c r="O687" s="16" t="s">
        <v>2246</v>
      </c>
    </row>
    <row r="688" spans="1:15" ht="15.75" customHeight="1" x14ac:dyDescent="0.25">
      <c r="A688" s="16" t="s">
        <v>30</v>
      </c>
      <c r="B688" s="16">
        <v>657456</v>
      </c>
      <c r="C688" s="16">
        <v>658985</v>
      </c>
      <c r="E688" s="16" t="s">
        <v>48</v>
      </c>
      <c r="F688" s="16" t="s">
        <v>2247</v>
      </c>
      <c r="I688" s="16" t="s">
        <v>50</v>
      </c>
      <c r="L688" s="16" t="s">
        <v>2248</v>
      </c>
      <c r="M688" s="16" t="s">
        <v>2247</v>
      </c>
      <c r="N688" s="16">
        <v>509</v>
      </c>
      <c r="O688" s="16" t="s">
        <v>2249</v>
      </c>
    </row>
    <row r="689" spans="1:15" ht="15.75" customHeight="1" x14ac:dyDescent="0.25">
      <c r="A689" s="16" t="s">
        <v>30</v>
      </c>
      <c r="B689" s="16">
        <v>659397</v>
      </c>
      <c r="C689" s="16">
        <v>659612</v>
      </c>
      <c r="E689" s="16" t="s">
        <v>48</v>
      </c>
      <c r="F689" s="16" t="s">
        <v>2250</v>
      </c>
      <c r="I689" s="16" t="s">
        <v>50</v>
      </c>
      <c r="L689" s="16" t="s">
        <v>2251</v>
      </c>
      <c r="M689" s="16" t="s">
        <v>2250</v>
      </c>
      <c r="N689" s="16">
        <v>71</v>
      </c>
      <c r="O689" s="16" t="s">
        <v>2252</v>
      </c>
    </row>
    <row r="690" spans="1:15" ht="15.75" customHeight="1" x14ac:dyDescent="0.25">
      <c r="A690" s="16" t="s">
        <v>30</v>
      </c>
      <c r="B690" s="16">
        <v>659522</v>
      </c>
      <c r="C690" s="16">
        <v>662659</v>
      </c>
      <c r="E690" s="16" t="s">
        <v>48</v>
      </c>
      <c r="F690" s="16" t="s">
        <v>132</v>
      </c>
      <c r="I690" s="16" t="s">
        <v>133</v>
      </c>
      <c r="O690" s="16" t="s">
        <v>2253</v>
      </c>
    </row>
    <row r="691" spans="1:15" ht="15.75" customHeight="1" x14ac:dyDescent="0.25">
      <c r="A691" s="16" t="s">
        <v>30</v>
      </c>
      <c r="B691" s="16">
        <v>662785</v>
      </c>
      <c r="C691" s="16">
        <v>663453</v>
      </c>
      <c r="E691" s="16" t="s">
        <v>57</v>
      </c>
      <c r="F691" s="16" t="s">
        <v>2254</v>
      </c>
      <c r="I691" s="16" t="s">
        <v>50</v>
      </c>
      <c r="L691" s="16" t="s">
        <v>2255</v>
      </c>
      <c r="M691" s="16" t="s">
        <v>2254</v>
      </c>
      <c r="N691" s="16">
        <v>222</v>
      </c>
      <c r="O691" s="16" t="s">
        <v>2256</v>
      </c>
    </row>
    <row r="692" spans="1:15" ht="15.75" customHeight="1" x14ac:dyDescent="0.25">
      <c r="A692" s="16" t="s">
        <v>30</v>
      </c>
      <c r="B692" s="16">
        <v>663735</v>
      </c>
      <c r="C692" s="16">
        <v>664439</v>
      </c>
      <c r="E692" s="16" t="s">
        <v>48</v>
      </c>
      <c r="F692" s="16" t="s">
        <v>2257</v>
      </c>
      <c r="G692" s="16" t="s">
        <v>2258</v>
      </c>
      <c r="I692" s="16" t="s">
        <v>50</v>
      </c>
      <c r="L692" s="16" t="s">
        <v>2259</v>
      </c>
      <c r="M692" s="16" t="s">
        <v>2257</v>
      </c>
      <c r="N692" s="16">
        <v>234</v>
      </c>
      <c r="O692" s="16" t="s">
        <v>2260</v>
      </c>
    </row>
    <row r="693" spans="1:15" ht="15.75" customHeight="1" x14ac:dyDescent="0.25">
      <c r="A693" s="16" t="s">
        <v>30</v>
      </c>
      <c r="B693" s="16">
        <v>664457</v>
      </c>
      <c r="C693" s="16">
        <v>665752</v>
      </c>
      <c r="E693" s="16" t="s">
        <v>48</v>
      </c>
      <c r="F693" s="16" t="s">
        <v>2261</v>
      </c>
      <c r="G693" s="16" t="s">
        <v>2262</v>
      </c>
      <c r="I693" s="16" t="s">
        <v>50</v>
      </c>
      <c r="L693" s="16" t="s">
        <v>2263</v>
      </c>
      <c r="M693" s="16" t="s">
        <v>2261</v>
      </c>
      <c r="N693" s="16">
        <v>431</v>
      </c>
      <c r="O693" s="16" t="s">
        <v>2264</v>
      </c>
    </row>
    <row r="694" spans="1:15" ht="15.75" customHeight="1" x14ac:dyDescent="0.25">
      <c r="A694" s="16" t="s">
        <v>30</v>
      </c>
      <c r="B694" s="16">
        <v>665824</v>
      </c>
      <c r="C694" s="16">
        <v>667095</v>
      </c>
      <c r="E694" s="16" t="s">
        <v>48</v>
      </c>
      <c r="F694" s="16" t="s">
        <v>2265</v>
      </c>
      <c r="I694" s="16" t="s">
        <v>50</v>
      </c>
      <c r="L694" s="16" t="s">
        <v>2266</v>
      </c>
      <c r="M694" s="16" t="s">
        <v>2265</v>
      </c>
      <c r="N694" s="16">
        <v>423</v>
      </c>
      <c r="O694" s="16" t="s">
        <v>2267</v>
      </c>
    </row>
    <row r="695" spans="1:15" ht="15.75" customHeight="1" x14ac:dyDescent="0.25">
      <c r="A695" s="16" t="s">
        <v>30</v>
      </c>
      <c r="B695" s="16">
        <v>667188</v>
      </c>
      <c r="C695" s="16">
        <v>669161</v>
      </c>
      <c r="E695" s="16" t="s">
        <v>48</v>
      </c>
      <c r="F695" s="16" t="s">
        <v>2268</v>
      </c>
      <c r="G695" s="16" t="s">
        <v>2269</v>
      </c>
      <c r="I695" s="16" t="s">
        <v>50</v>
      </c>
      <c r="L695" s="16" t="s">
        <v>2270</v>
      </c>
      <c r="M695" s="16" t="s">
        <v>2268</v>
      </c>
      <c r="N695" s="16">
        <v>657</v>
      </c>
      <c r="O695" s="16" t="s">
        <v>2271</v>
      </c>
    </row>
    <row r="696" spans="1:15" ht="15.75" customHeight="1" x14ac:dyDescent="0.25">
      <c r="A696" s="16" t="s">
        <v>30</v>
      </c>
      <c r="B696" s="16">
        <v>670003</v>
      </c>
      <c r="C696" s="16">
        <v>671892</v>
      </c>
      <c r="E696" s="16" t="s">
        <v>48</v>
      </c>
      <c r="F696" s="16" t="s">
        <v>2272</v>
      </c>
      <c r="G696" s="16" t="s">
        <v>2273</v>
      </c>
      <c r="I696" s="16" t="s">
        <v>50</v>
      </c>
      <c r="L696" s="16" t="s">
        <v>2274</v>
      </c>
      <c r="M696" s="16" t="s">
        <v>2272</v>
      </c>
      <c r="N696" s="16">
        <v>629</v>
      </c>
      <c r="O696" s="16" t="s">
        <v>2275</v>
      </c>
    </row>
    <row r="697" spans="1:15" ht="15.75" customHeight="1" x14ac:dyDescent="0.25">
      <c r="A697" s="16" t="s">
        <v>30</v>
      </c>
      <c r="B697" s="16">
        <v>672074</v>
      </c>
      <c r="C697" s="16">
        <v>672448</v>
      </c>
      <c r="E697" s="16" t="s">
        <v>48</v>
      </c>
      <c r="F697" s="16" t="s">
        <v>2276</v>
      </c>
      <c r="G697" s="16" t="s">
        <v>2277</v>
      </c>
      <c r="I697" s="16" t="s">
        <v>50</v>
      </c>
      <c r="L697" s="16" t="s">
        <v>2278</v>
      </c>
      <c r="M697" s="16" t="s">
        <v>2276</v>
      </c>
      <c r="N697" s="16">
        <v>124</v>
      </c>
      <c r="O697" s="16" t="s">
        <v>2279</v>
      </c>
    </row>
    <row r="698" spans="1:15" ht="15.75" customHeight="1" x14ac:dyDescent="0.25">
      <c r="A698" s="16" t="s">
        <v>30</v>
      </c>
      <c r="B698" s="16">
        <v>672606</v>
      </c>
      <c r="C698" s="16">
        <v>673076</v>
      </c>
      <c r="E698" s="16" t="s">
        <v>48</v>
      </c>
      <c r="F698" s="16" t="s">
        <v>2280</v>
      </c>
      <c r="G698" s="16" t="s">
        <v>2281</v>
      </c>
      <c r="I698" s="16" t="s">
        <v>50</v>
      </c>
      <c r="L698" s="16" t="s">
        <v>2282</v>
      </c>
      <c r="M698" s="16" t="s">
        <v>2280</v>
      </c>
      <c r="N698" s="16">
        <v>156</v>
      </c>
      <c r="O698" s="16" t="s">
        <v>2283</v>
      </c>
    </row>
    <row r="699" spans="1:15" ht="15.75" customHeight="1" x14ac:dyDescent="0.25">
      <c r="A699" s="16" t="s">
        <v>30</v>
      </c>
      <c r="B699" s="16">
        <v>673160</v>
      </c>
      <c r="C699" s="16">
        <v>675262</v>
      </c>
      <c r="E699" s="16" t="s">
        <v>48</v>
      </c>
      <c r="F699" s="16" t="s">
        <v>2284</v>
      </c>
      <c r="G699" s="16" t="s">
        <v>2285</v>
      </c>
      <c r="I699" s="16" t="s">
        <v>50</v>
      </c>
      <c r="L699" s="16" t="s">
        <v>2286</v>
      </c>
      <c r="M699" s="16" t="s">
        <v>2284</v>
      </c>
      <c r="N699" s="16">
        <v>700</v>
      </c>
      <c r="O699" s="16" t="s">
        <v>2287</v>
      </c>
    </row>
    <row r="700" spans="1:15" ht="15.75" customHeight="1" x14ac:dyDescent="0.25">
      <c r="A700" s="16" t="s">
        <v>30</v>
      </c>
      <c r="B700" s="16">
        <v>675327</v>
      </c>
      <c r="C700" s="16">
        <v>676511</v>
      </c>
      <c r="E700" s="16" t="s">
        <v>48</v>
      </c>
      <c r="F700" s="16" t="s">
        <v>2164</v>
      </c>
      <c r="G700" s="16" t="s">
        <v>2165</v>
      </c>
      <c r="I700" s="16" t="s">
        <v>50</v>
      </c>
      <c r="L700" s="16" t="s">
        <v>2288</v>
      </c>
      <c r="M700" s="16" t="s">
        <v>2164</v>
      </c>
      <c r="N700" s="16">
        <v>394</v>
      </c>
      <c r="O700" s="16" t="s">
        <v>2289</v>
      </c>
    </row>
    <row r="701" spans="1:15" ht="15.75" customHeight="1" x14ac:dyDescent="0.25">
      <c r="A701" s="16" t="s">
        <v>30</v>
      </c>
      <c r="B701" s="16">
        <v>676856</v>
      </c>
      <c r="C701" s="16">
        <v>677044</v>
      </c>
      <c r="E701" s="16" t="s">
        <v>48</v>
      </c>
      <c r="F701" s="16" t="s">
        <v>132</v>
      </c>
      <c r="I701" s="16" t="s">
        <v>133</v>
      </c>
      <c r="O701" s="16" t="s">
        <v>2290</v>
      </c>
    </row>
    <row r="702" spans="1:15" ht="15.75" customHeight="1" x14ac:dyDescent="0.25">
      <c r="A702" s="16" t="s">
        <v>30</v>
      </c>
      <c r="B702" s="16">
        <v>676971</v>
      </c>
      <c r="C702" s="16">
        <v>677315</v>
      </c>
      <c r="E702" s="16" t="s">
        <v>48</v>
      </c>
      <c r="F702" s="16" t="s">
        <v>2291</v>
      </c>
      <c r="I702" s="16" t="s">
        <v>50</v>
      </c>
      <c r="L702" s="16" t="s">
        <v>2292</v>
      </c>
      <c r="M702" s="16" t="s">
        <v>2291</v>
      </c>
      <c r="N702" s="16">
        <v>114</v>
      </c>
      <c r="O702" s="16" t="s">
        <v>2293</v>
      </c>
    </row>
    <row r="703" spans="1:15" ht="15.75" customHeight="1" x14ac:dyDescent="0.25">
      <c r="A703" s="16" t="s">
        <v>30</v>
      </c>
      <c r="B703" s="16">
        <v>677312</v>
      </c>
      <c r="C703" s="16">
        <v>677488</v>
      </c>
      <c r="E703" s="16" t="s">
        <v>48</v>
      </c>
      <c r="F703" s="16" t="s">
        <v>2291</v>
      </c>
      <c r="I703" s="16" t="s">
        <v>50</v>
      </c>
      <c r="L703" s="16" t="s">
        <v>2294</v>
      </c>
      <c r="M703" s="16" t="s">
        <v>2291</v>
      </c>
      <c r="N703" s="16">
        <v>58</v>
      </c>
      <c r="O703" s="16" t="s">
        <v>2295</v>
      </c>
    </row>
    <row r="704" spans="1:15" ht="15.75" customHeight="1" x14ac:dyDescent="0.25">
      <c r="A704" s="16" t="s">
        <v>30</v>
      </c>
      <c r="B704" s="16">
        <v>677491</v>
      </c>
      <c r="C704" s="16">
        <v>678480</v>
      </c>
      <c r="E704" s="16" t="s">
        <v>48</v>
      </c>
      <c r="F704" s="16" t="s">
        <v>2296</v>
      </c>
      <c r="G704" s="16" t="s">
        <v>2297</v>
      </c>
      <c r="I704" s="16" t="s">
        <v>50</v>
      </c>
      <c r="L704" s="16" t="s">
        <v>2298</v>
      </c>
      <c r="M704" s="16" t="s">
        <v>2296</v>
      </c>
      <c r="N704" s="16">
        <v>329</v>
      </c>
      <c r="O704" s="16" t="s">
        <v>2299</v>
      </c>
    </row>
    <row r="705" spans="1:15" ht="15.75" customHeight="1" x14ac:dyDescent="0.25">
      <c r="A705" s="16" t="s">
        <v>30</v>
      </c>
      <c r="B705" s="16">
        <v>678529</v>
      </c>
      <c r="C705" s="16">
        <v>678819</v>
      </c>
      <c r="E705" s="16" t="s">
        <v>57</v>
      </c>
      <c r="F705" s="16" t="s">
        <v>1559</v>
      </c>
      <c r="I705" s="16" t="s">
        <v>50</v>
      </c>
      <c r="L705" s="16" t="s">
        <v>2300</v>
      </c>
      <c r="M705" s="16" t="s">
        <v>1559</v>
      </c>
      <c r="N705" s="16">
        <v>96</v>
      </c>
      <c r="O705" s="16" t="s">
        <v>2301</v>
      </c>
    </row>
    <row r="706" spans="1:15" ht="15.75" customHeight="1" x14ac:dyDescent="0.25">
      <c r="A706" s="16" t="s">
        <v>30</v>
      </c>
      <c r="B706" s="16">
        <v>678841</v>
      </c>
      <c r="C706" s="16">
        <v>679845</v>
      </c>
      <c r="E706" s="16" t="s">
        <v>57</v>
      </c>
      <c r="F706" s="16" t="s">
        <v>2302</v>
      </c>
      <c r="G706" s="16" t="s">
        <v>2303</v>
      </c>
      <c r="I706" s="16" t="s">
        <v>50</v>
      </c>
      <c r="L706" s="16" t="s">
        <v>2304</v>
      </c>
      <c r="M706" s="16" t="s">
        <v>2302</v>
      </c>
      <c r="N706" s="16">
        <v>334</v>
      </c>
      <c r="O706" s="16" t="s">
        <v>2305</v>
      </c>
    </row>
    <row r="707" spans="1:15" ht="15.75" customHeight="1" x14ac:dyDescent="0.25">
      <c r="A707" s="16" t="s">
        <v>30</v>
      </c>
      <c r="B707" s="16">
        <v>679974</v>
      </c>
      <c r="C707" s="16">
        <v>680591</v>
      </c>
      <c r="E707" s="16" t="s">
        <v>48</v>
      </c>
      <c r="F707" s="16" t="s">
        <v>2306</v>
      </c>
      <c r="G707" s="16" t="s">
        <v>2307</v>
      </c>
      <c r="I707" s="16" t="s">
        <v>50</v>
      </c>
      <c r="L707" s="16" t="s">
        <v>2308</v>
      </c>
      <c r="M707" s="16" t="s">
        <v>2306</v>
      </c>
      <c r="N707" s="16">
        <v>205</v>
      </c>
      <c r="O707" s="16" t="s">
        <v>2309</v>
      </c>
    </row>
    <row r="708" spans="1:15" ht="15.75" customHeight="1" x14ac:dyDescent="0.25">
      <c r="A708" s="16" t="s">
        <v>30</v>
      </c>
      <c r="B708" s="16">
        <v>680614</v>
      </c>
      <c r="C708" s="16">
        <v>681984</v>
      </c>
      <c r="E708" s="16" t="s">
        <v>48</v>
      </c>
      <c r="F708" s="16" t="s">
        <v>2310</v>
      </c>
      <c r="G708" s="16" t="s">
        <v>2311</v>
      </c>
      <c r="I708" s="16" t="s">
        <v>50</v>
      </c>
      <c r="L708" s="16" t="s">
        <v>2312</v>
      </c>
      <c r="M708" s="16" t="s">
        <v>2310</v>
      </c>
      <c r="N708" s="16">
        <v>456</v>
      </c>
      <c r="O708" s="16" t="s">
        <v>2313</v>
      </c>
    </row>
    <row r="709" spans="1:15" ht="15.75" customHeight="1" x14ac:dyDescent="0.25">
      <c r="A709" s="16" t="s">
        <v>30</v>
      </c>
      <c r="B709" s="16">
        <v>682256</v>
      </c>
      <c r="C709" s="16">
        <v>682747</v>
      </c>
      <c r="E709" s="16" t="s">
        <v>48</v>
      </c>
      <c r="F709" s="16" t="s">
        <v>2314</v>
      </c>
      <c r="G709" s="16" t="s">
        <v>2315</v>
      </c>
      <c r="I709" s="16" t="s">
        <v>50</v>
      </c>
      <c r="L709" s="16" t="s">
        <v>2316</v>
      </c>
      <c r="M709" s="16" t="s">
        <v>2314</v>
      </c>
      <c r="N709" s="16">
        <v>163</v>
      </c>
      <c r="O709" s="16" t="s">
        <v>2317</v>
      </c>
    </row>
    <row r="710" spans="1:15" ht="15.75" customHeight="1" x14ac:dyDescent="0.25">
      <c r="A710" s="16" t="s">
        <v>30</v>
      </c>
      <c r="B710" s="16">
        <v>682802</v>
      </c>
      <c r="C710" s="16">
        <v>683173</v>
      </c>
      <c r="E710" s="16" t="s">
        <v>48</v>
      </c>
      <c r="F710" s="16" t="s">
        <v>2318</v>
      </c>
      <c r="G710" s="16" t="s">
        <v>2319</v>
      </c>
      <c r="I710" s="16" t="s">
        <v>50</v>
      </c>
      <c r="L710" s="16" t="s">
        <v>2320</v>
      </c>
      <c r="M710" s="16" t="s">
        <v>2318</v>
      </c>
      <c r="N710" s="16">
        <v>123</v>
      </c>
      <c r="O710" s="16" t="s">
        <v>2321</v>
      </c>
    </row>
    <row r="711" spans="1:15" ht="15.75" customHeight="1" x14ac:dyDescent="0.25">
      <c r="A711" s="16" t="s">
        <v>30</v>
      </c>
      <c r="B711" s="16">
        <v>683331</v>
      </c>
      <c r="C711" s="16">
        <v>684701</v>
      </c>
      <c r="E711" s="16" t="s">
        <v>48</v>
      </c>
      <c r="F711" s="16" t="s">
        <v>2322</v>
      </c>
      <c r="G711" s="16" t="s">
        <v>2323</v>
      </c>
      <c r="I711" s="16" t="s">
        <v>50</v>
      </c>
      <c r="L711" s="16" t="s">
        <v>2324</v>
      </c>
      <c r="M711" s="16" t="s">
        <v>2322</v>
      </c>
      <c r="N711" s="16">
        <v>456</v>
      </c>
      <c r="O711" s="16" t="s">
        <v>2325</v>
      </c>
    </row>
    <row r="712" spans="1:15" ht="15.75" customHeight="1" x14ac:dyDescent="0.25">
      <c r="A712" s="16" t="s">
        <v>30</v>
      </c>
      <c r="B712" s="16">
        <v>684742</v>
      </c>
      <c r="C712" s="16">
        <v>685053</v>
      </c>
      <c r="E712" s="16" t="s">
        <v>57</v>
      </c>
      <c r="F712" s="16" t="s">
        <v>2326</v>
      </c>
      <c r="I712" s="16" t="s">
        <v>50</v>
      </c>
      <c r="L712" s="16" t="s">
        <v>2327</v>
      </c>
      <c r="M712" s="16" t="s">
        <v>2326</v>
      </c>
      <c r="N712" s="16">
        <v>103</v>
      </c>
      <c r="O712" s="16" t="s">
        <v>2328</v>
      </c>
    </row>
    <row r="713" spans="1:15" ht="15.75" customHeight="1" x14ac:dyDescent="0.25">
      <c r="A713" s="16" t="s">
        <v>30</v>
      </c>
      <c r="B713" s="16">
        <v>685149</v>
      </c>
      <c r="C713" s="16">
        <v>685225</v>
      </c>
      <c r="E713" s="16" t="s">
        <v>57</v>
      </c>
      <c r="F713" s="16" t="s">
        <v>407</v>
      </c>
      <c r="I713" s="16" t="s">
        <v>290</v>
      </c>
      <c r="O713" s="16" t="s">
        <v>2329</v>
      </c>
    </row>
    <row r="714" spans="1:15" ht="15.75" customHeight="1" x14ac:dyDescent="0.25">
      <c r="A714" s="16" t="s">
        <v>30</v>
      </c>
      <c r="B714" s="16">
        <v>685283</v>
      </c>
      <c r="C714" s="16">
        <v>685359</v>
      </c>
      <c r="E714" s="16" t="s">
        <v>57</v>
      </c>
      <c r="F714" s="16" t="s">
        <v>407</v>
      </c>
      <c r="I714" s="16" t="s">
        <v>290</v>
      </c>
      <c r="O714" s="16" t="s">
        <v>2330</v>
      </c>
    </row>
    <row r="715" spans="1:15" ht="15.75" customHeight="1" x14ac:dyDescent="0.25">
      <c r="A715" s="16" t="s">
        <v>30</v>
      </c>
      <c r="B715" s="16">
        <v>685380</v>
      </c>
      <c r="C715" s="16">
        <v>685474</v>
      </c>
      <c r="E715" s="16" t="s">
        <v>57</v>
      </c>
      <c r="F715" s="16" t="s">
        <v>905</v>
      </c>
      <c r="I715" s="16" t="s">
        <v>290</v>
      </c>
      <c r="O715" s="16" t="s">
        <v>2331</v>
      </c>
    </row>
    <row r="716" spans="1:15" ht="15.75" customHeight="1" x14ac:dyDescent="0.25">
      <c r="A716" s="16" t="s">
        <v>30</v>
      </c>
      <c r="B716" s="16">
        <v>685757</v>
      </c>
      <c r="C716" s="16">
        <v>688234</v>
      </c>
      <c r="E716" s="16" t="s">
        <v>57</v>
      </c>
      <c r="F716" s="16" t="s">
        <v>2332</v>
      </c>
      <c r="G716" s="16" t="s">
        <v>2333</v>
      </c>
      <c r="I716" s="16" t="s">
        <v>50</v>
      </c>
      <c r="L716" s="16" t="s">
        <v>2334</v>
      </c>
      <c r="M716" s="16" t="s">
        <v>2332</v>
      </c>
      <c r="N716" s="16">
        <v>825</v>
      </c>
      <c r="O716" s="16" t="s">
        <v>2335</v>
      </c>
    </row>
    <row r="717" spans="1:15" ht="15.75" customHeight="1" x14ac:dyDescent="0.25">
      <c r="A717" s="16" t="s">
        <v>30</v>
      </c>
      <c r="B717" s="16">
        <v>688263</v>
      </c>
      <c r="C717" s="16">
        <v>689363</v>
      </c>
      <c r="E717" s="16" t="s">
        <v>57</v>
      </c>
      <c r="F717" s="16" t="s">
        <v>2336</v>
      </c>
      <c r="I717" s="16" t="s">
        <v>50</v>
      </c>
      <c r="L717" s="16" t="s">
        <v>2337</v>
      </c>
      <c r="M717" s="16" t="s">
        <v>2336</v>
      </c>
      <c r="N717" s="16">
        <v>366</v>
      </c>
      <c r="O717" s="16" t="s">
        <v>2338</v>
      </c>
    </row>
    <row r="718" spans="1:15" ht="15.75" customHeight="1" x14ac:dyDescent="0.25">
      <c r="A718" s="16" t="s">
        <v>30</v>
      </c>
      <c r="B718" s="16">
        <v>689519</v>
      </c>
      <c r="C718" s="16">
        <v>690460</v>
      </c>
      <c r="E718" s="16" t="s">
        <v>57</v>
      </c>
      <c r="F718" s="16" t="s">
        <v>2339</v>
      </c>
      <c r="I718" s="16" t="s">
        <v>50</v>
      </c>
      <c r="L718" s="16" t="s">
        <v>2340</v>
      </c>
      <c r="M718" s="16" t="s">
        <v>2339</v>
      </c>
      <c r="N718" s="16">
        <v>313</v>
      </c>
      <c r="O718" s="16" t="s">
        <v>2341</v>
      </c>
    </row>
    <row r="719" spans="1:15" ht="15.75" customHeight="1" x14ac:dyDescent="0.25">
      <c r="A719" s="16" t="s">
        <v>30</v>
      </c>
      <c r="B719" s="16">
        <v>690515</v>
      </c>
      <c r="C719" s="16">
        <v>691630</v>
      </c>
      <c r="E719" s="16" t="s">
        <v>57</v>
      </c>
      <c r="F719" s="16" t="s">
        <v>2342</v>
      </c>
      <c r="G719" s="16" t="s">
        <v>558</v>
      </c>
      <c r="I719" s="16" t="s">
        <v>50</v>
      </c>
      <c r="L719" s="16" t="s">
        <v>2343</v>
      </c>
      <c r="M719" s="16" t="s">
        <v>2342</v>
      </c>
      <c r="N719" s="16">
        <v>371</v>
      </c>
      <c r="O719" s="16" t="s">
        <v>2344</v>
      </c>
    </row>
    <row r="720" spans="1:15" ht="15.75" customHeight="1" x14ac:dyDescent="0.25">
      <c r="A720" s="16" t="s">
        <v>30</v>
      </c>
      <c r="B720" s="16">
        <v>691796</v>
      </c>
      <c r="C720" s="16">
        <v>692512</v>
      </c>
      <c r="E720" s="16" t="s">
        <v>57</v>
      </c>
      <c r="F720" s="16" t="s">
        <v>2345</v>
      </c>
      <c r="I720" s="16" t="s">
        <v>50</v>
      </c>
      <c r="L720" s="16" t="s">
        <v>2346</v>
      </c>
      <c r="M720" s="16" t="s">
        <v>2345</v>
      </c>
      <c r="N720" s="16">
        <v>238</v>
      </c>
      <c r="O720" s="16" t="s">
        <v>2347</v>
      </c>
    </row>
    <row r="721" spans="1:15" ht="15.75" customHeight="1" x14ac:dyDescent="0.25">
      <c r="A721" s="16" t="s">
        <v>30</v>
      </c>
      <c r="B721" s="16">
        <v>692790</v>
      </c>
      <c r="C721" s="16">
        <v>693368</v>
      </c>
      <c r="E721" s="16" t="s">
        <v>57</v>
      </c>
      <c r="F721" s="16" t="s">
        <v>2348</v>
      </c>
      <c r="I721" s="16" t="s">
        <v>50</v>
      </c>
      <c r="L721" s="16" t="s">
        <v>2349</v>
      </c>
      <c r="M721" s="16" t="s">
        <v>2348</v>
      </c>
      <c r="N721" s="16">
        <v>192</v>
      </c>
      <c r="O721" s="16" t="s">
        <v>2350</v>
      </c>
    </row>
    <row r="722" spans="1:15" ht="15.75" customHeight="1" x14ac:dyDescent="0.25">
      <c r="A722" s="16" t="s">
        <v>30</v>
      </c>
      <c r="B722" s="16">
        <v>693480</v>
      </c>
      <c r="C722" s="16">
        <v>694367</v>
      </c>
      <c r="E722" s="16" t="s">
        <v>48</v>
      </c>
      <c r="F722" s="16" t="s">
        <v>2351</v>
      </c>
      <c r="I722" s="16" t="s">
        <v>50</v>
      </c>
      <c r="L722" s="16" t="s">
        <v>2352</v>
      </c>
      <c r="M722" s="16" t="s">
        <v>2351</v>
      </c>
      <c r="N722" s="16">
        <v>295</v>
      </c>
      <c r="O722" s="16" t="s">
        <v>2353</v>
      </c>
    </row>
    <row r="723" spans="1:15" ht="15.75" customHeight="1" x14ac:dyDescent="0.25">
      <c r="A723" s="16" t="s">
        <v>30</v>
      </c>
      <c r="B723" s="16">
        <v>694466</v>
      </c>
      <c r="C723" s="16">
        <v>696481</v>
      </c>
      <c r="E723" s="16" t="s">
        <v>57</v>
      </c>
      <c r="F723" s="16" t="s">
        <v>2354</v>
      </c>
      <c r="G723" s="16" t="s">
        <v>2355</v>
      </c>
      <c r="I723" s="16" t="s">
        <v>50</v>
      </c>
      <c r="L723" s="16" t="s">
        <v>2356</v>
      </c>
      <c r="M723" s="16" t="s">
        <v>2354</v>
      </c>
      <c r="N723" s="16">
        <v>671</v>
      </c>
      <c r="O723" s="16" t="s">
        <v>2357</v>
      </c>
    </row>
    <row r="724" spans="1:15" ht="15.75" customHeight="1" x14ac:dyDescent="0.25">
      <c r="A724" s="16" t="s">
        <v>30</v>
      </c>
      <c r="B724" s="16">
        <v>696487</v>
      </c>
      <c r="C724" s="16">
        <v>696699</v>
      </c>
      <c r="E724" s="16" t="s">
        <v>57</v>
      </c>
      <c r="F724" s="16" t="s">
        <v>2358</v>
      </c>
      <c r="I724" s="16" t="s">
        <v>50</v>
      </c>
      <c r="L724" s="16" t="s">
        <v>2359</v>
      </c>
      <c r="M724" s="16" t="s">
        <v>2358</v>
      </c>
      <c r="N724" s="16">
        <v>70</v>
      </c>
      <c r="O724" s="16" t="s">
        <v>2360</v>
      </c>
    </row>
    <row r="725" spans="1:15" ht="15.75" customHeight="1" x14ac:dyDescent="0.25">
      <c r="A725" s="16" t="s">
        <v>30</v>
      </c>
      <c r="B725" s="16">
        <v>696696</v>
      </c>
      <c r="C725" s="16">
        <v>697166</v>
      </c>
      <c r="E725" s="16" t="s">
        <v>57</v>
      </c>
      <c r="F725" s="16" t="s">
        <v>2361</v>
      </c>
      <c r="G725" s="16" t="s">
        <v>2362</v>
      </c>
      <c r="I725" s="16" t="s">
        <v>50</v>
      </c>
      <c r="L725" s="16" t="s">
        <v>2363</v>
      </c>
      <c r="M725" s="16" t="s">
        <v>2361</v>
      </c>
      <c r="N725" s="16">
        <v>156</v>
      </c>
      <c r="O725" s="16" t="s">
        <v>2364</v>
      </c>
    </row>
    <row r="726" spans="1:15" ht="15.75" customHeight="1" x14ac:dyDescent="0.25">
      <c r="A726" s="16" t="s">
        <v>30</v>
      </c>
      <c r="B726" s="16">
        <v>697163</v>
      </c>
      <c r="C726" s="16">
        <v>698446</v>
      </c>
      <c r="E726" s="16" t="s">
        <v>57</v>
      </c>
      <c r="F726" s="16" t="s">
        <v>2365</v>
      </c>
      <c r="G726" s="16" t="s">
        <v>2366</v>
      </c>
      <c r="I726" s="16" t="s">
        <v>50</v>
      </c>
      <c r="L726" s="16" t="s">
        <v>2367</v>
      </c>
      <c r="M726" s="16" t="s">
        <v>2365</v>
      </c>
      <c r="N726" s="16">
        <v>427</v>
      </c>
      <c r="O726" s="16" t="s">
        <v>2368</v>
      </c>
    </row>
    <row r="727" spans="1:15" ht="15.75" customHeight="1" x14ac:dyDescent="0.25">
      <c r="A727" s="16" t="s">
        <v>30</v>
      </c>
      <c r="B727" s="16">
        <v>698509</v>
      </c>
      <c r="C727" s="16">
        <v>699273</v>
      </c>
      <c r="E727" s="16" t="s">
        <v>48</v>
      </c>
      <c r="F727" s="16" t="s">
        <v>2369</v>
      </c>
      <c r="I727" s="16" t="s">
        <v>50</v>
      </c>
      <c r="L727" s="16" t="s">
        <v>2370</v>
      </c>
      <c r="M727" s="16" t="s">
        <v>2369</v>
      </c>
      <c r="N727" s="16">
        <v>254</v>
      </c>
      <c r="O727" s="16" t="s">
        <v>2371</v>
      </c>
    </row>
    <row r="728" spans="1:15" ht="15.75" customHeight="1" x14ac:dyDescent="0.25">
      <c r="A728" s="16" t="s">
        <v>30</v>
      </c>
      <c r="B728" s="16">
        <v>699270</v>
      </c>
      <c r="C728" s="16">
        <v>699833</v>
      </c>
      <c r="E728" s="16" t="s">
        <v>57</v>
      </c>
      <c r="F728" s="16" t="s">
        <v>2372</v>
      </c>
      <c r="I728" s="16" t="s">
        <v>50</v>
      </c>
      <c r="L728" s="16" t="s">
        <v>2373</v>
      </c>
      <c r="M728" s="16" t="s">
        <v>2372</v>
      </c>
      <c r="N728" s="16">
        <v>187</v>
      </c>
      <c r="O728" s="16" t="s">
        <v>2374</v>
      </c>
    </row>
    <row r="729" spans="1:15" ht="15.75" customHeight="1" x14ac:dyDescent="0.25">
      <c r="A729" s="16" t="s">
        <v>30</v>
      </c>
      <c r="B729" s="16">
        <v>699948</v>
      </c>
      <c r="C729" s="16">
        <v>700700</v>
      </c>
      <c r="E729" s="16" t="s">
        <v>57</v>
      </c>
      <c r="F729" s="16" t="s">
        <v>1430</v>
      </c>
      <c r="I729" s="16" t="s">
        <v>50</v>
      </c>
      <c r="L729" s="16" t="s">
        <v>2375</v>
      </c>
      <c r="M729" s="16" t="s">
        <v>1430</v>
      </c>
      <c r="N729" s="16">
        <v>250</v>
      </c>
      <c r="O729" s="16" t="s">
        <v>2376</v>
      </c>
    </row>
    <row r="730" spans="1:15" ht="15.75" customHeight="1" x14ac:dyDescent="0.25">
      <c r="A730" s="16" t="s">
        <v>30</v>
      </c>
      <c r="B730" s="16">
        <v>700712</v>
      </c>
      <c r="C730" s="16">
        <v>701518</v>
      </c>
      <c r="E730" s="16" t="s">
        <v>57</v>
      </c>
      <c r="F730" s="16" t="s">
        <v>2377</v>
      </c>
      <c r="G730" s="16" t="s">
        <v>2378</v>
      </c>
      <c r="I730" s="16" t="s">
        <v>50</v>
      </c>
      <c r="L730" s="16" t="s">
        <v>2379</v>
      </c>
      <c r="M730" s="16" t="s">
        <v>2377</v>
      </c>
      <c r="N730" s="16">
        <v>268</v>
      </c>
      <c r="O730" s="16" t="s">
        <v>2380</v>
      </c>
    </row>
    <row r="731" spans="1:15" ht="15.75" customHeight="1" x14ac:dyDescent="0.25">
      <c r="A731" s="16" t="s">
        <v>30</v>
      </c>
      <c r="B731" s="16">
        <v>701522</v>
      </c>
      <c r="C731" s="16">
        <v>702073</v>
      </c>
      <c r="E731" s="16" t="s">
        <v>57</v>
      </c>
      <c r="F731" s="16" t="s">
        <v>2381</v>
      </c>
      <c r="I731" s="16" t="s">
        <v>50</v>
      </c>
      <c r="L731" s="16" t="s">
        <v>2382</v>
      </c>
      <c r="M731" s="16" t="s">
        <v>2381</v>
      </c>
      <c r="N731" s="16">
        <v>183</v>
      </c>
      <c r="O731" s="16" t="s">
        <v>2383</v>
      </c>
    </row>
    <row r="732" spans="1:15" ht="15.75" customHeight="1" x14ac:dyDescent="0.25">
      <c r="A732" s="16" t="s">
        <v>30</v>
      </c>
      <c r="B732" s="16">
        <v>702089</v>
      </c>
      <c r="C732" s="16">
        <v>702625</v>
      </c>
      <c r="E732" s="16" t="s">
        <v>57</v>
      </c>
      <c r="F732" s="16" t="s">
        <v>2384</v>
      </c>
      <c r="I732" s="16" t="s">
        <v>50</v>
      </c>
      <c r="L732" s="16" t="s">
        <v>2385</v>
      </c>
      <c r="M732" s="16" t="s">
        <v>2384</v>
      </c>
      <c r="N732" s="16">
        <v>178</v>
      </c>
      <c r="O732" s="16" t="s">
        <v>2386</v>
      </c>
    </row>
    <row r="733" spans="1:15" ht="15.75" customHeight="1" x14ac:dyDescent="0.25">
      <c r="A733" s="16" t="s">
        <v>30</v>
      </c>
      <c r="B733" s="16">
        <v>702635</v>
      </c>
      <c r="C733" s="16">
        <v>704551</v>
      </c>
      <c r="E733" s="16" t="s">
        <v>57</v>
      </c>
      <c r="F733" s="16" t="s">
        <v>1243</v>
      </c>
      <c r="I733" s="16" t="s">
        <v>50</v>
      </c>
      <c r="L733" s="16" t="s">
        <v>2387</v>
      </c>
      <c r="M733" s="16" t="s">
        <v>1243</v>
      </c>
      <c r="N733" s="16">
        <v>638</v>
      </c>
      <c r="O733" s="16" t="s">
        <v>2388</v>
      </c>
    </row>
    <row r="734" spans="1:15" ht="15.75" customHeight="1" x14ac:dyDescent="0.25">
      <c r="A734" s="16" t="s">
        <v>30</v>
      </c>
      <c r="B734" s="16">
        <v>704735</v>
      </c>
      <c r="C734" s="16">
        <v>705031</v>
      </c>
      <c r="E734" s="16" t="s">
        <v>57</v>
      </c>
      <c r="F734" s="16" t="s">
        <v>2389</v>
      </c>
      <c r="I734" s="16" t="s">
        <v>50</v>
      </c>
      <c r="L734" s="16" t="s">
        <v>2390</v>
      </c>
      <c r="M734" s="16" t="s">
        <v>2389</v>
      </c>
      <c r="N734" s="16">
        <v>98</v>
      </c>
      <c r="O734" s="16" t="s">
        <v>2391</v>
      </c>
    </row>
    <row r="735" spans="1:15" ht="15.75" customHeight="1" x14ac:dyDescent="0.25">
      <c r="A735" s="16" t="s">
        <v>30</v>
      </c>
      <c r="B735" s="16">
        <v>705024</v>
      </c>
      <c r="C735" s="16">
        <v>705206</v>
      </c>
      <c r="E735" s="16" t="s">
        <v>57</v>
      </c>
      <c r="F735" s="16" t="s">
        <v>132</v>
      </c>
      <c r="I735" s="16" t="s">
        <v>133</v>
      </c>
      <c r="O735" s="16" t="s">
        <v>2392</v>
      </c>
    </row>
    <row r="736" spans="1:15" ht="15.75" customHeight="1" x14ac:dyDescent="0.25">
      <c r="A736" s="16" t="s">
        <v>30</v>
      </c>
      <c r="B736" s="16">
        <v>705352</v>
      </c>
      <c r="C736" s="16">
        <v>707628</v>
      </c>
      <c r="E736" s="16" t="s">
        <v>57</v>
      </c>
      <c r="F736" s="16" t="s">
        <v>390</v>
      </c>
      <c r="I736" s="16" t="s">
        <v>50</v>
      </c>
      <c r="L736" s="16" t="s">
        <v>2393</v>
      </c>
      <c r="M736" s="16" t="s">
        <v>390</v>
      </c>
      <c r="N736" s="16">
        <v>758</v>
      </c>
      <c r="O736" s="16" t="s">
        <v>2394</v>
      </c>
    </row>
    <row r="737" spans="1:15" ht="15.75" customHeight="1" x14ac:dyDescent="0.25">
      <c r="A737" s="16" t="s">
        <v>30</v>
      </c>
      <c r="B737" s="16">
        <v>707776</v>
      </c>
      <c r="C737" s="16">
        <v>708255</v>
      </c>
      <c r="E737" s="16" t="s">
        <v>57</v>
      </c>
      <c r="F737" s="16" t="s">
        <v>132</v>
      </c>
      <c r="I737" s="16" t="s">
        <v>133</v>
      </c>
      <c r="O737" s="16" t="s">
        <v>2395</v>
      </c>
    </row>
    <row r="738" spans="1:15" ht="15.75" customHeight="1" x14ac:dyDescent="0.25">
      <c r="A738" s="16" t="s">
        <v>30</v>
      </c>
      <c r="B738" s="16">
        <v>708171</v>
      </c>
      <c r="C738" s="16">
        <v>708389</v>
      </c>
      <c r="E738" s="16" t="s">
        <v>57</v>
      </c>
      <c r="F738" s="16" t="s">
        <v>2250</v>
      </c>
      <c r="I738" s="16" t="s">
        <v>50</v>
      </c>
      <c r="L738" s="16" t="s">
        <v>2396</v>
      </c>
      <c r="M738" s="16" t="s">
        <v>2250</v>
      </c>
      <c r="N738" s="16">
        <v>72</v>
      </c>
      <c r="O738" s="16" t="s">
        <v>2397</v>
      </c>
    </row>
    <row r="739" spans="1:15" ht="15.75" customHeight="1" x14ac:dyDescent="0.25">
      <c r="A739" s="16" t="s">
        <v>30</v>
      </c>
      <c r="B739" s="16">
        <v>708688</v>
      </c>
      <c r="C739" s="16">
        <v>710433</v>
      </c>
      <c r="E739" s="16" t="s">
        <v>48</v>
      </c>
      <c r="F739" s="16" t="s">
        <v>2398</v>
      </c>
      <c r="I739" s="16" t="s">
        <v>50</v>
      </c>
      <c r="L739" s="16" t="s">
        <v>2399</v>
      </c>
      <c r="M739" s="16" t="s">
        <v>2398</v>
      </c>
      <c r="N739" s="16">
        <v>581</v>
      </c>
      <c r="O739" s="16" t="s">
        <v>2400</v>
      </c>
    </row>
    <row r="740" spans="1:15" ht="15.75" customHeight="1" x14ac:dyDescent="0.25">
      <c r="A740" s="16" t="s">
        <v>30</v>
      </c>
      <c r="B740" s="16">
        <v>710426</v>
      </c>
      <c r="C740" s="16">
        <v>712084</v>
      </c>
      <c r="E740" s="16" t="s">
        <v>48</v>
      </c>
      <c r="F740" s="16" t="s">
        <v>2401</v>
      </c>
      <c r="G740" s="16" t="s">
        <v>2402</v>
      </c>
      <c r="I740" s="16" t="s">
        <v>50</v>
      </c>
      <c r="L740" s="16" t="s">
        <v>2403</v>
      </c>
      <c r="M740" s="16" t="s">
        <v>2401</v>
      </c>
      <c r="N740" s="16">
        <v>552</v>
      </c>
      <c r="O740" s="16" t="s">
        <v>2404</v>
      </c>
    </row>
    <row r="741" spans="1:15" ht="15.75" customHeight="1" x14ac:dyDescent="0.25">
      <c r="A741" s="16" t="s">
        <v>30</v>
      </c>
      <c r="B741" s="16">
        <v>712140</v>
      </c>
      <c r="C741" s="16">
        <v>713141</v>
      </c>
      <c r="E741" s="16" t="s">
        <v>57</v>
      </c>
      <c r="F741" s="16" t="s">
        <v>2405</v>
      </c>
      <c r="G741" s="16" t="s">
        <v>2406</v>
      </c>
      <c r="I741" s="16" t="s">
        <v>50</v>
      </c>
      <c r="L741" s="16" t="s">
        <v>2407</v>
      </c>
      <c r="M741" s="16" t="s">
        <v>2405</v>
      </c>
      <c r="N741" s="16">
        <v>333</v>
      </c>
      <c r="O741" s="16" t="s">
        <v>2408</v>
      </c>
    </row>
    <row r="742" spans="1:15" ht="15.75" customHeight="1" x14ac:dyDescent="0.25">
      <c r="A742" s="16" t="s">
        <v>30</v>
      </c>
      <c r="B742" s="16">
        <v>713303</v>
      </c>
      <c r="C742" s="16">
        <v>713521</v>
      </c>
      <c r="E742" s="16" t="s">
        <v>48</v>
      </c>
      <c r="F742" s="16" t="s">
        <v>2409</v>
      </c>
      <c r="G742" s="16" t="s">
        <v>2410</v>
      </c>
      <c r="I742" s="16" t="s">
        <v>50</v>
      </c>
      <c r="L742" s="16" t="s">
        <v>2411</v>
      </c>
      <c r="M742" s="16" t="s">
        <v>2409</v>
      </c>
      <c r="N742" s="16">
        <v>72</v>
      </c>
      <c r="O742" s="16" t="s">
        <v>2412</v>
      </c>
    </row>
    <row r="743" spans="1:15" ht="15.75" customHeight="1" x14ac:dyDescent="0.25">
      <c r="A743" s="16" t="s">
        <v>30</v>
      </c>
      <c r="B743" s="16">
        <v>713620</v>
      </c>
      <c r="C743" s="16">
        <v>714060</v>
      </c>
      <c r="E743" s="16" t="s">
        <v>48</v>
      </c>
      <c r="F743" s="16" t="s">
        <v>2413</v>
      </c>
      <c r="G743" s="16" t="s">
        <v>2414</v>
      </c>
      <c r="I743" s="16" t="s">
        <v>50</v>
      </c>
      <c r="L743" s="16" t="s">
        <v>2415</v>
      </c>
      <c r="M743" s="16" t="s">
        <v>2413</v>
      </c>
      <c r="N743" s="16">
        <v>146</v>
      </c>
      <c r="O743" s="16" t="s">
        <v>2416</v>
      </c>
    </row>
    <row r="744" spans="1:15" ht="15.75" customHeight="1" x14ac:dyDescent="0.25">
      <c r="A744" s="16" t="s">
        <v>30</v>
      </c>
      <c r="B744" s="16">
        <v>714057</v>
      </c>
      <c r="C744" s="16">
        <v>714491</v>
      </c>
      <c r="E744" s="16" t="s">
        <v>48</v>
      </c>
      <c r="F744" s="16" t="s">
        <v>2417</v>
      </c>
      <c r="G744" s="16" t="s">
        <v>2418</v>
      </c>
      <c r="I744" s="16" t="s">
        <v>50</v>
      </c>
      <c r="L744" s="16" t="s">
        <v>2419</v>
      </c>
      <c r="M744" s="16" t="s">
        <v>2417</v>
      </c>
      <c r="N744" s="16">
        <v>144</v>
      </c>
      <c r="O744" s="16" t="s">
        <v>2420</v>
      </c>
    </row>
    <row r="745" spans="1:15" ht="15.75" customHeight="1" x14ac:dyDescent="0.25">
      <c r="A745" s="16" t="s">
        <v>30</v>
      </c>
      <c r="B745" s="16">
        <v>714798</v>
      </c>
      <c r="C745" s="16">
        <v>715274</v>
      </c>
      <c r="E745" s="16" t="s">
        <v>57</v>
      </c>
      <c r="F745" s="16" t="s">
        <v>2421</v>
      </c>
      <c r="G745" s="16" t="s">
        <v>2422</v>
      </c>
      <c r="I745" s="16" t="s">
        <v>50</v>
      </c>
      <c r="L745" s="16" t="s">
        <v>2423</v>
      </c>
      <c r="M745" s="16" t="s">
        <v>2421</v>
      </c>
      <c r="N745" s="16">
        <v>158</v>
      </c>
      <c r="O745" s="16" t="s">
        <v>2424</v>
      </c>
    </row>
    <row r="746" spans="1:15" ht="15.75" customHeight="1" x14ac:dyDescent="0.25">
      <c r="A746" s="16" t="s">
        <v>30</v>
      </c>
      <c r="B746" s="16">
        <v>715271</v>
      </c>
      <c r="C746" s="16">
        <v>715948</v>
      </c>
      <c r="E746" s="16" t="s">
        <v>57</v>
      </c>
      <c r="F746" s="16" t="s">
        <v>2425</v>
      </c>
      <c r="G746" s="16" t="s">
        <v>2426</v>
      </c>
      <c r="I746" s="16" t="s">
        <v>50</v>
      </c>
      <c r="L746" s="16" t="s">
        <v>2427</v>
      </c>
      <c r="M746" s="16" t="s">
        <v>2425</v>
      </c>
      <c r="N746" s="16">
        <v>225</v>
      </c>
      <c r="O746" s="16" t="s">
        <v>2428</v>
      </c>
    </row>
    <row r="747" spans="1:15" ht="15.75" customHeight="1" x14ac:dyDescent="0.25">
      <c r="A747" s="16" t="s">
        <v>30</v>
      </c>
      <c r="B747" s="16">
        <v>715948</v>
      </c>
      <c r="C747" s="16">
        <v>716226</v>
      </c>
      <c r="E747" s="16" t="s">
        <v>57</v>
      </c>
      <c r="F747" s="16" t="s">
        <v>2429</v>
      </c>
      <c r="G747" s="16" t="s">
        <v>2430</v>
      </c>
      <c r="I747" s="16" t="s">
        <v>50</v>
      </c>
      <c r="L747" s="16" t="s">
        <v>2431</v>
      </c>
      <c r="M747" s="16" t="s">
        <v>2429</v>
      </c>
      <c r="N747" s="16">
        <v>92</v>
      </c>
      <c r="O747" s="16" t="s">
        <v>2432</v>
      </c>
    </row>
    <row r="748" spans="1:15" ht="15.75" customHeight="1" x14ac:dyDescent="0.25">
      <c r="A748" s="16" t="s">
        <v>30</v>
      </c>
      <c r="B748" s="16">
        <v>716349</v>
      </c>
      <c r="C748" s="16">
        <v>716816</v>
      </c>
      <c r="E748" s="16" t="s">
        <v>57</v>
      </c>
      <c r="F748" s="16" t="s">
        <v>2433</v>
      </c>
      <c r="G748" s="16" t="s">
        <v>2434</v>
      </c>
      <c r="I748" s="16" t="s">
        <v>50</v>
      </c>
      <c r="L748" s="16" t="s">
        <v>2435</v>
      </c>
      <c r="M748" s="16" t="s">
        <v>2433</v>
      </c>
      <c r="N748" s="16">
        <v>155</v>
      </c>
      <c r="O748" s="16" t="s">
        <v>2436</v>
      </c>
    </row>
    <row r="749" spans="1:15" ht="15.75" customHeight="1" x14ac:dyDescent="0.25">
      <c r="A749" s="16" t="s">
        <v>30</v>
      </c>
      <c r="B749" s="16">
        <v>716927</v>
      </c>
      <c r="C749" s="16">
        <v>718381</v>
      </c>
      <c r="E749" s="16" t="s">
        <v>48</v>
      </c>
      <c r="F749" s="16" t="s">
        <v>2437</v>
      </c>
      <c r="I749" s="16" t="s">
        <v>50</v>
      </c>
      <c r="L749" s="16" t="s">
        <v>2438</v>
      </c>
      <c r="M749" s="16" t="s">
        <v>2437</v>
      </c>
      <c r="N749" s="16">
        <v>484</v>
      </c>
      <c r="O749" s="16" t="s">
        <v>2439</v>
      </c>
    </row>
    <row r="750" spans="1:15" ht="15.75" customHeight="1" x14ac:dyDescent="0.25">
      <c r="A750" s="16" t="s">
        <v>30</v>
      </c>
      <c r="B750" s="16">
        <v>718434</v>
      </c>
      <c r="C750" s="16">
        <v>719321</v>
      </c>
      <c r="E750" s="16" t="s">
        <v>57</v>
      </c>
      <c r="F750" s="16" t="s">
        <v>2440</v>
      </c>
      <c r="G750" s="16" t="s">
        <v>2441</v>
      </c>
      <c r="I750" s="16" t="s">
        <v>50</v>
      </c>
      <c r="L750" s="16" t="s">
        <v>2442</v>
      </c>
      <c r="M750" s="16" t="s">
        <v>2440</v>
      </c>
      <c r="N750" s="16">
        <v>295</v>
      </c>
      <c r="O750" s="16" t="s">
        <v>2443</v>
      </c>
    </row>
    <row r="751" spans="1:15" ht="15.75" customHeight="1" x14ac:dyDescent="0.25">
      <c r="A751" s="16" t="s">
        <v>30</v>
      </c>
      <c r="B751" s="16">
        <v>719315</v>
      </c>
      <c r="C751" s="16">
        <v>719755</v>
      </c>
      <c r="E751" s="16" t="s">
        <v>57</v>
      </c>
      <c r="F751" s="16" t="s">
        <v>2444</v>
      </c>
      <c r="I751" s="16" t="s">
        <v>50</v>
      </c>
      <c r="L751" s="16" t="s">
        <v>2445</v>
      </c>
      <c r="M751" s="16" t="s">
        <v>2444</v>
      </c>
      <c r="N751" s="16">
        <v>146</v>
      </c>
      <c r="O751" s="16" t="s">
        <v>2446</v>
      </c>
    </row>
    <row r="752" spans="1:15" ht="15.75" customHeight="1" x14ac:dyDescent="0.25">
      <c r="A752" s="16" t="s">
        <v>30</v>
      </c>
      <c r="B752" s="16">
        <v>719921</v>
      </c>
      <c r="C752" s="16">
        <v>720712</v>
      </c>
      <c r="E752" s="16" t="s">
        <v>48</v>
      </c>
      <c r="F752" s="16" t="s">
        <v>2447</v>
      </c>
      <c r="G752" s="16" t="s">
        <v>2448</v>
      </c>
      <c r="I752" s="16" t="s">
        <v>50</v>
      </c>
      <c r="L752" s="16" t="s">
        <v>2449</v>
      </c>
      <c r="M752" s="16" t="s">
        <v>2447</v>
      </c>
      <c r="N752" s="16">
        <v>263</v>
      </c>
      <c r="O752" s="16" t="s">
        <v>2450</v>
      </c>
    </row>
    <row r="753" spans="1:15" ht="15.75" customHeight="1" x14ac:dyDescent="0.25">
      <c r="A753" s="16" t="s">
        <v>30</v>
      </c>
      <c r="B753" s="16">
        <v>720794</v>
      </c>
      <c r="C753" s="16">
        <v>721111</v>
      </c>
      <c r="E753" s="16" t="s">
        <v>57</v>
      </c>
      <c r="F753" s="16" t="s">
        <v>2451</v>
      </c>
      <c r="G753" s="16" t="s">
        <v>2452</v>
      </c>
      <c r="I753" s="16" t="s">
        <v>50</v>
      </c>
      <c r="L753" s="16" t="s">
        <v>2453</v>
      </c>
      <c r="M753" s="16" t="s">
        <v>2451</v>
      </c>
      <c r="N753" s="16">
        <v>105</v>
      </c>
      <c r="O753" s="16" t="s">
        <v>2454</v>
      </c>
    </row>
    <row r="754" spans="1:15" ht="15.75" customHeight="1" x14ac:dyDescent="0.25">
      <c r="A754" s="16" t="s">
        <v>30</v>
      </c>
      <c r="B754" s="16">
        <v>721112</v>
      </c>
      <c r="C754" s="16">
        <v>721990</v>
      </c>
      <c r="E754" s="16" t="s">
        <v>57</v>
      </c>
      <c r="F754" s="16" t="s">
        <v>789</v>
      </c>
      <c r="G754" s="16" t="s">
        <v>790</v>
      </c>
      <c r="I754" s="16" t="s">
        <v>50</v>
      </c>
      <c r="L754" s="16" t="s">
        <v>2455</v>
      </c>
      <c r="M754" s="16" t="s">
        <v>789</v>
      </c>
      <c r="N754" s="16">
        <v>292</v>
      </c>
      <c r="O754" s="16" t="s">
        <v>2456</v>
      </c>
    </row>
    <row r="755" spans="1:15" ht="15.75" customHeight="1" x14ac:dyDescent="0.25">
      <c r="A755" s="16" t="s">
        <v>30</v>
      </c>
      <c r="B755" s="16">
        <v>722022</v>
      </c>
      <c r="C755" s="16">
        <v>722900</v>
      </c>
      <c r="E755" s="16" t="s">
        <v>57</v>
      </c>
      <c r="F755" s="16" t="s">
        <v>2457</v>
      </c>
      <c r="G755" s="16" t="s">
        <v>2458</v>
      </c>
      <c r="I755" s="16" t="s">
        <v>50</v>
      </c>
      <c r="L755" s="16" t="s">
        <v>2459</v>
      </c>
      <c r="M755" s="16" t="s">
        <v>2457</v>
      </c>
      <c r="N755" s="16">
        <v>292</v>
      </c>
      <c r="O755" s="16" t="s">
        <v>2460</v>
      </c>
    </row>
    <row r="756" spans="1:15" ht="15.75" customHeight="1" x14ac:dyDescent="0.25">
      <c r="A756" s="16" t="s">
        <v>30</v>
      </c>
      <c r="B756" s="16">
        <v>723584</v>
      </c>
      <c r="C756" s="16">
        <v>725062</v>
      </c>
      <c r="E756" s="16" t="s">
        <v>48</v>
      </c>
      <c r="F756" s="16" t="s">
        <v>2461</v>
      </c>
      <c r="G756" s="16" t="s">
        <v>2462</v>
      </c>
      <c r="I756" s="16" t="s">
        <v>50</v>
      </c>
      <c r="L756" s="16" t="s">
        <v>2463</v>
      </c>
      <c r="M756" s="16" t="s">
        <v>2461</v>
      </c>
      <c r="N756" s="16">
        <v>492</v>
      </c>
      <c r="O756" s="16" t="s">
        <v>2464</v>
      </c>
    </row>
    <row r="757" spans="1:15" ht="15.75" customHeight="1" x14ac:dyDescent="0.25">
      <c r="A757" s="16" t="s">
        <v>30</v>
      </c>
      <c r="B757" s="16">
        <v>725173</v>
      </c>
      <c r="C757" s="16">
        <v>726453</v>
      </c>
      <c r="E757" s="16" t="s">
        <v>57</v>
      </c>
      <c r="F757" s="16" t="s">
        <v>2465</v>
      </c>
      <c r="G757" s="16" t="s">
        <v>2466</v>
      </c>
      <c r="I757" s="16" t="s">
        <v>50</v>
      </c>
      <c r="L757" s="16" t="s">
        <v>2467</v>
      </c>
      <c r="M757" s="16" t="s">
        <v>2465</v>
      </c>
      <c r="N757" s="16">
        <v>426</v>
      </c>
      <c r="O757" s="16" t="s">
        <v>2468</v>
      </c>
    </row>
    <row r="758" spans="1:15" ht="15.75" customHeight="1" x14ac:dyDescent="0.25">
      <c r="A758" s="16" t="s">
        <v>30</v>
      </c>
      <c r="B758" s="16">
        <v>726465</v>
      </c>
      <c r="C758" s="16">
        <v>727763</v>
      </c>
      <c r="E758" s="16" t="s">
        <v>57</v>
      </c>
      <c r="F758" s="16" t="s">
        <v>2469</v>
      </c>
      <c r="G758" s="16" t="s">
        <v>2470</v>
      </c>
      <c r="I758" s="16" t="s">
        <v>50</v>
      </c>
      <c r="L758" s="16" t="s">
        <v>2471</v>
      </c>
      <c r="M758" s="16" t="s">
        <v>2469</v>
      </c>
      <c r="N758" s="16">
        <v>432</v>
      </c>
      <c r="O758" s="16" t="s">
        <v>2472</v>
      </c>
    </row>
    <row r="759" spans="1:15" ht="15.75" customHeight="1" x14ac:dyDescent="0.25">
      <c r="A759" s="16" t="s">
        <v>30</v>
      </c>
      <c r="B759" s="16">
        <v>727753</v>
      </c>
      <c r="C759" s="16">
        <v>729444</v>
      </c>
      <c r="E759" s="16" t="s">
        <v>57</v>
      </c>
      <c r="F759" s="16" t="s">
        <v>2473</v>
      </c>
      <c r="G759" s="16" t="s">
        <v>2474</v>
      </c>
      <c r="I759" s="16" t="s">
        <v>50</v>
      </c>
      <c r="L759" s="16" t="s">
        <v>2475</v>
      </c>
      <c r="M759" s="16" t="s">
        <v>2473</v>
      </c>
      <c r="N759" s="16">
        <v>563</v>
      </c>
      <c r="O759" s="16" t="s">
        <v>2476</v>
      </c>
    </row>
    <row r="760" spans="1:15" ht="15.75" customHeight="1" x14ac:dyDescent="0.25">
      <c r="A760" s="16" t="s">
        <v>30</v>
      </c>
      <c r="B760" s="16">
        <v>729737</v>
      </c>
      <c r="C760" s="16">
        <v>731179</v>
      </c>
      <c r="E760" s="16" t="s">
        <v>48</v>
      </c>
      <c r="F760" s="16" t="s">
        <v>2477</v>
      </c>
      <c r="G760" s="16" t="s">
        <v>2478</v>
      </c>
      <c r="I760" s="16" t="s">
        <v>50</v>
      </c>
      <c r="L760" s="16" t="s">
        <v>2479</v>
      </c>
      <c r="M760" s="16" t="s">
        <v>2477</v>
      </c>
      <c r="N760" s="16">
        <v>480</v>
      </c>
      <c r="O760" s="16" t="s">
        <v>2480</v>
      </c>
    </row>
    <row r="761" spans="1:15" ht="15.75" customHeight="1" x14ac:dyDescent="0.25">
      <c r="A761" s="16" t="s">
        <v>30</v>
      </c>
      <c r="B761" s="16">
        <v>731283</v>
      </c>
      <c r="C761" s="16">
        <v>732377</v>
      </c>
      <c r="E761" s="16" t="s">
        <v>48</v>
      </c>
      <c r="F761" s="16" t="s">
        <v>2481</v>
      </c>
      <c r="G761" s="16" t="s">
        <v>2482</v>
      </c>
      <c r="I761" s="16" t="s">
        <v>50</v>
      </c>
      <c r="L761" s="16" t="s">
        <v>2483</v>
      </c>
      <c r="M761" s="16" t="s">
        <v>2481</v>
      </c>
      <c r="N761" s="16">
        <v>364</v>
      </c>
      <c r="O761" s="16" t="s">
        <v>2484</v>
      </c>
    </row>
    <row r="762" spans="1:15" ht="15.75" customHeight="1" x14ac:dyDescent="0.25">
      <c r="A762" s="16" t="s">
        <v>30</v>
      </c>
      <c r="B762" s="16">
        <v>732607</v>
      </c>
      <c r="C762" s="16">
        <v>733401</v>
      </c>
      <c r="E762" s="16" t="s">
        <v>48</v>
      </c>
      <c r="F762" s="16" t="s">
        <v>2485</v>
      </c>
      <c r="I762" s="16" t="s">
        <v>50</v>
      </c>
      <c r="L762" s="16" t="s">
        <v>2486</v>
      </c>
      <c r="M762" s="16" t="s">
        <v>2485</v>
      </c>
      <c r="N762" s="16">
        <v>264</v>
      </c>
      <c r="O762" s="16" t="s">
        <v>2487</v>
      </c>
    </row>
    <row r="763" spans="1:15" ht="15.75" customHeight="1" x14ac:dyDescent="0.25">
      <c r="A763" s="16" t="s">
        <v>30</v>
      </c>
      <c r="B763" s="16">
        <v>733422</v>
      </c>
      <c r="C763" s="16">
        <v>734933</v>
      </c>
      <c r="E763" s="16" t="s">
        <v>48</v>
      </c>
      <c r="F763" s="16" t="s">
        <v>2488</v>
      </c>
      <c r="G763" s="16" t="s">
        <v>2489</v>
      </c>
      <c r="I763" s="16" t="s">
        <v>50</v>
      </c>
      <c r="L763" s="16" t="s">
        <v>2490</v>
      </c>
      <c r="M763" s="16" t="s">
        <v>2488</v>
      </c>
      <c r="N763" s="16">
        <v>503</v>
      </c>
      <c r="O763" s="16" t="s">
        <v>2491</v>
      </c>
    </row>
    <row r="764" spans="1:15" ht="15.75" customHeight="1" x14ac:dyDescent="0.25">
      <c r="A764" s="16" t="s">
        <v>30</v>
      </c>
      <c r="B764" s="16">
        <v>735017</v>
      </c>
      <c r="C764" s="16">
        <v>735484</v>
      </c>
      <c r="E764" s="16" t="s">
        <v>57</v>
      </c>
      <c r="F764" s="16" t="s">
        <v>2433</v>
      </c>
      <c r="G764" s="16" t="s">
        <v>2434</v>
      </c>
      <c r="I764" s="16" t="s">
        <v>50</v>
      </c>
      <c r="L764" s="16" t="s">
        <v>2492</v>
      </c>
      <c r="M764" s="16" t="s">
        <v>2433</v>
      </c>
      <c r="N764" s="16">
        <v>155</v>
      </c>
      <c r="O764" s="16" t="s">
        <v>2493</v>
      </c>
    </row>
    <row r="765" spans="1:15" ht="15.75" customHeight="1" x14ac:dyDescent="0.25">
      <c r="A765" s="16" t="s">
        <v>30</v>
      </c>
      <c r="B765" s="16">
        <v>735506</v>
      </c>
      <c r="C765" s="16">
        <v>735643</v>
      </c>
      <c r="E765" s="16" t="s">
        <v>48</v>
      </c>
      <c r="F765" s="16" t="s">
        <v>132</v>
      </c>
      <c r="I765" s="16" t="s">
        <v>133</v>
      </c>
      <c r="O765" s="16" t="s">
        <v>2494</v>
      </c>
    </row>
    <row r="766" spans="1:15" ht="15.75" customHeight="1" x14ac:dyDescent="0.25">
      <c r="A766" s="16" t="s">
        <v>30</v>
      </c>
      <c r="B766" s="16">
        <v>735769</v>
      </c>
      <c r="C766" s="16">
        <v>736593</v>
      </c>
      <c r="E766" s="16" t="s">
        <v>48</v>
      </c>
      <c r="F766" s="16" t="s">
        <v>2495</v>
      </c>
      <c r="G766" s="16" t="s">
        <v>2496</v>
      </c>
      <c r="I766" s="16" t="s">
        <v>50</v>
      </c>
      <c r="L766" s="16" t="s">
        <v>2497</v>
      </c>
      <c r="M766" s="16" t="s">
        <v>2495</v>
      </c>
      <c r="N766" s="16">
        <v>274</v>
      </c>
      <c r="O766" s="16" t="s">
        <v>2498</v>
      </c>
    </row>
    <row r="767" spans="1:15" ht="15.75" customHeight="1" x14ac:dyDescent="0.25">
      <c r="A767" s="16" t="s">
        <v>30</v>
      </c>
      <c r="B767" s="16">
        <v>736772</v>
      </c>
      <c r="C767" s="16">
        <v>737455</v>
      </c>
      <c r="E767" s="16" t="s">
        <v>48</v>
      </c>
      <c r="F767" s="16" t="s">
        <v>2499</v>
      </c>
      <c r="I767" s="16" t="s">
        <v>50</v>
      </c>
      <c r="L767" s="16" t="s">
        <v>2500</v>
      </c>
      <c r="M767" s="16" t="s">
        <v>2499</v>
      </c>
      <c r="N767" s="16">
        <v>227</v>
      </c>
      <c r="O767" s="16" t="s">
        <v>2501</v>
      </c>
    </row>
    <row r="768" spans="1:15" ht="15.75" customHeight="1" x14ac:dyDescent="0.25">
      <c r="A768" s="16" t="s">
        <v>30</v>
      </c>
      <c r="B768" s="16">
        <v>737491</v>
      </c>
      <c r="C768" s="16">
        <v>738552</v>
      </c>
      <c r="E768" s="16" t="s">
        <v>57</v>
      </c>
      <c r="F768" s="16" t="s">
        <v>132</v>
      </c>
      <c r="G768" s="16" t="s">
        <v>2502</v>
      </c>
      <c r="I768" s="16" t="s">
        <v>133</v>
      </c>
      <c r="O768" s="16" t="s">
        <v>2503</v>
      </c>
    </row>
    <row r="769" spans="1:15" ht="15.75" customHeight="1" x14ac:dyDescent="0.25">
      <c r="A769" s="16" t="s">
        <v>30</v>
      </c>
      <c r="B769" s="16">
        <v>738560</v>
      </c>
      <c r="C769" s="16">
        <v>742444</v>
      </c>
      <c r="E769" s="16" t="s">
        <v>57</v>
      </c>
      <c r="F769" s="16" t="s">
        <v>2504</v>
      </c>
      <c r="I769" s="16" t="s">
        <v>50</v>
      </c>
      <c r="L769" s="16" t="s">
        <v>2505</v>
      </c>
      <c r="M769" s="16" t="s">
        <v>2504</v>
      </c>
      <c r="N769" s="16">
        <v>1294</v>
      </c>
      <c r="O769" s="16" t="s">
        <v>2506</v>
      </c>
    </row>
    <row r="770" spans="1:15" ht="15.75" customHeight="1" x14ac:dyDescent="0.25">
      <c r="A770" s="16" t="s">
        <v>30</v>
      </c>
      <c r="B770" s="16">
        <v>742454</v>
      </c>
      <c r="C770" s="16">
        <v>744190</v>
      </c>
      <c r="E770" s="16" t="s">
        <v>57</v>
      </c>
      <c r="F770" s="16" t="s">
        <v>2507</v>
      </c>
      <c r="I770" s="16" t="s">
        <v>50</v>
      </c>
      <c r="L770" s="16" t="s">
        <v>2508</v>
      </c>
      <c r="M770" s="16" t="s">
        <v>2507</v>
      </c>
      <c r="N770" s="16">
        <v>578</v>
      </c>
      <c r="O770" s="16" t="s">
        <v>2509</v>
      </c>
    </row>
    <row r="771" spans="1:15" ht="15.75" customHeight="1" x14ac:dyDescent="0.25">
      <c r="A771" s="16" t="s">
        <v>30</v>
      </c>
      <c r="B771" s="16">
        <v>744341</v>
      </c>
      <c r="C771" s="16">
        <v>744901</v>
      </c>
      <c r="E771" s="16" t="s">
        <v>57</v>
      </c>
      <c r="F771" s="16" t="s">
        <v>270</v>
      </c>
      <c r="G771" s="16" t="s">
        <v>2510</v>
      </c>
      <c r="I771" s="16" t="s">
        <v>50</v>
      </c>
      <c r="L771" s="16" t="s">
        <v>2511</v>
      </c>
      <c r="M771" s="16" t="s">
        <v>270</v>
      </c>
      <c r="N771" s="16">
        <v>186</v>
      </c>
      <c r="O771" s="16" t="s">
        <v>2512</v>
      </c>
    </row>
    <row r="772" spans="1:15" ht="15.75" customHeight="1" x14ac:dyDescent="0.25">
      <c r="A772" s="16" t="s">
        <v>30</v>
      </c>
      <c r="B772" s="16">
        <v>744979</v>
      </c>
      <c r="C772" s="16">
        <v>745401</v>
      </c>
      <c r="E772" s="16" t="s">
        <v>57</v>
      </c>
      <c r="F772" s="16" t="s">
        <v>2513</v>
      </c>
      <c r="G772" s="16" t="s">
        <v>2514</v>
      </c>
      <c r="I772" s="16" t="s">
        <v>50</v>
      </c>
      <c r="L772" s="16" t="s">
        <v>2515</v>
      </c>
      <c r="M772" s="16" t="s">
        <v>2513</v>
      </c>
      <c r="N772" s="16">
        <v>140</v>
      </c>
      <c r="O772" s="16" t="s">
        <v>2516</v>
      </c>
    </row>
    <row r="773" spans="1:15" ht="15.75" customHeight="1" x14ac:dyDescent="0.25">
      <c r="A773" s="16" t="s">
        <v>30</v>
      </c>
      <c r="B773" s="16">
        <v>745510</v>
      </c>
      <c r="C773" s="16">
        <v>746529</v>
      </c>
      <c r="E773" s="16" t="s">
        <v>48</v>
      </c>
      <c r="F773" s="16" t="s">
        <v>2517</v>
      </c>
      <c r="G773" s="16" t="s">
        <v>2518</v>
      </c>
      <c r="I773" s="16" t="s">
        <v>50</v>
      </c>
      <c r="L773" s="16" t="s">
        <v>2519</v>
      </c>
      <c r="M773" s="16" t="s">
        <v>2517</v>
      </c>
      <c r="N773" s="16">
        <v>339</v>
      </c>
      <c r="O773" s="16" t="s">
        <v>2520</v>
      </c>
    </row>
    <row r="774" spans="1:15" ht="15.75" customHeight="1" x14ac:dyDescent="0.25">
      <c r="A774" s="16" t="s">
        <v>30</v>
      </c>
      <c r="B774" s="16">
        <v>746539</v>
      </c>
      <c r="C774" s="16">
        <v>747288</v>
      </c>
      <c r="E774" s="16" t="s">
        <v>48</v>
      </c>
      <c r="F774" s="16" t="s">
        <v>2521</v>
      </c>
      <c r="G774" s="16" t="s">
        <v>2522</v>
      </c>
      <c r="I774" s="16" t="s">
        <v>50</v>
      </c>
      <c r="L774" s="16" t="s">
        <v>2523</v>
      </c>
      <c r="M774" s="16" t="s">
        <v>2521</v>
      </c>
      <c r="N774" s="16">
        <v>249</v>
      </c>
      <c r="O774" s="16" t="s">
        <v>2524</v>
      </c>
    </row>
    <row r="775" spans="1:15" ht="15.75" customHeight="1" x14ac:dyDescent="0.25">
      <c r="A775" s="16" t="s">
        <v>30</v>
      </c>
      <c r="B775" s="16">
        <v>747297</v>
      </c>
      <c r="C775" s="16">
        <v>747875</v>
      </c>
      <c r="E775" s="16" t="s">
        <v>48</v>
      </c>
      <c r="F775" s="16" t="s">
        <v>1869</v>
      </c>
      <c r="I775" s="16" t="s">
        <v>50</v>
      </c>
      <c r="L775" s="16" t="s">
        <v>2525</v>
      </c>
      <c r="M775" s="16" t="s">
        <v>1869</v>
      </c>
      <c r="N775" s="16">
        <v>192</v>
      </c>
      <c r="O775" s="16" t="s">
        <v>2526</v>
      </c>
    </row>
    <row r="776" spans="1:15" ht="15.75" customHeight="1" x14ac:dyDescent="0.25">
      <c r="A776" s="16" t="s">
        <v>30</v>
      </c>
      <c r="B776" s="16">
        <v>747884</v>
      </c>
      <c r="C776" s="16">
        <v>748069</v>
      </c>
      <c r="E776" s="16" t="s">
        <v>48</v>
      </c>
      <c r="F776" s="16" t="s">
        <v>135</v>
      </c>
      <c r="I776" s="16" t="s">
        <v>50</v>
      </c>
      <c r="L776" s="16" t="s">
        <v>2527</v>
      </c>
      <c r="M776" s="16" t="s">
        <v>135</v>
      </c>
      <c r="N776" s="16">
        <v>61</v>
      </c>
      <c r="O776" s="16" t="s">
        <v>2528</v>
      </c>
    </row>
    <row r="777" spans="1:15" ht="15.75" customHeight="1" x14ac:dyDescent="0.25">
      <c r="A777" s="16" t="s">
        <v>30</v>
      </c>
      <c r="B777" s="16">
        <v>748104</v>
      </c>
      <c r="C777" s="16">
        <v>749315</v>
      </c>
      <c r="E777" s="16" t="s">
        <v>48</v>
      </c>
      <c r="F777" s="16" t="s">
        <v>2529</v>
      </c>
      <c r="G777" s="16" t="s">
        <v>2530</v>
      </c>
      <c r="I777" s="16" t="s">
        <v>50</v>
      </c>
      <c r="L777" s="16" t="s">
        <v>2531</v>
      </c>
      <c r="M777" s="16" t="s">
        <v>2529</v>
      </c>
      <c r="N777" s="16">
        <v>403</v>
      </c>
      <c r="O777" s="16" t="s">
        <v>2532</v>
      </c>
    </row>
    <row r="778" spans="1:15" ht="15.75" customHeight="1" x14ac:dyDescent="0.25">
      <c r="A778" s="16" t="s">
        <v>30</v>
      </c>
      <c r="B778" s="16">
        <v>749515</v>
      </c>
      <c r="C778" s="16">
        <v>749595</v>
      </c>
      <c r="E778" s="16" t="s">
        <v>48</v>
      </c>
      <c r="F778" s="16" t="s">
        <v>2533</v>
      </c>
      <c r="G778" s="16" t="s">
        <v>2534</v>
      </c>
      <c r="I778" s="16" t="s">
        <v>50</v>
      </c>
      <c r="L778" s="16" t="s">
        <v>2535</v>
      </c>
      <c r="M778" s="16" t="s">
        <v>2533</v>
      </c>
      <c r="N778" s="16">
        <v>26</v>
      </c>
      <c r="O778" s="16" t="s">
        <v>2536</v>
      </c>
    </row>
    <row r="779" spans="1:15" ht="15.75" customHeight="1" x14ac:dyDescent="0.25">
      <c r="A779" s="16" t="s">
        <v>30</v>
      </c>
      <c r="B779" s="16">
        <v>749683</v>
      </c>
      <c r="C779" s="16">
        <v>751101</v>
      </c>
      <c r="E779" s="16" t="s">
        <v>48</v>
      </c>
      <c r="F779" s="16" t="s">
        <v>2537</v>
      </c>
      <c r="G779" s="16" t="s">
        <v>2538</v>
      </c>
      <c r="I779" s="16" t="s">
        <v>50</v>
      </c>
      <c r="L779" s="16" t="s">
        <v>2539</v>
      </c>
      <c r="M779" s="16" t="s">
        <v>2537</v>
      </c>
      <c r="N779" s="16">
        <v>472</v>
      </c>
      <c r="O779" s="16" t="s">
        <v>2540</v>
      </c>
    </row>
    <row r="780" spans="1:15" ht="15.75" customHeight="1" x14ac:dyDescent="0.25">
      <c r="A780" s="16" t="s">
        <v>30</v>
      </c>
      <c r="B780" s="16">
        <v>751185</v>
      </c>
      <c r="C780" s="16">
        <v>752417</v>
      </c>
      <c r="E780" s="16" t="s">
        <v>48</v>
      </c>
      <c r="F780" s="16" t="s">
        <v>1987</v>
      </c>
      <c r="I780" s="16" t="s">
        <v>50</v>
      </c>
      <c r="L780" s="16" t="s">
        <v>2541</v>
      </c>
      <c r="M780" s="16" t="s">
        <v>1987</v>
      </c>
      <c r="N780" s="16">
        <v>410</v>
      </c>
      <c r="O780" s="16" t="s">
        <v>2542</v>
      </c>
    </row>
    <row r="781" spans="1:15" ht="15.75" customHeight="1" x14ac:dyDescent="0.25">
      <c r="A781" s="16" t="s">
        <v>30</v>
      </c>
      <c r="B781" s="16">
        <v>752558</v>
      </c>
      <c r="C781" s="16">
        <v>755143</v>
      </c>
      <c r="E781" s="16" t="s">
        <v>48</v>
      </c>
      <c r="F781" s="16" t="s">
        <v>2543</v>
      </c>
      <c r="G781" s="16" t="s">
        <v>2544</v>
      </c>
      <c r="I781" s="16" t="s">
        <v>50</v>
      </c>
      <c r="L781" s="16" t="s">
        <v>2545</v>
      </c>
      <c r="M781" s="16" t="s">
        <v>2543</v>
      </c>
      <c r="N781" s="16">
        <v>861</v>
      </c>
      <c r="O781" s="16" t="s">
        <v>2546</v>
      </c>
    </row>
    <row r="782" spans="1:15" ht="15.75" customHeight="1" x14ac:dyDescent="0.25">
      <c r="A782" s="16" t="s">
        <v>30</v>
      </c>
      <c r="B782" s="16">
        <v>755184</v>
      </c>
      <c r="C782" s="16">
        <v>755278</v>
      </c>
      <c r="E782" s="16" t="s">
        <v>57</v>
      </c>
      <c r="F782" s="16" t="s">
        <v>2547</v>
      </c>
      <c r="I782" s="16" t="s">
        <v>290</v>
      </c>
      <c r="O782" s="16" t="s">
        <v>2548</v>
      </c>
    </row>
    <row r="783" spans="1:15" ht="15.75" customHeight="1" x14ac:dyDescent="0.25">
      <c r="A783" s="16" t="s">
        <v>30</v>
      </c>
      <c r="B783" s="16">
        <v>755349</v>
      </c>
      <c r="C783" s="16">
        <v>756734</v>
      </c>
      <c r="E783" s="16" t="s">
        <v>48</v>
      </c>
      <c r="F783" s="16" t="s">
        <v>2549</v>
      </c>
      <c r="G783" s="16" t="s">
        <v>2550</v>
      </c>
      <c r="I783" s="16" t="s">
        <v>50</v>
      </c>
      <c r="L783" s="16" t="s">
        <v>2551</v>
      </c>
      <c r="M783" s="16" t="s">
        <v>2549</v>
      </c>
      <c r="N783" s="16">
        <v>461</v>
      </c>
      <c r="O783" s="16" t="s">
        <v>2552</v>
      </c>
    </row>
    <row r="784" spans="1:15" ht="15.75" customHeight="1" x14ac:dyDescent="0.25">
      <c r="A784" s="16" t="s">
        <v>30</v>
      </c>
      <c r="B784" s="16">
        <v>756731</v>
      </c>
      <c r="C784" s="16">
        <v>758590</v>
      </c>
      <c r="E784" s="16" t="s">
        <v>48</v>
      </c>
      <c r="F784" s="16" t="s">
        <v>2553</v>
      </c>
      <c r="G784" s="16" t="s">
        <v>2554</v>
      </c>
      <c r="I784" s="16" t="s">
        <v>50</v>
      </c>
      <c r="L784" s="16" t="s">
        <v>2555</v>
      </c>
      <c r="M784" s="16" t="s">
        <v>2553</v>
      </c>
      <c r="N784" s="16">
        <v>619</v>
      </c>
      <c r="O784" s="16" t="s">
        <v>2556</v>
      </c>
    </row>
    <row r="785" spans="1:15" ht="15.75" customHeight="1" x14ac:dyDescent="0.25">
      <c r="A785" s="16" t="s">
        <v>30</v>
      </c>
      <c r="B785" s="16">
        <v>758609</v>
      </c>
      <c r="C785" s="16">
        <v>759463</v>
      </c>
      <c r="E785" s="16" t="s">
        <v>48</v>
      </c>
      <c r="F785" s="16" t="s">
        <v>2557</v>
      </c>
      <c r="I785" s="16" t="s">
        <v>50</v>
      </c>
      <c r="L785" s="16" t="s">
        <v>2558</v>
      </c>
      <c r="M785" s="16" t="s">
        <v>2557</v>
      </c>
      <c r="N785" s="16">
        <v>284</v>
      </c>
      <c r="O785" s="16" t="s">
        <v>2559</v>
      </c>
    </row>
    <row r="786" spans="1:15" ht="15.75" customHeight="1" x14ac:dyDescent="0.25">
      <c r="A786" s="16" t="s">
        <v>30</v>
      </c>
      <c r="B786" s="16">
        <v>759583</v>
      </c>
      <c r="C786" s="16">
        <v>759879</v>
      </c>
      <c r="E786" s="16" t="s">
        <v>48</v>
      </c>
      <c r="F786" s="16" t="s">
        <v>2560</v>
      </c>
      <c r="I786" s="16" t="s">
        <v>50</v>
      </c>
      <c r="L786" s="16" t="s">
        <v>2561</v>
      </c>
      <c r="M786" s="16" t="s">
        <v>2560</v>
      </c>
      <c r="N786" s="16">
        <v>98</v>
      </c>
      <c r="O786" s="16" t="s">
        <v>2562</v>
      </c>
    </row>
    <row r="787" spans="1:15" ht="15.75" customHeight="1" x14ac:dyDescent="0.25">
      <c r="A787" s="16" t="s">
        <v>30</v>
      </c>
      <c r="B787" s="16">
        <v>759879</v>
      </c>
      <c r="C787" s="16">
        <v>760214</v>
      </c>
      <c r="E787" s="16" t="s">
        <v>48</v>
      </c>
      <c r="F787" s="16" t="s">
        <v>2563</v>
      </c>
      <c r="I787" s="16" t="s">
        <v>50</v>
      </c>
      <c r="L787" s="16" t="s">
        <v>2564</v>
      </c>
      <c r="M787" s="16" t="s">
        <v>2563</v>
      </c>
      <c r="N787" s="16">
        <v>111</v>
      </c>
      <c r="O787" s="16" t="s">
        <v>2565</v>
      </c>
    </row>
    <row r="788" spans="1:15" ht="15.75" customHeight="1" x14ac:dyDescent="0.25">
      <c r="A788" s="16" t="s">
        <v>30</v>
      </c>
      <c r="B788" s="16">
        <v>760271</v>
      </c>
      <c r="C788" s="16">
        <v>762559</v>
      </c>
      <c r="E788" s="16" t="s">
        <v>57</v>
      </c>
      <c r="F788" s="16" t="s">
        <v>390</v>
      </c>
      <c r="I788" s="16" t="s">
        <v>50</v>
      </c>
      <c r="L788" s="16" t="s">
        <v>2566</v>
      </c>
      <c r="M788" s="16" t="s">
        <v>390</v>
      </c>
      <c r="N788" s="16">
        <v>762</v>
      </c>
      <c r="O788" s="16" t="s">
        <v>2567</v>
      </c>
    </row>
    <row r="789" spans="1:15" ht="15.75" customHeight="1" x14ac:dyDescent="0.25">
      <c r="A789" s="16" t="s">
        <v>30</v>
      </c>
      <c r="B789" s="16">
        <v>762926</v>
      </c>
      <c r="C789" s="16">
        <v>763366</v>
      </c>
      <c r="E789" s="16" t="s">
        <v>57</v>
      </c>
      <c r="F789" s="16" t="s">
        <v>132</v>
      </c>
      <c r="I789" s="16" t="s">
        <v>133</v>
      </c>
      <c r="O789" s="16" t="s">
        <v>2568</v>
      </c>
    </row>
    <row r="790" spans="1:15" ht="15.75" customHeight="1" x14ac:dyDescent="0.25">
      <c r="A790" s="16" t="s">
        <v>30</v>
      </c>
      <c r="B790" s="16">
        <v>763345</v>
      </c>
      <c r="C790" s="16">
        <v>763401</v>
      </c>
      <c r="E790" s="16" t="s">
        <v>57</v>
      </c>
      <c r="F790" s="16" t="s">
        <v>132</v>
      </c>
      <c r="I790" s="16" t="s">
        <v>133</v>
      </c>
      <c r="O790" s="16" t="s">
        <v>2569</v>
      </c>
    </row>
    <row r="791" spans="1:15" ht="15.75" customHeight="1" x14ac:dyDescent="0.25">
      <c r="A791" s="16" t="s">
        <v>30</v>
      </c>
      <c r="B791" s="16">
        <v>763398</v>
      </c>
      <c r="C791" s="16">
        <v>763528</v>
      </c>
      <c r="E791" s="16" t="s">
        <v>57</v>
      </c>
      <c r="F791" s="16" t="s">
        <v>132</v>
      </c>
      <c r="I791" s="16" t="s">
        <v>133</v>
      </c>
      <c r="O791" s="16" t="s">
        <v>2570</v>
      </c>
    </row>
    <row r="792" spans="1:15" ht="15.75" customHeight="1" x14ac:dyDescent="0.25">
      <c r="A792" s="16" t="s">
        <v>30</v>
      </c>
      <c r="B792" s="16">
        <v>763830</v>
      </c>
      <c r="C792" s="16">
        <v>765128</v>
      </c>
      <c r="E792" s="16" t="s">
        <v>48</v>
      </c>
      <c r="F792" s="16" t="s">
        <v>2571</v>
      </c>
      <c r="G792" s="16" t="s">
        <v>2572</v>
      </c>
      <c r="I792" s="16" t="s">
        <v>50</v>
      </c>
      <c r="L792" s="16" t="s">
        <v>2573</v>
      </c>
      <c r="M792" s="16" t="s">
        <v>2571</v>
      </c>
      <c r="N792" s="16">
        <v>432</v>
      </c>
      <c r="O792" s="16" t="s">
        <v>2574</v>
      </c>
    </row>
    <row r="793" spans="1:15" ht="15.75" customHeight="1" x14ac:dyDescent="0.25">
      <c r="A793" s="16" t="s">
        <v>30</v>
      </c>
      <c r="B793" s="16">
        <v>765251</v>
      </c>
      <c r="C793" s="16">
        <v>765832</v>
      </c>
      <c r="E793" s="16" t="s">
        <v>48</v>
      </c>
      <c r="F793" s="16" t="s">
        <v>2575</v>
      </c>
      <c r="G793" s="16" t="s">
        <v>2576</v>
      </c>
      <c r="I793" s="16" t="s">
        <v>50</v>
      </c>
      <c r="L793" s="16" t="s">
        <v>2577</v>
      </c>
      <c r="M793" s="16" t="s">
        <v>2575</v>
      </c>
      <c r="N793" s="16">
        <v>193</v>
      </c>
      <c r="O793" s="16" t="s">
        <v>2578</v>
      </c>
    </row>
    <row r="794" spans="1:15" ht="15.75" customHeight="1" x14ac:dyDescent="0.25">
      <c r="A794" s="16" t="s">
        <v>30</v>
      </c>
      <c r="B794" s="16">
        <v>765842</v>
      </c>
      <c r="C794" s="16">
        <v>767077</v>
      </c>
      <c r="E794" s="16" t="s">
        <v>48</v>
      </c>
      <c r="F794" s="16" t="s">
        <v>2579</v>
      </c>
      <c r="G794" s="16" t="s">
        <v>2580</v>
      </c>
      <c r="I794" s="16" t="s">
        <v>50</v>
      </c>
      <c r="L794" s="16" t="s">
        <v>2581</v>
      </c>
      <c r="M794" s="16" t="s">
        <v>2579</v>
      </c>
      <c r="N794" s="16">
        <v>411</v>
      </c>
      <c r="O794" s="16" t="s">
        <v>2582</v>
      </c>
    </row>
    <row r="795" spans="1:15" ht="15.75" customHeight="1" x14ac:dyDescent="0.25">
      <c r="A795" s="16" t="s">
        <v>30</v>
      </c>
      <c r="B795" s="16">
        <v>767222</v>
      </c>
      <c r="C795" s="16">
        <v>767638</v>
      </c>
      <c r="E795" s="16" t="s">
        <v>48</v>
      </c>
      <c r="F795" s="16" t="s">
        <v>2583</v>
      </c>
      <c r="G795" s="16" t="s">
        <v>2584</v>
      </c>
      <c r="I795" s="16" t="s">
        <v>50</v>
      </c>
      <c r="L795" s="16" t="s">
        <v>2585</v>
      </c>
      <c r="M795" s="16" t="s">
        <v>2583</v>
      </c>
      <c r="N795" s="16">
        <v>138</v>
      </c>
      <c r="O795" s="16" t="s">
        <v>2586</v>
      </c>
    </row>
    <row r="796" spans="1:15" ht="15.75" customHeight="1" x14ac:dyDescent="0.25">
      <c r="A796" s="16" t="s">
        <v>30</v>
      </c>
      <c r="B796" s="16">
        <v>767640</v>
      </c>
      <c r="C796" s="16">
        <v>768197</v>
      </c>
      <c r="E796" s="16" t="s">
        <v>48</v>
      </c>
      <c r="F796" s="16" t="s">
        <v>2587</v>
      </c>
      <c r="G796" s="16" t="s">
        <v>2588</v>
      </c>
      <c r="I796" s="16" t="s">
        <v>50</v>
      </c>
      <c r="L796" s="16" t="s">
        <v>2589</v>
      </c>
      <c r="M796" s="16" t="s">
        <v>2587</v>
      </c>
      <c r="N796" s="16">
        <v>185</v>
      </c>
      <c r="O796" s="16" t="s">
        <v>2590</v>
      </c>
    </row>
    <row r="797" spans="1:15" ht="15.75" customHeight="1" x14ac:dyDescent="0.25">
      <c r="A797" s="16" t="s">
        <v>30</v>
      </c>
      <c r="B797" s="16">
        <v>768348</v>
      </c>
      <c r="C797" s="16">
        <v>769100</v>
      </c>
      <c r="E797" s="16" t="s">
        <v>48</v>
      </c>
      <c r="F797" s="16" t="s">
        <v>2591</v>
      </c>
      <c r="I797" s="16" t="s">
        <v>50</v>
      </c>
      <c r="L797" s="16" t="s">
        <v>2592</v>
      </c>
      <c r="M797" s="16" t="s">
        <v>2591</v>
      </c>
      <c r="N797" s="16">
        <v>250</v>
      </c>
      <c r="O797" s="16" t="s">
        <v>2593</v>
      </c>
    </row>
    <row r="798" spans="1:15" ht="15.75" customHeight="1" x14ac:dyDescent="0.25">
      <c r="A798" s="16" t="s">
        <v>30</v>
      </c>
      <c r="B798" s="16">
        <v>769157</v>
      </c>
      <c r="C798" s="16">
        <v>769546</v>
      </c>
      <c r="E798" s="16" t="s">
        <v>48</v>
      </c>
      <c r="F798" s="16" t="s">
        <v>2594</v>
      </c>
      <c r="I798" s="16" t="s">
        <v>50</v>
      </c>
      <c r="L798" s="16" t="s">
        <v>2595</v>
      </c>
      <c r="M798" s="16" t="s">
        <v>2594</v>
      </c>
      <c r="N798" s="16">
        <v>129</v>
      </c>
      <c r="O798" s="16" t="s">
        <v>2596</v>
      </c>
    </row>
    <row r="799" spans="1:15" ht="15.75" customHeight="1" x14ac:dyDescent="0.25">
      <c r="A799" s="16" t="s">
        <v>30</v>
      </c>
      <c r="B799" s="16">
        <v>769711</v>
      </c>
      <c r="C799" s="16">
        <v>770565</v>
      </c>
      <c r="E799" s="16" t="s">
        <v>48</v>
      </c>
      <c r="F799" s="16" t="s">
        <v>2597</v>
      </c>
      <c r="G799" s="16" t="s">
        <v>2598</v>
      </c>
      <c r="I799" s="16" t="s">
        <v>50</v>
      </c>
      <c r="L799" s="16" t="s">
        <v>2599</v>
      </c>
      <c r="M799" s="16" t="s">
        <v>2597</v>
      </c>
      <c r="N799" s="16">
        <v>284</v>
      </c>
      <c r="O799" s="16" t="s">
        <v>2600</v>
      </c>
    </row>
    <row r="800" spans="1:15" ht="15.75" customHeight="1" x14ac:dyDescent="0.25">
      <c r="A800" s="16" t="s">
        <v>30</v>
      </c>
      <c r="B800" s="16">
        <v>770607</v>
      </c>
      <c r="C800" s="16">
        <v>770846</v>
      </c>
      <c r="E800" s="16" t="s">
        <v>57</v>
      </c>
      <c r="F800" s="16" t="s">
        <v>2601</v>
      </c>
      <c r="G800" s="16" t="s">
        <v>2602</v>
      </c>
      <c r="I800" s="16" t="s">
        <v>50</v>
      </c>
      <c r="L800" s="16" t="s">
        <v>2603</v>
      </c>
      <c r="M800" s="16" t="s">
        <v>2601</v>
      </c>
      <c r="N800" s="16">
        <v>79</v>
      </c>
      <c r="O800" s="16" t="s">
        <v>2604</v>
      </c>
    </row>
    <row r="801" spans="1:15" ht="15.75" customHeight="1" x14ac:dyDescent="0.25">
      <c r="A801" s="16" t="s">
        <v>30</v>
      </c>
      <c r="B801" s="16">
        <v>770962</v>
      </c>
      <c r="C801" s="16">
        <v>771582</v>
      </c>
      <c r="E801" s="16" t="s">
        <v>48</v>
      </c>
      <c r="F801" s="16" t="s">
        <v>2605</v>
      </c>
      <c r="I801" s="16" t="s">
        <v>50</v>
      </c>
      <c r="L801" s="16" t="s">
        <v>2606</v>
      </c>
      <c r="M801" s="16" t="s">
        <v>2605</v>
      </c>
      <c r="N801" s="16">
        <v>206</v>
      </c>
      <c r="O801" s="16" t="s">
        <v>2607</v>
      </c>
    </row>
    <row r="802" spans="1:15" ht="15.75" customHeight="1" x14ac:dyDescent="0.25">
      <c r="A802" s="16" t="s">
        <v>30</v>
      </c>
      <c r="B802" s="16">
        <v>771585</v>
      </c>
      <c r="C802" s="16">
        <v>773048</v>
      </c>
      <c r="E802" s="16" t="s">
        <v>48</v>
      </c>
      <c r="F802" s="16" t="s">
        <v>2608</v>
      </c>
      <c r="I802" s="16" t="s">
        <v>50</v>
      </c>
      <c r="L802" s="16" t="s">
        <v>2609</v>
      </c>
      <c r="M802" s="16" t="s">
        <v>2608</v>
      </c>
      <c r="N802" s="16">
        <v>487</v>
      </c>
      <c r="O802" s="16" t="s">
        <v>2610</v>
      </c>
    </row>
    <row r="803" spans="1:15" ht="15.75" customHeight="1" x14ac:dyDescent="0.25">
      <c r="A803" s="16" t="s">
        <v>30</v>
      </c>
      <c r="B803" s="16">
        <v>773407</v>
      </c>
      <c r="C803" s="16">
        <v>774946</v>
      </c>
      <c r="E803" s="16" t="s">
        <v>48</v>
      </c>
      <c r="F803" s="16" t="s">
        <v>401</v>
      </c>
      <c r="I803" s="16" t="s">
        <v>395</v>
      </c>
      <c r="O803" s="16" t="s">
        <v>2611</v>
      </c>
    </row>
    <row r="804" spans="1:15" ht="15.75" customHeight="1" x14ac:dyDescent="0.25">
      <c r="A804" s="16" t="s">
        <v>30</v>
      </c>
      <c r="B804" s="16">
        <v>775026</v>
      </c>
      <c r="C804" s="16">
        <v>775102</v>
      </c>
      <c r="E804" s="16" t="s">
        <v>48</v>
      </c>
      <c r="F804" s="16" t="s">
        <v>2612</v>
      </c>
      <c r="I804" s="16" t="s">
        <v>290</v>
      </c>
      <c r="O804" s="16" t="s">
        <v>2613</v>
      </c>
    </row>
    <row r="805" spans="1:15" ht="15.75" customHeight="1" x14ac:dyDescent="0.25">
      <c r="A805" s="16" t="s">
        <v>30</v>
      </c>
      <c r="B805" s="16">
        <v>775188</v>
      </c>
      <c r="C805" s="16">
        <v>775263</v>
      </c>
      <c r="E805" s="16" t="s">
        <v>48</v>
      </c>
      <c r="F805" s="16" t="s">
        <v>962</v>
      </c>
      <c r="I805" s="16" t="s">
        <v>290</v>
      </c>
      <c r="O805" s="16" t="s">
        <v>2614</v>
      </c>
    </row>
    <row r="806" spans="1:15" ht="15.75" customHeight="1" x14ac:dyDescent="0.25">
      <c r="A806" s="16" t="s">
        <v>30</v>
      </c>
      <c r="B806" s="16">
        <v>775663</v>
      </c>
      <c r="C806" s="16">
        <v>778778</v>
      </c>
      <c r="E806" s="16" t="s">
        <v>48</v>
      </c>
      <c r="F806" s="16" t="s">
        <v>397</v>
      </c>
      <c r="I806" s="16" t="s">
        <v>395</v>
      </c>
      <c r="O806" s="16" t="s">
        <v>2615</v>
      </c>
    </row>
    <row r="807" spans="1:15" ht="15.75" customHeight="1" x14ac:dyDescent="0.25">
      <c r="A807" s="16" t="s">
        <v>30</v>
      </c>
      <c r="B807" s="16">
        <v>779021</v>
      </c>
      <c r="C807" s="16">
        <v>779136</v>
      </c>
      <c r="E807" s="16" t="s">
        <v>48</v>
      </c>
      <c r="F807" s="16" t="s">
        <v>393</v>
      </c>
      <c r="G807" s="16" t="s">
        <v>394</v>
      </c>
      <c r="I807" s="16" t="s">
        <v>395</v>
      </c>
      <c r="O807" s="16" t="s">
        <v>2616</v>
      </c>
    </row>
    <row r="808" spans="1:15" ht="15.75" customHeight="1" x14ac:dyDescent="0.25">
      <c r="A808" s="16" t="s">
        <v>30</v>
      </c>
      <c r="B808" s="16">
        <v>779185</v>
      </c>
      <c r="C808" s="16">
        <v>779300</v>
      </c>
      <c r="E808" s="16" t="s">
        <v>48</v>
      </c>
      <c r="F808" s="16" t="s">
        <v>393</v>
      </c>
      <c r="G808" s="16" t="s">
        <v>394</v>
      </c>
      <c r="I808" s="16" t="s">
        <v>395</v>
      </c>
      <c r="O808" s="16" t="s">
        <v>2617</v>
      </c>
    </row>
    <row r="809" spans="1:15" ht="15.75" customHeight="1" x14ac:dyDescent="0.25">
      <c r="A809" s="16" t="s">
        <v>30</v>
      </c>
      <c r="B809" s="16">
        <v>779313</v>
      </c>
      <c r="C809" s="16">
        <v>779389</v>
      </c>
      <c r="E809" s="16" t="s">
        <v>48</v>
      </c>
      <c r="F809" s="16" t="s">
        <v>471</v>
      </c>
      <c r="I809" s="16" t="s">
        <v>290</v>
      </c>
      <c r="O809" s="16" t="s">
        <v>2618</v>
      </c>
    </row>
    <row r="810" spans="1:15" ht="15.75" customHeight="1" x14ac:dyDescent="0.25">
      <c r="A810" s="16" t="s">
        <v>30</v>
      </c>
      <c r="B810" s="16">
        <v>779418</v>
      </c>
      <c r="C810" s="16">
        <v>779493</v>
      </c>
      <c r="E810" s="16" t="s">
        <v>48</v>
      </c>
      <c r="F810" s="16" t="s">
        <v>1405</v>
      </c>
      <c r="I810" s="16" t="s">
        <v>290</v>
      </c>
      <c r="O810" s="16" t="s">
        <v>2619</v>
      </c>
    </row>
    <row r="811" spans="1:15" ht="15.75" customHeight="1" x14ac:dyDescent="0.25">
      <c r="A811" s="16" t="s">
        <v>30</v>
      </c>
      <c r="B811" s="16">
        <v>779723</v>
      </c>
      <c r="C811" s="16">
        <v>780142</v>
      </c>
      <c r="E811" s="16" t="s">
        <v>48</v>
      </c>
      <c r="F811" s="16" t="s">
        <v>2620</v>
      </c>
      <c r="G811" s="16" t="s">
        <v>2621</v>
      </c>
      <c r="I811" s="16" t="s">
        <v>50</v>
      </c>
      <c r="L811" s="16" t="s">
        <v>2622</v>
      </c>
      <c r="M811" s="16" t="s">
        <v>2620</v>
      </c>
      <c r="N811" s="16">
        <v>139</v>
      </c>
      <c r="O811" s="16" t="s">
        <v>2623</v>
      </c>
    </row>
    <row r="812" spans="1:15" ht="15.75" customHeight="1" x14ac:dyDescent="0.25">
      <c r="A812" s="16" t="s">
        <v>30</v>
      </c>
      <c r="B812" s="16">
        <v>780206</v>
      </c>
      <c r="C812" s="16">
        <v>781492</v>
      </c>
      <c r="E812" s="16" t="s">
        <v>57</v>
      </c>
      <c r="F812" s="16" t="s">
        <v>2624</v>
      </c>
      <c r="I812" s="16" t="s">
        <v>50</v>
      </c>
      <c r="L812" s="16" t="s">
        <v>2625</v>
      </c>
      <c r="M812" s="16" t="s">
        <v>2624</v>
      </c>
      <c r="N812" s="16">
        <v>428</v>
      </c>
      <c r="O812" s="16" t="s">
        <v>2626</v>
      </c>
    </row>
    <row r="813" spans="1:15" ht="15.75" customHeight="1" x14ac:dyDescent="0.25">
      <c r="A813" s="16" t="s">
        <v>30</v>
      </c>
      <c r="B813" s="16">
        <v>781503</v>
      </c>
      <c r="C813" s="16">
        <v>782714</v>
      </c>
      <c r="E813" s="16" t="s">
        <v>57</v>
      </c>
      <c r="F813" s="16" t="s">
        <v>2627</v>
      </c>
      <c r="I813" s="16" t="s">
        <v>50</v>
      </c>
      <c r="L813" s="16" t="s">
        <v>2628</v>
      </c>
      <c r="M813" s="16" t="s">
        <v>2627</v>
      </c>
      <c r="N813" s="16">
        <v>403</v>
      </c>
      <c r="O813" s="16" t="s">
        <v>2629</v>
      </c>
    </row>
    <row r="814" spans="1:15" ht="15.75" customHeight="1" x14ac:dyDescent="0.25">
      <c r="A814" s="16" t="s">
        <v>30</v>
      </c>
      <c r="B814" s="16">
        <v>783020</v>
      </c>
      <c r="C814" s="16">
        <v>785551</v>
      </c>
      <c r="E814" s="16" t="s">
        <v>48</v>
      </c>
      <c r="F814" s="16" t="s">
        <v>2630</v>
      </c>
      <c r="I814" s="16" t="s">
        <v>50</v>
      </c>
      <c r="L814" s="16" t="s">
        <v>2631</v>
      </c>
      <c r="M814" s="16" t="s">
        <v>2630</v>
      </c>
      <c r="N814" s="16">
        <v>843</v>
      </c>
      <c r="O814" s="16" t="s">
        <v>2632</v>
      </c>
    </row>
    <row r="815" spans="1:15" ht="15.75" customHeight="1" x14ac:dyDescent="0.25">
      <c r="A815" s="16" t="s">
        <v>30</v>
      </c>
      <c r="B815" s="16">
        <v>785625</v>
      </c>
      <c r="C815" s="16">
        <v>786632</v>
      </c>
      <c r="E815" s="16" t="s">
        <v>48</v>
      </c>
      <c r="F815" s="16" t="s">
        <v>2633</v>
      </c>
      <c r="G815" s="16" t="s">
        <v>2634</v>
      </c>
      <c r="I815" s="16" t="s">
        <v>50</v>
      </c>
      <c r="L815" s="16" t="s">
        <v>2635</v>
      </c>
      <c r="M815" s="16" t="s">
        <v>2633</v>
      </c>
      <c r="N815" s="16">
        <v>335</v>
      </c>
      <c r="O815" s="16" t="s">
        <v>2636</v>
      </c>
    </row>
    <row r="816" spans="1:15" ht="15.75" customHeight="1" x14ac:dyDescent="0.25">
      <c r="A816" s="16" t="s">
        <v>30</v>
      </c>
      <c r="B816" s="16">
        <v>786649</v>
      </c>
      <c r="C816" s="16">
        <v>787452</v>
      </c>
      <c r="E816" s="16" t="s">
        <v>48</v>
      </c>
      <c r="F816" s="16" t="s">
        <v>2637</v>
      </c>
      <c r="G816" s="16" t="s">
        <v>2638</v>
      </c>
      <c r="I816" s="16" t="s">
        <v>50</v>
      </c>
      <c r="L816" s="16" t="s">
        <v>2639</v>
      </c>
      <c r="M816" s="16" t="s">
        <v>2637</v>
      </c>
      <c r="N816" s="16">
        <v>267</v>
      </c>
      <c r="O816" s="16" t="s">
        <v>2640</v>
      </c>
    </row>
    <row r="817" spans="1:15" ht="15.75" customHeight="1" x14ac:dyDescent="0.25">
      <c r="A817" s="16" t="s">
        <v>30</v>
      </c>
      <c r="B817" s="16">
        <v>787462</v>
      </c>
      <c r="C817" s="16">
        <v>788277</v>
      </c>
      <c r="E817" s="16" t="s">
        <v>48</v>
      </c>
      <c r="F817" s="16" t="s">
        <v>2641</v>
      </c>
      <c r="I817" s="16" t="s">
        <v>50</v>
      </c>
      <c r="L817" s="16" t="s">
        <v>2642</v>
      </c>
      <c r="M817" s="16" t="s">
        <v>2641</v>
      </c>
      <c r="N817" s="16">
        <v>271</v>
      </c>
      <c r="O817" s="16" t="s">
        <v>2643</v>
      </c>
    </row>
    <row r="818" spans="1:15" ht="15.75" customHeight="1" x14ac:dyDescent="0.25">
      <c r="A818" s="16" t="s">
        <v>30</v>
      </c>
      <c r="B818" s="16">
        <v>788415</v>
      </c>
      <c r="C818" s="16">
        <v>789800</v>
      </c>
      <c r="E818" s="16" t="s">
        <v>48</v>
      </c>
      <c r="F818" s="16" t="s">
        <v>2644</v>
      </c>
      <c r="I818" s="16" t="s">
        <v>50</v>
      </c>
      <c r="L818" s="16" t="s">
        <v>2645</v>
      </c>
      <c r="M818" s="16" t="s">
        <v>2644</v>
      </c>
      <c r="N818" s="16">
        <v>461</v>
      </c>
      <c r="O818" s="16" t="s">
        <v>2646</v>
      </c>
    </row>
    <row r="819" spans="1:15" ht="15.75" customHeight="1" x14ac:dyDescent="0.25">
      <c r="A819" s="16" t="s">
        <v>30</v>
      </c>
      <c r="B819" s="16">
        <v>789938</v>
      </c>
      <c r="C819" s="16">
        <v>790786</v>
      </c>
      <c r="E819" s="16" t="s">
        <v>57</v>
      </c>
      <c r="F819" s="16" t="s">
        <v>2647</v>
      </c>
      <c r="G819" s="16" t="s">
        <v>2648</v>
      </c>
      <c r="I819" s="16" t="s">
        <v>50</v>
      </c>
      <c r="L819" s="16" t="s">
        <v>2649</v>
      </c>
      <c r="M819" s="16" t="s">
        <v>2647</v>
      </c>
      <c r="N819" s="16">
        <v>282</v>
      </c>
      <c r="O819" s="16" t="s">
        <v>2650</v>
      </c>
    </row>
    <row r="820" spans="1:15" ht="15.75" customHeight="1" x14ac:dyDescent="0.25">
      <c r="A820" s="16" t="s">
        <v>30</v>
      </c>
      <c r="B820" s="16">
        <v>790968</v>
      </c>
      <c r="C820" s="16">
        <v>791044</v>
      </c>
      <c r="E820" s="16" t="s">
        <v>48</v>
      </c>
      <c r="F820" s="16" t="s">
        <v>403</v>
      </c>
      <c r="I820" s="16" t="s">
        <v>290</v>
      </c>
      <c r="O820" s="16" t="s">
        <v>2651</v>
      </c>
    </row>
    <row r="821" spans="1:15" ht="15.75" customHeight="1" x14ac:dyDescent="0.25">
      <c r="A821" s="16" t="s">
        <v>30</v>
      </c>
      <c r="B821" s="16">
        <v>791092</v>
      </c>
      <c r="C821" s="16">
        <v>791168</v>
      </c>
      <c r="E821" s="16" t="s">
        <v>48</v>
      </c>
      <c r="F821" s="16" t="s">
        <v>407</v>
      </c>
      <c r="I821" s="16" t="s">
        <v>290</v>
      </c>
      <c r="O821" s="16" t="s">
        <v>2652</v>
      </c>
    </row>
    <row r="822" spans="1:15" ht="15.75" customHeight="1" x14ac:dyDescent="0.25">
      <c r="A822" s="16" t="s">
        <v>30</v>
      </c>
      <c r="B822" s="16">
        <v>791314</v>
      </c>
      <c r="C822" s="16">
        <v>792600</v>
      </c>
      <c r="E822" s="16" t="s">
        <v>57</v>
      </c>
      <c r="F822" s="16" t="s">
        <v>2653</v>
      </c>
      <c r="G822" s="16" t="s">
        <v>2654</v>
      </c>
      <c r="I822" s="16" t="s">
        <v>50</v>
      </c>
      <c r="L822" s="16" t="s">
        <v>2655</v>
      </c>
      <c r="M822" s="16" t="s">
        <v>2653</v>
      </c>
      <c r="N822" s="16">
        <v>428</v>
      </c>
      <c r="O822" s="16" t="s">
        <v>2656</v>
      </c>
    </row>
    <row r="823" spans="1:15" ht="15.75" customHeight="1" x14ac:dyDescent="0.25">
      <c r="A823" s="16" t="s">
        <v>30</v>
      </c>
      <c r="B823" s="16">
        <v>792639</v>
      </c>
      <c r="C823" s="16">
        <v>793289</v>
      </c>
      <c r="E823" s="16" t="s">
        <v>57</v>
      </c>
      <c r="F823" s="16" t="s">
        <v>2657</v>
      </c>
      <c r="G823" s="16" t="s">
        <v>2658</v>
      </c>
      <c r="I823" s="16" t="s">
        <v>50</v>
      </c>
      <c r="L823" s="16" t="s">
        <v>2659</v>
      </c>
      <c r="M823" s="16" t="s">
        <v>2657</v>
      </c>
      <c r="N823" s="16">
        <v>216</v>
      </c>
      <c r="O823" s="16" t="s">
        <v>2660</v>
      </c>
    </row>
    <row r="824" spans="1:15" ht="15.75" customHeight="1" x14ac:dyDescent="0.25">
      <c r="A824" s="16" t="s">
        <v>30</v>
      </c>
      <c r="B824" s="16">
        <v>793309</v>
      </c>
      <c r="C824" s="16">
        <v>793743</v>
      </c>
      <c r="E824" s="16" t="s">
        <v>57</v>
      </c>
      <c r="F824" s="16" t="s">
        <v>2661</v>
      </c>
      <c r="G824" s="16" t="s">
        <v>2662</v>
      </c>
      <c r="I824" s="16" t="s">
        <v>50</v>
      </c>
      <c r="L824" s="16" t="s">
        <v>2663</v>
      </c>
      <c r="M824" s="16" t="s">
        <v>2661</v>
      </c>
      <c r="N824" s="16">
        <v>144</v>
      </c>
      <c r="O824" s="16" t="s">
        <v>2664</v>
      </c>
    </row>
    <row r="825" spans="1:15" ht="15.75" customHeight="1" x14ac:dyDescent="0.25">
      <c r="A825" s="16" t="s">
        <v>30</v>
      </c>
      <c r="B825" s="16">
        <v>793757</v>
      </c>
      <c r="C825" s="16">
        <v>795169</v>
      </c>
      <c r="E825" s="16" t="s">
        <v>57</v>
      </c>
      <c r="F825" s="16" t="s">
        <v>2665</v>
      </c>
      <c r="G825" s="16" t="s">
        <v>2666</v>
      </c>
      <c r="I825" s="16" t="s">
        <v>50</v>
      </c>
      <c r="L825" s="16" t="s">
        <v>2667</v>
      </c>
      <c r="M825" s="16" t="s">
        <v>2665</v>
      </c>
      <c r="N825" s="16">
        <v>470</v>
      </c>
      <c r="O825" s="16" t="s">
        <v>2668</v>
      </c>
    </row>
    <row r="826" spans="1:15" ht="15.75" customHeight="1" x14ac:dyDescent="0.25">
      <c r="A826" s="16" t="s">
        <v>30</v>
      </c>
      <c r="B826" s="16">
        <v>795242</v>
      </c>
      <c r="C826" s="16">
        <v>797011</v>
      </c>
      <c r="E826" s="16" t="s">
        <v>57</v>
      </c>
      <c r="F826" s="16" t="s">
        <v>2669</v>
      </c>
      <c r="G826" s="16" t="s">
        <v>2670</v>
      </c>
      <c r="I826" s="16" t="s">
        <v>50</v>
      </c>
      <c r="L826" s="16" t="s">
        <v>2671</v>
      </c>
      <c r="M826" s="16" t="s">
        <v>2669</v>
      </c>
      <c r="N826" s="16">
        <v>589</v>
      </c>
      <c r="O826" s="16" t="s">
        <v>2672</v>
      </c>
    </row>
    <row r="827" spans="1:15" ht="15.75" customHeight="1" x14ac:dyDescent="0.25">
      <c r="A827" s="16" t="s">
        <v>30</v>
      </c>
      <c r="B827" s="16">
        <v>797241</v>
      </c>
      <c r="C827" s="16">
        <v>797990</v>
      </c>
      <c r="E827" s="16" t="s">
        <v>57</v>
      </c>
      <c r="F827" s="16" t="s">
        <v>2673</v>
      </c>
      <c r="I827" s="16" t="s">
        <v>50</v>
      </c>
      <c r="L827" s="16" t="s">
        <v>2674</v>
      </c>
      <c r="M827" s="16" t="s">
        <v>2673</v>
      </c>
      <c r="N827" s="16">
        <v>249</v>
      </c>
      <c r="O827" s="16" t="s">
        <v>2675</v>
      </c>
    </row>
    <row r="828" spans="1:15" ht="15.75" customHeight="1" x14ac:dyDescent="0.25">
      <c r="A828" s="16" t="s">
        <v>30</v>
      </c>
      <c r="B828" s="16">
        <v>798189</v>
      </c>
      <c r="C828" s="16">
        <v>800960</v>
      </c>
      <c r="E828" s="16" t="s">
        <v>48</v>
      </c>
      <c r="F828" s="16" t="s">
        <v>2676</v>
      </c>
      <c r="G828" s="16" t="s">
        <v>2677</v>
      </c>
      <c r="I828" s="16" t="s">
        <v>50</v>
      </c>
      <c r="L828" s="16" t="s">
        <v>2678</v>
      </c>
      <c r="M828" s="16" t="s">
        <v>2676</v>
      </c>
      <c r="N828" s="16">
        <v>923</v>
      </c>
      <c r="O828" s="16" t="s">
        <v>2679</v>
      </c>
    </row>
    <row r="829" spans="1:15" ht="15.75" customHeight="1" x14ac:dyDescent="0.25">
      <c r="A829" s="16" t="s">
        <v>30</v>
      </c>
      <c r="B829" s="16">
        <v>800963</v>
      </c>
      <c r="C829" s="16">
        <v>801622</v>
      </c>
      <c r="E829" s="16" t="s">
        <v>48</v>
      </c>
      <c r="F829" s="16" t="s">
        <v>2680</v>
      </c>
      <c r="G829" s="16" t="s">
        <v>2681</v>
      </c>
      <c r="I829" s="16" t="s">
        <v>50</v>
      </c>
      <c r="L829" s="16" t="s">
        <v>2682</v>
      </c>
      <c r="M829" s="16" t="s">
        <v>2680</v>
      </c>
      <c r="N829" s="16">
        <v>219</v>
      </c>
      <c r="O829" s="16" t="s">
        <v>2683</v>
      </c>
    </row>
    <row r="830" spans="1:15" ht="15.75" customHeight="1" x14ac:dyDescent="0.25">
      <c r="A830" s="16" t="s">
        <v>30</v>
      </c>
      <c r="B830" s="16">
        <v>801649</v>
      </c>
      <c r="C830" s="16">
        <v>802227</v>
      </c>
      <c r="E830" s="16" t="s">
        <v>48</v>
      </c>
      <c r="F830" s="16" t="s">
        <v>2684</v>
      </c>
      <c r="I830" s="16" t="s">
        <v>50</v>
      </c>
      <c r="L830" s="16" t="s">
        <v>2685</v>
      </c>
      <c r="M830" s="16" t="s">
        <v>2684</v>
      </c>
      <c r="N830" s="16">
        <v>192</v>
      </c>
      <c r="O830" s="16" t="s">
        <v>2686</v>
      </c>
    </row>
    <row r="831" spans="1:15" ht="15.75" customHeight="1" x14ac:dyDescent="0.25">
      <c r="A831" s="16" t="s">
        <v>30</v>
      </c>
      <c r="B831" s="16">
        <v>802257</v>
      </c>
      <c r="C831" s="16">
        <v>803024</v>
      </c>
      <c r="E831" s="16" t="s">
        <v>48</v>
      </c>
      <c r="F831" s="16" t="s">
        <v>2687</v>
      </c>
      <c r="I831" s="16" t="s">
        <v>50</v>
      </c>
      <c r="L831" s="16" t="s">
        <v>2688</v>
      </c>
      <c r="M831" s="16" t="s">
        <v>2687</v>
      </c>
      <c r="N831" s="16">
        <v>255</v>
      </c>
      <c r="O831" s="16" t="s">
        <v>2689</v>
      </c>
    </row>
    <row r="832" spans="1:15" ht="15.75" customHeight="1" x14ac:dyDescent="0.25">
      <c r="A832" s="16" t="s">
        <v>30</v>
      </c>
      <c r="B832" s="16">
        <v>803326</v>
      </c>
      <c r="C832" s="16">
        <v>804147</v>
      </c>
      <c r="E832" s="16" t="s">
        <v>57</v>
      </c>
      <c r="F832" s="16" t="s">
        <v>2690</v>
      </c>
      <c r="I832" s="16" t="s">
        <v>50</v>
      </c>
      <c r="L832" s="16" t="s">
        <v>2691</v>
      </c>
      <c r="M832" s="16" t="s">
        <v>2690</v>
      </c>
      <c r="N832" s="16">
        <v>273</v>
      </c>
      <c r="O832" s="16" t="s">
        <v>2692</v>
      </c>
    </row>
    <row r="833" spans="1:15" ht="15.75" customHeight="1" x14ac:dyDescent="0.25">
      <c r="A833" s="16" t="s">
        <v>30</v>
      </c>
      <c r="B833" s="16">
        <v>804186</v>
      </c>
      <c r="C833" s="16">
        <v>804875</v>
      </c>
      <c r="E833" s="16" t="s">
        <v>57</v>
      </c>
      <c r="F833" s="16" t="s">
        <v>1246</v>
      </c>
      <c r="I833" s="16" t="s">
        <v>50</v>
      </c>
      <c r="L833" s="16" t="s">
        <v>2693</v>
      </c>
      <c r="M833" s="16" t="s">
        <v>1246</v>
      </c>
      <c r="N833" s="16">
        <v>229</v>
      </c>
      <c r="O833" s="16" t="s">
        <v>2694</v>
      </c>
    </row>
    <row r="834" spans="1:15" ht="15.75" customHeight="1" x14ac:dyDescent="0.25">
      <c r="A834" s="16" t="s">
        <v>30</v>
      </c>
      <c r="B834" s="16">
        <v>804865</v>
      </c>
      <c r="C834" s="16">
        <v>805902</v>
      </c>
      <c r="E834" s="16" t="s">
        <v>57</v>
      </c>
      <c r="F834" s="16" t="s">
        <v>2695</v>
      </c>
      <c r="G834" s="16" t="s">
        <v>2696</v>
      </c>
      <c r="I834" s="16" t="s">
        <v>50</v>
      </c>
      <c r="L834" s="16" t="s">
        <v>2697</v>
      </c>
      <c r="M834" s="16" t="s">
        <v>2695</v>
      </c>
      <c r="N834" s="16">
        <v>345</v>
      </c>
      <c r="O834" s="16" t="s">
        <v>2698</v>
      </c>
    </row>
    <row r="835" spans="1:15" ht="15.75" customHeight="1" x14ac:dyDescent="0.25">
      <c r="A835" s="16" t="s">
        <v>30</v>
      </c>
      <c r="B835" s="16">
        <v>806078</v>
      </c>
      <c r="C835" s="16">
        <v>806632</v>
      </c>
      <c r="E835" s="16" t="s">
        <v>48</v>
      </c>
      <c r="F835" s="16" t="s">
        <v>2699</v>
      </c>
      <c r="G835" s="16" t="s">
        <v>2700</v>
      </c>
      <c r="I835" s="16" t="s">
        <v>50</v>
      </c>
      <c r="L835" s="16" t="s">
        <v>2701</v>
      </c>
      <c r="M835" s="16" t="s">
        <v>2699</v>
      </c>
      <c r="N835" s="16">
        <v>184</v>
      </c>
      <c r="O835" s="16" t="s">
        <v>2702</v>
      </c>
    </row>
    <row r="836" spans="1:15" ht="15.75" customHeight="1" x14ac:dyDescent="0.25">
      <c r="A836" s="16" t="s">
        <v>30</v>
      </c>
      <c r="B836" s="16">
        <v>806972</v>
      </c>
      <c r="C836" s="16">
        <v>808511</v>
      </c>
      <c r="E836" s="16" t="s">
        <v>48</v>
      </c>
      <c r="F836" s="16" t="s">
        <v>401</v>
      </c>
      <c r="I836" s="16" t="s">
        <v>395</v>
      </c>
      <c r="O836" s="16" t="s">
        <v>2703</v>
      </c>
    </row>
    <row r="837" spans="1:15" ht="15.75" customHeight="1" x14ac:dyDescent="0.25">
      <c r="A837" s="16" t="s">
        <v>30</v>
      </c>
      <c r="B837" s="16">
        <v>808591</v>
      </c>
      <c r="C837" s="16">
        <v>808667</v>
      </c>
      <c r="E837" s="16" t="s">
        <v>48</v>
      </c>
      <c r="F837" s="16" t="s">
        <v>2612</v>
      </c>
      <c r="I837" s="16" t="s">
        <v>290</v>
      </c>
      <c r="O837" s="16" t="s">
        <v>2704</v>
      </c>
    </row>
    <row r="838" spans="1:15" ht="15.75" customHeight="1" x14ac:dyDescent="0.25">
      <c r="A838" s="16" t="s">
        <v>30</v>
      </c>
      <c r="B838" s="16">
        <v>808753</v>
      </c>
      <c r="C838" s="16">
        <v>808828</v>
      </c>
      <c r="E838" s="16" t="s">
        <v>48</v>
      </c>
      <c r="F838" s="16" t="s">
        <v>962</v>
      </c>
      <c r="I838" s="16" t="s">
        <v>290</v>
      </c>
      <c r="O838" s="16" t="s">
        <v>2705</v>
      </c>
    </row>
    <row r="839" spans="1:15" ht="15.75" customHeight="1" x14ac:dyDescent="0.25">
      <c r="A839" s="16" t="s">
        <v>30</v>
      </c>
      <c r="B839" s="16">
        <v>809228</v>
      </c>
      <c r="C839" s="16">
        <v>812343</v>
      </c>
      <c r="E839" s="16" t="s">
        <v>48</v>
      </c>
      <c r="F839" s="16" t="s">
        <v>397</v>
      </c>
      <c r="I839" s="16" t="s">
        <v>395</v>
      </c>
      <c r="O839" s="16" t="s">
        <v>2706</v>
      </c>
    </row>
    <row r="840" spans="1:15" ht="15.75" customHeight="1" x14ac:dyDescent="0.25">
      <c r="A840" s="16" t="s">
        <v>30</v>
      </c>
      <c r="B840" s="16">
        <v>812586</v>
      </c>
      <c r="C840" s="16">
        <v>812701</v>
      </c>
      <c r="E840" s="16" t="s">
        <v>48</v>
      </c>
      <c r="F840" s="16" t="s">
        <v>393</v>
      </c>
      <c r="G840" s="16" t="s">
        <v>394</v>
      </c>
      <c r="I840" s="16" t="s">
        <v>395</v>
      </c>
      <c r="O840" s="16" t="s">
        <v>2707</v>
      </c>
    </row>
    <row r="841" spans="1:15" ht="15.75" customHeight="1" x14ac:dyDescent="0.25">
      <c r="A841" s="16" t="s">
        <v>30</v>
      </c>
      <c r="B841" s="16">
        <v>812879</v>
      </c>
      <c r="C841" s="16">
        <v>813439</v>
      </c>
      <c r="E841" s="16" t="s">
        <v>48</v>
      </c>
      <c r="F841" s="16" t="s">
        <v>2708</v>
      </c>
      <c r="G841" s="16" t="s">
        <v>2709</v>
      </c>
      <c r="I841" s="16" t="s">
        <v>50</v>
      </c>
      <c r="L841" s="16" t="s">
        <v>2710</v>
      </c>
      <c r="M841" s="16" t="s">
        <v>2708</v>
      </c>
      <c r="N841" s="16">
        <v>186</v>
      </c>
      <c r="O841" s="16" t="s">
        <v>2711</v>
      </c>
    </row>
    <row r="842" spans="1:15" ht="15.75" customHeight="1" x14ac:dyDescent="0.25">
      <c r="A842" s="16" t="s">
        <v>30</v>
      </c>
      <c r="B842" s="16">
        <v>813443</v>
      </c>
      <c r="C842" s="16">
        <v>813883</v>
      </c>
      <c r="E842" s="16" t="s">
        <v>48</v>
      </c>
      <c r="F842" s="16" t="s">
        <v>2712</v>
      </c>
      <c r="I842" s="16" t="s">
        <v>50</v>
      </c>
      <c r="L842" s="16" t="s">
        <v>2713</v>
      </c>
      <c r="M842" s="16" t="s">
        <v>2712</v>
      </c>
      <c r="N842" s="16">
        <v>146</v>
      </c>
      <c r="O842" s="16" t="s">
        <v>2714</v>
      </c>
    </row>
    <row r="843" spans="1:15" ht="15.75" customHeight="1" x14ac:dyDescent="0.25">
      <c r="A843" s="16" t="s">
        <v>30</v>
      </c>
      <c r="B843" s="16">
        <v>813945</v>
      </c>
      <c r="C843" s="16">
        <v>814571</v>
      </c>
      <c r="E843" s="16" t="s">
        <v>57</v>
      </c>
      <c r="F843" s="16" t="s">
        <v>767</v>
      </c>
      <c r="I843" s="16" t="s">
        <v>50</v>
      </c>
      <c r="L843" s="16" t="s">
        <v>2715</v>
      </c>
      <c r="M843" s="16" t="s">
        <v>767</v>
      </c>
      <c r="N843" s="16">
        <v>208</v>
      </c>
      <c r="O843" s="16" t="s">
        <v>2716</v>
      </c>
    </row>
    <row r="844" spans="1:15" ht="15.75" customHeight="1" x14ac:dyDescent="0.25">
      <c r="A844" s="16" t="s">
        <v>30</v>
      </c>
      <c r="B844" s="16">
        <v>814777</v>
      </c>
      <c r="C844" s="16">
        <v>816024</v>
      </c>
      <c r="E844" s="16" t="s">
        <v>57</v>
      </c>
      <c r="F844" s="16" t="s">
        <v>2717</v>
      </c>
      <c r="G844" s="16" t="s">
        <v>2718</v>
      </c>
      <c r="I844" s="16" t="s">
        <v>50</v>
      </c>
      <c r="L844" s="16" t="s">
        <v>2719</v>
      </c>
      <c r="M844" s="16" t="s">
        <v>2717</v>
      </c>
      <c r="N844" s="16">
        <v>415</v>
      </c>
      <c r="O844" s="16" t="s">
        <v>2720</v>
      </c>
    </row>
    <row r="845" spans="1:15" ht="15.75" customHeight="1" x14ac:dyDescent="0.25">
      <c r="A845" s="16" t="s">
        <v>30</v>
      </c>
      <c r="B845" s="16">
        <v>816072</v>
      </c>
      <c r="C845" s="16">
        <v>816188</v>
      </c>
      <c r="E845" s="16" t="s">
        <v>57</v>
      </c>
      <c r="F845" s="16" t="s">
        <v>2721</v>
      </c>
      <c r="I845" s="16" t="s">
        <v>50</v>
      </c>
      <c r="L845" s="16" t="s">
        <v>2722</v>
      </c>
      <c r="M845" s="16" t="s">
        <v>2721</v>
      </c>
      <c r="N845" s="16">
        <v>38</v>
      </c>
      <c r="O845" s="16" t="s">
        <v>2723</v>
      </c>
    </row>
    <row r="846" spans="1:15" ht="15.75" customHeight="1" x14ac:dyDescent="0.25">
      <c r="A846" s="16" t="s">
        <v>30</v>
      </c>
      <c r="B846" s="16">
        <v>816286</v>
      </c>
      <c r="C846" s="16">
        <v>816591</v>
      </c>
      <c r="E846" s="16" t="s">
        <v>48</v>
      </c>
      <c r="F846" s="16" t="s">
        <v>2724</v>
      </c>
      <c r="G846" s="16" t="s">
        <v>2725</v>
      </c>
      <c r="I846" s="16" t="s">
        <v>50</v>
      </c>
      <c r="L846" s="16" t="s">
        <v>2726</v>
      </c>
      <c r="M846" s="16" t="s">
        <v>2724</v>
      </c>
      <c r="N846" s="16">
        <v>101</v>
      </c>
      <c r="O846" s="16" t="s">
        <v>2727</v>
      </c>
    </row>
    <row r="847" spans="1:15" ht="15.75" customHeight="1" x14ac:dyDescent="0.25">
      <c r="A847" s="16" t="s">
        <v>30</v>
      </c>
      <c r="B847" s="16">
        <v>816593</v>
      </c>
      <c r="C847" s="16">
        <v>818452</v>
      </c>
      <c r="E847" s="16" t="s">
        <v>48</v>
      </c>
      <c r="F847" s="16" t="s">
        <v>2728</v>
      </c>
      <c r="G847" s="16" t="s">
        <v>2729</v>
      </c>
      <c r="I847" s="16" t="s">
        <v>50</v>
      </c>
      <c r="L847" s="16" t="s">
        <v>2730</v>
      </c>
      <c r="M847" s="16" t="s">
        <v>2728</v>
      </c>
      <c r="N847" s="16">
        <v>619</v>
      </c>
      <c r="O847" s="16" t="s">
        <v>2731</v>
      </c>
    </row>
    <row r="848" spans="1:15" ht="15.75" customHeight="1" x14ac:dyDescent="0.25">
      <c r="A848" s="16" t="s">
        <v>30</v>
      </c>
      <c r="B848" s="16">
        <v>818537</v>
      </c>
      <c r="C848" s="16">
        <v>820255</v>
      </c>
      <c r="E848" s="16" t="s">
        <v>48</v>
      </c>
      <c r="F848" s="16" t="s">
        <v>2732</v>
      </c>
      <c r="G848" s="16" t="s">
        <v>2733</v>
      </c>
      <c r="I848" s="16" t="s">
        <v>50</v>
      </c>
      <c r="L848" s="16" t="s">
        <v>2734</v>
      </c>
      <c r="M848" s="16" t="s">
        <v>2732</v>
      </c>
      <c r="N848" s="16">
        <v>572</v>
      </c>
      <c r="O848" s="16" t="s">
        <v>2735</v>
      </c>
    </row>
    <row r="849" spans="1:15" ht="15.75" customHeight="1" x14ac:dyDescent="0.25">
      <c r="A849" s="16" t="s">
        <v>30</v>
      </c>
      <c r="B849" s="16">
        <v>820343</v>
      </c>
      <c r="C849" s="16">
        <v>822691</v>
      </c>
      <c r="E849" s="16" t="s">
        <v>57</v>
      </c>
      <c r="F849" s="16" t="s">
        <v>2736</v>
      </c>
      <c r="G849" s="16" t="s">
        <v>2737</v>
      </c>
      <c r="I849" s="16" t="s">
        <v>50</v>
      </c>
      <c r="L849" s="16" t="s">
        <v>2738</v>
      </c>
      <c r="M849" s="16" t="s">
        <v>2736</v>
      </c>
      <c r="N849" s="16">
        <v>782</v>
      </c>
      <c r="O849" s="16" t="s">
        <v>2739</v>
      </c>
    </row>
    <row r="850" spans="1:15" ht="15.75" customHeight="1" x14ac:dyDescent="0.25">
      <c r="A850" s="16" t="s">
        <v>30</v>
      </c>
      <c r="B850" s="16">
        <v>822814</v>
      </c>
      <c r="C850" s="16">
        <v>824223</v>
      </c>
      <c r="E850" s="16" t="s">
        <v>57</v>
      </c>
      <c r="F850" s="16" t="s">
        <v>2740</v>
      </c>
      <c r="I850" s="16" t="s">
        <v>50</v>
      </c>
      <c r="L850" s="16" t="s">
        <v>2741</v>
      </c>
      <c r="M850" s="16" t="s">
        <v>2740</v>
      </c>
      <c r="N850" s="16">
        <v>469</v>
      </c>
      <c r="O850" s="16" t="s">
        <v>2742</v>
      </c>
    </row>
    <row r="851" spans="1:15" ht="15.75" customHeight="1" x14ac:dyDescent="0.25">
      <c r="A851" s="16" t="s">
        <v>30</v>
      </c>
      <c r="B851" s="16">
        <v>824225</v>
      </c>
      <c r="C851" s="16">
        <v>824947</v>
      </c>
      <c r="E851" s="16" t="s">
        <v>57</v>
      </c>
      <c r="F851" s="16" t="s">
        <v>2743</v>
      </c>
      <c r="I851" s="16" t="s">
        <v>50</v>
      </c>
      <c r="L851" s="16" t="s">
        <v>2744</v>
      </c>
      <c r="M851" s="16" t="s">
        <v>2743</v>
      </c>
      <c r="N851" s="16">
        <v>240</v>
      </c>
      <c r="O851" s="16" t="s">
        <v>2745</v>
      </c>
    </row>
    <row r="852" spans="1:15" ht="15.75" customHeight="1" x14ac:dyDescent="0.25">
      <c r="A852" s="16" t="s">
        <v>30</v>
      </c>
      <c r="B852" s="16">
        <v>825033</v>
      </c>
      <c r="C852" s="16">
        <v>825746</v>
      </c>
      <c r="E852" s="16" t="s">
        <v>48</v>
      </c>
      <c r="F852" s="16" t="s">
        <v>2746</v>
      </c>
      <c r="G852" s="16" t="s">
        <v>2747</v>
      </c>
      <c r="I852" s="16" t="s">
        <v>50</v>
      </c>
      <c r="L852" s="16" t="s">
        <v>2748</v>
      </c>
      <c r="M852" s="16" t="s">
        <v>2746</v>
      </c>
      <c r="N852" s="16">
        <v>237</v>
      </c>
      <c r="O852" s="16" t="s">
        <v>2749</v>
      </c>
    </row>
    <row r="853" spans="1:15" ht="15.75" customHeight="1" x14ac:dyDescent="0.25">
      <c r="A853" s="16" t="s">
        <v>30</v>
      </c>
      <c r="B853" s="16">
        <v>825879</v>
      </c>
      <c r="C853" s="16">
        <v>825974</v>
      </c>
      <c r="E853" s="16" t="s">
        <v>57</v>
      </c>
      <c r="F853" s="16" t="s">
        <v>2750</v>
      </c>
      <c r="I853" s="16" t="s">
        <v>50</v>
      </c>
      <c r="L853" s="16" t="s">
        <v>2751</v>
      </c>
      <c r="M853" s="16" t="s">
        <v>2750</v>
      </c>
      <c r="N853" s="16">
        <v>31</v>
      </c>
      <c r="O853" s="16" t="s">
        <v>2752</v>
      </c>
    </row>
    <row r="854" spans="1:15" ht="15.75" customHeight="1" x14ac:dyDescent="0.25">
      <c r="A854" s="16" t="s">
        <v>30</v>
      </c>
      <c r="B854" s="16">
        <v>825976</v>
      </c>
      <c r="C854" s="16">
        <v>827502</v>
      </c>
      <c r="E854" s="16" t="s">
        <v>57</v>
      </c>
      <c r="F854" s="16" t="s">
        <v>2753</v>
      </c>
      <c r="I854" s="16" t="s">
        <v>50</v>
      </c>
      <c r="L854" s="16" t="s">
        <v>2754</v>
      </c>
      <c r="M854" s="16" t="s">
        <v>2753</v>
      </c>
      <c r="N854" s="16">
        <v>508</v>
      </c>
      <c r="O854" s="16" t="s">
        <v>2755</v>
      </c>
    </row>
    <row r="855" spans="1:15" ht="15.75" customHeight="1" x14ac:dyDescent="0.25">
      <c r="A855" s="16" t="s">
        <v>30</v>
      </c>
      <c r="B855" s="16">
        <v>827749</v>
      </c>
      <c r="C855" s="16">
        <v>828375</v>
      </c>
      <c r="E855" s="16" t="s">
        <v>48</v>
      </c>
      <c r="F855" s="16" t="s">
        <v>135</v>
      </c>
      <c r="I855" s="16" t="s">
        <v>50</v>
      </c>
      <c r="L855" s="16" t="s">
        <v>2756</v>
      </c>
      <c r="M855" s="16" t="s">
        <v>135</v>
      </c>
      <c r="N855" s="16">
        <v>208</v>
      </c>
      <c r="O855" s="16" t="s">
        <v>2757</v>
      </c>
    </row>
    <row r="856" spans="1:15" ht="15.75" customHeight="1" x14ac:dyDescent="0.25">
      <c r="A856" s="16" t="s">
        <v>30</v>
      </c>
      <c r="B856" s="16">
        <v>828417</v>
      </c>
      <c r="C856" s="16">
        <v>830255</v>
      </c>
      <c r="E856" s="16" t="s">
        <v>48</v>
      </c>
      <c r="F856" s="16" t="s">
        <v>2758</v>
      </c>
      <c r="G856" s="16" t="s">
        <v>2759</v>
      </c>
      <c r="I856" s="16" t="s">
        <v>50</v>
      </c>
      <c r="L856" s="16" t="s">
        <v>2760</v>
      </c>
      <c r="M856" s="16" t="s">
        <v>2758</v>
      </c>
      <c r="N856" s="16">
        <v>612</v>
      </c>
      <c r="O856" s="16" t="s">
        <v>2761</v>
      </c>
    </row>
    <row r="857" spans="1:15" ht="15.75" customHeight="1" x14ac:dyDescent="0.25">
      <c r="A857" s="16" t="s">
        <v>30</v>
      </c>
      <c r="B857" s="16">
        <v>830335</v>
      </c>
      <c r="C857" s="16">
        <v>831876</v>
      </c>
      <c r="E857" s="16" t="s">
        <v>48</v>
      </c>
      <c r="F857" s="16" t="s">
        <v>2762</v>
      </c>
      <c r="G857" s="16" t="s">
        <v>2763</v>
      </c>
      <c r="I857" s="16" t="s">
        <v>50</v>
      </c>
      <c r="L857" s="16" t="s">
        <v>2764</v>
      </c>
      <c r="M857" s="16" t="s">
        <v>2762</v>
      </c>
      <c r="N857" s="16">
        <v>513</v>
      </c>
      <c r="O857" s="16" t="s">
        <v>2765</v>
      </c>
    </row>
    <row r="858" spans="1:15" ht="15.75" customHeight="1" x14ac:dyDescent="0.25">
      <c r="A858" s="16" t="s">
        <v>30</v>
      </c>
      <c r="B858" s="16">
        <v>831914</v>
      </c>
      <c r="C858" s="16">
        <v>835393</v>
      </c>
      <c r="E858" s="16" t="s">
        <v>57</v>
      </c>
      <c r="F858" s="16" t="s">
        <v>2766</v>
      </c>
      <c r="G858" s="16" t="s">
        <v>2767</v>
      </c>
      <c r="I858" s="16" t="s">
        <v>50</v>
      </c>
      <c r="L858" s="16" t="s">
        <v>2768</v>
      </c>
      <c r="M858" s="16" t="s">
        <v>2766</v>
      </c>
      <c r="N858" s="16">
        <v>1159</v>
      </c>
      <c r="O858" s="16" t="s">
        <v>2769</v>
      </c>
    </row>
    <row r="859" spans="1:15" ht="15.75" customHeight="1" x14ac:dyDescent="0.25">
      <c r="A859" s="16" t="s">
        <v>30</v>
      </c>
      <c r="B859" s="16">
        <v>835632</v>
      </c>
      <c r="C859" s="16">
        <v>837284</v>
      </c>
      <c r="E859" s="16" t="s">
        <v>48</v>
      </c>
      <c r="F859" s="16" t="s">
        <v>2770</v>
      </c>
      <c r="I859" s="16" t="s">
        <v>50</v>
      </c>
      <c r="L859" s="16" t="s">
        <v>2771</v>
      </c>
      <c r="M859" s="16" t="s">
        <v>2770</v>
      </c>
      <c r="N859" s="16">
        <v>550</v>
      </c>
      <c r="O859" s="16" t="s">
        <v>2772</v>
      </c>
    </row>
    <row r="860" spans="1:15" ht="15.75" customHeight="1" x14ac:dyDescent="0.25">
      <c r="A860" s="16" t="s">
        <v>30</v>
      </c>
      <c r="B860" s="16">
        <v>837442</v>
      </c>
      <c r="C860" s="16">
        <v>837951</v>
      </c>
      <c r="E860" s="16" t="s">
        <v>57</v>
      </c>
      <c r="F860" s="16" t="s">
        <v>2773</v>
      </c>
      <c r="G860" s="16" t="s">
        <v>2774</v>
      </c>
      <c r="I860" s="16" t="s">
        <v>50</v>
      </c>
      <c r="L860" s="16" t="s">
        <v>2775</v>
      </c>
      <c r="M860" s="16" t="s">
        <v>2773</v>
      </c>
      <c r="N860" s="16">
        <v>169</v>
      </c>
      <c r="O860" s="16" t="s">
        <v>2776</v>
      </c>
    </row>
    <row r="861" spans="1:15" ht="15.75" customHeight="1" x14ac:dyDescent="0.25">
      <c r="A861" s="16" t="s">
        <v>30</v>
      </c>
      <c r="B861" s="16">
        <v>837965</v>
      </c>
      <c r="C861" s="16">
        <v>838411</v>
      </c>
      <c r="E861" s="16" t="s">
        <v>57</v>
      </c>
      <c r="F861" s="16" t="s">
        <v>2777</v>
      </c>
      <c r="I861" s="16" t="s">
        <v>50</v>
      </c>
      <c r="L861" s="16" t="s">
        <v>2778</v>
      </c>
      <c r="M861" s="16" t="s">
        <v>2777</v>
      </c>
      <c r="N861" s="16">
        <v>148</v>
      </c>
      <c r="O861" s="16" t="s">
        <v>2779</v>
      </c>
    </row>
    <row r="862" spans="1:15" ht="15.75" customHeight="1" x14ac:dyDescent="0.25">
      <c r="A862" s="16" t="s">
        <v>30</v>
      </c>
      <c r="B862" s="16">
        <v>838659</v>
      </c>
      <c r="C862" s="16">
        <v>839981</v>
      </c>
      <c r="E862" s="16" t="s">
        <v>48</v>
      </c>
      <c r="F862" s="16" t="s">
        <v>530</v>
      </c>
      <c r="I862" s="16" t="s">
        <v>50</v>
      </c>
      <c r="L862" s="16" t="s">
        <v>2780</v>
      </c>
      <c r="M862" s="16" t="s">
        <v>530</v>
      </c>
      <c r="N862" s="16">
        <v>440</v>
      </c>
      <c r="O862" s="16" t="s">
        <v>2781</v>
      </c>
    </row>
    <row r="863" spans="1:15" ht="15.75" customHeight="1" x14ac:dyDescent="0.25">
      <c r="A863" s="16" t="s">
        <v>30</v>
      </c>
      <c r="B863" s="16">
        <v>840185</v>
      </c>
      <c r="C863" s="16">
        <v>841519</v>
      </c>
      <c r="E863" s="16" t="s">
        <v>48</v>
      </c>
      <c r="F863" s="16" t="s">
        <v>2782</v>
      </c>
      <c r="I863" s="16" t="s">
        <v>50</v>
      </c>
      <c r="L863" s="16" t="s">
        <v>2783</v>
      </c>
      <c r="M863" s="16" t="s">
        <v>2782</v>
      </c>
      <c r="N863" s="16">
        <v>444</v>
      </c>
      <c r="O863" s="16" t="s">
        <v>2784</v>
      </c>
    </row>
    <row r="864" spans="1:15" ht="15.75" customHeight="1" x14ac:dyDescent="0.25">
      <c r="A864" s="16" t="s">
        <v>30</v>
      </c>
      <c r="B864" s="16">
        <v>841599</v>
      </c>
      <c r="C864" s="16">
        <v>844031</v>
      </c>
      <c r="E864" s="16" t="s">
        <v>57</v>
      </c>
      <c r="F864" s="16" t="s">
        <v>2785</v>
      </c>
      <c r="G864" s="16" t="s">
        <v>2786</v>
      </c>
      <c r="I864" s="16" t="s">
        <v>50</v>
      </c>
      <c r="L864" s="16" t="s">
        <v>2787</v>
      </c>
      <c r="M864" s="16" t="s">
        <v>2785</v>
      </c>
      <c r="N864" s="16">
        <v>810</v>
      </c>
      <c r="O864" s="16" t="s">
        <v>2788</v>
      </c>
    </row>
    <row r="865" spans="1:15" ht="15.75" customHeight="1" x14ac:dyDescent="0.25">
      <c r="A865" s="16" t="s">
        <v>30</v>
      </c>
      <c r="B865" s="16">
        <v>844286</v>
      </c>
      <c r="C865" s="16">
        <v>844909</v>
      </c>
      <c r="E865" s="16" t="s">
        <v>48</v>
      </c>
      <c r="F865" s="16" t="s">
        <v>2789</v>
      </c>
      <c r="G865" s="16" t="s">
        <v>2790</v>
      </c>
      <c r="I865" s="16" t="s">
        <v>50</v>
      </c>
      <c r="L865" s="16" t="s">
        <v>2791</v>
      </c>
      <c r="M865" s="16" t="s">
        <v>2789</v>
      </c>
      <c r="N865" s="16">
        <v>207</v>
      </c>
      <c r="O865" s="16" t="s">
        <v>2792</v>
      </c>
    </row>
    <row r="866" spans="1:15" ht="15.75" customHeight="1" x14ac:dyDescent="0.25">
      <c r="A866" s="16" t="s">
        <v>30</v>
      </c>
      <c r="B866" s="16">
        <v>845052</v>
      </c>
      <c r="C866" s="16">
        <v>845876</v>
      </c>
      <c r="E866" s="16" t="s">
        <v>48</v>
      </c>
      <c r="F866" s="16" t="s">
        <v>2793</v>
      </c>
      <c r="G866" s="16" t="s">
        <v>2794</v>
      </c>
      <c r="I866" s="16" t="s">
        <v>50</v>
      </c>
      <c r="L866" s="16" t="s">
        <v>2795</v>
      </c>
      <c r="M866" s="16" t="s">
        <v>2793</v>
      </c>
      <c r="N866" s="16">
        <v>274</v>
      </c>
      <c r="O866" s="16" t="s">
        <v>2796</v>
      </c>
    </row>
    <row r="867" spans="1:15" ht="15.75" customHeight="1" x14ac:dyDescent="0.25">
      <c r="A867" s="16" t="s">
        <v>30</v>
      </c>
      <c r="B867" s="16">
        <v>846095</v>
      </c>
      <c r="C867" s="16">
        <v>846592</v>
      </c>
      <c r="E867" s="16" t="s">
        <v>57</v>
      </c>
      <c r="F867" s="16" t="s">
        <v>2797</v>
      </c>
      <c r="G867" s="16" t="s">
        <v>2798</v>
      </c>
      <c r="I867" s="16" t="s">
        <v>50</v>
      </c>
      <c r="L867" s="16" t="s">
        <v>2799</v>
      </c>
      <c r="M867" s="16" t="s">
        <v>2797</v>
      </c>
      <c r="N867" s="16">
        <v>165</v>
      </c>
      <c r="O867" s="16" t="s">
        <v>2800</v>
      </c>
    </row>
    <row r="868" spans="1:15" ht="15.75" customHeight="1" x14ac:dyDescent="0.25">
      <c r="A868" s="16" t="s">
        <v>30</v>
      </c>
      <c r="B868" s="16">
        <v>846673</v>
      </c>
      <c r="C868" s="16">
        <v>846897</v>
      </c>
      <c r="E868" s="16" t="s">
        <v>57</v>
      </c>
      <c r="F868" s="16" t="s">
        <v>132</v>
      </c>
      <c r="I868" s="16" t="s">
        <v>133</v>
      </c>
      <c r="O868" s="16" t="s">
        <v>2801</v>
      </c>
    </row>
    <row r="869" spans="1:15" ht="15.75" customHeight="1" x14ac:dyDescent="0.25">
      <c r="A869" s="16" t="s">
        <v>30</v>
      </c>
      <c r="B869" s="16">
        <v>847224</v>
      </c>
      <c r="C869" s="16">
        <v>851117</v>
      </c>
      <c r="E869" s="16" t="s">
        <v>48</v>
      </c>
      <c r="F869" s="16" t="s">
        <v>2802</v>
      </c>
      <c r="G869" s="16" t="s">
        <v>2803</v>
      </c>
      <c r="I869" s="16" t="s">
        <v>50</v>
      </c>
      <c r="L869" s="16" t="s">
        <v>2804</v>
      </c>
      <c r="M869" s="16" t="s">
        <v>2802</v>
      </c>
      <c r="N869" s="16">
        <v>1297</v>
      </c>
      <c r="O869" s="16" t="s">
        <v>2805</v>
      </c>
    </row>
    <row r="870" spans="1:15" ht="15.75" customHeight="1" x14ac:dyDescent="0.25">
      <c r="A870" s="16" t="s">
        <v>30</v>
      </c>
      <c r="B870" s="16">
        <v>851313</v>
      </c>
      <c r="C870" s="16">
        <v>851558</v>
      </c>
      <c r="E870" s="16" t="s">
        <v>48</v>
      </c>
      <c r="F870" s="16" t="s">
        <v>135</v>
      </c>
      <c r="I870" s="16" t="s">
        <v>50</v>
      </c>
      <c r="L870" s="16" t="s">
        <v>2806</v>
      </c>
      <c r="M870" s="16" t="s">
        <v>135</v>
      </c>
      <c r="N870" s="16">
        <v>81</v>
      </c>
      <c r="O870" s="16" t="s">
        <v>2807</v>
      </c>
    </row>
    <row r="871" spans="1:15" ht="15.75" customHeight="1" x14ac:dyDescent="0.25">
      <c r="A871" s="16" t="s">
        <v>30</v>
      </c>
      <c r="B871" s="16">
        <v>851572</v>
      </c>
      <c r="C871" s="16">
        <v>852315</v>
      </c>
      <c r="E871" s="16" t="s">
        <v>48</v>
      </c>
      <c r="F871" s="16" t="s">
        <v>2808</v>
      </c>
      <c r="I871" s="16" t="s">
        <v>50</v>
      </c>
      <c r="L871" s="16" t="s">
        <v>2809</v>
      </c>
      <c r="M871" s="16" t="s">
        <v>2808</v>
      </c>
      <c r="N871" s="16">
        <v>247</v>
      </c>
      <c r="O871" s="16" t="s">
        <v>2810</v>
      </c>
    </row>
    <row r="872" spans="1:15" ht="15.75" customHeight="1" x14ac:dyDescent="0.25">
      <c r="A872" s="16" t="s">
        <v>30</v>
      </c>
      <c r="B872" s="16">
        <v>852376</v>
      </c>
      <c r="C872" s="16">
        <v>853218</v>
      </c>
      <c r="E872" s="16" t="s">
        <v>57</v>
      </c>
      <c r="F872" s="16" t="s">
        <v>2811</v>
      </c>
      <c r="I872" s="16" t="s">
        <v>50</v>
      </c>
      <c r="L872" s="16" t="s">
        <v>2812</v>
      </c>
      <c r="M872" s="16" t="s">
        <v>2811</v>
      </c>
      <c r="N872" s="16">
        <v>280</v>
      </c>
      <c r="O872" s="16" t="s">
        <v>2813</v>
      </c>
    </row>
    <row r="873" spans="1:15" ht="15.75" customHeight="1" x14ac:dyDescent="0.25">
      <c r="A873" s="16" t="s">
        <v>30</v>
      </c>
      <c r="B873" s="16">
        <v>853218</v>
      </c>
      <c r="C873" s="16">
        <v>854450</v>
      </c>
      <c r="E873" s="16" t="s">
        <v>57</v>
      </c>
      <c r="F873" s="16" t="s">
        <v>2814</v>
      </c>
      <c r="I873" s="16" t="s">
        <v>50</v>
      </c>
      <c r="L873" s="16" t="s">
        <v>2815</v>
      </c>
      <c r="M873" s="16" t="s">
        <v>2814</v>
      </c>
      <c r="N873" s="16">
        <v>410</v>
      </c>
      <c r="O873" s="16" t="s">
        <v>2816</v>
      </c>
    </row>
    <row r="874" spans="1:15" ht="15.75" customHeight="1" x14ac:dyDescent="0.25">
      <c r="A874" s="16" t="s">
        <v>30</v>
      </c>
      <c r="B874" s="16">
        <v>854626</v>
      </c>
      <c r="C874" s="16">
        <v>855309</v>
      </c>
      <c r="E874" s="16" t="s">
        <v>48</v>
      </c>
      <c r="F874" s="16" t="s">
        <v>2817</v>
      </c>
      <c r="I874" s="16" t="s">
        <v>50</v>
      </c>
      <c r="L874" s="16" t="s">
        <v>2818</v>
      </c>
      <c r="M874" s="16" t="s">
        <v>2817</v>
      </c>
      <c r="N874" s="16">
        <v>227</v>
      </c>
      <c r="O874" s="16" t="s">
        <v>2819</v>
      </c>
    </row>
    <row r="875" spans="1:15" ht="15.75" customHeight="1" x14ac:dyDescent="0.25">
      <c r="A875" s="16" t="s">
        <v>30</v>
      </c>
      <c r="B875" s="16">
        <v>855387</v>
      </c>
      <c r="C875" s="16">
        <v>855599</v>
      </c>
      <c r="E875" s="16" t="s">
        <v>57</v>
      </c>
      <c r="F875" s="16" t="s">
        <v>2820</v>
      </c>
      <c r="G875" s="16" t="s">
        <v>2821</v>
      </c>
      <c r="I875" s="16" t="s">
        <v>50</v>
      </c>
      <c r="L875" s="16" t="s">
        <v>2822</v>
      </c>
      <c r="M875" s="16" t="s">
        <v>2820</v>
      </c>
      <c r="N875" s="16">
        <v>70</v>
      </c>
      <c r="O875" s="16" t="s">
        <v>2823</v>
      </c>
    </row>
    <row r="876" spans="1:15" ht="15.75" customHeight="1" x14ac:dyDescent="0.25">
      <c r="A876" s="16" t="s">
        <v>30</v>
      </c>
      <c r="B876" s="16">
        <v>855776</v>
      </c>
      <c r="C876" s="16">
        <v>856912</v>
      </c>
      <c r="E876" s="16" t="s">
        <v>48</v>
      </c>
      <c r="F876" s="16" t="s">
        <v>2824</v>
      </c>
      <c r="G876" s="16" t="s">
        <v>2825</v>
      </c>
      <c r="I876" s="16" t="s">
        <v>50</v>
      </c>
      <c r="L876" s="16" t="s">
        <v>2826</v>
      </c>
      <c r="M876" s="16" t="s">
        <v>2824</v>
      </c>
      <c r="N876" s="16">
        <v>378</v>
      </c>
      <c r="O876" s="16" t="s">
        <v>2827</v>
      </c>
    </row>
    <row r="877" spans="1:15" ht="15.75" customHeight="1" x14ac:dyDescent="0.25">
      <c r="A877" s="16" t="s">
        <v>30</v>
      </c>
      <c r="B877" s="16">
        <v>856890</v>
      </c>
      <c r="C877" s="16">
        <v>857162</v>
      </c>
      <c r="E877" s="16" t="s">
        <v>48</v>
      </c>
      <c r="F877" s="16" t="s">
        <v>2828</v>
      </c>
      <c r="I877" s="16" t="s">
        <v>50</v>
      </c>
      <c r="L877" s="16" t="s">
        <v>2829</v>
      </c>
      <c r="M877" s="16" t="s">
        <v>2828</v>
      </c>
      <c r="N877" s="16">
        <v>90</v>
      </c>
      <c r="O877" s="16" t="s">
        <v>2830</v>
      </c>
    </row>
    <row r="878" spans="1:15" ht="15.75" customHeight="1" x14ac:dyDescent="0.25">
      <c r="A878" s="16" t="s">
        <v>30</v>
      </c>
      <c r="B878" s="16">
        <v>857177</v>
      </c>
      <c r="C878" s="16">
        <v>858250</v>
      </c>
      <c r="E878" s="16" t="s">
        <v>48</v>
      </c>
      <c r="F878" s="16" t="s">
        <v>2831</v>
      </c>
      <c r="G878" s="16" t="s">
        <v>2832</v>
      </c>
      <c r="I878" s="16" t="s">
        <v>50</v>
      </c>
      <c r="L878" s="16" t="s">
        <v>2833</v>
      </c>
      <c r="M878" s="16" t="s">
        <v>2831</v>
      </c>
      <c r="N878" s="16">
        <v>357</v>
      </c>
      <c r="O878" s="16" t="s">
        <v>2834</v>
      </c>
    </row>
    <row r="879" spans="1:15" ht="15.75" customHeight="1" x14ac:dyDescent="0.25">
      <c r="A879" s="16" t="s">
        <v>30</v>
      </c>
      <c r="B879" s="16">
        <v>858489</v>
      </c>
      <c r="C879" s="16">
        <v>858564</v>
      </c>
      <c r="E879" s="16" t="s">
        <v>48</v>
      </c>
      <c r="F879" s="16" t="s">
        <v>2835</v>
      </c>
      <c r="I879" s="16" t="s">
        <v>290</v>
      </c>
      <c r="O879" s="16" t="s">
        <v>2836</v>
      </c>
    </row>
    <row r="880" spans="1:15" ht="15.75" customHeight="1" x14ac:dyDescent="0.25">
      <c r="A880" s="16" t="s">
        <v>30</v>
      </c>
      <c r="B880" s="16">
        <v>858567</v>
      </c>
      <c r="C880" s="16">
        <v>858642</v>
      </c>
      <c r="E880" s="16" t="s">
        <v>48</v>
      </c>
      <c r="F880" s="16" t="s">
        <v>2837</v>
      </c>
      <c r="I880" s="16" t="s">
        <v>290</v>
      </c>
      <c r="O880" s="16" t="s">
        <v>2838</v>
      </c>
    </row>
    <row r="881" spans="1:15" ht="15.75" customHeight="1" x14ac:dyDescent="0.25">
      <c r="A881" s="16" t="s">
        <v>30</v>
      </c>
      <c r="B881" s="16">
        <v>858871</v>
      </c>
      <c r="C881" s="16">
        <v>859551</v>
      </c>
      <c r="E881" s="16" t="s">
        <v>57</v>
      </c>
      <c r="F881" s="16" t="s">
        <v>2839</v>
      </c>
      <c r="I881" s="16" t="s">
        <v>50</v>
      </c>
      <c r="L881" s="16" t="s">
        <v>2840</v>
      </c>
      <c r="M881" s="16" t="s">
        <v>2839</v>
      </c>
      <c r="N881" s="16">
        <v>226</v>
      </c>
      <c r="O881" s="16" t="s">
        <v>2841</v>
      </c>
    </row>
    <row r="882" spans="1:15" ht="15.75" customHeight="1" x14ac:dyDescent="0.25">
      <c r="A882" s="16" t="s">
        <v>30</v>
      </c>
      <c r="B882" s="16">
        <v>859548</v>
      </c>
      <c r="C882" s="16">
        <v>860777</v>
      </c>
      <c r="E882" s="16" t="s">
        <v>57</v>
      </c>
      <c r="F882" s="16" t="s">
        <v>2842</v>
      </c>
      <c r="G882" s="16" t="s">
        <v>2843</v>
      </c>
      <c r="I882" s="16" t="s">
        <v>50</v>
      </c>
      <c r="L882" s="16" t="s">
        <v>2844</v>
      </c>
      <c r="M882" s="16" t="s">
        <v>2842</v>
      </c>
      <c r="N882" s="16">
        <v>409</v>
      </c>
      <c r="O882" s="16" t="s">
        <v>2845</v>
      </c>
    </row>
    <row r="883" spans="1:15" ht="15.75" customHeight="1" x14ac:dyDescent="0.25">
      <c r="A883" s="16" t="s">
        <v>30</v>
      </c>
      <c r="B883" s="16">
        <v>861032</v>
      </c>
      <c r="C883" s="16">
        <v>861679</v>
      </c>
      <c r="E883" s="16" t="s">
        <v>48</v>
      </c>
      <c r="F883" s="16" t="s">
        <v>2846</v>
      </c>
      <c r="G883" s="16" t="s">
        <v>2847</v>
      </c>
      <c r="I883" s="16" t="s">
        <v>50</v>
      </c>
      <c r="L883" s="16" t="s">
        <v>2848</v>
      </c>
      <c r="M883" s="16" t="s">
        <v>2846</v>
      </c>
      <c r="N883" s="16">
        <v>215</v>
      </c>
      <c r="O883" s="16" t="s">
        <v>2849</v>
      </c>
    </row>
    <row r="884" spans="1:15" ht="15.75" customHeight="1" x14ac:dyDescent="0.25">
      <c r="A884" s="16" t="s">
        <v>30</v>
      </c>
      <c r="B884" s="16">
        <v>861775</v>
      </c>
      <c r="C884" s="16">
        <v>862545</v>
      </c>
      <c r="E884" s="16" t="s">
        <v>48</v>
      </c>
      <c r="F884" s="16" t="s">
        <v>2808</v>
      </c>
      <c r="I884" s="16" t="s">
        <v>50</v>
      </c>
      <c r="L884" s="16" t="s">
        <v>2850</v>
      </c>
      <c r="M884" s="16" t="s">
        <v>2808</v>
      </c>
      <c r="N884" s="16">
        <v>256</v>
      </c>
      <c r="O884" s="16" t="s">
        <v>2851</v>
      </c>
    </row>
    <row r="885" spans="1:15" ht="15.75" customHeight="1" x14ac:dyDescent="0.25">
      <c r="A885" s="16" t="s">
        <v>30</v>
      </c>
      <c r="B885" s="16">
        <v>862594</v>
      </c>
      <c r="C885" s="16">
        <v>863076</v>
      </c>
      <c r="E885" s="16" t="s">
        <v>57</v>
      </c>
      <c r="F885" s="16" t="s">
        <v>2852</v>
      </c>
      <c r="G885" s="16" t="s">
        <v>2853</v>
      </c>
      <c r="I885" s="16" t="s">
        <v>50</v>
      </c>
      <c r="L885" s="16" t="s">
        <v>2854</v>
      </c>
      <c r="M885" s="16" t="s">
        <v>2852</v>
      </c>
      <c r="N885" s="16">
        <v>160</v>
      </c>
      <c r="O885" s="16" t="s">
        <v>2855</v>
      </c>
    </row>
    <row r="886" spans="1:15" ht="15.75" customHeight="1" x14ac:dyDescent="0.25">
      <c r="A886" s="16" t="s">
        <v>30</v>
      </c>
      <c r="B886" s="16">
        <v>863086</v>
      </c>
      <c r="C886" s="16">
        <v>863667</v>
      </c>
      <c r="E886" s="16" t="s">
        <v>57</v>
      </c>
      <c r="F886" s="16" t="s">
        <v>2856</v>
      </c>
      <c r="G886" s="16" t="s">
        <v>2857</v>
      </c>
      <c r="I886" s="16" t="s">
        <v>50</v>
      </c>
      <c r="L886" s="16" t="s">
        <v>2858</v>
      </c>
      <c r="M886" s="16" t="s">
        <v>2856</v>
      </c>
      <c r="N886" s="16">
        <v>193</v>
      </c>
      <c r="O886" s="16" t="s">
        <v>2859</v>
      </c>
    </row>
    <row r="887" spans="1:15" ht="15.75" customHeight="1" x14ac:dyDescent="0.25">
      <c r="A887" s="16" t="s">
        <v>30</v>
      </c>
      <c r="B887" s="16">
        <v>863764</v>
      </c>
      <c r="C887" s="16">
        <v>864963</v>
      </c>
      <c r="E887" s="16" t="s">
        <v>48</v>
      </c>
      <c r="F887" s="16" t="s">
        <v>2860</v>
      </c>
      <c r="G887" s="16" t="s">
        <v>2861</v>
      </c>
      <c r="I887" s="16" t="s">
        <v>50</v>
      </c>
      <c r="L887" s="16" t="s">
        <v>2862</v>
      </c>
      <c r="M887" s="16" t="s">
        <v>2860</v>
      </c>
      <c r="N887" s="16">
        <v>399</v>
      </c>
      <c r="O887" s="16" t="s">
        <v>2863</v>
      </c>
    </row>
    <row r="888" spans="1:15" ht="15.75" customHeight="1" x14ac:dyDescent="0.25">
      <c r="A888" s="16" t="s">
        <v>30</v>
      </c>
      <c r="B888" s="16">
        <v>864982</v>
      </c>
      <c r="C888" s="16">
        <v>865638</v>
      </c>
      <c r="E888" s="16" t="s">
        <v>48</v>
      </c>
      <c r="F888" s="16" t="s">
        <v>2864</v>
      </c>
      <c r="G888" s="16" t="s">
        <v>2865</v>
      </c>
      <c r="I888" s="16" t="s">
        <v>50</v>
      </c>
      <c r="L888" s="16" t="s">
        <v>2866</v>
      </c>
      <c r="M888" s="16" t="s">
        <v>2864</v>
      </c>
      <c r="N888" s="16">
        <v>218</v>
      </c>
      <c r="O888" s="16" t="s">
        <v>2867</v>
      </c>
    </row>
    <row r="889" spans="1:15" ht="15.75" customHeight="1" x14ac:dyDescent="0.25">
      <c r="A889" s="16" t="s">
        <v>30</v>
      </c>
      <c r="B889" s="16">
        <v>865648</v>
      </c>
      <c r="C889" s="16">
        <v>866580</v>
      </c>
      <c r="E889" s="16" t="s">
        <v>48</v>
      </c>
      <c r="F889" s="16" t="s">
        <v>2868</v>
      </c>
      <c r="G889" s="16" t="s">
        <v>2869</v>
      </c>
      <c r="I889" s="16" t="s">
        <v>50</v>
      </c>
      <c r="L889" s="16" t="s">
        <v>2870</v>
      </c>
      <c r="M889" s="16" t="s">
        <v>2868</v>
      </c>
      <c r="N889" s="16">
        <v>310</v>
      </c>
      <c r="O889" s="16" t="s">
        <v>2871</v>
      </c>
    </row>
    <row r="890" spans="1:15" ht="15.75" customHeight="1" x14ac:dyDescent="0.25">
      <c r="A890" s="16" t="s">
        <v>30</v>
      </c>
      <c r="B890" s="16">
        <v>866675</v>
      </c>
      <c r="C890" s="16">
        <v>867856</v>
      </c>
      <c r="E890" s="16" t="s">
        <v>57</v>
      </c>
      <c r="F890" s="16" t="s">
        <v>2872</v>
      </c>
      <c r="I890" s="16" t="s">
        <v>50</v>
      </c>
      <c r="L890" s="16" t="s">
        <v>2873</v>
      </c>
      <c r="M890" s="16" t="s">
        <v>2872</v>
      </c>
      <c r="N890" s="16">
        <v>393</v>
      </c>
      <c r="O890" s="16" t="s">
        <v>2874</v>
      </c>
    </row>
    <row r="891" spans="1:15" ht="15.75" customHeight="1" x14ac:dyDescent="0.25">
      <c r="A891" s="16" t="s">
        <v>30</v>
      </c>
      <c r="B891" s="16">
        <v>867871</v>
      </c>
      <c r="C891" s="16">
        <v>869214</v>
      </c>
      <c r="E891" s="16" t="s">
        <v>57</v>
      </c>
      <c r="F891" s="16" t="s">
        <v>2875</v>
      </c>
      <c r="I891" s="16" t="s">
        <v>50</v>
      </c>
      <c r="L891" s="16" t="s">
        <v>2876</v>
      </c>
      <c r="M891" s="16" t="s">
        <v>2875</v>
      </c>
      <c r="N891" s="16">
        <v>447</v>
      </c>
      <c r="O891" s="16" t="s">
        <v>2877</v>
      </c>
    </row>
    <row r="892" spans="1:15" ht="15.75" customHeight="1" x14ac:dyDescent="0.25">
      <c r="A892" s="16" t="s">
        <v>30</v>
      </c>
      <c r="B892" s="16">
        <v>869217</v>
      </c>
      <c r="C892" s="16">
        <v>869882</v>
      </c>
      <c r="E892" s="16" t="s">
        <v>57</v>
      </c>
      <c r="F892" s="16" t="s">
        <v>2878</v>
      </c>
      <c r="I892" s="16" t="s">
        <v>50</v>
      </c>
      <c r="L892" s="16" t="s">
        <v>2879</v>
      </c>
      <c r="M892" s="16" t="s">
        <v>2878</v>
      </c>
      <c r="N892" s="16">
        <v>221</v>
      </c>
      <c r="O892" s="16" t="s">
        <v>2880</v>
      </c>
    </row>
    <row r="893" spans="1:15" ht="15.75" customHeight="1" x14ac:dyDescent="0.25">
      <c r="A893" s="16" t="s">
        <v>30</v>
      </c>
      <c r="B893" s="16">
        <v>869893</v>
      </c>
      <c r="C893" s="16">
        <v>870546</v>
      </c>
      <c r="E893" s="16" t="s">
        <v>57</v>
      </c>
      <c r="F893" s="16" t="s">
        <v>2881</v>
      </c>
      <c r="G893" s="16" t="s">
        <v>2882</v>
      </c>
      <c r="I893" s="16" t="s">
        <v>50</v>
      </c>
      <c r="L893" s="16" t="s">
        <v>2883</v>
      </c>
      <c r="M893" s="16" t="s">
        <v>2881</v>
      </c>
      <c r="N893" s="16">
        <v>217</v>
      </c>
      <c r="O893" s="16" t="s">
        <v>2884</v>
      </c>
    </row>
    <row r="894" spans="1:15" ht="15.75" customHeight="1" x14ac:dyDescent="0.25">
      <c r="A894" s="16" t="s">
        <v>30</v>
      </c>
      <c r="B894" s="16">
        <v>870794</v>
      </c>
      <c r="C894" s="16">
        <v>871699</v>
      </c>
      <c r="E894" s="16" t="s">
        <v>48</v>
      </c>
      <c r="F894" s="16" t="s">
        <v>2351</v>
      </c>
      <c r="I894" s="16" t="s">
        <v>50</v>
      </c>
      <c r="L894" s="16" t="s">
        <v>2885</v>
      </c>
      <c r="M894" s="16" t="s">
        <v>2351</v>
      </c>
      <c r="N894" s="16">
        <v>301</v>
      </c>
      <c r="O894" s="16" t="s">
        <v>2886</v>
      </c>
    </row>
    <row r="895" spans="1:15" ht="15.75" customHeight="1" x14ac:dyDescent="0.25">
      <c r="A895" s="16" t="s">
        <v>30</v>
      </c>
      <c r="B895" s="16">
        <v>871936</v>
      </c>
      <c r="C895" s="16">
        <v>872247</v>
      </c>
      <c r="E895" s="16" t="s">
        <v>48</v>
      </c>
      <c r="F895" s="16" t="s">
        <v>2887</v>
      </c>
      <c r="G895" s="16" t="s">
        <v>2888</v>
      </c>
      <c r="I895" s="16" t="s">
        <v>50</v>
      </c>
      <c r="L895" s="16" t="s">
        <v>2889</v>
      </c>
      <c r="M895" s="16" t="s">
        <v>2887</v>
      </c>
      <c r="N895" s="16">
        <v>103</v>
      </c>
      <c r="O895" s="16" t="s">
        <v>2890</v>
      </c>
    </row>
    <row r="896" spans="1:15" ht="15.75" customHeight="1" x14ac:dyDescent="0.25">
      <c r="A896" s="16" t="s">
        <v>30</v>
      </c>
      <c r="B896" s="16">
        <v>872264</v>
      </c>
      <c r="C896" s="16">
        <v>872890</v>
      </c>
      <c r="E896" s="16" t="s">
        <v>48</v>
      </c>
      <c r="F896" s="16" t="s">
        <v>2891</v>
      </c>
      <c r="G896" s="16" t="s">
        <v>2892</v>
      </c>
      <c r="I896" s="16" t="s">
        <v>50</v>
      </c>
      <c r="L896" s="16" t="s">
        <v>2893</v>
      </c>
      <c r="M896" s="16" t="s">
        <v>2891</v>
      </c>
      <c r="N896" s="16">
        <v>208</v>
      </c>
      <c r="O896" s="16" t="s">
        <v>2894</v>
      </c>
    </row>
    <row r="897" spans="1:15" ht="15.75" customHeight="1" x14ac:dyDescent="0.25">
      <c r="A897" s="16" t="s">
        <v>30</v>
      </c>
      <c r="B897" s="16">
        <v>872906</v>
      </c>
      <c r="C897" s="16">
        <v>873508</v>
      </c>
      <c r="E897" s="16" t="s">
        <v>48</v>
      </c>
      <c r="F897" s="16" t="s">
        <v>2895</v>
      </c>
      <c r="G897" s="16" t="s">
        <v>2896</v>
      </c>
      <c r="I897" s="16" t="s">
        <v>50</v>
      </c>
      <c r="L897" s="16" t="s">
        <v>2897</v>
      </c>
      <c r="M897" s="16" t="s">
        <v>2895</v>
      </c>
      <c r="N897" s="16">
        <v>200</v>
      </c>
      <c r="O897" s="16" t="s">
        <v>2898</v>
      </c>
    </row>
    <row r="898" spans="1:15" ht="15.75" customHeight="1" x14ac:dyDescent="0.25">
      <c r="A898" s="16" t="s">
        <v>30</v>
      </c>
      <c r="B898" s="16">
        <v>873505</v>
      </c>
      <c r="C898" s="16">
        <v>873804</v>
      </c>
      <c r="E898" s="16" t="s">
        <v>48</v>
      </c>
      <c r="F898" s="16" t="s">
        <v>2899</v>
      </c>
      <c r="G898" s="16" t="s">
        <v>2900</v>
      </c>
      <c r="I898" s="16" t="s">
        <v>50</v>
      </c>
      <c r="L898" s="16" t="s">
        <v>2901</v>
      </c>
      <c r="M898" s="16" t="s">
        <v>2899</v>
      </c>
      <c r="N898" s="16">
        <v>99</v>
      </c>
      <c r="O898" s="16" t="s">
        <v>2902</v>
      </c>
    </row>
    <row r="899" spans="1:15" ht="15.75" customHeight="1" x14ac:dyDescent="0.25">
      <c r="A899" s="16" t="s">
        <v>30</v>
      </c>
      <c r="B899" s="16">
        <v>873822</v>
      </c>
      <c r="C899" s="16">
        <v>874643</v>
      </c>
      <c r="E899" s="16" t="s">
        <v>48</v>
      </c>
      <c r="F899" s="16" t="s">
        <v>2903</v>
      </c>
      <c r="G899" s="16" t="s">
        <v>2904</v>
      </c>
      <c r="I899" s="16" t="s">
        <v>50</v>
      </c>
      <c r="L899" s="16" t="s">
        <v>2905</v>
      </c>
      <c r="M899" s="16" t="s">
        <v>2903</v>
      </c>
      <c r="N899" s="16">
        <v>273</v>
      </c>
      <c r="O899" s="16" t="s">
        <v>2906</v>
      </c>
    </row>
    <row r="900" spans="1:15" ht="15.75" customHeight="1" x14ac:dyDescent="0.25">
      <c r="A900" s="16" t="s">
        <v>30</v>
      </c>
      <c r="B900" s="16">
        <v>874669</v>
      </c>
      <c r="C900" s="16">
        <v>874944</v>
      </c>
      <c r="E900" s="16" t="s">
        <v>48</v>
      </c>
      <c r="F900" s="16" t="s">
        <v>2907</v>
      </c>
      <c r="G900" s="16" t="s">
        <v>2908</v>
      </c>
      <c r="I900" s="16" t="s">
        <v>50</v>
      </c>
      <c r="L900" s="16" t="s">
        <v>2909</v>
      </c>
      <c r="M900" s="16" t="s">
        <v>2907</v>
      </c>
      <c r="N900" s="16">
        <v>91</v>
      </c>
      <c r="O900" s="16" t="s">
        <v>2910</v>
      </c>
    </row>
    <row r="901" spans="1:15" ht="15.75" customHeight="1" x14ac:dyDescent="0.25">
      <c r="A901" s="16" t="s">
        <v>30</v>
      </c>
      <c r="B901" s="16">
        <v>874956</v>
      </c>
      <c r="C901" s="16">
        <v>875288</v>
      </c>
      <c r="E901" s="16" t="s">
        <v>48</v>
      </c>
      <c r="F901" s="16" t="s">
        <v>2911</v>
      </c>
      <c r="G901" s="16" t="s">
        <v>2912</v>
      </c>
      <c r="I901" s="16" t="s">
        <v>50</v>
      </c>
      <c r="L901" s="16" t="s">
        <v>2913</v>
      </c>
      <c r="M901" s="16" t="s">
        <v>2911</v>
      </c>
      <c r="N901" s="16">
        <v>110</v>
      </c>
      <c r="O901" s="16" t="s">
        <v>2914</v>
      </c>
    </row>
    <row r="902" spans="1:15" ht="15.75" customHeight="1" x14ac:dyDescent="0.25">
      <c r="A902" s="16" t="s">
        <v>30</v>
      </c>
      <c r="B902" s="16">
        <v>875306</v>
      </c>
      <c r="C902" s="16">
        <v>876013</v>
      </c>
      <c r="E902" s="16" t="s">
        <v>48</v>
      </c>
      <c r="F902" s="16" t="s">
        <v>2915</v>
      </c>
      <c r="G902" s="16" t="s">
        <v>2916</v>
      </c>
      <c r="I902" s="16" t="s">
        <v>50</v>
      </c>
      <c r="L902" s="16" t="s">
        <v>2917</v>
      </c>
      <c r="M902" s="16" t="s">
        <v>2915</v>
      </c>
      <c r="N902" s="16">
        <v>235</v>
      </c>
      <c r="O902" s="16" t="s">
        <v>2918</v>
      </c>
    </row>
    <row r="903" spans="1:15" ht="15.75" customHeight="1" x14ac:dyDescent="0.25">
      <c r="A903" s="16" t="s">
        <v>30</v>
      </c>
      <c r="B903" s="16">
        <v>876027</v>
      </c>
      <c r="C903" s="16">
        <v>876437</v>
      </c>
      <c r="E903" s="16" t="s">
        <v>48</v>
      </c>
      <c r="F903" s="16" t="s">
        <v>2919</v>
      </c>
      <c r="G903" s="16" t="s">
        <v>2920</v>
      </c>
      <c r="I903" s="16" t="s">
        <v>50</v>
      </c>
      <c r="L903" s="16" t="s">
        <v>2921</v>
      </c>
      <c r="M903" s="16" t="s">
        <v>2919</v>
      </c>
      <c r="N903" s="16">
        <v>136</v>
      </c>
      <c r="O903" s="16" t="s">
        <v>2922</v>
      </c>
    </row>
    <row r="904" spans="1:15" ht="15.75" customHeight="1" x14ac:dyDescent="0.25">
      <c r="A904" s="16" t="s">
        <v>30</v>
      </c>
      <c r="B904" s="16">
        <v>876437</v>
      </c>
      <c r="C904" s="16">
        <v>876628</v>
      </c>
      <c r="E904" s="16" t="s">
        <v>48</v>
      </c>
      <c r="F904" s="16" t="s">
        <v>2923</v>
      </c>
      <c r="G904" s="16" t="s">
        <v>2924</v>
      </c>
      <c r="I904" s="16" t="s">
        <v>50</v>
      </c>
      <c r="L904" s="16" t="s">
        <v>2925</v>
      </c>
      <c r="M904" s="16" t="s">
        <v>2923</v>
      </c>
      <c r="N904" s="16">
        <v>63</v>
      </c>
      <c r="O904" s="16" t="s">
        <v>2926</v>
      </c>
    </row>
    <row r="905" spans="1:15" ht="15.75" customHeight="1" x14ac:dyDescent="0.25">
      <c r="A905" s="16" t="s">
        <v>30</v>
      </c>
      <c r="B905" s="16">
        <v>876628</v>
      </c>
      <c r="C905" s="16">
        <v>876885</v>
      </c>
      <c r="E905" s="16" t="s">
        <v>48</v>
      </c>
      <c r="F905" s="16" t="s">
        <v>2927</v>
      </c>
      <c r="G905" s="16" t="s">
        <v>2928</v>
      </c>
      <c r="I905" s="16" t="s">
        <v>50</v>
      </c>
      <c r="L905" s="16" t="s">
        <v>2929</v>
      </c>
      <c r="M905" s="16" t="s">
        <v>2927</v>
      </c>
      <c r="N905" s="16">
        <v>85</v>
      </c>
      <c r="O905" s="16" t="s">
        <v>2930</v>
      </c>
    </row>
    <row r="906" spans="1:15" ht="15.75" customHeight="1" x14ac:dyDescent="0.25">
      <c r="A906" s="16" t="s">
        <v>30</v>
      </c>
      <c r="B906" s="16">
        <v>877275</v>
      </c>
      <c r="C906" s="16">
        <v>877898</v>
      </c>
      <c r="E906" s="16" t="s">
        <v>48</v>
      </c>
      <c r="F906" s="16" t="s">
        <v>135</v>
      </c>
      <c r="I906" s="16" t="s">
        <v>50</v>
      </c>
      <c r="L906" s="16" t="s">
        <v>2931</v>
      </c>
      <c r="M906" s="16" t="s">
        <v>135</v>
      </c>
      <c r="N906" s="16">
        <v>207</v>
      </c>
      <c r="O906" s="16" t="s">
        <v>2932</v>
      </c>
    </row>
    <row r="907" spans="1:15" ht="15.75" customHeight="1" x14ac:dyDescent="0.25">
      <c r="A907" s="16" t="s">
        <v>30</v>
      </c>
      <c r="B907" s="16">
        <v>878179</v>
      </c>
      <c r="C907" s="16">
        <v>878550</v>
      </c>
      <c r="E907" s="16" t="s">
        <v>48</v>
      </c>
      <c r="F907" s="16" t="s">
        <v>2933</v>
      </c>
      <c r="G907" s="16" t="s">
        <v>2934</v>
      </c>
      <c r="I907" s="16" t="s">
        <v>50</v>
      </c>
      <c r="L907" s="16" t="s">
        <v>2935</v>
      </c>
      <c r="M907" s="16" t="s">
        <v>2933</v>
      </c>
      <c r="N907" s="16">
        <v>123</v>
      </c>
      <c r="O907" s="16" t="s">
        <v>2936</v>
      </c>
    </row>
    <row r="908" spans="1:15" ht="15.75" customHeight="1" x14ac:dyDescent="0.25">
      <c r="A908" s="16" t="s">
        <v>30</v>
      </c>
      <c r="B908" s="16">
        <v>878561</v>
      </c>
      <c r="C908" s="16">
        <v>878872</v>
      </c>
      <c r="E908" s="16" t="s">
        <v>48</v>
      </c>
      <c r="F908" s="16" t="s">
        <v>2937</v>
      </c>
      <c r="G908" s="16" t="s">
        <v>2938</v>
      </c>
      <c r="I908" s="16" t="s">
        <v>50</v>
      </c>
      <c r="L908" s="16" t="s">
        <v>2939</v>
      </c>
      <c r="M908" s="16" t="s">
        <v>2937</v>
      </c>
      <c r="N908" s="16">
        <v>103</v>
      </c>
      <c r="O908" s="16" t="s">
        <v>2940</v>
      </c>
    </row>
    <row r="909" spans="1:15" ht="15.75" customHeight="1" x14ac:dyDescent="0.25">
      <c r="A909" s="16" t="s">
        <v>30</v>
      </c>
      <c r="B909" s="16">
        <v>878890</v>
      </c>
      <c r="C909" s="16">
        <v>879429</v>
      </c>
      <c r="E909" s="16" t="s">
        <v>48</v>
      </c>
      <c r="F909" s="16" t="s">
        <v>2941</v>
      </c>
      <c r="G909" s="16" t="s">
        <v>2942</v>
      </c>
      <c r="I909" s="16" t="s">
        <v>50</v>
      </c>
      <c r="L909" s="16" t="s">
        <v>2943</v>
      </c>
      <c r="M909" s="16" t="s">
        <v>2941</v>
      </c>
      <c r="N909" s="16">
        <v>179</v>
      </c>
      <c r="O909" s="16" t="s">
        <v>2944</v>
      </c>
    </row>
    <row r="910" spans="1:15" ht="15.75" customHeight="1" x14ac:dyDescent="0.25">
      <c r="A910" s="16" t="s">
        <v>30</v>
      </c>
      <c r="B910" s="16">
        <v>879441</v>
      </c>
      <c r="C910" s="16">
        <v>879746</v>
      </c>
      <c r="E910" s="16" t="s">
        <v>48</v>
      </c>
      <c r="F910" s="16" t="s">
        <v>2945</v>
      </c>
      <c r="G910" s="16" t="s">
        <v>2946</v>
      </c>
      <c r="I910" s="16" t="s">
        <v>50</v>
      </c>
      <c r="L910" s="16" t="s">
        <v>2947</v>
      </c>
      <c r="M910" s="16" t="s">
        <v>2945</v>
      </c>
      <c r="N910" s="16">
        <v>101</v>
      </c>
      <c r="O910" s="16" t="s">
        <v>2948</v>
      </c>
    </row>
    <row r="911" spans="1:15" ht="15.75" customHeight="1" x14ac:dyDescent="0.25">
      <c r="A911" s="16" t="s">
        <v>30</v>
      </c>
      <c r="B911" s="16">
        <v>879783</v>
      </c>
      <c r="C911" s="16">
        <v>880175</v>
      </c>
      <c r="E911" s="16" t="s">
        <v>48</v>
      </c>
      <c r="F911" s="16" t="s">
        <v>2949</v>
      </c>
      <c r="G911" s="16" t="s">
        <v>2950</v>
      </c>
      <c r="I911" s="16" t="s">
        <v>50</v>
      </c>
      <c r="L911" s="16" t="s">
        <v>2951</v>
      </c>
      <c r="M911" s="16" t="s">
        <v>2949</v>
      </c>
      <c r="N911" s="16">
        <v>130</v>
      </c>
      <c r="O911" s="16" t="s">
        <v>2952</v>
      </c>
    </row>
    <row r="912" spans="1:15" ht="15.75" customHeight="1" x14ac:dyDescent="0.25">
      <c r="A912" s="16" t="s">
        <v>30</v>
      </c>
      <c r="B912" s="16">
        <v>880191</v>
      </c>
      <c r="C912" s="16">
        <v>880724</v>
      </c>
      <c r="E912" s="16" t="s">
        <v>48</v>
      </c>
      <c r="F912" s="16" t="s">
        <v>2953</v>
      </c>
      <c r="G912" s="16" t="s">
        <v>2954</v>
      </c>
      <c r="I912" s="16" t="s">
        <v>50</v>
      </c>
      <c r="L912" s="16" t="s">
        <v>2955</v>
      </c>
      <c r="M912" s="16" t="s">
        <v>2953</v>
      </c>
      <c r="N912" s="16">
        <v>177</v>
      </c>
      <c r="O912" s="16" t="s">
        <v>2956</v>
      </c>
    </row>
    <row r="913" spans="1:15" ht="15.75" customHeight="1" x14ac:dyDescent="0.25">
      <c r="A913" s="16" t="s">
        <v>30</v>
      </c>
      <c r="B913" s="16">
        <v>880738</v>
      </c>
      <c r="C913" s="16">
        <v>881091</v>
      </c>
      <c r="E913" s="16" t="s">
        <v>48</v>
      </c>
      <c r="F913" s="16" t="s">
        <v>2957</v>
      </c>
      <c r="G913" s="16" t="s">
        <v>2958</v>
      </c>
      <c r="I913" s="16" t="s">
        <v>50</v>
      </c>
      <c r="L913" s="16" t="s">
        <v>2959</v>
      </c>
      <c r="M913" s="16" t="s">
        <v>2957</v>
      </c>
      <c r="N913" s="16">
        <v>117</v>
      </c>
      <c r="O913" s="16" t="s">
        <v>2960</v>
      </c>
    </row>
    <row r="914" spans="1:15" ht="15.75" customHeight="1" x14ac:dyDescent="0.25">
      <c r="A914" s="16" t="s">
        <v>30</v>
      </c>
      <c r="B914" s="16">
        <v>881106</v>
      </c>
      <c r="C914" s="16">
        <v>881606</v>
      </c>
      <c r="E914" s="16" t="s">
        <v>48</v>
      </c>
      <c r="F914" s="16" t="s">
        <v>2961</v>
      </c>
      <c r="G914" s="16" t="s">
        <v>2962</v>
      </c>
      <c r="I914" s="16" t="s">
        <v>50</v>
      </c>
      <c r="L914" s="16" t="s">
        <v>2963</v>
      </c>
      <c r="M914" s="16" t="s">
        <v>2961</v>
      </c>
      <c r="N914" s="16">
        <v>166</v>
      </c>
      <c r="O914" s="16" t="s">
        <v>2964</v>
      </c>
    </row>
    <row r="915" spans="1:15" ht="15.75" customHeight="1" x14ac:dyDescent="0.25">
      <c r="A915" s="16" t="s">
        <v>30</v>
      </c>
      <c r="B915" s="16">
        <v>881613</v>
      </c>
      <c r="C915" s="16">
        <v>881792</v>
      </c>
      <c r="E915" s="16" t="s">
        <v>48</v>
      </c>
      <c r="F915" s="16" t="s">
        <v>2965</v>
      </c>
      <c r="G915" s="16" t="s">
        <v>2966</v>
      </c>
      <c r="I915" s="16" t="s">
        <v>50</v>
      </c>
      <c r="L915" s="16" t="s">
        <v>2967</v>
      </c>
      <c r="M915" s="16" t="s">
        <v>2965</v>
      </c>
      <c r="N915" s="16">
        <v>59</v>
      </c>
      <c r="O915" s="16" t="s">
        <v>2968</v>
      </c>
    </row>
    <row r="916" spans="1:15" ht="15.75" customHeight="1" x14ac:dyDescent="0.25">
      <c r="A916" s="16" t="s">
        <v>30</v>
      </c>
      <c r="B916" s="16">
        <v>881796</v>
      </c>
      <c r="C916" s="16">
        <v>882230</v>
      </c>
      <c r="E916" s="16" t="s">
        <v>48</v>
      </c>
      <c r="F916" s="16" t="s">
        <v>2969</v>
      </c>
      <c r="G916" s="16" t="s">
        <v>2970</v>
      </c>
      <c r="I916" s="16" t="s">
        <v>50</v>
      </c>
      <c r="L916" s="16" t="s">
        <v>2971</v>
      </c>
      <c r="M916" s="16" t="s">
        <v>2969</v>
      </c>
      <c r="N916" s="16">
        <v>144</v>
      </c>
      <c r="O916" s="16" t="s">
        <v>2972</v>
      </c>
    </row>
    <row r="917" spans="1:15" ht="15.75" customHeight="1" x14ac:dyDescent="0.25">
      <c r="A917" s="16" t="s">
        <v>30</v>
      </c>
      <c r="B917" s="16">
        <v>882238</v>
      </c>
      <c r="C917" s="16">
        <v>883563</v>
      </c>
      <c r="E917" s="16" t="s">
        <v>48</v>
      </c>
      <c r="F917" s="16" t="s">
        <v>2973</v>
      </c>
      <c r="G917" s="16" t="s">
        <v>2974</v>
      </c>
      <c r="I917" s="16" t="s">
        <v>50</v>
      </c>
      <c r="L917" s="16" t="s">
        <v>2975</v>
      </c>
      <c r="M917" s="16" t="s">
        <v>2973</v>
      </c>
      <c r="N917" s="16">
        <v>441</v>
      </c>
      <c r="O917" s="16" t="s">
        <v>2976</v>
      </c>
    </row>
    <row r="918" spans="1:15" ht="15.75" customHeight="1" x14ac:dyDescent="0.25">
      <c r="A918" s="16" t="s">
        <v>30</v>
      </c>
      <c r="B918" s="16">
        <v>883592</v>
      </c>
      <c r="C918" s="16">
        <v>883705</v>
      </c>
      <c r="E918" s="16" t="s">
        <v>48</v>
      </c>
      <c r="F918" s="16" t="s">
        <v>2977</v>
      </c>
      <c r="G918" s="16" t="s">
        <v>2978</v>
      </c>
      <c r="I918" s="16" t="s">
        <v>50</v>
      </c>
      <c r="L918" s="16" t="s">
        <v>2979</v>
      </c>
      <c r="M918" s="16" t="s">
        <v>2977</v>
      </c>
      <c r="N918" s="16">
        <v>37</v>
      </c>
      <c r="O918" s="16" t="s">
        <v>2980</v>
      </c>
    </row>
    <row r="919" spans="1:15" ht="15.75" customHeight="1" x14ac:dyDescent="0.25">
      <c r="A919" s="16" t="s">
        <v>30</v>
      </c>
      <c r="B919" s="16">
        <v>883845</v>
      </c>
      <c r="C919" s="16">
        <v>884201</v>
      </c>
      <c r="E919" s="16" t="s">
        <v>48</v>
      </c>
      <c r="F919" s="16" t="s">
        <v>2981</v>
      </c>
      <c r="G919" s="16" t="s">
        <v>2982</v>
      </c>
      <c r="I919" s="16" t="s">
        <v>50</v>
      </c>
      <c r="L919" s="16" t="s">
        <v>2983</v>
      </c>
      <c r="M919" s="16" t="s">
        <v>2981</v>
      </c>
      <c r="N919" s="16">
        <v>118</v>
      </c>
      <c r="O919" s="16" t="s">
        <v>2984</v>
      </c>
    </row>
    <row r="920" spans="1:15" ht="15.75" customHeight="1" x14ac:dyDescent="0.25">
      <c r="A920" s="16" t="s">
        <v>30</v>
      </c>
      <c r="B920" s="16">
        <v>884217</v>
      </c>
      <c r="C920" s="16">
        <v>884606</v>
      </c>
      <c r="E920" s="16" t="s">
        <v>48</v>
      </c>
      <c r="F920" s="16" t="s">
        <v>2985</v>
      </c>
      <c r="G920" s="16" t="s">
        <v>2986</v>
      </c>
      <c r="I920" s="16" t="s">
        <v>50</v>
      </c>
      <c r="L920" s="16" t="s">
        <v>2987</v>
      </c>
      <c r="M920" s="16" t="s">
        <v>2985</v>
      </c>
      <c r="N920" s="16">
        <v>129</v>
      </c>
      <c r="O920" s="16" t="s">
        <v>2988</v>
      </c>
    </row>
    <row r="921" spans="1:15" ht="15.75" customHeight="1" x14ac:dyDescent="0.25">
      <c r="A921" s="16" t="s">
        <v>30</v>
      </c>
      <c r="B921" s="16">
        <v>884634</v>
      </c>
      <c r="C921" s="16">
        <v>885254</v>
      </c>
      <c r="E921" s="16" t="s">
        <v>48</v>
      </c>
      <c r="F921" s="16" t="s">
        <v>2989</v>
      </c>
      <c r="G921" s="16" t="s">
        <v>2990</v>
      </c>
      <c r="I921" s="16" t="s">
        <v>50</v>
      </c>
      <c r="L921" s="16" t="s">
        <v>2991</v>
      </c>
      <c r="M921" s="16" t="s">
        <v>2989</v>
      </c>
      <c r="N921" s="16">
        <v>206</v>
      </c>
      <c r="O921" s="16" t="s">
        <v>2992</v>
      </c>
    </row>
    <row r="922" spans="1:15" ht="15.75" customHeight="1" x14ac:dyDescent="0.25">
      <c r="A922" s="16" t="s">
        <v>30</v>
      </c>
      <c r="B922" s="16">
        <v>885286</v>
      </c>
      <c r="C922" s="16">
        <v>886272</v>
      </c>
      <c r="E922" s="16" t="s">
        <v>48</v>
      </c>
      <c r="F922" s="16" t="s">
        <v>2993</v>
      </c>
      <c r="G922" s="16" t="s">
        <v>2994</v>
      </c>
      <c r="I922" s="16" t="s">
        <v>50</v>
      </c>
      <c r="L922" s="16" t="s">
        <v>2995</v>
      </c>
      <c r="M922" s="16" t="s">
        <v>2993</v>
      </c>
      <c r="N922" s="16">
        <v>328</v>
      </c>
      <c r="O922" s="16" t="s">
        <v>2996</v>
      </c>
    </row>
    <row r="923" spans="1:15" ht="15.75" customHeight="1" x14ac:dyDescent="0.25">
      <c r="A923" s="16" t="s">
        <v>30</v>
      </c>
      <c r="B923" s="16">
        <v>886313</v>
      </c>
      <c r="C923" s="16">
        <v>886699</v>
      </c>
      <c r="E923" s="16" t="s">
        <v>48</v>
      </c>
      <c r="F923" s="16" t="s">
        <v>2997</v>
      </c>
      <c r="G923" s="16" t="s">
        <v>2998</v>
      </c>
      <c r="I923" s="16" t="s">
        <v>50</v>
      </c>
      <c r="L923" s="16" t="s">
        <v>2999</v>
      </c>
      <c r="M923" s="16" t="s">
        <v>2997</v>
      </c>
      <c r="N923" s="16">
        <v>128</v>
      </c>
      <c r="O923" s="16" t="s">
        <v>3000</v>
      </c>
    </row>
    <row r="924" spans="1:15" ht="15.75" customHeight="1" x14ac:dyDescent="0.25">
      <c r="A924" s="16" t="s">
        <v>30</v>
      </c>
      <c r="B924" s="16">
        <v>886826</v>
      </c>
      <c r="C924" s="16">
        <v>887422</v>
      </c>
      <c r="E924" s="16" t="s">
        <v>57</v>
      </c>
      <c r="F924" s="16" t="s">
        <v>3001</v>
      </c>
      <c r="I924" s="16" t="s">
        <v>50</v>
      </c>
      <c r="L924" s="16" t="s">
        <v>3002</v>
      </c>
      <c r="M924" s="16" t="s">
        <v>3001</v>
      </c>
      <c r="N924" s="16">
        <v>198</v>
      </c>
      <c r="O924" s="16" t="s">
        <v>3003</v>
      </c>
    </row>
    <row r="925" spans="1:15" ht="15.75" customHeight="1" x14ac:dyDescent="0.25">
      <c r="A925" s="16" t="s">
        <v>30</v>
      </c>
      <c r="B925" s="16">
        <v>887541</v>
      </c>
      <c r="C925" s="16">
        <v>888241</v>
      </c>
      <c r="E925" s="16" t="s">
        <v>57</v>
      </c>
      <c r="F925" s="16" t="s">
        <v>132</v>
      </c>
      <c r="I925" s="16" t="s">
        <v>133</v>
      </c>
      <c r="O925" s="16" t="s">
        <v>3004</v>
      </c>
    </row>
    <row r="926" spans="1:15" ht="15.75" customHeight="1" x14ac:dyDescent="0.25">
      <c r="A926" s="16" t="s">
        <v>30</v>
      </c>
      <c r="B926" s="16">
        <v>888375</v>
      </c>
      <c r="C926" s="16">
        <v>889184</v>
      </c>
      <c r="E926" s="16" t="s">
        <v>48</v>
      </c>
      <c r="F926" s="16" t="s">
        <v>3005</v>
      </c>
      <c r="I926" s="16" t="s">
        <v>50</v>
      </c>
      <c r="L926" s="16" t="s">
        <v>3006</v>
      </c>
      <c r="M926" s="16" t="s">
        <v>3005</v>
      </c>
      <c r="N926" s="16">
        <v>269</v>
      </c>
      <c r="O926" s="16" t="s">
        <v>3007</v>
      </c>
    </row>
    <row r="927" spans="1:15" ht="15.75" customHeight="1" x14ac:dyDescent="0.25">
      <c r="A927" s="16" t="s">
        <v>30</v>
      </c>
      <c r="B927" s="16">
        <v>889216</v>
      </c>
      <c r="C927" s="16">
        <v>890409</v>
      </c>
      <c r="E927" s="16" t="s">
        <v>57</v>
      </c>
      <c r="F927" s="16" t="s">
        <v>3008</v>
      </c>
      <c r="G927" s="16" t="s">
        <v>3009</v>
      </c>
      <c r="I927" s="16" t="s">
        <v>50</v>
      </c>
      <c r="L927" s="16" t="s">
        <v>3010</v>
      </c>
      <c r="M927" s="16" t="s">
        <v>3008</v>
      </c>
      <c r="N927" s="16">
        <v>397</v>
      </c>
      <c r="O927" s="16" t="s">
        <v>3011</v>
      </c>
    </row>
    <row r="928" spans="1:15" ht="15.75" customHeight="1" x14ac:dyDescent="0.25">
      <c r="A928" s="16" t="s">
        <v>30</v>
      </c>
      <c r="B928" s="16">
        <v>890519</v>
      </c>
      <c r="C928" s="16">
        <v>891076</v>
      </c>
      <c r="E928" s="16" t="s">
        <v>57</v>
      </c>
      <c r="F928" s="16" t="s">
        <v>3012</v>
      </c>
      <c r="G928" s="16" t="s">
        <v>3013</v>
      </c>
      <c r="I928" s="16" t="s">
        <v>50</v>
      </c>
      <c r="L928" s="16" t="s">
        <v>3014</v>
      </c>
      <c r="M928" s="16" t="s">
        <v>3012</v>
      </c>
      <c r="N928" s="16">
        <v>185</v>
      </c>
      <c r="O928" s="16" t="s">
        <v>3015</v>
      </c>
    </row>
    <row r="929" spans="1:15" ht="15.75" customHeight="1" x14ac:dyDescent="0.25">
      <c r="A929" s="16" t="s">
        <v>30</v>
      </c>
      <c r="B929" s="16">
        <v>891228</v>
      </c>
      <c r="C929" s="16">
        <v>892844</v>
      </c>
      <c r="E929" s="16" t="s">
        <v>57</v>
      </c>
      <c r="F929" s="16" t="s">
        <v>3016</v>
      </c>
      <c r="G929" s="16" t="s">
        <v>3017</v>
      </c>
      <c r="I929" s="16" t="s">
        <v>50</v>
      </c>
      <c r="L929" s="16" t="s">
        <v>3018</v>
      </c>
      <c r="M929" s="16" t="s">
        <v>3016</v>
      </c>
      <c r="N929" s="16">
        <v>538</v>
      </c>
      <c r="O929" s="16" t="s">
        <v>3019</v>
      </c>
    </row>
    <row r="930" spans="1:15" ht="15.75" customHeight="1" x14ac:dyDescent="0.25">
      <c r="A930" s="16" t="s">
        <v>30</v>
      </c>
      <c r="B930" s="16">
        <v>893017</v>
      </c>
      <c r="C930" s="16">
        <v>893898</v>
      </c>
      <c r="E930" s="16" t="s">
        <v>57</v>
      </c>
      <c r="F930" s="16" t="s">
        <v>3020</v>
      </c>
      <c r="G930" s="16" t="s">
        <v>3021</v>
      </c>
      <c r="I930" s="16" t="s">
        <v>50</v>
      </c>
      <c r="L930" s="16" t="s">
        <v>3022</v>
      </c>
      <c r="M930" s="16" t="s">
        <v>3020</v>
      </c>
      <c r="N930" s="16">
        <v>293</v>
      </c>
      <c r="O930" s="16" t="s">
        <v>3023</v>
      </c>
    </row>
    <row r="931" spans="1:15" ht="15.75" customHeight="1" x14ac:dyDescent="0.25">
      <c r="A931" s="16" t="s">
        <v>30</v>
      </c>
      <c r="B931" s="16">
        <v>894043</v>
      </c>
      <c r="C931" s="16">
        <v>895416</v>
      </c>
      <c r="E931" s="16" t="s">
        <v>57</v>
      </c>
      <c r="F931" s="16" t="s">
        <v>3024</v>
      </c>
      <c r="G931" s="16" t="s">
        <v>3025</v>
      </c>
      <c r="I931" s="16" t="s">
        <v>50</v>
      </c>
      <c r="L931" s="16" t="s">
        <v>3026</v>
      </c>
      <c r="M931" s="16" t="s">
        <v>3024</v>
      </c>
      <c r="N931" s="16">
        <v>457</v>
      </c>
      <c r="O931" s="16" t="s">
        <v>3027</v>
      </c>
    </row>
    <row r="932" spans="1:15" ht="15.75" customHeight="1" x14ac:dyDescent="0.25">
      <c r="A932" s="16" t="s">
        <v>30</v>
      </c>
      <c r="B932" s="16">
        <v>895551</v>
      </c>
      <c r="C932" s="16">
        <v>896438</v>
      </c>
      <c r="E932" s="16" t="s">
        <v>57</v>
      </c>
      <c r="F932" s="16" t="s">
        <v>3028</v>
      </c>
      <c r="G932" s="16" t="s">
        <v>3029</v>
      </c>
      <c r="I932" s="16" t="s">
        <v>50</v>
      </c>
      <c r="L932" s="16" t="s">
        <v>3030</v>
      </c>
      <c r="M932" s="16" t="s">
        <v>3028</v>
      </c>
      <c r="N932" s="16">
        <v>295</v>
      </c>
      <c r="O932" s="16" t="s">
        <v>3031</v>
      </c>
    </row>
    <row r="933" spans="1:15" ht="15.75" customHeight="1" x14ac:dyDescent="0.25">
      <c r="A933" s="16" t="s">
        <v>30</v>
      </c>
      <c r="B933" s="16">
        <v>896460</v>
      </c>
      <c r="C933" s="16">
        <v>896651</v>
      </c>
      <c r="E933" s="16" t="s">
        <v>57</v>
      </c>
      <c r="F933" s="16" t="s">
        <v>3032</v>
      </c>
      <c r="G933" s="16" t="s">
        <v>3033</v>
      </c>
      <c r="I933" s="16" t="s">
        <v>50</v>
      </c>
      <c r="L933" s="16" t="s">
        <v>3034</v>
      </c>
      <c r="M933" s="16" t="s">
        <v>3032</v>
      </c>
      <c r="N933" s="16">
        <v>63</v>
      </c>
      <c r="O933" s="16" t="s">
        <v>3035</v>
      </c>
    </row>
    <row r="934" spans="1:15" ht="15.75" customHeight="1" x14ac:dyDescent="0.25">
      <c r="A934" s="16" t="s">
        <v>30</v>
      </c>
      <c r="B934" s="16">
        <v>896729</v>
      </c>
      <c r="C934" s="16">
        <v>899353</v>
      </c>
      <c r="E934" s="16" t="s">
        <v>57</v>
      </c>
      <c r="F934" s="16" t="s">
        <v>3036</v>
      </c>
      <c r="G934" s="16" t="s">
        <v>3037</v>
      </c>
      <c r="I934" s="16" t="s">
        <v>50</v>
      </c>
      <c r="L934" s="16" t="s">
        <v>3038</v>
      </c>
      <c r="M934" s="16" t="s">
        <v>3036</v>
      </c>
      <c r="N934" s="16">
        <v>874</v>
      </c>
      <c r="O934" s="16" t="s">
        <v>3039</v>
      </c>
    </row>
    <row r="935" spans="1:15" ht="15.75" customHeight="1" x14ac:dyDescent="0.25">
      <c r="A935" s="16" t="s">
        <v>30</v>
      </c>
      <c r="B935" s="16">
        <v>899540</v>
      </c>
      <c r="C935" s="16">
        <v>899965</v>
      </c>
      <c r="E935" s="16" t="s">
        <v>57</v>
      </c>
      <c r="F935" s="16" t="s">
        <v>3040</v>
      </c>
      <c r="G935" s="16" t="s">
        <v>3041</v>
      </c>
      <c r="I935" s="16" t="s">
        <v>50</v>
      </c>
      <c r="L935" s="16" t="s">
        <v>3042</v>
      </c>
      <c r="M935" s="16" t="s">
        <v>3040</v>
      </c>
      <c r="N935" s="16">
        <v>141</v>
      </c>
      <c r="O935" s="16" t="s">
        <v>3043</v>
      </c>
    </row>
    <row r="936" spans="1:15" ht="15.75" customHeight="1" x14ac:dyDescent="0.25">
      <c r="A936" s="16" t="s">
        <v>30</v>
      </c>
      <c r="B936" s="16">
        <v>900067</v>
      </c>
      <c r="C936" s="16">
        <v>901359</v>
      </c>
      <c r="E936" s="16" t="s">
        <v>57</v>
      </c>
      <c r="F936" s="16" t="s">
        <v>3044</v>
      </c>
      <c r="G936" s="16" t="s">
        <v>3045</v>
      </c>
      <c r="I936" s="16" t="s">
        <v>50</v>
      </c>
      <c r="L936" s="16" t="s">
        <v>3046</v>
      </c>
      <c r="M936" s="16" t="s">
        <v>3044</v>
      </c>
      <c r="N936" s="16">
        <v>430</v>
      </c>
      <c r="O936" s="16" t="s">
        <v>3047</v>
      </c>
    </row>
    <row r="937" spans="1:15" ht="15.75" customHeight="1" x14ac:dyDescent="0.25">
      <c r="A937" s="16" t="s">
        <v>30</v>
      </c>
      <c r="B937" s="16">
        <v>901371</v>
      </c>
      <c r="C937" s="16">
        <v>901919</v>
      </c>
      <c r="E937" s="16" t="s">
        <v>57</v>
      </c>
      <c r="F937" s="16" t="s">
        <v>3048</v>
      </c>
      <c r="I937" s="16" t="s">
        <v>50</v>
      </c>
      <c r="L937" s="16" t="s">
        <v>3049</v>
      </c>
      <c r="M937" s="16" t="s">
        <v>3048</v>
      </c>
      <c r="N937" s="16">
        <v>182</v>
      </c>
      <c r="O937" s="16" t="s">
        <v>3050</v>
      </c>
    </row>
    <row r="938" spans="1:15" ht="15.75" customHeight="1" x14ac:dyDescent="0.25">
      <c r="A938" s="16" t="s">
        <v>30</v>
      </c>
      <c r="B938" s="16">
        <v>902090</v>
      </c>
      <c r="C938" s="16">
        <v>903112</v>
      </c>
      <c r="E938" s="16" t="s">
        <v>57</v>
      </c>
      <c r="F938" s="16" t="s">
        <v>3051</v>
      </c>
      <c r="G938" s="16" t="s">
        <v>3052</v>
      </c>
      <c r="I938" s="16" t="s">
        <v>50</v>
      </c>
      <c r="L938" s="16" t="s">
        <v>3053</v>
      </c>
      <c r="M938" s="16" t="s">
        <v>3051</v>
      </c>
      <c r="N938" s="16">
        <v>340</v>
      </c>
      <c r="O938" s="16" t="s">
        <v>3054</v>
      </c>
    </row>
    <row r="939" spans="1:15" ht="15.75" customHeight="1" x14ac:dyDescent="0.25">
      <c r="A939" s="16" t="s">
        <v>30</v>
      </c>
      <c r="B939" s="16">
        <v>903122</v>
      </c>
      <c r="C939" s="16">
        <v>904276</v>
      </c>
      <c r="E939" s="16" t="s">
        <v>57</v>
      </c>
      <c r="F939" s="16" t="s">
        <v>3055</v>
      </c>
      <c r="G939" s="16" t="s">
        <v>3056</v>
      </c>
      <c r="I939" s="16" t="s">
        <v>50</v>
      </c>
      <c r="L939" s="16" t="s">
        <v>3057</v>
      </c>
      <c r="M939" s="16" t="s">
        <v>3055</v>
      </c>
      <c r="N939" s="16">
        <v>384</v>
      </c>
      <c r="O939" s="16" t="s">
        <v>3058</v>
      </c>
    </row>
    <row r="940" spans="1:15" ht="15.75" customHeight="1" x14ac:dyDescent="0.25">
      <c r="A940" s="16" t="s">
        <v>30</v>
      </c>
      <c r="B940" s="16">
        <v>904353</v>
      </c>
      <c r="C940" s="16">
        <v>905402</v>
      </c>
      <c r="E940" s="16" t="s">
        <v>57</v>
      </c>
      <c r="F940" s="16" t="s">
        <v>3059</v>
      </c>
      <c r="G940" s="16" t="s">
        <v>3060</v>
      </c>
      <c r="I940" s="16" t="s">
        <v>50</v>
      </c>
      <c r="L940" s="16" t="s">
        <v>3061</v>
      </c>
      <c r="M940" s="16" t="s">
        <v>3059</v>
      </c>
      <c r="N940" s="16">
        <v>349</v>
      </c>
      <c r="O940" s="16" t="s">
        <v>3062</v>
      </c>
    </row>
    <row r="941" spans="1:15" ht="15.75" customHeight="1" x14ac:dyDescent="0.25">
      <c r="A941" s="16" t="s">
        <v>30</v>
      </c>
      <c r="B941" s="16">
        <v>905610</v>
      </c>
      <c r="C941" s="16">
        <v>906608</v>
      </c>
      <c r="E941" s="16" t="s">
        <v>48</v>
      </c>
      <c r="F941" s="16" t="s">
        <v>1918</v>
      </c>
      <c r="I941" s="16" t="s">
        <v>50</v>
      </c>
      <c r="L941" s="16" t="s">
        <v>3063</v>
      </c>
      <c r="M941" s="16" t="s">
        <v>1918</v>
      </c>
      <c r="N941" s="16">
        <v>332</v>
      </c>
      <c r="O941" s="16" t="s">
        <v>3064</v>
      </c>
    </row>
    <row r="942" spans="1:15" ht="15.75" customHeight="1" x14ac:dyDescent="0.25">
      <c r="A942" s="16" t="s">
        <v>30</v>
      </c>
      <c r="B942" s="16">
        <v>906753</v>
      </c>
      <c r="C942" s="16">
        <v>907748</v>
      </c>
      <c r="E942" s="16" t="s">
        <v>48</v>
      </c>
      <c r="F942" s="16" t="s">
        <v>3065</v>
      </c>
      <c r="G942" s="16" t="s">
        <v>3066</v>
      </c>
      <c r="I942" s="16" t="s">
        <v>50</v>
      </c>
      <c r="L942" s="16" t="s">
        <v>3067</v>
      </c>
      <c r="M942" s="16" t="s">
        <v>3065</v>
      </c>
      <c r="N942" s="16">
        <v>331</v>
      </c>
      <c r="O942" s="16" t="s">
        <v>3068</v>
      </c>
    </row>
    <row r="943" spans="1:15" ht="15.75" customHeight="1" x14ac:dyDescent="0.25">
      <c r="A943" s="16" t="s">
        <v>30</v>
      </c>
      <c r="B943" s="16">
        <v>907814</v>
      </c>
      <c r="C943" s="16">
        <v>909334</v>
      </c>
      <c r="E943" s="16" t="s">
        <v>48</v>
      </c>
      <c r="F943" s="16" t="s">
        <v>3069</v>
      </c>
      <c r="G943" s="16" t="s">
        <v>3070</v>
      </c>
      <c r="I943" s="16" t="s">
        <v>50</v>
      </c>
      <c r="L943" s="16" t="s">
        <v>3071</v>
      </c>
      <c r="M943" s="16" t="s">
        <v>3069</v>
      </c>
      <c r="N943" s="16">
        <v>506</v>
      </c>
      <c r="O943" s="16" t="s">
        <v>3072</v>
      </c>
    </row>
    <row r="944" spans="1:15" ht="15.75" customHeight="1" x14ac:dyDescent="0.25">
      <c r="A944" s="16" t="s">
        <v>30</v>
      </c>
      <c r="B944" s="16">
        <v>909351</v>
      </c>
      <c r="C944" s="16">
        <v>910361</v>
      </c>
      <c r="E944" s="16" t="s">
        <v>48</v>
      </c>
      <c r="F944" s="16" t="s">
        <v>3073</v>
      </c>
      <c r="G944" s="16" t="s">
        <v>3074</v>
      </c>
      <c r="I944" s="16" t="s">
        <v>50</v>
      </c>
      <c r="L944" s="16" t="s">
        <v>3075</v>
      </c>
      <c r="M944" s="16" t="s">
        <v>3073</v>
      </c>
      <c r="N944" s="16">
        <v>336</v>
      </c>
      <c r="O944" s="16" t="s">
        <v>3076</v>
      </c>
    </row>
    <row r="945" spans="1:15" ht="15.75" customHeight="1" x14ac:dyDescent="0.25">
      <c r="A945" s="16" t="s">
        <v>30</v>
      </c>
      <c r="B945" s="16">
        <v>910507</v>
      </c>
      <c r="C945" s="16">
        <v>911241</v>
      </c>
      <c r="E945" s="16" t="s">
        <v>48</v>
      </c>
      <c r="F945" s="16" t="s">
        <v>135</v>
      </c>
      <c r="I945" s="16" t="s">
        <v>50</v>
      </c>
      <c r="L945" s="16" t="s">
        <v>3077</v>
      </c>
      <c r="M945" s="16" t="s">
        <v>135</v>
      </c>
      <c r="N945" s="16">
        <v>244</v>
      </c>
      <c r="O945" s="16" t="s">
        <v>3078</v>
      </c>
    </row>
    <row r="946" spans="1:15" ht="15.75" customHeight="1" x14ac:dyDescent="0.25">
      <c r="A946" s="16" t="s">
        <v>30</v>
      </c>
      <c r="B946" s="16">
        <v>911247</v>
      </c>
      <c r="C946" s="16">
        <v>911804</v>
      </c>
      <c r="E946" s="16" t="s">
        <v>48</v>
      </c>
      <c r="F946" s="16" t="s">
        <v>3079</v>
      </c>
      <c r="I946" s="16" t="s">
        <v>50</v>
      </c>
      <c r="L946" s="16" t="s">
        <v>3080</v>
      </c>
      <c r="M946" s="16" t="s">
        <v>3079</v>
      </c>
      <c r="N946" s="16">
        <v>185</v>
      </c>
      <c r="O946" s="16" t="s">
        <v>3081</v>
      </c>
    </row>
    <row r="947" spans="1:15" ht="15.75" customHeight="1" x14ac:dyDescent="0.25">
      <c r="A947" s="16" t="s">
        <v>30</v>
      </c>
      <c r="B947" s="16">
        <v>911804</v>
      </c>
      <c r="C947" s="16">
        <v>912268</v>
      </c>
      <c r="E947" s="16" t="s">
        <v>48</v>
      </c>
      <c r="F947" s="16" t="s">
        <v>3082</v>
      </c>
      <c r="G947" s="16" t="s">
        <v>3083</v>
      </c>
      <c r="I947" s="16" t="s">
        <v>50</v>
      </c>
      <c r="L947" s="16" t="s">
        <v>3084</v>
      </c>
      <c r="M947" s="16" t="s">
        <v>3082</v>
      </c>
      <c r="N947" s="16">
        <v>154</v>
      </c>
      <c r="O947" s="16" t="s">
        <v>3085</v>
      </c>
    </row>
    <row r="948" spans="1:15" ht="15.75" customHeight="1" x14ac:dyDescent="0.25">
      <c r="A948" s="16" t="s">
        <v>30</v>
      </c>
      <c r="B948" s="16">
        <v>912285</v>
      </c>
      <c r="C948" s="16">
        <v>912581</v>
      </c>
      <c r="E948" s="16" t="s">
        <v>48</v>
      </c>
      <c r="F948" s="16" t="s">
        <v>3086</v>
      </c>
      <c r="I948" s="16" t="s">
        <v>50</v>
      </c>
      <c r="L948" s="16" t="s">
        <v>3087</v>
      </c>
      <c r="M948" s="16" t="s">
        <v>3086</v>
      </c>
      <c r="N948" s="16">
        <v>98</v>
      </c>
      <c r="O948" s="16" t="s">
        <v>3088</v>
      </c>
    </row>
    <row r="949" spans="1:15" ht="15.75" customHeight="1" x14ac:dyDescent="0.25">
      <c r="A949" s="16" t="s">
        <v>30</v>
      </c>
      <c r="B949" s="16">
        <v>912597</v>
      </c>
      <c r="C949" s="16">
        <v>914378</v>
      </c>
      <c r="E949" s="16" t="s">
        <v>48</v>
      </c>
      <c r="F949" s="16" t="s">
        <v>3089</v>
      </c>
      <c r="I949" s="16" t="s">
        <v>50</v>
      </c>
      <c r="L949" s="16" t="s">
        <v>3090</v>
      </c>
      <c r="M949" s="16" t="s">
        <v>3089</v>
      </c>
      <c r="N949" s="16">
        <v>593</v>
      </c>
      <c r="O949" s="16" t="s">
        <v>3091</v>
      </c>
    </row>
    <row r="950" spans="1:15" ht="15.75" customHeight="1" x14ac:dyDescent="0.25">
      <c r="A950" s="16" t="s">
        <v>30</v>
      </c>
      <c r="B950" s="16">
        <v>914416</v>
      </c>
      <c r="C950" s="16">
        <v>914721</v>
      </c>
      <c r="E950" s="16" t="s">
        <v>48</v>
      </c>
      <c r="F950" s="16" t="s">
        <v>3092</v>
      </c>
      <c r="G950" s="16" t="s">
        <v>3093</v>
      </c>
      <c r="I950" s="16" t="s">
        <v>50</v>
      </c>
      <c r="L950" s="16" t="s">
        <v>3094</v>
      </c>
      <c r="M950" s="16" t="s">
        <v>3092</v>
      </c>
      <c r="N950" s="16">
        <v>101</v>
      </c>
      <c r="O950" s="16" t="s">
        <v>3095</v>
      </c>
    </row>
    <row r="951" spans="1:15" ht="15.75" customHeight="1" x14ac:dyDescent="0.25">
      <c r="A951" s="16" t="s">
        <v>30</v>
      </c>
      <c r="B951" s="16">
        <v>914708</v>
      </c>
      <c r="C951" s="16">
        <v>915448</v>
      </c>
      <c r="E951" s="16" t="s">
        <v>48</v>
      </c>
      <c r="F951" s="16" t="s">
        <v>3096</v>
      </c>
      <c r="G951" s="16" t="s">
        <v>3097</v>
      </c>
      <c r="I951" s="16" t="s">
        <v>50</v>
      </c>
      <c r="L951" s="16" t="s">
        <v>3098</v>
      </c>
      <c r="M951" s="16" t="s">
        <v>3096</v>
      </c>
      <c r="N951" s="16">
        <v>246</v>
      </c>
      <c r="O951" s="16" t="s">
        <v>3099</v>
      </c>
    </row>
    <row r="952" spans="1:15" ht="15.75" customHeight="1" x14ac:dyDescent="0.25">
      <c r="A952" s="16" t="s">
        <v>30</v>
      </c>
      <c r="B952" s="16">
        <v>915581</v>
      </c>
      <c r="C952" s="16">
        <v>915925</v>
      </c>
      <c r="E952" s="16" t="s">
        <v>57</v>
      </c>
      <c r="F952" s="16" t="s">
        <v>3100</v>
      </c>
      <c r="G952" s="16" t="s">
        <v>3101</v>
      </c>
      <c r="I952" s="16" t="s">
        <v>50</v>
      </c>
      <c r="L952" s="16" t="s">
        <v>3102</v>
      </c>
      <c r="M952" s="16" t="s">
        <v>3100</v>
      </c>
      <c r="N952" s="16">
        <v>114</v>
      </c>
      <c r="O952" s="16" t="s">
        <v>3103</v>
      </c>
    </row>
    <row r="953" spans="1:15" ht="15.75" customHeight="1" x14ac:dyDescent="0.25">
      <c r="A953" s="16" t="s">
        <v>30</v>
      </c>
      <c r="B953" s="16">
        <v>915938</v>
      </c>
      <c r="C953" s="16">
        <v>916348</v>
      </c>
      <c r="E953" s="16" t="s">
        <v>57</v>
      </c>
      <c r="F953" s="16" t="s">
        <v>3104</v>
      </c>
      <c r="G953" s="16" t="s">
        <v>3105</v>
      </c>
      <c r="I953" s="16" t="s">
        <v>50</v>
      </c>
      <c r="L953" s="16" t="s">
        <v>3106</v>
      </c>
      <c r="M953" s="16" t="s">
        <v>3104</v>
      </c>
      <c r="N953" s="16">
        <v>136</v>
      </c>
      <c r="O953" s="16" t="s">
        <v>3107</v>
      </c>
    </row>
    <row r="954" spans="1:15" ht="15.75" customHeight="1" x14ac:dyDescent="0.25">
      <c r="A954" s="16" t="s">
        <v>30</v>
      </c>
      <c r="B954" s="16">
        <v>916359</v>
      </c>
      <c r="C954" s="16">
        <v>917129</v>
      </c>
      <c r="E954" s="16" t="s">
        <v>57</v>
      </c>
      <c r="F954" s="16" t="s">
        <v>3108</v>
      </c>
      <c r="I954" s="16" t="s">
        <v>50</v>
      </c>
      <c r="L954" s="16" t="s">
        <v>3109</v>
      </c>
      <c r="M954" s="16" t="s">
        <v>3108</v>
      </c>
      <c r="N954" s="16">
        <v>256</v>
      </c>
      <c r="O954" s="16" t="s">
        <v>3110</v>
      </c>
    </row>
    <row r="955" spans="1:15" ht="15.75" customHeight="1" x14ac:dyDescent="0.25">
      <c r="A955" s="16" t="s">
        <v>30</v>
      </c>
      <c r="B955" s="16">
        <v>917122</v>
      </c>
      <c r="C955" s="16">
        <v>918921</v>
      </c>
      <c r="E955" s="16" t="s">
        <v>57</v>
      </c>
      <c r="F955" s="16" t="s">
        <v>3111</v>
      </c>
      <c r="G955" s="16" t="s">
        <v>3112</v>
      </c>
      <c r="I955" s="16" t="s">
        <v>50</v>
      </c>
      <c r="L955" s="16" t="s">
        <v>3113</v>
      </c>
      <c r="M955" s="16" t="s">
        <v>3111</v>
      </c>
      <c r="N955" s="16">
        <v>599</v>
      </c>
      <c r="O955" s="16" t="s">
        <v>3114</v>
      </c>
    </row>
    <row r="956" spans="1:15" ht="15.75" customHeight="1" x14ac:dyDescent="0.25">
      <c r="A956" s="16" t="s">
        <v>30</v>
      </c>
      <c r="B956" s="16">
        <v>919132</v>
      </c>
      <c r="C956" s="16">
        <v>920103</v>
      </c>
      <c r="E956" s="16" t="s">
        <v>48</v>
      </c>
      <c r="F956" s="16" t="s">
        <v>3115</v>
      </c>
      <c r="G956" s="16" t="s">
        <v>3116</v>
      </c>
      <c r="I956" s="16" t="s">
        <v>50</v>
      </c>
      <c r="L956" s="16" t="s">
        <v>3117</v>
      </c>
      <c r="M956" s="16" t="s">
        <v>3115</v>
      </c>
      <c r="N956" s="16">
        <v>323</v>
      </c>
      <c r="O956" s="16" t="s">
        <v>3118</v>
      </c>
    </row>
    <row r="957" spans="1:15" ht="15.75" customHeight="1" x14ac:dyDescent="0.25">
      <c r="A957" s="16" t="s">
        <v>30</v>
      </c>
      <c r="B957" s="16">
        <v>920369</v>
      </c>
      <c r="C957" s="16">
        <v>921052</v>
      </c>
      <c r="E957" s="16" t="s">
        <v>57</v>
      </c>
      <c r="F957" s="16" t="s">
        <v>767</v>
      </c>
      <c r="I957" s="16" t="s">
        <v>50</v>
      </c>
      <c r="L957" s="16" t="s">
        <v>3119</v>
      </c>
      <c r="M957" s="16" t="s">
        <v>767</v>
      </c>
      <c r="N957" s="16">
        <v>227</v>
      </c>
      <c r="O957" s="16" t="s">
        <v>3120</v>
      </c>
    </row>
    <row r="958" spans="1:15" ht="15.75" customHeight="1" x14ac:dyDescent="0.25">
      <c r="A958" s="16" t="s">
        <v>30</v>
      </c>
      <c r="B958" s="16">
        <v>921106</v>
      </c>
      <c r="C958" s="16">
        <v>921519</v>
      </c>
      <c r="E958" s="16" t="s">
        <v>57</v>
      </c>
      <c r="F958" s="16" t="s">
        <v>3121</v>
      </c>
      <c r="G958" s="16" t="s">
        <v>3122</v>
      </c>
      <c r="I958" s="16" t="s">
        <v>50</v>
      </c>
      <c r="L958" s="16" t="s">
        <v>3123</v>
      </c>
      <c r="M958" s="16" t="s">
        <v>3121</v>
      </c>
      <c r="N958" s="16">
        <v>137</v>
      </c>
      <c r="O958" s="16" t="s">
        <v>3124</v>
      </c>
    </row>
    <row r="959" spans="1:15" ht="15.75" customHeight="1" x14ac:dyDescent="0.25">
      <c r="A959" s="16" t="s">
        <v>30</v>
      </c>
      <c r="B959" s="16">
        <v>921585</v>
      </c>
      <c r="C959" s="16">
        <v>922601</v>
      </c>
      <c r="E959" s="16" t="s">
        <v>57</v>
      </c>
      <c r="F959" s="16" t="s">
        <v>3125</v>
      </c>
      <c r="G959" s="16" t="s">
        <v>3126</v>
      </c>
      <c r="I959" s="16" t="s">
        <v>50</v>
      </c>
      <c r="L959" s="16" t="s">
        <v>3127</v>
      </c>
      <c r="M959" s="16" t="s">
        <v>3125</v>
      </c>
      <c r="N959" s="16">
        <v>338</v>
      </c>
      <c r="O959" s="16" t="s">
        <v>3128</v>
      </c>
    </row>
    <row r="960" spans="1:15" ht="15.75" customHeight="1" x14ac:dyDescent="0.25">
      <c r="A960" s="16" t="s">
        <v>30</v>
      </c>
      <c r="B960" s="16">
        <v>922727</v>
      </c>
      <c r="C960" s="16">
        <v>922945</v>
      </c>
      <c r="E960" s="16" t="s">
        <v>48</v>
      </c>
      <c r="F960" s="16" t="s">
        <v>3129</v>
      </c>
      <c r="I960" s="16" t="s">
        <v>50</v>
      </c>
      <c r="L960" s="16" t="s">
        <v>3130</v>
      </c>
      <c r="M960" s="16" t="s">
        <v>3129</v>
      </c>
      <c r="N960" s="16">
        <v>72</v>
      </c>
      <c r="O960" s="16" t="s">
        <v>3131</v>
      </c>
    </row>
    <row r="961" spans="1:15" ht="15.75" customHeight="1" x14ac:dyDescent="0.25">
      <c r="A961" s="16" t="s">
        <v>30</v>
      </c>
      <c r="B961" s="16">
        <v>922947</v>
      </c>
      <c r="C961" s="16">
        <v>924704</v>
      </c>
      <c r="E961" s="16" t="s">
        <v>48</v>
      </c>
      <c r="F961" s="16" t="s">
        <v>3132</v>
      </c>
      <c r="I961" s="16" t="s">
        <v>50</v>
      </c>
      <c r="L961" s="16" t="s">
        <v>3133</v>
      </c>
      <c r="M961" s="16" t="s">
        <v>3132</v>
      </c>
      <c r="N961" s="16">
        <v>585</v>
      </c>
      <c r="O961" s="16" t="s">
        <v>3134</v>
      </c>
    </row>
    <row r="962" spans="1:15" ht="15.75" customHeight="1" x14ac:dyDescent="0.25">
      <c r="A962" s="16" t="s">
        <v>30</v>
      </c>
      <c r="B962" s="16">
        <v>924902</v>
      </c>
      <c r="C962" s="16">
        <v>925894</v>
      </c>
      <c r="E962" s="16" t="s">
        <v>48</v>
      </c>
      <c r="F962" s="16" t="s">
        <v>3135</v>
      </c>
      <c r="I962" s="16" t="s">
        <v>50</v>
      </c>
      <c r="L962" s="16" t="s">
        <v>3136</v>
      </c>
      <c r="M962" s="16" t="s">
        <v>3135</v>
      </c>
      <c r="N962" s="16">
        <v>330</v>
      </c>
      <c r="O962" s="16" t="s">
        <v>3137</v>
      </c>
    </row>
    <row r="963" spans="1:15" ht="15.75" customHeight="1" x14ac:dyDescent="0.25">
      <c r="A963" s="16" t="s">
        <v>30</v>
      </c>
      <c r="B963" s="16">
        <v>926033</v>
      </c>
      <c r="C963" s="16">
        <v>926611</v>
      </c>
      <c r="E963" s="16" t="s">
        <v>57</v>
      </c>
      <c r="F963" s="16" t="s">
        <v>3138</v>
      </c>
      <c r="G963" s="16" t="s">
        <v>3139</v>
      </c>
      <c r="I963" s="16" t="s">
        <v>50</v>
      </c>
      <c r="L963" s="16" t="s">
        <v>3140</v>
      </c>
      <c r="M963" s="16" t="s">
        <v>3138</v>
      </c>
      <c r="N963" s="16">
        <v>192</v>
      </c>
      <c r="O963" s="16" t="s">
        <v>3141</v>
      </c>
    </row>
    <row r="964" spans="1:15" ht="15.75" customHeight="1" x14ac:dyDescent="0.25">
      <c r="A964" s="16" t="s">
        <v>30</v>
      </c>
      <c r="B964" s="16">
        <v>926676</v>
      </c>
      <c r="C964" s="16">
        <v>926942</v>
      </c>
      <c r="E964" s="16" t="s">
        <v>48</v>
      </c>
      <c r="F964" s="16" t="s">
        <v>3142</v>
      </c>
      <c r="I964" s="16" t="s">
        <v>50</v>
      </c>
      <c r="L964" s="16" t="s">
        <v>3143</v>
      </c>
      <c r="M964" s="16" t="s">
        <v>3142</v>
      </c>
      <c r="N964" s="16">
        <v>88</v>
      </c>
      <c r="O964" s="16" t="s">
        <v>3144</v>
      </c>
    </row>
    <row r="965" spans="1:15" ht="15.75" customHeight="1" x14ac:dyDescent="0.25">
      <c r="A965" s="16" t="s">
        <v>30</v>
      </c>
      <c r="B965" s="16">
        <v>926953</v>
      </c>
      <c r="C965" s="16">
        <v>927570</v>
      </c>
      <c r="E965" s="16" t="s">
        <v>48</v>
      </c>
      <c r="F965" s="16" t="s">
        <v>3145</v>
      </c>
      <c r="I965" s="16" t="s">
        <v>50</v>
      </c>
      <c r="L965" s="16" t="s">
        <v>3146</v>
      </c>
      <c r="M965" s="16" t="s">
        <v>3145</v>
      </c>
      <c r="N965" s="16">
        <v>205</v>
      </c>
      <c r="O965" s="16" t="s">
        <v>3147</v>
      </c>
    </row>
    <row r="966" spans="1:15" ht="15.75" customHeight="1" x14ac:dyDescent="0.25">
      <c r="A966" s="16" t="s">
        <v>30</v>
      </c>
      <c r="B966" s="16">
        <v>927632</v>
      </c>
      <c r="C966" s="16">
        <v>927967</v>
      </c>
      <c r="E966" s="16" t="s">
        <v>48</v>
      </c>
      <c r="F966" s="16" t="s">
        <v>3148</v>
      </c>
      <c r="I966" s="16" t="s">
        <v>50</v>
      </c>
      <c r="L966" s="16" t="s">
        <v>3149</v>
      </c>
      <c r="M966" s="16" t="s">
        <v>3148</v>
      </c>
      <c r="N966" s="16">
        <v>111</v>
      </c>
      <c r="O966" s="16" t="s">
        <v>3150</v>
      </c>
    </row>
    <row r="967" spans="1:15" ht="15.75" customHeight="1" x14ac:dyDescent="0.25">
      <c r="A967" s="16" t="s">
        <v>30</v>
      </c>
      <c r="B967" s="16">
        <v>928111</v>
      </c>
      <c r="C967" s="16">
        <v>929202</v>
      </c>
      <c r="E967" s="16" t="s">
        <v>48</v>
      </c>
      <c r="F967" s="16" t="s">
        <v>3151</v>
      </c>
      <c r="G967" s="16" t="s">
        <v>3152</v>
      </c>
      <c r="I967" s="16" t="s">
        <v>50</v>
      </c>
      <c r="L967" s="16" t="s">
        <v>3153</v>
      </c>
      <c r="M967" s="16" t="s">
        <v>3151</v>
      </c>
      <c r="N967" s="16">
        <v>363</v>
      </c>
      <c r="O967" s="16" t="s">
        <v>3154</v>
      </c>
    </row>
    <row r="968" spans="1:15" ht="15.75" customHeight="1" x14ac:dyDescent="0.25">
      <c r="A968" s="16" t="s">
        <v>30</v>
      </c>
      <c r="B968" s="16">
        <v>929184</v>
      </c>
      <c r="C968" s="16">
        <v>929957</v>
      </c>
      <c r="E968" s="16" t="s">
        <v>48</v>
      </c>
      <c r="F968" s="16" t="s">
        <v>323</v>
      </c>
      <c r="I968" s="16" t="s">
        <v>50</v>
      </c>
      <c r="L968" s="16" t="s">
        <v>3155</v>
      </c>
      <c r="M968" s="16" t="s">
        <v>323</v>
      </c>
      <c r="N968" s="16">
        <v>257</v>
      </c>
      <c r="O968" s="16" t="s">
        <v>3156</v>
      </c>
    </row>
    <row r="969" spans="1:15" ht="15.75" customHeight="1" x14ac:dyDescent="0.25">
      <c r="A969" s="16" t="s">
        <v>30</v>
      </c>
      <c r="B969" s="16">
        <v>929951</v>
      </c>
      <c r="C969" s="16">
        <v>930385</v>
      </c>
      <c r="E969" s="16" t="s">
        <v>48</v>
      </c>
      <c r="F969" s="16" t="s">
        <v>3157</v>
      </c>
      <c r="I969" s="16" t="s">
        <v>50</v>
      </c>
      <c r="L969" s="16" t="s">
        <v>3158</v>
      </c>
      <c r="M969" s="16" t="s">
        <v>3157</v>
      </c>
      <c r="N969" s="16">
        <v>144</v>
      </c>
      <c r="O969" s="16" t="s">
        <v>3159</v>
      </c>
    </row>
    <row r="970" spans="1:15" ht="15.75" customHeight="1" x14ac:dyDescent="0.25">
      <c r="A970" s="16" t="s">
        <v>30</v>
      </c>
      <c r="B970" s="16">
        <v>930457</v>
      </c>
      <c r="C970" s="16">
        <v>930653</v>
      </c>
      <c r="E970" s="16" t="s">
        <v>48</v>
      </c>
      <c r="F970" s="16" t="s">
        <v>132</v>
      </c>
      <c r="I970" s="16" t="s">
        <v>133</v>
      </c>
      <c r="O970" s="16" t="s">
        <v>3160</v>
      </c>
    </row>
    <row r="971" spans="1:15" ht="15.75" customHeight="1" x14ac:dyDescent="0.25">
      <c r="A971" s="16" t="s">
        <v>30</v>
      </c>
      <c r="B971" s="16">
        <v>930807</v>
      </c>
      <c r="C971" s="16">
        <v>931322</v>
      </c>
      <c r="E971" s="16" t="s">
        <v>48</v>
      </c>
      <c r="F971" s="16" t="s">
        <v>3161</v>
      </c>
      <c r="G971" s="16" t="s">
        <v>3162</v>
      </c>
      <c r="I971" s="16" t="s">
        <v>50</v>
      </c>
      <c r="L971" s="16" t="s">
        <v>3163</v>
      </c>
      <c r="M971" s="16" t="s">
        <v>3161</v>
      </c>
      <c r="N971" s="16">
        <v>171</v>
      </c>
      <c r="O971" s="16" t="s">
        <v>3164</v>
      </c>
    </row>
    <row r="972" spans="1:15" ht="15.75" customHeight="1" x14ac:dyDescent="0.25">
      <c r="A972" s="16" t="s">
        <v>30</v>
      </c>
      <c r="B972" s="16">
        <v>931319</v>
      </c>
      <c r="C972" s="16">
        <v>932710</v>
      </c>
      <c r="E972" s="16" t="s">
        <v>48</v>
      </c>
      <c r="F972" s="16" t="s">
        <v>3165</v>
      </c>
      <c r="I972" s="16" t="s">
        <v>50</v>
      </c>
      <c r="L972" s="16" t="s">
        <v>3166</v>
      </c>
      <c r="M972" s="16" t="s">
        <v>3165</v>
      </c>
      <c r="N972" s="16">
        <v>463</v>
      </c>
      <c r="O972" s="16" t="s">
        <v>3167</v>
      </c>
    </row>
    <row r="973" spans="1:15" ht="15.75" customHeight="1" x14ac:dyDescent="0.25">
      <c r="A973" s="16" t="s">
        <v>30</v>
      </c>
      <c r="B973" s="16">
        <v>932857</v>
      </c>
      <c r="C973" s="16">
        <v>934500</v>
      </c>
      <c r="E973" s="16" t="s">
        <v>48</v>
      </c>
      <c r="F973" s="16" t="s">
        <v>1249</v>
      </c>
      <c r="I973" s="16" t="s">
        <v>50</v>
      </c>
      <c r="L973" s="16" t="s">
        <v>3168</v>
      </c>
      <c r="M973" s="16" t="s">
        <v>1249</v>
      </c>
      <c r="N973" s="16">
        <v>547</v>
      </c>
      <c r="O973" s="16" t="s">
        <v>3169</v>
      </c>
    </row>
    <row r="974" spans="1:15" ht="15.75" customHeight="1" x14ac:dyDescent="0.25">
      <c r="A974" s="16" t="s">
        <v>30</v>
      </c>
      <c r="B974" s="16">
        <v>934676</v>
      </c>
      <c r="C974" s="16">
        <v>935437</v>
      </c>
      <c r="E974" s="16" t="s">
        <v>48</v>
      </c>
      <c r="F974" s="16" t="s">
        <v>3170</v>
      </c>
      <c r="I974" s="16" t="s">
        <v>50</v>
      </c>
      <c r="L974" s="16" t="s">
        <v>3171</v>
      </c>
      <c r="M974" s="16" t="s">
        <v>3170</v>
      </c>
      <c r="N974" s="16">
        <v>253</v>
      </c>
      <c r="O974" s="16" t="s">
        <v>3172</v>
      </c>
    </row>
    <row r="975" spans="1:15" ht="15.75" customHeight="1" x14ac:dyDescent="0.25">
      <c r="A975" s="16" t="s">
        <v>30</v>
      </c>
      <c r="B975" s="16">
        <v>935574</v>
      </c>
      <c r="C975" s="16">
        <v>935921</v>
      </c>
      <c r="E975" s="16" t="s">
        <v>57</v>
      </c>
      <c r="F975" s="16" t="s">
        <v>3173</v>
      </c>
      <c r="I975" s="16" t="s">
        <v>50</v>
      </c>
      <c r="L975" s="16" t="s">
        <v>3174</v>
      </c>
      <c r="M975" s="16" t="s">
        <v>3173</v>
      </c>
      <c r="N975" s="16">
        <v>115</v>
      </c>
      <c r="O975" s="16" t="s">
        <v>3175</v>
      </c>
    </row>
    <row r="976" spans="1:15" ht="15.75" customHeight="1" x14ac:dyDescent="0.25">
      <c r="A976" s="16" t="s">
        <v>30</v>
      </c>
      <c r="B976" s="16">
        <v>935936</v>
      </c>
      <c r="C976" s="16">
        <v>938728</v>
      </c>
      <c r="E976" s="16" t="s">
        <v>57</v>
      </c>
      <c r="F976" s="16" t="s">
        <v>3176</v>
      </c>
      <c r="G976" s="16" t="s">
        <v>3177</v>
      </c>
      <c r="I976" s="16" t="s">
        <v>50</v>
      </c>
      <c r="L976" s="16" t="s">
        <v>3178</v>
      </c>
      <c r="M976" s="16" t="s">
        <v>3176</v>
      </c>
      <c r="N976" s="16">
        <v>930</v>
      </c>
      <c r="O976" s="16" t="s">
        <v>3179</v>
      </c>
    </row>
    <row r="977" spans="1:15" ht="15.75" customHeight="1" x14ac:dyDescent="0.25">
      <c r="A977" s="16" t="s">
        <v>30</v>
      </c>
      <c r="B977" s="16">
        <v>938877</v>
      </c>
      <c r="C977" s="16">
        <v>939179</v>
      </c>
      <c r="E977" s="16" t="s">
        <v>48</v>
      </c>
      <c r="F977" s="16" t="s">
        <v>3180</v>
      </c>
      <c r="I977" s="16" t="s">
        <v>50</v>
      </c>
      <c r="L977" s="16" t="s">
        <v>3181</v>
      </c>
      <c r="M977" s="16" t="s">
        <v>3180</v>
      </c>
      <c r="N977" s="16">
        <v>100</v>
      </c>
      <c r="O977" s="16" t="s">
        <v>3182</v>
      </c>
    </row>
    <row r="978" spans="1:15" ht="15.75" customHeight="1" x14ac:dyDescent="0.25">
      <c r="A978" s="16" t="s">
        <v>30</v>
      </c>
      <c r="B978" s="16">
        <v>939287</v>
      </c>
      <c r="C978" s="16">
        <v>939484</v>
      </c>
      <c r="E978" s="16" t="s">
        <v>48</v>
      </c>
      <c r="F978" s="16" t="s">
        <v>3183</v>
      </c>
      <c r="G978" s="16" t="s">
        <v>3184</v>
      </c>
      <c r="I978" s="16" t="s">
        <v>3185</v>
      </c>
      <c r="O978" s="16" t="s">
        <v>3186</v>
      </c>
    </row>
    <row r="979" spans="1:15" ht="15.75" customHeight="1" x14ac:dyDescent="0.25">
      <c r="A979" s="16" t="s">
        <v>30</v>
      </c>
      <c r="B979" s="16">
        <v>939502</v>
      </c>
      <c r="C979" s="16">
        <v>940065</v>
      </c>
      <c r="E979" s="16" t="s">
        <v>48</v>
      </c>
      <c r="F979" s="16" t="s">
        <v>3187</v>
      </c>
      <c r="I979" s="16" t="s">
        <v>50</v>
      </c>
      <c r="L979" s="16" t="s">
        <v>3188</v>
      </c>
      <c r="M979" s="16" t="s">
        <v>3187</v>
      </c>
      <c r="N979" s="16">
        <v>187</v>
      </c>
      <c r="O979" s="16" t="s">
        <v>3189</v>
      </c>
    </row>
    <row r="980" spans="1:15" ht="15.75" customHeight="1" x14ac:dyDescent="0.25">
      <c r="A980" s="16" t="s">
        <v>30</v>
      </c>
      <c r="B980" s="16">
        <v>940193</v>
      </c>
      <c r="C980" s="16">
        <v>942763</v>
      </c>
      <c r="E980" s="16" t="s">
        <v>48</v>
      </c>
      <c r="F980" s="16" t="s">
        <v>3190</v>
      </c>
      <c r="G980" s="16" t="s">
        <v>3191</v>
      </c>
      <c r="I980" s="16" t="s">
        <v>50</v>
      </c>
      <c r="L980" s="16" t="s">
        <v>3192</v>
      </c>
      <c r="M980" s="16" t="s">
        <v>3190</v>
      </c>
      <c r="N980" s="16">
        <v>856</v>
      </c>
      <c r="O980" s="16" t="s">
        <v>3193</v>
      </c>
    </row>
    <row r="981" spans="1:15" ht="15.75" customHeight="1" x14ac:dyDescent="0.25">
      <c r="A981" s="16" t="s">
        <v>30</v>
      </c>
      <c r="B981" s="16">
        <v>942800</v>
      </c>
      <c r="C981" s="16">
        <v>943540</v>
      </c>
      <c r="E981" s="16" t="s">
        <v>57</v>
      </c>
      <c r="F981" s="16" t="s">
        <v>3194</v>
      </c>
      <c r="G981" s="16" t="s">
        <v>3195</v>
      </c>
      <c r="I981" s="16" t="s">
        <v>50</v>
      </c>
      <c r="L981" s="16" t="s">
        <v>3196</v>
      </c>
      <c r="M981" s="16" t="s">
        <v>3194</v>
      </c>
      <c r="N981" s="16">
        <v>246</v>
      </c>
      <c r="O981" s="16" t="s">
        <v>3197</v>
      </c>
    </row>
    <row r="982" spans="1:15" ht="15.75" customHeight="1" x14ac:dyDescent="0.25">
      <c r="A982" s="16" t="s">
        <v>30</v>
      </c>
      <c r="B982" s="16">
        <v>943596</v>
      </c>
      <c r="C982" s="16">
        <v>945944</v>
      </c>
      <c r="E982" s="16" t="s">
        <v>57</v>
      </c>
      <c r="F982" s="16" t="s">
        <v>3198</v>
      </c>
      <c r="G982" s="16" t="s">
        <v>3199</v>
      </c>
      <c r="I982" s="16" t="s">
        <v>50</v>
      </c>
      <c r="L982" s="16" t="s">
        <v>3200</v>
      </c>
      <c r="M982" s="16" t="s">
        <v>3198</v>
      </c>
      <c r="N982" s="16">
        <v>782</v>
      </c>
      <c r="O982" s="16" t="s">
        <v>3201</v>
      </c>
    </row>
    <row r="983" spans="1:15" ht="15.75" customHeight="1" x14ac:dyDescent="0.25">
      <c r="A983" s="16" t="s">
        <v>30</v>
      </c>
      <c r="B983" s="16">
        <v>946136</v>
      </c>
      <c r="C983" s="16">
        <v>946843</v>
      </c>
      <c r="E983" s="16" t="s">
        <v>57</v>
      </c>
      <c r="F983" s="16" t="s">
        <v>3202</v>
      </c>
      <c r="I983" s="16" t="s">
        <v>50</v>
      </c>
      <c r="L983" s="16" t="s">
        <v>3203</v>
      </c>
      <c r="M983" s="16" t="s">
        <v>3202</v>
      </c>
      <c r="N983" s="16">
        <v>235</v>
      </c>
      <c r="O983" s="16" t="s">
        <v>3204</v>
      </c>
    </row>
    <row r="984" spans="1:15" ht="15.75" customHeight="1" x14ac:dyDescent="0.25">
      <c r="A984" s="16" t="s">
        <v>30</v>
      </c>
      <c r="B984" s="16">
        <v>947036</v>
      </c>
      <c r="C984" s="16">
        <v>947668</v>
      </c>
      <c r="E984" s="16" t="s">
        <v>48</v>
      </c>
      <c r="F984" s="16" t="s">
        <v>3205</v>
      </c>
      <c r="G984" s="16" t="s">
        <v>3206</v>
      </c>
      <c r="I984" s="16" t="s">
        <v>50</v>
      </c>
      <c r="L984" s="16" t="s">
        <v>3207</v>
      </c>
      <c r="M984" s="16" t="s">
        <v>3205</v>
      </c>
      <c r="N984" s="16">
        <v>210</v>
      </c>
      <c r="O984" s="16" t="s">
        <v>3208</v>
      </c>
    </row>
    <row r="985" spans="1:15" ht="15.75" customHeight="1" x14ac:dyDescent="0.25">
      <c r="A985" s="16" t="s">
        <v>30</v>
      </c>
      <c r="B985" s="16">
        <v>947755</v>
      </c>
      <c r="C985" s="16">
        <v>949605</v>
      </c>
      <c r="E985" s="16" t="s">
        <v>57</v>
      </c>
      <c r="F985" s="16" t="s">
        <v>3209</v>
      </c>
      <c r="G985" s="16" t="s">
        <v>3210</v>
      </c>
      <c r="I985" s="16" t="s">
        <v>50</v>
      </c>
      <c r="L985" s="16" t="s">
        <v>3211</v>
      </c>
      <c r="M985" s="16" t="s">
        <v>3209</v>
      </c>
      <c r="N985" s="16">
        <v>616</v>
      </c>
      <c r="O985" s="16" t="s">
        <v>3212</v>
      </c>
    </row>
    <row r="986" spans="1:15" ht="15.75" customHeight="1" x14ac:dyDescent="0.25">
      <c r="A986" s="16" t="s">
        <v>30</v>
      </c>
      <c r="B986" s="16">
        <v>949737</v>
      </c>
      <c r="C986" s="16">
        <v>950636</v>
      </c>
      <c r="E986" s="16" t="s">
        <v>57</v>
      </c>
      <c r="F986" s="16" t="s">
        <v>1240</v>
      </c>
      <c r="I986" s="16" t="s">
        <v>50</v>
      </c>
      <c r="L986" s="16" t="s">
        <v>3213</v>
      </c>
      <c r="M986" s="16" t="s">
        <v>1240</v>
      </c>
      <c r="N986" s="16">
        <v>299</v>
      </c>
      <c r="O986" s="16" t="s">
        <v>3214</v>
      </c>
    </row>
    <row r="987" spans="1:15" ht="15.75" customHeight="1" x14ac:dyDescent="0.25">
      <c r="A987" s="16" t="s">
        <v>30</v>
      </c>
      <c r="B987" s="16">
        <v>950588</v>
      </c>
      <c r="C987" s="16">
        <v>950743</v>
      </c>
      <c r="E987" s="16" t="s">
        <v>57</v>
      </c>
      <c r="F987" s="16" t="s">
        <v>135</v>
      </c>
      <c r="I987" s="16" t="s">
        <v>50</v>
      </c>
      <c r="L987" s="16" t="s">
        <v>3215</v>
      </c>
      <c r="M987" s="16" t="s">
        <v>135</v>
      </c>
      <c r="N987" s="16">
        <v>51</v>
      </c>
      <c r="O987" s="16" t="s">
        <v>3216</v>
      </c>
    </row>
    <row r="988" spans="1:15" ht="15.75" customHeight="1" x14ac:dyDescent="0.25">
      <c r="A988" s="16" t="s">
        <v>30</v>
      </c>
      <c r="B988" s="16">
        <v>950904</v>
      </c>
      <c r="C988" s="16">
        <v>952316</v>
      </c>
      <c r="E988" s="16" t="s">
        <v>48</v>
      </c>
      <c r="F988" s="16" t="s">
        <v>3217</v>
      </c>
      <c r="G988" s="16" t="s">
        <v>3218</v>
      </c>
      <c r="I988" s="16" t="s">
        <v>50</v>
      </c>
      <c r="L988" s="16" t="s">
        <v>3219</v>
      </c>
      <c r="M988" s="16" t="s">
        <v>3217</v>
      </c>
      <c r="N988" s="16">
        <v>470</v>
      </c>
      <c r="O988" s="16" t="s">
        <v>3220</v>
      </c>
    </row>
    <row r="989" spans="1:15" ht="15.75" customHeight="1" x14ac:dyDescent="0.25">
      <c r="A989" s="16" t="s">
        <v>30</v>
      </c>
      <c r="B989" s="16">
        <v>952403</v>
      </c>
      <c r="C989" s="16">
        <v>953446</v>
      </c>
      <c r="E989" s="16" t="s">
        <v>48</v>
      </c>
      <c r="F989" s="16" t="s">
        <v>3221</v>
      </c>
      <c r="G989" s="16" t="s">
        <v>3222</v>
      </c>
      <c r="I989" s="16" t="s">
        <v>50</v>
      </c>
      <c r="L989" s="16" t="s">
        <v>3223</v>
      </c>
      <c r="M989" s="16" t="s">
        <v>3221</v>
      </c>
      <c r="N989" s="16">
        <v>347</v>
      </c>
      <c r="O989" s="16" t="s">
        <v>3224</v>
      </c>
    </row>
    <row r="990" spans="1:15" ht="15.75" customHeight="1" x14ac:dyDescent="0.25">
      <c r="A990" s="16" t="s">
        <v>30</v>
      </c>
      <c r="B990" s="16">
        <v>953523</v>
      </c>
      <c r="C990" s="16">
        <v>954827</v>
      </c>
      <c r="E990" s="16" t="s">
        <v>48</v>
      </c>
      <c r="F990" s="16" t="s">
        <v>3225</v>
      </c>
      <c r="G990" s="16" t="s">
        <v>3226</v>
      </c>
      <c r="I990" s="16" t="s">
        <v>50</v>
      </c>
      <c r="L990" s="16" t="s">
        <v>3227</v>
      </c>
      <c r="M990" s="16" t="s">
        <v>3225</v>
      </c>
      <c r="N990" s="16">
        <v>434</v>
      </c>
      <c r="O990" s="16" t="s">
        <v>3228</v>
      </c>
    </row>
    <row r="991" spans="1:15" ht="15.75" customHeight="1" x14ac:dyDescent="0.25">
      <c r="A991" s="16" t="s">
        <v>30</v>
      </c>
      <c r="B991" s="16">
        <v>954837</v>
      </c>
      <c r="C991" s="16">
        <v>955259</v>
      </c>
      <c r="E991" s="16" t="s">
        <v>48</v>
      </c>
      <c r="F991" s="16" t="s">
        <v>3229</v>
      </c>
      <c r="G991" s="16" t="s">
        <v>3230</v>
      </c>
      <c r="I991" s="16" t="s">
        <v>50</v>
      </c>
      <c r="L991" s="16" t="s">
        <v>3231</v>
      </c>
      <c r="M991" s="16" t="s">
        <v>3229</v>
      </c>
      <c r="N991" s="16">
        <v>140</v>
      </c>
      <c r="O991" s="16" t="s">
        <v>3232</v>
      </c>
    </row>
    <row r="992" spans="1:15" ht="15.75" customHeight="1" x14ac:dyDescent="0.25">
      <c r="A992" s="16" t="s">
        <v>30</v>
      </c>
      <c r="B992" s="16">
        <v>955329</v>
      </c>
      <c r="C992" s="16">
        <v>956501</v>
      </c>
      <c r="E992" s="16" t="s">
        <v>57</v>
      </c>
      <c r="F992" s="16" t="s">
        <v>3233</v>
      </c>
      <c r="G992" s="16" t="s">
        <v>3234</v>
      </c>
      <c r="I992" s="16" t="s">
        <v>50</v>
      </c>
      <c r="L992" s="16" t="s">
        <v>3235</v>
      </c>
      <c r="M992" s="16" t="s">
        <v>3233</v>
      </c>
      <c r="N992" s="16">
        <v>390</v>
      </c>
      <c r="O992" s="16" t="s">
        <v>3236</v>
      </c>
    </row>
    <row r="993" spans="1:15" ht="15.75" customHeight="1" x14ac:dyDescent="0.25">
      <c r="A993" s="16" t="s">
        <v>30</v>
      </c>
      <c r="B993" s="16">
        <v>956529</v>
      </c>
      <c r="C993" s="16">
        <v>957449</v>
      </c>
      <c r="E993" s="16" t="s">
        <v>57</v>
      </c>
      <c r="F993" s="16" t="s">
        <v>3237</v>
      </c>
      <c r="I993" s="16" t="s">
        <v>50</v>
      </c>
      <c r="L993" s="16" t="s">
        <v>3238</v>
      </c>
      <c r="M993" s="16" t="s">
        <v>3237</v>
      </c>
      <c r="N993" s="16">
        <v>306</v>
      </c>
      <c r="O993" s="16" t="s">
        <v>3239</v>
      </c>
    </row>
    <row r="994" spans="1:15" ht="15.75" customHeight="1" x14ac:dyDescent="0.25">
      <c r="A994" s="16" t="s">
        <v>30</v>
      </c>
      <c r="B994" s="16">
        <v>957531</v>
      </c>
      <c r="C994" s="16">
        <v>957788</v>
      </c>
      <c r="E994" s="16" t="s">
        <v>57</v>
      </c>
      <c r="F994" s="16" t="s">
        <v>3240</v>
      </c>
      <c r="G994" s="16" t="s">
        <v>3241</v>
      </c>
      <c r="I994" s="16" t="s">
        <v>50</v>
      </c>
      <c r="L994" s="16" t="s">
        <v>3242</v>
      </c>
      <c r="M994" s="16" t="s">
        <v>3240</v>
      </c>
      <c r="N994" s="16">
        <v>85</v>
      </c>
      <c r="O994" s="16" t="s">
        <v>3243</v>
      </c>
    </row>
    <row r="995" spans="1:15" ht="15.75" customHeight="1" x14ac:dyDescent="0.25">
      <c r="A995" s="16" t="s">
        <v>30</v>
      </c>
      <c r="B995" s="16">
        <v>957809</v>
      </c>
      <c r="C995" s="16">
        <v>958120</v>
      </c>
      <c r="E995" s="16" t="s">
        <v>57</v>
      </c>
      <c r="F995" s="16" t="s">
        <v>3244</v>
      </c>
      <c r="G995" s="16" t="s">
        <v>3245</v>
      </c>
      <c r="I995" s="16" t="s">
        <v>50</v>
      </c>
      <c r="L995" s="16" t="s">
        <v>3246</v>
      </c>
      <c r="M995" s="16" t="s">
        <v>3244</v>
      </c>
      <c r="N995" s="16">
        <v>103</v>
      </c>
      <c r="O995" s="16" t="s">
        <v>3247</v>
      </c>
    </row>
    <row r="996" spans="1:15" ht="15.75" customHeight="1" x14ac:dyDescent="0.25">
      <c r="A996" s="16" t="s">
        <v>30</v>
      </c>
      <c r="B996" s="16">
        <v>958333</v>
      </c>
      <c r="C996" s="16">
        <v>959322</v>
      </c>
      <c r="E996" s="16" t="s">
        <v>48</v>
      </c>
      <c r="F996" s="16" t="s">
        <v>3248</v>
      </c>
      <c r="G996" s="16" t="s">
        <v>3249</v>
      </c>
      <c r="I996" s="16" t="s">
        <v>50</v>
      </c>
      <c r="L996" s="16" t="s">
        <v>3250</v>
      </c>
      <c r="M996" s="16" t="s">
        <v>3248</v>
      </c>
      <c r="N996" s="16">
        <v>329</v>
      </c>
      <c r="O996" s="16" t="s">
        <v>3251</v>
      </c>
    </row>
    <row r="997" spans="1:15" ht="15.75" customHeight="1" x14ac:dyDescent="0.25">
      <c r="A997" s="16" t="s">
        <v>30</v>
      </c>
      <c r="B997" s="16">
        <v>959373</v>
      </c>
      <c r="C997" s="16">
        <v>960110</v>
      </c>
      <c r="E997" s="16" t="s">
        <v>48</v>
      </c>
      <c r="F997" s="16" t="s">
        <v>3252</v>
      </c>
      <c r="I997" s="16" t="s">
        <v>50</v>
      </c>
      <c r="L997" s="16" t="s">
        <v>3253</v>
      </c>
      <c r="M997" s="16" t="s">
        <v>3252</v>
      </c>
      <c r="N997" s="16">
        <v>245</v>
      </c>
      <c r="O997" s="16" t="s">
        <v>3254</v>
      </c>
    </row>
    <row r="998" spans="1:15" ht="15.75" customHeight="1" x14ac:dyDescent="0.25">
      <c r="A998" s="16" t="s">
        <v>30</v>
      </c>
      <c r="B998" s="16">
        <v>960169</v>
      </c>
      <c r="C998" s="16">
        <v>961539</v>
      </c>
      <c r="E998" s="16" t="s">
        <v>57</v>
      </c>
      <c r="F998" s="16" t="s">
        <v>631</v>
      </c>
      <c r="I998" s="16" t="s">
        <v>50</v>
      </c>
      <c r="L998" s="16" t="s">
        <v>3255</v>
      </c>
      <c r="M998" s="16" t="s">
        <v>631</v>
      </c>
      <c r="N998" s="16">
        <v>456</v>
      </c>
      <c r="O998" s="16" t="s">
        <v>3256</v>
      </c>
    </row>
    <row r="999" spans="1:15" ht="15.75" customHeight="1" x14ac:dyDescent="0.25">
      <c r="A999" s="16" t="s">
        <v>30</v>
      </c>
      <c r="B999" s="16">
        <v>961938</v>
      </c>
      <c r="C999" s="16">
        <v>962648</v>
      </c>
      <c r="E999" s="16" t="s">
        <v>57</v>
      </c>
      <c r="F999" s="16" t="s">
        <v>3257</v>
      </c>
      <c r="G999" s="16" t="s">
        <v>3258</v>
      </c>
      <c r="I999" s="16" t="s">
        <v>50</v>
      </c>
      <c r="L999" s="16" t="s">
        <v>3259</v>
      </c>
      <c r="M999" s="16" t="s">
        <v>3257</v>
      </c>
      <c r="N999" s="16">
        <v>236</v>
      </c>
      <c r="O999" s="16" t="s">
        <v>3260</v>
      </c>
    </row>
    <row r="1000" spans="1:15" ht="15.75" customHeight="1" x14ac:dyDescent="0.25">
      <c r="A1000" s="16" t="s">
        <v>30</v>
      </c>
      <c r="B1000" s="16">
        <v>962840</v>
      </c>
      <c r="C1000" s="16">
        <v>964579</v>
      </c>
      <c r="E1000" s="16" t="s">
        <v>48</v>
      </c>
      <c r="F1000" s="16" t="s">
        <v>3261</v>
      </c>
      <c r="I1000" s="16" t="s">
        <v>50</v>
      </c>
      <c r="L1000" s="16" t="s">
        <v>3262</v>
      </c>
      <c r="M1000" s="16" t="s">
        <v>3261</v>
      </c>
      <c r="N1000" s="16">
        <v>579</v>
      </c>
      <c r="O1000" s="16" t="s">
        <v>3263</v>
      </c>
    </row>
    <row r="1001" spans="1:15" ht="15.75" customHeight="1" x14ac:dyDescent="0.25">
      <c r="A1001" s="16" t="s">
        <v>30</v>
      </c>
      <c r="B1001" s="16">
        <v>964691</v>
      </c>
      <c r="C1001" s="16">
        <v>965095</v>
      </c>
      <c r="E1001" s="16" t="s">
        <v>48</v>
      </c>
      <c r="F1001" s="16" t="s">
        <v>3264</v>
      </c>
      <c r="I1001" s="16" t="s">
        <v>50</v>
      </c>
      <c r="L1001" s="16" t="s">
        <v>3265</v>
      </c>
      <c r="M1001" s="16" t="s">
        <v>3264</v>
      </c>
      <c r="N1001" s="16">
        <v>134</v>
      </c>
      <c r="O1001" s="16" t="s">
        <v>3266</v>
      </c>
    </row>
    <row r="1002" spans="1:15" ht="15.75" customHeight="1" x14ac:dyDescent="0.25">
      <c r="A1002" s="16" t="s">
        <v>30</v>
      </c>
      <c r="B1002" s="16">
        <v>965283</v>
      </c>
      <c r="C1002" s="16">
        <v>966881</v>
      </c>
      <c r="E1002" s="16" t="s">
        <v>48</v>
      </c>
      <c r="F1002" s="16" t="s">
        <v>3267</v>
      </c>
      <c r="G1002" s="16" t="s">
        <v>3268</v>
      </c>
      <c r="I1002" s="16" t="s">
        <v>50</v>
      </c>
      <c r="L1002" s="16" t="s">
        <v>3269</v>
      </c>
      <c r="M1002" s="16" t="s">
        <v>3267</v>
      </c>
      <c r="N1002" s="16">
        <v>532</v>
      </c>
      <c r="O1002" s="16" t="s">
        <v>3270</v>
      </c>
    </row>
    <row r="1003" spans="1:15" ht="15.75" customHeight="1" x14ac:dyDescent="0.25">
      <c r="A1003" s="16" t="s">
        <v>30</v>
      </c>
      <c r="B1003" s="16">
        <v>966977</v>
      </c>
      <c r="C1003" s="16">
        <v>968266</v>
      </c>
      <c r="E1003" s="16" t="s">
        <v>48</v>
      </c>
      <c r="F1003" s="16" t="s">
        <v>3271</v>
      </c>
      <c r="G1003" s="16" t="s">
        <v>3272</v>
      </c>
      <c r="I1003" s="16" t="s">
        <v>50</v>
      </c>
      <c r="L1003" s="16" t="s">
        <v>3273</v>
      </c>
      <c r="M1003" s="16" t="s">
        <v>3271</v>
      </c>
      <c r="N1003" s="16">
        <v>429</v>
      </c>
      <c r="O1003" s="16" t="s">
        <v>3274</v>
      </c>
    </row>
    <row r="1004" spans="1:15" ht="15.75" customHeight="1" x14ac:dyDescent="0.25">
      <c r="A1004" s="16" t="s">
        <v>30</v>
      </c>
      <c r="B1004" s="16">
        <v>968422</v>
      </c>
      <c r="C1004" s="16">
        <v>969993</v>
      </c>
      <c r="E1004" s="16" t="s">
        <v>48</v>
      </c>
      <c r="F1004" s="16" t="s">
        <v>3275</v>
      </c>
      <c r="I1004" s="16" t="s">
        <v>50</v>
      </c>
      <c r="L1004" s="16" t="s">
        <v>3276</v>
      </c>
      <c r="M1004" s="16" t="s">
        <v>3275</v>
      </c>
      <c r="N1004" s="16">
        <v>523</v>
      </c>
      <c r="O1004" s="16" t="s">
        <v>3277</v>
      </c>
    </row>
    <row r="1005" spans="1:15" ht="15.75" customHeight="1" x14ac:dyDescent="0.25">
      <c r="A1005" s="16" t="s">
        <v>30</v>
      </c>
      <c r="B1005" s="16">
        <v>970116</v>
      </c>
      <c r="C1005" s="16">
        <v>971381</v>
      </c>
      <c r="E1005" s="16" t="s">
        <v>48</v>
      </c>
      <c r="F1005" s="16" t="s">
        <v>3278</v>
      </c>
      <c r="I1005" s="16" t="s">
        <v>50</v>
      </c>
      <c r="L1005" s="16" t="s">
        <v>3279</v>
      </c>
      <c r="M1005" s="16" t="s">
        <v>3278</v>
      </c>
      <c r="N1005" s="16">
        <v>421</v>
      </c>
      <c r="O1005" s="16" t="s">
        <v>3280</v>
      </c>
    </row>
    <row r="1006" spans="1:15" ht="15.75" customHeight="1" x14ac:dyDescent="0.25">
      <c r="A1006" s="16" t="s">
        <v>30</v>
      </c>
      <c r="B1006" s="16">
        <v>971452</v>
      </c>
      <c r="C1006" s="16">
        <v>972072</v>
      </c>
      <c r="E1006" s="16" t="s">
        <v>48</v>
      </c>
      <c r="F1006" s="16" t="s">
        <v>3281</v>
      </c>
      <c r="G1006" s="16" t="s">
        <v>3282</v>
      </c>
      <c r="I1006" s="16" t="s">
        <v>50</v>
      </c>
      <c r="L1006" s="16" t="s">
        <v>3283</v>
      </c>
      <c r="M1006" s="16" t="s">
        <v>3281</v>
      </c>
      <c r="N1006" s="16">
        <v>206</v>
      </c>
      <c r="O1006" s="16" t="s">
        <v>3284</v>
      </c>
    </row>
    <row r="1007" spans="1:15" ht="15.75" customHeight="1" x14ac:dyDescent="0.25">
      <c r="A1007" s="16" t="s">
        <v>30</v>
      </c>
      <c r="B1007" s="16">
        <v>972065</v>
      </c>
      <c r="C1007" s="16">
        <v>972271</v>
      </c>
      <c r="E1007" s="16" t="s">
        <v>48</v>
      </c>
      <c r="F1007" s="16" t="s">
        <v>3285</v>
      </c>
      <c r="G1007" s="16" t="s">
        <v>3286</v>
      </c>
      <c r="I1007" s="16" t="s">
        <v>50</v>
      </c>
      <c r="L1007" s="16" t="s">
        <v>3287</v>
      </c>
      <c r="M1007" s="16" t="s">
        <v>3285</v>
      </c>
      <c r="N1007" s="16">
        <v>68</v>
      </c>
      <c r="O1007" s="16" t="s">
        <v>3288</v>
      </c>
    </row>
    <row r="1008" spans="1:15" ht="15.75" customHeight="1" x14ac:dyDescent="0.25">
      <c r="A1008" s="16" t="s">
        <v>30</v>
      </c>
      <c r="B1008" s="16">
        <v>972389</v>
      </c>
      <c r="C1008" s="16">
        <v>973636</v>
      </c>
      <c r="E1008" s="16" t="s">
        <v>48</v>
      </c>
      <c r="F1008" s="16" t="s">
        <v>3289</v>
      </c>
      <c r="G1008" s="16" t="s">
        <v>3290</v>
      </c>
      <c r="I1008" s="16" t="s">
        <v>50</v>
      </c>
      <c r="L1008" s="16" t="s">
        <v>3291</v>
      </c>
      <c r="M1008" s="16" t="s">
        <v>3289</v>
      </c>
      <c r="N1008" s="16">
        <v>415</v>
      </c>
      <c r="O1008" s="16" t="s">
        <v>3292</v>
      </c>
    </row>
    <row r="1009" spans="1:15" ht="15.75" customHeight="1" x14ac:dyDescent="0.25">
      <c r="A1009" s="16" t="s">
        <v>30</v>
      </c>
      <c r="B1009" s="16">
        <v>973885</v>
      </c>
      <c r="C1009" s="16">
        <v>974448</v>
      </c>
      <c r="E1009" s="16" t="s">
        <v>48</v>
      </c>
      <c r="F1009" s="16" t="s">
        <v>3293</v>
      </c>
      <c r="I1009" s="16" t="s">
        <v>50</v>
      </c>
      <c r="L1009" s="16" t="s">
        <v>3294</v>
      </c>
      <c r="M1009" s="16" t="s">
        <v>3293</v>
      </c>
      <c r="N1009" s="16">
        <v>187</v>
      </c>
      <c r="O1009" s="16" t="s">
        <v>3295</v>
      </c>
    </row>
    <row r="1010" spans="1:15" ht="15.75" customHeight="1" x14ac:dyDescent="0.25">
      <c r="A1010" s="16" t="s">
        <v>30</v>
      </c>
      <c r="B1010" s="16">
        <v>974480</v>
      </c>
      <c r="C1010" s="16">
        <v>975676</v>
      </c>
      <c r="E1010" s="16" t="s">
        <v>48</v>
      </c>
      <c r="F1010" s="16" t="s">
        <v>3296</v>
      </c>
      <c r="I1010" s="16" t="s">
        <v>50</v>
      </c>
      <c r="L1010" s="16" t="s">
        <v>3297</v>
      </c>
      <c r="M1010" s="16" t="s">
        <v>3296</v>
      </c>
      <c r="N1010" s="16">
        <v>398</v>
      </c>
      <c r="O1010" s="16" t="s">
        <v>3298</v>
      </c>
    </row>
    <row r="1011" spans="1:15" ht="15.75" customHeight="1" x14ac:dyDescent="0.25">
      <c r="A1011" s="16" t="s">
        <v>30</v>
      </c>
      <c r="B1011" s="16">
        <v>975694</v>
      </c>
      <c r="C1011" s="16">
        <v>978774</v>
      </c>
      <c r="E1011" s="16" t="s">
        <v>48</v>
      </c>
      <c r="F1011" s="16" t="s">
        <v>3299</v>
      </c>
      <c r="I1011" s="16" t="s">
        <v>50</v>
      </c>
      <c r="L1011" s="16" t="s">
        <v>3300</v>
      </c>
      <c r="M1011" s="16" t="s">
        <v>3299</v>
      </c>
      <c r="N1011" s="16">
        <v>1026</v>
      </c>
      <c r="O1011" s="16" t="s">
        <v>3301</v>
      </c>
    </row>
    <row r="1012" spans="1:15" ht="15.75" customHeight="1" x14ac:dyDescent="0.25">
      <c r="A1012" s="16" t="s">
        <v>30</v>
      </c>
      <c r="B1012" s="16">
        <v>979009</v>
      </c>
      <c r="C1012" s="16">
        <v>979779</v>
      </c>
      <c r="E1012" s="16" t="s">
        <v>48</v>
      </c>
      <c r="F1012" s="16" t="s">
        <v>3302</v>
      </c>
      <c r="G1012" s="16" t="s">
        <v>3303</v>
      </c>
      <c r="I1012" s="16" t="s">
        <v>50</v>
      </c>
      <c r="L1012" s="16" t="s">
        <v>3304</v>
      </c>
      <c r="M1012" s="16" t="s">
        <v>3302</v>
      </c>
      <c r="N1012" s="16">
        <v>256</v>
      </c>
      <c r="O1012" s="16" t="s">
        <v>3305</v>
      </c>
    </row>
    <row r="1013" spans="1:15" ht="15.75" customHeight="1" x14ac:dyDescent="0.25">
      <c r="A1013" s="16" t="s">
        <v>30</v>
      </c>
      <c r="B1013" s="16">
        <v>979792</v>
      </c>
      <c r="C1013" s="16">
        <v>981324</v>
      </c>
      <c r="E1013" s="16" t="s">
        <v>57</v>
      </c>
      <c r="F1013" s="16" t="s">
        <v>3306</v>
      </c>
      <c r="I1013" s="16" t="s">
        <v>50</v>
      </c>
      <c r="L1013" s="16" t="s">
        <v>3307</v>
      </c>
      <c r="M1013" s="16" t="s">
        <v>3306</v>
      </c>
      <c r="N1013" s="16">
        <v>510</v>
      </c>
      <c r="O1013" s="16" t="s">
        <v>3308</v>
      </c>
    </row>
    <row r="1014" spans="1:15" ht="15.75" customHeight="1" x14ac:dyDescent="0.25">
      <c r="A1014" s="16" t="s">
        <v>30</v>
      </c>
      <c r="B1014" s="16">
        <v>981334</v>
      </c>
      <c r="C1014" s="16">
        <v>982506</v>
      </c>
      <c r="E1014" s="16" t="s">
        <v>57</v>
      </c>
      <c r="F1014" s="16" t="s">
        <v>3309</v>
      </c>
      <c r="I1014" s="16" t="s">
        <v>50</v>
      </c>
      <c r="L1014" s="16" t="s">
        <v>3310</v>
      </c>
      <c r="M1014" s="16" t="s">
        <v>3309</v>
      </c>
      <c r="N1014" s="16">
        <v>390</v>
      </c>
      <c r="O1014" s="16" t="s">
        <v>3311</v>
      </c>
    </row>
    <row r="1015" spans="1:15" ht="15.75" customHeight="1" x14ac:dyDescent="0.25">
      <c r="A1015" s="16" t="s">
        <v>30</v>
      </c>
      <c r="B1015" s="16">
        <v>982679</v>
      </c>
      <c r="C1015" s="16">
        <v>983161</v>
      </c>
      <c r="E1015" s="16" t="s">
        <v>57</v>
      </c>
      <c r="F1015" s="16" t="s">
        <v>3312</v>
      </c>
      <c r="G1015" s="16" t="s">
        <v>3313</v>
      </c>
      <c r="I1015" s="16" t="s">
        <v>50</v>
      </c>
      <c r="L1015" s="16" t="s">
        <v>3314</v>
      </c>
      <c r="M1015" s="16" t="s">
        <v>3312</v>
      </c>
      <c r="N1015" s="16">
        <v>160</v>
      </c>
      <c r="O1015" s="16" t="s">
        <v>3315</v>
      </c>
    </row>
    <row r="1016" spans="1:15" ht="15.75" customHeight="1" x14ac:dyDescent="0.25">
      <c r="A1016" s="16" t="s">
        <v>30</v>
      </c>
      <c r="B1016" s="16">
        <v>983262</v>
      </c>
      <c r="C1016" s="16">
        <v>984368</v>
      </c>
      <c r="E1016" s="16" t="s">
        <v>48</v>
      </c>
      <c r="F1016" s="16" t="s">
        <v>3316</v>
      </c>
      <c r="G1016" s="16" t="s">
        <v>3317</v>
      </c>
      <c r="I1016" s="16" t="s">
        <v>50</v>
      </c>
      <c r="L1016" s="16" t="s">
        <v>3318</v>
      </c>
      <c r="M1016" s="16" t="s">
        <v>3316</v>
      </c>
      <c r="N1016" s="16">
        <v>368</v>
      </c>
      <c r="O1016" s="16" t="s">
        <v>3319</v>
      </c>
    </row>
    <row r="1017" spans="1:15" ht="15.75" customHeight="1" x14ac:dyDescent="0.25">
      <c r="A1017" s="16" t="s">
        <v>30</v>
      </c>
      <c r="B1017" s="16">
        <v>984449</v>
      </c>
      <c r="C1017" s="16">
        <v>985039</v>
      </c>
      <c r="E1017" s="16" t="s">
        <v>48</v>
      </c>
      <c r="F1017" s="16" t="s">
        <v>3320</v>
      </c>
      <c r="G1017" s="16" t="s">
        <v>3321</v>
      </c>
      <c r="I1017" s="16" t="s">
        <v>50</v>
      </c>
      <c r="L1017" s="16" t="s">
        <v>3322</v>
      </c>
      <c r="M1017" s="16" t="s">
        <v>3320</v>
      </c>
      <c r="N1017" s="16">
        <v>196</v>
      </c>
      <c r="O1017" s="16" t="s">
        <v>3323</v>
      </c>
    </row>
    <row r="1018" spans="1:15" ht="15.75" customHeight="1" x14ac:dyDescent="0.25">
      <c r="A1018" s="16" t="s">
        <v>30</v>
      </c>
      <c r="B1018" s="16">
        <v>985039</v>
      </c>
      <c r="C1018" s="16">
        <v>985833</v>
      </c>
      <c r="E1018" s="16" t="s">
        <v>48</v>
      </c>
      <c r="F1018" s="16" t="s">
        <v>3005</v>
      </c>
      <c r="I1018" s="16" t="s">
        <v>50</v>
      </c>
      <c r="L1018" s="16" t="s">
        <v>3324</v>
      </c>
      <c r="M1018" s="16" t="s">
        <v>3005</v>
      </c>
      <c r="N1018" s="16">
        <v>264</v>
      </c>
      <c r="O1018" s="16" t="s">
        <v>3325</v>
      </c>
    </row>
    <row r="1019" spans="1:15" ht="15.75" customHeight="1" x14ac:dyDescent="0.25">
      <c r="A1019" s="16" t="s">
        <v>30</v>
      </c>
      <c r="B1019" s="16">
        <v>985842</v>
      </c>
      <c r="C1019" s="16">
        <v>986648</v>
      </c>
      <c r="E1019" s="16" t="s">
        <v>48</v>
      </c>
      <c r="F1019" s="16" t="s">
        <v>3326</v>
      </c>
      <c r="G1019" s="16" t="s">
        <v>3327</v>
      </c>
      <c r="I1019" s="16" t="s">
        <v>50</v>
      </c>
      <c r="L1019" s="16" t="s">
        <v>3328</v>
      </c>
      <c r="M1019" s="16" t="s">
        <v>3326</v>
      </c>
      <c r="N1019" s="16">
        <v>268</v>
      </c>
      <c r="O1019" s="16" t="s">
        <v>3329</v>
      </c>
    </row>
    <row r="1020" spans="1:15" ht="15.75" customHeight="1" x14ac:dyDescent="0.25">
      <c r="A1020" s="16" t="s">
        <v>30</v>
      </c>
      <c r="B1020" s="16">
        <v>986658</v>
      </c>
      <c r="C1020" s="16">
        <v>987509</v>
      </c>
      <c r="E1020" s="16" t="s">
        <v>48</v>
      </c>
      <c r="F1020" s="16" t="s">
        <v>3330</v>
      </c>
      <c r="I1020" s="16" t="s">
        <v>50</v>
      </c>
      <c r="L1020" s="16" t="s">
        <v>3331</v>
      </c>
      <c r="M1020" s="16" t="s">
        <v>3330</v>
      </c>
      <c r="N1020" s="16">
        <v>283</v>
      </c>
      <c r="O1020" s="16" t="s">
        <v>3332</v>
      </c>
    </row>
    <row r="1021" spans="1:15" ht="15.75" customHeight="1" x14ac:dyDescent="0.25">
      <c r="A1021" s="16" t="s">
        <v>30</v>
      </c>
      <c r="B1021" s="16">
        <v>987509</v>
      </c>
      <c r="C1021" s="16">
        <v>988030</v>
      </c>
      <c r="E1021" s="16" t="s">
        <v>48</v>
      </c>
      <c r="F1021" s="16" t="s">
        <v>3333</v>
      </c>
      <c r="G1021" s="16" t="s">
        <v>3334</v>
      </c>
      <c r="I1021" s="16" t="s">
        <v>50</v>
      </c>
      <c r="L1021" s="16" t="s">
        <v>3335</v>
      </c>
      <c r="M1021" s="16" t="s">
        <v>3333</v>
      </c>
      <c r="N1021" s="16">
        <v>173</v>
      </c>
      <c r="O1021" s="16" t="s">
        <v>3336</v>
      </c>
    </row>
    <row r="1022" spans="1:15" ht="15.75" customHeight="1" x14ac:dyDescent="0.25">
      <c r="A1022" s="16" t="s">
        <v>30</v>
      </c>
      <c r="B1022" s="16">
        <v>988058</v>
      </c>
      <c r="C1022" s="16">
        <v>988372</v>
      </c>
      <c r="E1022" s="16" t="s">
        <v>57</v>
      </c>
      <c r="F1022" s="16" t="s">
        <v>3337</v>
      </c>
      <c r="I1022" s="16" t="s">
        <v>50</v>
      </c>
      <c r="L1022" s="16" t="s">
        <v>3338</v>
      </c>
      <c r="M1022" s="16" t="s">
        <v>3337</v>
      </c>
      <c r="N1022" s="16">
        <v>104</v>
      </c>
      <c r="O1022" s="16" t="s">
        <v>3339</v>
      </c>
    </row>
    <row r="1023" spans="1:15" ht="15.75" customHeight="1" x14ac:dyDescent="0.25">
      <c r="A1023" s="16" t="s">
        <v>30</v>
      </c>
      <c r="B1023" s="16">
        <v>988452</v>
      </c>
      <c r="C1023" s="16">
        <v>988754</v>
      </c>
      <c r="E1023" s="16" t="s">
        <v>48</v>
      </c>
      <c r="F1023" s="16" t="s">
        <v>3340</v>
      </c>
      <c r="G1023" s="16" t="s">
        <v>3341</v>
      </c>
      <c r="I1023" s="16" t="s">
        <v>50</v>
      </c>
      <c r="L1023" s="16" t="s">
        <v>3342</v>
      </c>
      <c r="M1023" s="16" t="s">
        <v>3340</v>
      </c>
      <c r="N1023" s="16">
        <v>100</v>
      </c>
      <c r="O1023" s="16" t="s">
        <v>3343</v>
      </c>
    </row>
    <row r="1024" spans="1:15" ht="15.75" customHeight="1" x14ac:dyDescent="0.25">
      <c r="A1024" s="16" t="s">
        <v>30</v>
      </c>
      <c r="B1024" s="16">
        <v>988879</v>
      </c>
      <c r="C1024" s="16">
        <v>991584</v>
      </c>
      <c r="E1024" s="16" t="s">
        <v>48</v>
      </c>
      <c r="F1024" s="16" t="s">
        <v>3344</v>
      </c>
      <c r="G1024" s="16" t="s">
        <v>3345</v>
      </c>
      <c r="I1024" s="16" t="s">
        <v>50</v>
      </c>
      <c r="L1024" s="16" t="s">
        <v>3346</v>
      </c>
      <c r="M1024" s="16" t="s">
        <v>3344</v>
      </c>
      <c r="N1024" s="16">
        <v>901</v>
      </c>
      <c r="O1024" s="16" t="s">
        <v>3347</v>
      </c>
    </row>
    <row r="1025" spans="1:15" ht="15.75" customHeight="1" x14ac:dyDescent="0.25">
      <c r="A1025" s="16" t="s">
        <v>30</v>
      </c>
      <c r="B1025" s="16">
        <v>991649</v>
      </c>
      <c r="C1025" s="16">
        <v>992059</v>
      </c>
      <c r="E1025" s="16" t="s">
        <v>48</v>
      </c>
      <c r="F1025" s="16" t="s">
        <v>3348</v>
      </c>
      <c r="G1025" s="16" t="s">
        <v>3349</v>
      </c>
      <c r="I1025" s="16" t="s">
        <v>50</v>
      </c>
      <c r="L1025" s="16" t="s">
        <v>3350</v>
      </c>
      <c r="M1025" s="16" t="s">
        <v>3348</v>
      </c>
      <c r="N1025" s="16">
        <v>136</v>
      </c>
      <c r="O1025" s="16" t="s">
        <v>3351</v>
      </c>
    </row>
    <row r="1026" spans="1:15" ht="15.75" customHeight="1" x14ac:dyDescent="0.25">
      <c r="A1026" s="16" t="s">
        <v>30</v>
      </c>
      <c r="B1026" s="16">
        <v>992168</v>
      </c>
      <c r="C1026" s="16">
        <v>994024</v>
      </c>
      <c r="E1026" s="16" t="s">
        <v>48</v>
      </c>
      <c r="F1026" s="16" t="s">
        <v>3352</v>
      </c>
      <c r="I1026" s="16" t="s">
        <v>50</v>
      </c>
      <c r="L1026" s="16" t="s">
        <v>3353</v>
      </c>
      <c r="M1026" s="16" t="s">
        <v>3352</v>
      </c>
      <c r="N1026" s="16">
        <v>618</v>
      </c>
      <c r="O1026" s="16" t="s">
        <v>3354</v>
      </c>
    </row>
    <row r="1027" spans="1:15" ht="15.75" customHeight="1" x14ac:dyDescent="0.25">
      <c r="A1027" s="16" t="s">
        <v>30</v>
      </c>
      <c r="B1027" s="16">
        <v>994125</v>
      </c>
      <c r="C1027" s="16">
        <v>994889</v>
      </c>
      <c r="E1027" s="16" t="s">
        <v>48</v>
      </c>
      <c r="F1027" s="16" t="s">
        <v>3355</v>
      </c>
      <c r="I1027" s="16" t="s">
        <v>50</v>
      </c>
      <c r="L1027" s="16" t="s">
        <v>3356</v>
      </c>
      <c r="M1027" s="16" t="s">
        <v>3355</v>
      </c>
      <c r="N1027" s="16">
        <v>254</v>
      </c>
      <c r="O1027" s="16" t="s">
        <v>3357</v>
      </c>
    </row>
    <row r="1028" spans="1:15" ht="15.75" customHeight="1" x14ac:dyDescent="0.25">
      <c r="A1028" s="16" t="s">
        <v>30</v>
      </c>
      <c r="B1028" s="16">
        <v>995067</v>
      </c>
      <c r="C1028" s="16">
        <v>995789</v>
      </c>
      <c r="E1028" s="16" t="s">
        <v>48</v>
      </c>
      <c r="F1028" s="16" t="s">
        <v>3358</v>
      </c>
      <c r="G1028" s="16" t="s">
        <v>3359</v>
      </c>
      <c r="I1028" s="16" t="s">
        <v>50</v>
      </c>
      <c r="L1028" s="16" t="s">
        <v>3360</v>
      </c>
      <c r="M1028" s="16" t="s">
        <v>3358</v>
      </c>
      <c r="N1028" s="16">
        <v>240</v>
      </c>
      <c r="O1028" s="16" t="s">
        <v>3361</v>
      </c>
    </row>
    <row r="1029" spans="1:15" ht="15.75" customHeight="1" x14ac:dyDescent="0.25">
      <c r="A1029" s="16" t="s">
        <v>30</v>
      </c>
      <c r="B1029" s="16">
        <v>995923</v>
      </c>
      <c r="C1029" s="16">
        <v>996774</v>
      </c>
      <c r="E1029" s="16" t="s">
        <v>48</v>
      </c>
      <c r="F1029" s="16" t="s">
        <v>3362</v>
      </c>
      <c r="G1029" s="16" t="s">
        <v>3363</v>
      </c>
      <c r="I1029" s="16" t="s">
        <v>50</v>
      </c>
      <c r="L1029" s="16" t="s">
        <v>3364</v>
      </c>
      <c r="M1029" s="16" t="s">
        <v>3362</v>
      </c>
      <c r="N1029" s="16">
        <v>283</v>
      </c>
      <c r="O1029" s="16" t="s">
        <v>3365</v>
      </c>
    </row>
    <row r="1030" spans="1:15" ht="15.75" customHeight="1" x14ac:dyDescent="0.25">
      <c r="A1030" s="16" t="s">
        <v>30</v>
      </c>
      <c r="B1030" s="16">
        <v>996930</v>
      </c>
      <c r="C1030" s="16">
        <v>997955</v>
      </c>
      <c r="E1030" s="16" t="s">
        <v>57</v>
      </c>
      <c r="F1030" s="16" t="s">
        <v>3366</v>
      </c>
      <c r="G1030" s="16" t="s">
        <v>3367</v>
      </c>
      <c r="I1030" s="16" t="s">
        <v>50</v>
      </c>
      <c r="L1030" s="16" t="s">
        <v>3368</v>
      </c>
      <c r="M1030" s="16" t="s">
        <v>3366</v>
      </c>
      <c r="N1030" s="16">
        <v>341</v>
      </c>
      <c r="O1030" s="16" t="s">
        <v>3369</v>
      </c>
    </row>
    <row r="1031" spans="1:15" ht="15.75" customHeight="1" x14ac:dyDescent="0.25">
      <c r="A1031" s="16" t="s">
        <v>30</v>
      </c>
      <c r="B1031" s="16">
        <v>997968</v>
      </c>
      <c r="C1031" s="16">
        <v>998561</v>
      </c>
      <c r="E1031" s="16" t="s">
        <v>57</v>
      </c>
      <c r="F1031" s="16" t="s">
        <v>3370</v>
      </c>
      <c r="I1031" s="16" t="s">
        <v>50</v>
      </c>
      <c r="L1031" s="16" t="s">
        <v>3371</v>
      </c>
      <c r="M1031" s="16" t="s">
        <v>3370</v>
      </c>
      <c r="N1031" s="16">
        <v>197</v>
      </c>
      <c r="O1031" s="16" t="s">
        <v>3372</v>
      </c>
    </row>
    <row r="1032" spans="1:15" ht="15.75" customHeight="1" x14ac:dyDescent="0.25">
      <c r="A1032" s="16" t="s">
        <v>30</v>
      </c>
      <c r="B1032" s="16">
        <v>998669</v>
      </c>
      <c r="C1032" s="16">
        <v>1001077</v>
      </c>
      <c r="E1032" s="16" t="s">
        <v>57</v>
      </c>
      <c r="F1032" s="16" t="s">
        <v>3373</v>
      </c>
      <c r="G1032" s="16" t="s">
        <v>3374</v>
      </c>
      <c r="I1032" s="16" t="s">
        <v>50</v>
      </c>
      <c r="L1032" s="16" t="s">
        <v>3375</v>
      </c>
      <c r="M1032" s="16" t="s">
        <v>3373</v>
      </c>
      <c r="N1032" s="16">
        <v>802</v>
      </c>
      <c r="O1032" s="16" t="s">
        <v>3376</v>
      </c>
    </row>
    <row r="1033" spans="1:15" ht="15.75" customHeight="1" x14ac:dyDescent="0.25">
      <c r="A1033" s="16" t="s">
        <v>30</v>
      </c>
      <c r="B1033" s="16">
        <v>1001097</v>
      </c>
      <c r="C1033" s="16">
        <v>1002428</v>
      </c>
      <c r="E1033" s="16" t="s">
        <v>57</v>
      </c>
      <c r="F1033" s="16" t="s">
        <v>3377</v>
      </c>
      <c r="G1033" s="16" t="s">
        <v>3378</v>
      </c>
      <c r="I1033" s="16" t="s">
        <v>50</v>
      </c>
      <c r="L1033" s="16" t="s">
        <v>3379</v>
      </c>
      <c r="M1033" s="16" t="s">
        <v>3377</v>
      </c>
      <c r="N1033" s="16">
        <v>443</v>
      </c>
      <c r="O1033" s="16" t="s">
        <v>3380</v>
      </c>
    </row>
    <row r="1034" spans="1:15" ht="15.75" customHeight="1" x14ac:dyDescent="0.25">
      <c r="A1034" s="16" t="s">
        <v>30</v>
      </c>
      <c r="B1034" s="16">
        <v>1002438</v>
      </c>
      <c r="C1034" s="16">
        <v>1003304</v>
      </c>
      <c r="E1034" s="16" t="s">
        <v>57</v>
      </c>
      <c r="F1034" s="16" t="s">
        <v>3381</v>
      </c>
      <c r="I1034" s="16" t="s">
        <v>50</v>
      </c>
      <c r="L1034" s="16" t="s">
        <v>3382</v>
      </c>
      <c r="M1034" s="16" t="s">
        <v>3381</v>
      </c>
      <c r="N1034" s="16">
        <v>288</v>
      </c>
      <c r="O1034" s="16" t="s">
        <v>3383</v>
      </c>
    </row>
    <row r="1035" spans="1:15" ht="15.75" customHeight="1" x14ac:dyDescent="0.25">
      <c r="A1035" s="16" t="s">
        <v>30</v>
      </c>
      <c r="B1035" s="16">
        <v>1003322</v>
      </c>
      <c r="C1035" s="16">
        <v>1004041</v>
      </c>
      <c r="E1035" s="16" t="s">
        <v>57</v>
      </c>
      <c r="F1035" s="16" t="s">
        <v>3384</v>
      </c>
      <c r="G1035" s="16" t="s">
        <v>3385</v>
      </c>
      <c r="I1035" s="16" t="s">
        <v>50</v>
      </c>
      <c r="L1035" s="16" t="s">
        <v>3386</v>
      </c>
      <c r="M1035" s="16" t="s">
        <v>3384</v>
      </c>
      <c r="N1035" s="16">
        <v>239</v>
      </c>
      <c r="O1035" s="16" t="s">
        <v>3387</v>
      </c>
    </row>
    <row r="1036" spans="1:15" ht="15.75" customHeight="1" x14ac:dyDescent="0.25">
      <c r="A1036" s="16" t="s">
        <v>30</v>
      </c>
      <c r="B1036" s="16">
        <v>1004290</v>
      </c>
      <c r="C1036" s="16">
        <v>1006875</v>
      </c>
      <c r="E1036" s="16" t="s">
        <v>48</v>
      </c>
      <c r="F1036" s="16" t="s">
        <v>3388</v>
      </c>
      <c r="G1036" s="16" t="s">
        <v>3389</v>
      </c>
      <c r="I1036" s="16" t="s">
        <v>50</v>
      </c>
      <c r="L1036" s="16" t="s">
        <v>3390</v>
      </c>
      <c r="M1036" s="16" t="s">
        <v>3388</v>
      </c>
      <c r="N1036" s="16">
        <v>861</v>
      </c>
      <c r="O1036" s="16" t="s">
        <v>3391</v>
      </c>
    </row>
    <row r="1037" spans="1:15" ht="15.75" customHeight="1" x14ac:dyDescent="0.25">
      <c r="A1037" s="16" t="s">
        <v>30</v>
      </c>
      <c r="B1037" s="16">
        <v>1006971</v>
      </c>
      <c r="C1037" s="16">
        <v>1007474</v>
      </c>
      <c r="E1037" s="16" t="s">
        <v>48</v>
      </c>
      <c r="F1037" s="16" t="s">
        <v>3392</v>
      </c>
      <c r="G1037" s="16" t="s">
        <v>3393</v>
      </c>
      <c r="I1037" s="16" t="s">
        <v>50</v>
      </c>
      <c r="L1037" s="16" t="s">
        <v>3394</v>
      </c>
      <c r="M1037" s="16" t="s">
        <v>3392</v>
      </c>
      <c r="N1037" s="16">
        <v>167</v>
      </c>
      <c r="O1037" s="16" t="s">
        <v>3395</v>
      </c>
    </row>
    <row r="1038" spans="1:15" ht="15.75" customHeight="1" x14ac:dyDescent="0.25">
      <c r="A1038" s="16" t="s">
        <v>30</v>
      </c>
      <c r="B1038" s="16">
        <v>1007474</v>
      </c>
      <c r="C1038" s="16">
        <v>1008508</v>
      </c>
      <c r="E1038" s="16" t="s">
        <v>48</v>
      </c>
      <c r="F1038" s="16" t="s">
        <v>3396</v>
      </c>
      <c r="G1038" s="16" t="s">
        <v>3397</v>
      </c>
      <c r="I1038" s="16" t="s">
        <v>50</v>
      </c>
      <c r="L1038" s="16" t="s">
        <v>3398</v>
      </c>
      <c r="M1038" s="16" t="s">
        <v>3396</v>
      </c>
      <c r="N1038" s="16">
        <v>344</v>
      </c>
      <c r="O1038" s="16" t="s">
        <v>3399</v>
      </c>
    </row>
    <row r="1039" spans="1:15" ht="15.75" customHeight="1" x14ac:dyDescent="0.25">
      <c r="A1039" s="16" t="s">
        <v>30</v>
      </c>
      <c r="B1039" s="16">
        <v>1008580</v>
      </c>
      <c r="C1039" s="16">
        <v>1008656</v>
      </c>
      <c r="E1039" s="16" t="s">
        <v>57</v>
      </c>
      <c r="F1039" s="16" t="s">
        <v>2612</v>
      </c>
      <c r="I1039" s="16" t="s">
        <v>290</v>
      </c>
      <c r="O1039" s="16" t="s">
        <v>3400</v>
      </c>
    </row>
    <row r="1040" spans="1:15" ht="15.75" customHeight="1" x14ac:dyDescent="0.25">
      <c r="A1040" s="16" t="s">
        <v>30</v>
      </c>
      <c r="B1040" s="16">
        <v>1008742</v>
      </c>
      <c r="C1040" s="16">
        <v>1010910</v>
      </c>
      <c r="E1040" s="16" t="s">
        <v>57</v>
      </c>
      <c r="F1040" s="16" t="s">
        <v>3401</v>
      </c>
      <c r="G1040" s="16" t="s">
        <v>3402</v>
      </c>
      <c r="I1040" s="16" t="s">
        <v>50</v>
      </c>
      <c r="L1040" s="16" t="s">
        <v>3403</v>
      </c>
      <c r="M1040" s="16" t="s">
        <v>3401</v>
      </c>
      <c r="N1040" s="16">
        <v>722</v>
      </c>
      <c r="O1040" s="16" t="s">
        <v>3404</v>
      </c>
    </row>
    <row r="1041" spans="1:15" ht="15.75" customHeight="1" x14ac:dyDescent="0.25">
      <c r="A1041" s="16" t="s">
        <v>30</v>
      </c>
      <c r="B1041" s="16">
        <v>1010956</v>
      </c>
      <c r="C1041" s="16">
        <v>1011372</v>
      </c>
      <c r="E1041" s="16" t="s">
        <v>57</v>
      </c>
      <c r="F1041" s="16" t="s">
        <v>135</v>
      </c>
      <c r="I1041" s="16" t="s">
        <v>50</v>
      </c>
      <c r="L1041" s="16" t="s">
        <v>3405</v>
      </c>
      <c r="M1041" s="16" t="s">
        <v>135</v>
      </c>
      <c r="N1041" s="16">
        <v>138</v>
      </c>
      <c r="O1041" s="16" t="s">
        <v>3406</v>
      </c>
    </row>
    <row r="1042" spans="1:15" ht="15.75" customHeight="1" x14ac:dyDescent="0.25">
      <c r="A1042" s="16" t="s">
        <v>30</v>
      </c>
      <c r="B1042" s="16">
        <v>1011512</v>
      </c>
      <c r="C1042" s="16">
        <v>1011877</v>
      </c>
      <c r="E1042" s="16" t="s">
        <v>57</v>
      </c>
      <c r="F1042" s="16" t="s">
        <v>3407</v>
      </c>
      <c r="I1042" s="16" t="s">
        <v>50</v>
      </c>
      <c r="L1042" s="16" t="s">
        <v>3408</v>
      </c>
      <c r="M1042" s="16" t="s">
        <v>3407</v>
      </c>
      <c r="N1042" s="16">
        <v>121</v>
      </c>
      <c r="O1042" s="16" t="s">
        <v>3409</v>
      </c>
    </row>
    <row r="1043" spans="1:15" ht="15.75" customHeight="1" x14ac:dyDescent="0.25">
      <c r="A1043" s="16" t="s">
        <v>30</v>
      </c>
      <c r="B1043" s="16">
        <v>1011907</v>
      </c>
      <c r="C1043" s="16">
        <v>1012167</v>
      </c>
      <c r="E1043" s="16" t="s">
        <v>57</v>
      </c>
      <c r="F1043" s="16" t="s">
        <v>135</v>
      </c>
      <c r="I1043" s="16" t="s">
        <v>50</v>
      </c>
      <c r="L1043" s="16" t="s">
        <v>3410</v>
      </c>
      <c r="M1043" s="16" t="s">
        <v>135</v>
      </c>
      <c r="N1043" s="16">
        <v>86</v>
      </c>
      <c r="O1043" s="16" t="s">
        <v>3411</v>
      </c>
    </row>
    <row r="1044" spans="1:15" ht="15.75" customHeight="1" x14ac:dyDescent="0.25">
      <c r="A1044" s="16" t="s">
        <v>30</v>
      </c>
      <c r="B1044" s="16">
        <v>1012226</v>
      </c>
      <c r="C1044" s="16">
        <v>1013134</v>
      </c>
      <c r="E1044" s="16" t="s">
        <v>57</v>
      </c>
      <c r="F1044" s="16" t="s">
        <v>3412</v>
      </c>
      <c r="G1044" s="16" t="s">
        <v>3413</v>
      </c>
      <c r="I1044" s="16" t="s">
        <v>50</v>
      </c>
      <c r="L1044" s="16" t="s">
        <v>3414</v>
      </c>
      <c r="M1044" s="16" t="s">
        <v>3412</v>
      </c>
      <c r="N1044" s="16">
        <v>302</v>
      </c>
      <c r="O1044" s="16" t="s">
        <v>3415</v>
      </c>
    </row>
    <row r="1045" spans="1:15" ht="15.75" customHeight="1" x14ac:dyDescent="0.25">
      <c r="A1045" s="16" t="s">
        <v>30</v>
      </c>
      <c r="B1045" s="16">
        <v>1013397</v>
      </c>
      <c r="C1045" s="16">
        <v>1014923</v>
      </c>
      <c r="E1045" s="16" t="s">
        <v>48</v>
      </c>
      <c r="F1045" s="16" t="s">
        <v>3416</v>
      </c>
      <c r="I1045" s="16" t="s">
        <v>50</v>
      </c>
      <c r="L1045" s="16" t="s">
        <v>3417</v>
      </c>
      <c r="M1045" s="16" t="s">
        <v>3416</v>
      </c>
      <c r="N1045" s="16">
        <v>508</v>
      </c>
      <c r="O1045" s="16" t="s">
        <v>3418</v>
      </c>
    </row>
    <row r="1046" spans="1:15" ht="15.75" customHeight="1" x14ac:dyDescent="0.25">
      <c r="A1046" s="16" t="s">
        <v>30</v>
      </c>
      <c r="B1046" s="16">
        <v>1015155</v>
      </c>
      <c r="C1046" s="16">
        <v>1016336</v>
      </c>
      <c r="E1046" s="16" t="s">
        <v>57</v>
      </c>
      <c r="F1046" s="16" t="s">
        <v>3419</v>
      </c>
      <c r="I1046" s="16" t="s">
        <v>50</v>
      </c>
      <c r="L1046" s="16" t="s">
        <v>3420</v>
      </c>
      <c r="M1046" s="16" t="s">
        <v>3419</v>
      </c>
      <c r="N1046" s="16">
        <v>393</v>
      </c>
      <c r="O1046" s="16" t="s">
        <v>3421</v>
      </c>
    </row>
    <row r="1047" spans="1:15" ht="15.75" customHeight="1" x14ac:dyDescent="0.25">
      <c r="A1047" s="16" t="s">
        <v>30</v>
      </c>
      <c r="B1047" s="16">
        <v>1016337</v>
      </c>
      <c r="C1047" s="16">
        <v>1016918</v>
      </c>
      <c r="E1047" s="16" t="s">
        <v>57</v>
      </c>
      <c r="F1047" s="16" t="s">
        <v>135</v>
      </c>
      <c r="I1047" s="16" t="s">
        <v>50</v>
      </c>
      <c r="L1047" s="16" t="s">
        <v>3422</v>
      </c>
      <c r="M1047" s="16" t="s">
        <v>135</v>
      </c>
      <c r="N1047" s="16">
        <v>193</v>
      </c>
      <c r="O1047" s="16" t="s">
        <v>3423</v>
      </c>
    </row>
    <row r="1048" spans="1:15" ht="15.75" customHeight="1" x14ac:dyDescent="0.25">
      <c r="A1048" s="16" t="s">
        <v>30</v>
      </c>
      <c r="B1048" s="16">
        <v>1016931</v>
      </c>
      <c r="C1048" s="16">
        <v>1017350</v>
      </c>
      <c r="E1048" s="16" t="s">
        <v>57</v>
      </c>
      <c r="F1048" s="16" t="s">
        <v>3424</v>
      </c>
      <c r="I1048" s="16" t="s">
        <v>50</v>
      </c>
      <c r="L1048" s="16" t="s">
        <v>3425</v>
      </c>
      <c r="M1048" s="16" t="s">
        <v>3424</v>
      </c>
      <c r="N1048" s="16">
        <v>139</v>
      </c>
      <c r="O1048" s="16" t="s">
        <v>3426</v>
      </c>
    </row>
    <row r="1049" spans="1:15" ht="15.75" customHeight="1" x14ac:dyDescent="0.25">
      <c r="A1049" s="16" t="s">
        <v>30</v>
      </c>
      <c r="B1049" s="16">
        <v>1017434</v>
      </c>
      <c r="C1049" s="16">
        <v>1018744</v>
      </c>
      <c r="E1049" s="16" t="s">
        <v>57</v>
      </c>
      <c r="F1049" s="16" t="s">
        <v>3427</v>
      </c>
      <c r="G1049" s="16" t="s">
        <v>3428</v>
      </c>
      <c r="I1049" s="16" t="s">
        <v>50</v>
      </c>
      <c r="L1049" s="16" t="s">
        <v>3429</v>
      </c>
      <c r="M1049" s="16" t="s">
        <v>3427</v>
      </c>
      <c r="N1049" s="16">
        <v>436</v>
      </c>
      <c r="O1049" s="16" t="s">
        <v>3430</v>
      </c>
    </row>
    <row r="1050" spans="1:15" ht="15.75" customHeight="1" x14ac:dyDescent="0.25">
      <c r="A1050" s="16" t="s">
        <v>30</v>
      </c>
      <c r="B1050" s="16">
        <v>1018865</v>
      </c>
      <c r="C1050" s="16">
        <v>1020070</v>
      </c>
      <c r="E1050" s="16" t="s">
        <v>57</v>
      </c>
      <c r="F1050" s="16" t="s">
        <v>2782</v>
      </c>
      <c r="I1050" s="16" t="s">
        <v>50</v>
      </c>
      <c r="L1050" s="16" t="s">
        <v>3431</v>
      </c>
      <c r="M1050" s="16" t="s">
        <v>2782</v>
      </c>
      <c r="N1050" s="16">
        <v>401</v>
      </c>
      <c r="O1050" s="16" t="s">
        <v>3432</v>
      </c>
    </row>
    <row r="1051" spans="1:15" ht="15.75" customHeight="1" x14ac:dyDescent="0.25">
      <c r="A1051" s="16" t="s">
        <v>30</v>
      </c>
      <c r="B1051" s="16">
        <v>1020067</v>
      </c>
      <c r="C1051" s="16">
        <v>1021221</v>
      </c>
      <c r="E1051" s="16" t="s">
        <v>57</v>
      </c>
      <c r="F1051" s="16" t="s">
        <v>3433</v>
      </c>
      <c r="G1051" s="16" t="s">
        <v>3434</v>
      </c>
      <c r="I1051" s="16" t="s">
        <v>50</v>
      </c>
      <c r="L1051" s="16" t="s">
        <v>3435</v>
      </c>
      <c r="M1051" s="16" t="s">
        <v>3433</v>
      </c>
      <c r="N1051" s="16">
        <v>384</v>
      </c>
      <c r="O1051" s="16" t="s">
        <v>3436</v>
      </c>
    </row>
    <row r="1052" spans="1:15" ht="15.75" customHeight="1" x14ac:dyDescent="0.25">
      <c r="A1052" s="16" t="s">
        <v>30</v>
      </c>
      <c r="B1052" s="16">
        <v>1021218</v>
      </c>
      <c r="C1052" s="16">
        <v>1021748</v>
      </c>
      <c r="E1052" s="16" t="s">
        <v>57</v>
      </c>
      <c r="F1052" s="16" t="s">
        <v>3437</v>
      </c>
      <c r="I1052" s="16" t="s">
        <v>50</v>
      </c>
      <c r="L1052" s="16" t="s">
        <v>3438</v>
      </c>
      <c r="M1052" s="16" t="s">
        <v>3437</v>
      </c>
      <c r="N1052" s="16">
        <v>176</v>
      </c>
      <c r="O1052" s="16" t="s">
        <v>3439</v>
      </c>
    </row>
    <row r="1053" spans="1:15" ht="15.75" customHeight="1" x14ac:dyDescent="0.25">
      <c r="A1053" s="16" t="s">
        <v>30</v>
      </c>
      <c r="B1053" s="16">
        <v>1021748</v>
      </c>
      <c r="C1053" s="16">
        <v>1023655</v>
      </c>
      <c r="E1053" s="16" t="s">
        <v>57</v>
      </c>
      <c r="F1053" s="16" t="s">
        <v>3440</v>
      </c>
      <c r="G1053" s="16" t="s">
        <v>3441</v>
      </c>
      <c r="I1053" s="16" t="s">
        <v>50</v>
      </c>
      <c r="L1053" s="16" t="s">
        <v>3442</v>
      </c>
      <c r="M1053" s="16" t="s">
        <v>3440</v>
      </c>
      <c r="N1053" s="16">
        <v>635</v>
      </c>
      <c r="O1053" s="16" t="s">
        <v>3443</v>
      </c>
    </row>
    <row r="1054" spans="1:15" ht="15.75" customHeight="1" x14ac:dyDescent="0.25">
      <c r="A1054" s="16" t="s">
        <v>30</v>
      </c>
      <c r="B1054" s="16">
        <v>1023763</v>
      </c>
      <c r="C1054" s="16">
        <v>1024566</v>
      </c>
      <c r="E1054" s="16" t="s">
        <v>57</v>
      </c>
      <c r="F1054" s="16" t="s">
        <v>3444</v>
      </c>
      <c r="G1054" s="16" t="s">
        <v>3445</v>
      </c>
      <c r="I1054" s="16" t="s">
        <v>50</v>
      </c>
      <c r="L1054" s="16" t="s">
        <v>3446</v>
      </c>
      <c r="M1054" s="16" t="s">
        <v>3444</v>
      </c>
      <c r="N1054" s="16">
        <v>267</v>
      </c>
      <c r="O1054" s="16" t="s">
        <v>3447</v>
      </c>
    </row>
    <row r="1055" spans="1:15" ht="15.75" customHeight="1" x14ac:dyDescent="0.25">
      <c r="A1055" s="16" t="s">
        <v>30</v>
      </c>
      <c r="B1055" s="16">
        <v>1024766</v>
      </c>
      <c r="C1055" s="16">
        <v>1025278</v>
      </c>
      <c r="E1055" s="16" t="s">
        <v>48</v>
      </c>
      <c r="F1055" s="16" t="s">
        <v>3448</v>
      </c>
      <c r="I1055" s="16" t="s">
        <v>50</v>
      </c>
      <c r="L1055" s="16" t="s">
        <v>3449</v>
      </c>
      <c r="M1055" s="16" t="s">
        <v>3448</v>
      </c>
      <c r="N1055" s="16">
        <v>170</v>
      </c>
      <c r="O1055" s="16" t="s">
        <v>3450</v>
      </c>
    </row>
    <row r="1056" spans="1:15" ht="15.75" customHeight="1" x14ac:dyDescent="0.25">
      <c r="A1056" s="16" t="s">
        <v>30</v>
      </c>
      <c r="B1056" s="16">
        <v>1025278</v>
      </c>
      <c r="C1056" s="16">
        <v>1025997</v>
      </c>
      <c r="E1056" s="16" t="s">
        <v>48</v>
      </c>
      <c r="F1056" s="16" t="s">
        <v>3451</v>
      </c>
      <c r="I1056" s="16" t="s">
        <v>50</v>
      </c>
      <c r="L1056" s="16" t="s">
        <v>3452</v>
      </c>
      <c r="M1056" s="16" t="s">
        <v>3451</v>
      </c>
      <c r="N1056" s="16">
        <v>239</v>
      </c>
      <c r="O1056" s="16" t="s">
        <v>3453</v>
      </c>
    </row>
    <row r="1057" spans="1:15" ht="15.75" customHeight="1" x14ac:dyDescent="0.25">
      <c r="A1057" s="16" t="s">
        <v>30</v>
      </c>
      <c r="B1057" s="16">
        <v>1025994</v>
      </c>
      <c r="C1057" s="16">
        <v>1026677</v>
      </c>
      <c r="E1057" s="16" t="s">
        <v>48</v>
      </c>
      <c r="F1057" s="16" t="s">
        <v>3454</v>
      </c>
      <c r="I1057" s="16" t="s">
        <v>50</v>
      </c>
      <c r="L1057" s="16" t="s">
        <v>3455</v>
      </c>
      <c r="M1057" s="16" t="s">
        <v>3454</v>
      </c>
      <c r="N1057" s="16">
        <v>227</v>
      </c>
      <c r="O1057" s="16" t="s">
        <v>3456</v>
      </c>
    </row>
    <row r="1058" spans="1:15" ht="15.75" customHeight="1" x14ac:dyDescent="0.25">
      <c r="A1058" s="16" t="s">
        <v>30</v>
      </c>
      <c r="B1058" s="16">
        <v>1026670</v>
      </c>
      <c r="C1058" s="16">
        <v>1026957</v>
      </c>
      <c r="E1058" s="16" t="s">
        <v>48</v>
      </c>
      <c r="F1058" s="16" t="s">
        <v>3457</v>
      </c>
      <c r="I1058" s="16" t="s">
        <v>50</v>
      </c>
      <c r="L1058" s="16" t="s">
        <v>3458</v>
      </c>
      <c r="M1058" s="16" t="s">
        <v>3457</v>
      </c>
      <c r="N1058" s="16">
        <v>95</v>
      </c>
      <c r="O1058" s="16" t="s">
        <v>3459</v>
      </c>
    </row>
    <row r="1059" spans="1:15" ht="15.75" customHeight="1" x14ac:dyDescent="0.25">
      <c r="A1059" s="16" t="s">
        <v>30</v>
      </c>
      <c r="B1059" s="16">
        <v>1027003</v>
      </c>
      <c r="C1059" s="16">
        <v>1030368</v>
      </c>
      <c r="E1059" s="16" t="s">
        <v>48</v>
      </c>
      <c r="F1059" s="16" t="s">
        <v>3460</v>
      </c>
      <c r="G1059" s="16" t="s">
        <v>3461</v>
      </c>
      <c r="I1059" s="16" t="s">
        <v>50</v>
      </c>
      <c r="L1059" s="16" t="s">
        <v>3462</v>
      </c>
      <c r="M1059" s="16" t="s">
        <v>3460</v>
      </c>
      <c r="N1059" s="16">
        <v>1121</v>
      </c>
      <c r="O1059" s="16" t="s">
        <v>3463</v>
      </c>
    </row>
    <row r="1060" spans="1:15" ht="15.75" customHeight="1" x14ac:dyDescent="0.25">
      <c r="A1060" s="16" t="s">
        <v>30</v>
      </c>
      <c r="B1060" s="16">
        <v>1030423</v>
      </c>
      <c r="C1060" s="16">
        <v>1030872</v>
      </c>
      <c r="E1060" s="16" t="s">
        <v>48</v>
      </c>
      <c r="F1060" s="16" t="s">
        <v>3464</v>
      </c>
      <c r="G1060" s="16" t="s">
        <v>3465</v>
      </c>
      <c r="I1060" s="16" t="s">
        <v>50</v>
      </c>
      <c r="L1060" s="16" t="s">
        <v>3466</v>
      </c>
      <c r="M1060" s="16" t="s">
        <v>3464</v>
      </c>
      <c r="N1060" s="16">
        <v>149</v>
      </c>
      <c r="O1060" s="16" t="s">
        <v>3467</v>
      </c>
    </row>
    <row r="1061" spans="1:15" ht="15.75" customHeight="1" x14ac:dyDescent="0.25">
      <c r="A1061" s="16" t="s">
        <v>30</v>
      </c>
      <c r="B1061" s="16">
        <v>1030875</v>
      </c>
      <c r="C1061" s="16">
        <v>1031993</v>
      </c>
      <c r="E1061" s="16" t="s">
        <v>48</v>
      </c>
      <c r="F1061" s="16" t="s">
        <v>3468</v>
      </c>
      <c r="G1061" s="16" t="s">
        <v>3469</v>
      </c>
      <c r="I1061" s="16" t="s">
        <v>50</v>
      </c>
      <c r="L1061" s="16" t="s">
        <v>3470</v>
      </c>
      <c r="M1061" s="16" t="s">
        <v>3468</v>
      </c>
      <c r="N1061" s="16">
        <v>372</v>
      </c>
      <c r="O1061" s="16" t="s">
        <v>3471</v>
      </c>
    </row>
    <row r="1062" spans="1:15" ht="15.75" customHeight="1" x14ac:dyDescent="0.25">
      <c r="A1062" s="16" t="s">
        <v>30</v>
      </c>
      <c r="B1062" s="16">
        <v>1031994</v>
      </c>
      <c r="C1062" s="16">
        <v>1033016</v>
      </c>
      <c r="E1062" s="16" t="s">
        <v>48</v>
      </c>
      <c r="F1062" s="16" t="s">
        <v>3472</v>
      </c>
      <c r="G1062" s="16" t="s">
        <v>3473</v>
      </c>
      <c r="I1062" s="16" t="s">
        <v>50</v>
      </c>
      <c r="L1062" s="16" t="s">
        <v>3474</v>
      </c>
      <c r="M1062" s="16" t="s">
        <v>3472</v>
      </c>
      <c r="N1062" s="16">
        <v>340</v>
      </c>
      <c r="O1062" s="16" t="s">
        <v>3475</v>
      </c>
    </row>
    <row r="1063" spans="1:15" ht="15.75" customHeight="1" x14ac:dyDescent="0.25">
      <c r="A1063" s="16" t="s">
        <v>30</v>
      </c>
      <c r="B1063" s="16">
        <v>1033090</v>
      </c>
      <c r="C1063" s="16">
        <v>1033905</v>
      </c>
      <c r="E1063" s="16" t="s">
        <v>57</v>
      </c>
      <c r="F1063" s="16" t="s">
        <v>3476</v>
      </c>
      <c r="G1063" s="16" t="s">
        <v>3477</v>
      </c>
      <c r="I1063" s="16" t="s">
        <v>50</v>
      </c>
      <c r="L1063" s="16" t="s">
        <v>3478</v>
      </c>
      <c r="M1063" s="16" t="s">
        <v>3476</v>
      </c>
      <c r="N1063" s="16">
        <v>271</v>
      </c>
      <c r="O1063" s="16" t="s">
        <v>3479</v>
      </c>
    </row>
    <row r="1064" spans="1:15" ht="15.75" customHeight="1" x14ac:dyDescent="0.25">
      <c r="A1064" s="16" t="s">
        <v>30</v>
      </c>
      <c r="B1064" s="16">
        <v>1034137</v>
      </c>
      <c r="C1064" s="16">
        <v>1035672</v>
      </c>
      <c r="E1064" s="16" t="s">
        <v>57</v>
      </c>
      <c r="F1064" s="16" t="s">
        <v>3480</v>
      </c>
      <c r="G1064" s="16" t="s">
        <v>3481</v>
      </c>
      <c r="I1064" s="16" t="s">
        <v>50</v>
      </c>
      <c r="L1064" s="16" t="s">
        <v>3482</v>
      </c>
      <c r="M1064" s="16" t="s">
        <v>3480</v>
      </c>
      <c r="N1064" s="16">
        <v>511</v>
      </c>
      <c r="O1064" s="16" t="s">
        <v>3483</v>
      </c>
    </row>
    <row r="1065" spans="1:15" ht="15.75" customHeight="1" x14ac:dyDescent="0.25">
      <c r="A1065" s="16" t="s">
        <v>30</v>
      </c>
      <c r="B1065" s="16">
        <v>1035692</v>
      </c>
      <c r="C1065" s="16">
        <v>1036090</v>
      </c>
      <c r="E1065" s="16" t="s">
        <v>57</v>
      </c>
      <c r="F1065" s="16" t="s">
        <v>3484</v>
      </c>
      <c r="G1065" s="16" t="s">
        <v>3485</v>
      </c>
      <c r="I1065" s="16" t="s">
        <v>50</v>
      </c>
      <c r="L1065" s="16" t="s">
        <v>3486</v>
      </c>
      <c r="M1065" s="16" t="s">
        <v>3484</v>
      </c>
      <c r="N1065" s="16">
        <v>132</v>
      </c>
      <c r="O1065" s="16" t="s">
        <v>3487</v>
      </c>
    </row>
    <row r="1066" spans="1:15" ht="15.75" customHeight="1" x14ac:dyDescent="0.25">
      <c r="A1066" s="16" t="s">
        <v>30</v>
      </c>
      <c r="B1066" s="16">
        <v>1036090</v>
      </c>
      <c r="C1066" s="16">
        <v>1036323</v>
      </c>
      <c r="E1066" s="16" t="s">
        <v>57</v>
      </c>
      <c r="F1066" s="16" t="s">
        <v>3488</v>
      </c>
      <c r="G1066" s="16" t="s">
        <v>3489</v>
      </c>
      <c r="I1066" s="16" t="s">
        <v>50</v>
      </c>
      <c r="L1066" s="16" t="s">
        <v>3490</v>
      </c>
      <c r="M1066" s="16" t="s">
        <v>3488</v>
      </c>
      <c r="N1066" s="16">
        <v>77</v>
      </c>
      <c r="O1066" s="16" t="s">
        <v>3491</v>
      </c>
    </row>
    <row r="1067" spans="1:15" ht="15.75" customHeight="1" x14ac:dyDescent="0.25">
      <c r="A1067" s="16" t="s">
        <v>30</v>
      </c>
      <c r="B1067" s="16">
        <v>1036470</v>
      </c>
      <c r="C1067" s="16">
        <v>1037834</v>
      </c>
      <c r="E1067" s="16" t="s">
        <v>57</v>
      </c>
      <c r="F1067" s="16" t="s">
        <v>3492</v>
      </c>
      <c r="I1067" s="16" t="s">
        <v>50</v>
      </c>
      <c r="L1067" s="16" t="s">
        <v>3493</v>
      </c>
      <c r="M1067" s="16" t="s">
        <v>3492</v>
      </c>
      <c r="N1067" s="16">
        <v>454</v>
      </c>
      <c r="O1067" s="16" t="s">
        <v>3494</v>
      </c>
    </row>
    <row r="1068" spans="1:15" ht="15.75" customHeight="1" x14ac:dyDescent="0.25">
      <c r="A1068" s="16" t="s">
        <v>30</v>
      </c>
      <c r="B1068" s="16">
        <v>1038181</v>
      </c>
      <c r="C1068" s="16">
        <v>1038351</v>
      </c>
      <c r="E1068" s="16" t="s">
        <v>57</v>
      </c>
      <c r="F1068" s="16" t="s">
        <v>3495</v>
      </c>
      <c r="G1068" s="16" t="s">
        <v>3496</v>
      </c>
      <c r="I1068" s="16" t="s">
        <v>50</v>
      </c>
      <c r="L1068" s="16" t="s">
        <v>3497</v>
      </c>
      <c r="M1068" s="16" t="s">
        <v>3495</v>
      </c>
      <c r="N1068" s="16">
        <v>56</v>
      </c>
      <c r="O1068" s="16" t="s">
        <v>3498</v>
      </c>
    </row>
    <row r="1069" spans="1:15" ht="15.75" customHeight="1" x14ac:dyDescent="0.25">
      <c r="A1069" s="16" t="s">
        <v>30</v>
      </c>
      <c r="B1069" s="16">
        <v>1038363</v>
      </c>
      <c r="C1069" s="16">
        <v>1038599</v>
      </c>
      <c r="E1069" s="16" t="s">
        <v>57</v>
      </c>
      <c r="F1069" s="16" t="s">
        <v>3499</v>
      </c>
      <c r="G1069" s="16" t="s">
        <v>3500</v>
      </c>
      <c r="I1069" s="16" t="s">
        <v>50</v>
      </c>
      <c r="L1069" s="16" t="s">
        <v>3501</v>
      </c>
      <c r="M1069" s="16" t="s">
        <v>3499</v>
      </c>
      <c r="N1069" s="16">
        <v>78</v>
      </c>
      <c r="O1069" s="16" t="s">
        <v>3502</v>
      </c>
    </row>
    <row r="1070" spans="1:15" ht="15.75" customHeight="1" x14ac:dyDescent="0.25">
      <c r="A1070" s="16" t="s">
        <v>30</v>
      </c>
      <c r="B1070" s="16">
        <v>1038813</v>
      </c>
      <c r="C1070" s="16">
        <v>1039478</v>
      </c>
      <c r="E1070" s="16" t="s">
        <v>57</v>
      </c>
      <c r="F1070" s="16" t="s">
        <v>3503</v>
      </c>
      <c r="G1070" s="16" t="s">
        <v>3504</v>
      </c>
      <c r="I1070" s="16" t="s">
        <v>50</v>
      </c>
      <c r="L1070" s="16" t="s">
        <v>3505</v>
      </c>
      <c r="M1070" s="16" t="s">
        <v>3503</v>
      </c>
      <c r="N1070" s="16">
        <v>221</v>
      </c>
      <c r="O1070" s="16" t="s">
        <v>3506</v>
      </c>
    </row>
    <row r="1071" spans="1:15" ht="15.75" customHeight="1" x14ac:dyDescent="0.25">
      <c r="A1071" s="16" t="s">
        <v>30</v>
      </c>
      <c r="B1071" s="16">
        <v>1039641</v>
      </c>
      <c r="C1071" s="16">
        <v>1040843</v>
      </c>
      <c r="E1071" s="16" t="s">
        <v>48</v>
      </c>
      <c r="F1071" s="16" t="s">
        <v>3507</v>
      </c>
      <c r="G1071" s="16" t="s">
        <v>3508</v>
      </c>
      <c r="I1071" s="16" t="s">
        <v>50</v>
      </c>
      <c r="L1071" s="16" t="s">
        <v>3509</v>
      </c>
      <c r="M1071" s="16" t="s">
        <v>3507</v>
      </c>
      <c r="N1071" s="16">
        <v>400</v>
      </c>
      <c r="O1071" s="16" t="s">
        <v>3510</v>
      </c>
    </row>
    <row r="1072" spans="1:15" ht="15.75" customHeight="1" x14ac:dyDescent="0.25">
      <c r="A1072" s="16" t="s">
        <v>30</v>
      </c>
      <c r="B1072" s="16">
        <v>1040891</v>
      </c>
      <c r="C1072" s="16">
        <v>1041346</v>
      </c>
      <c r="E1072" s="16" t="s">
        <v>48</v>
      </c>
      <c r="F1072" s="16" t="s">
        <v>3511</v>
      </c>
      <c r="G1072" s="16" t="s">
        <v>3512</v>
      </c>
      <c r="I1072" s="16" t="s">
        <v>50</v>
      </c>
      <c r="L1072" s="16" t="s">
        <v>3513</v>
      </c>
      <c r="M1072" s="16" t="s">
        <v>3511</v>
      </c>
      <c r="N1072" s="16">
        <v>151</v>
      </c>
      <c r="O1072" s="16" t="s">
        <v>3514</v>
      </c>
    </row>
    <row r="1073" spans="1:15" ht="15.75" customHeight="1" x14ac:dyDescent="0.25">
      <c r="A1073" s="16" t="s">
        <v>30</v>
      </c>
      <c r="B1073" s="16">
        <v>1041350</v>
      </c>
      <c r="C1073" s="16">
        <v>1042006</v>
      </c>
      <c r="E1073" s="16" t="s">
        <v>48</v>
      </c>
      <c r="F1073" s="16" t="s">
        <v>3515</v>
      </c>
      <c r="G1073" s="16" t="s">
        <v>3516</v>
      </c>
      <c r="I1073" s="16" t="s">
        <v>50</v>
      </c>
      <c r="L1073" s="16" t="s">
        <v>3517</v>
      </c>
      <c r="M1073" s="16" t="s">
        <v>3515</v>
      </c>
      <c r="N1073" s="16">
        <v>218</v>
      </c>
      <c r="O1073" s="16" t="s">
        <v>3518</v>
      </c>
    </row>
    <row r="1074" spans="1:15" ht="15.75" customHeight="1" x14ac:dyDescent="0.25">
      <c r="A1074" s="16" t="s">
        <v>30</v>
      </c>
      <c r="B1074" s="16">
        <v>1042028</v>
      </c>
      <c r="C1074" s="16">
        <v>1042279</v>
      </c>
      <c r="E1074" s="16" t="s">
        <v>48</v>
      </c>
      <c r="F1074" s="16" t="s">
        <v>3519</v>
      </c>
      <c r="I1074" s="16" t="s">
        <v>50</v>
      </c>
      <c r="L1074" s="16" t="s">
        <v>3520</v>
      </c>
      <c r="M1074" s="16" t="s">
        <v>3519</v>
      </c>
      <c r="N1074" s="16">
        <v>83</v>
      </c>
      <c r="O1074" s="16" t="s">
        <v>3521</v>
      </c>
    </row>
    <row r="1075" spans="1:15" ht="15.75" customHeight="1" x14ac:dyDescent="0.25">
      <c r="A1075" s="16" t="s">
        <v>30</v>
      </c>
      <c r="B1075" s="16">
        <v>1042264</v>
      </c>
      <c r="C1075" s="16">
        <v>1042938</v>
      </c>
      <c r="E1075" s="16" t="s">
        <v>48</v>
      </c>
      <c r="F1075" s="16" t="s">
        <v>3522</v>
      </c>
      <c r="G1075" s="16" t="s">
        <v>3523</v>
      </c>
      <c r="I1075" s="16" t="s">
        <v>50</v>
      </c>
      <c r="L1075" s="16" t="s">
        <v>3524</v>
      </c>
      <c r="M1075" s="16" t="s">
        <v>3522</v>
      </c>
      <c r="N1075" s="16">
        <v>224</v>
      </c>
      <c r="O1075" s="16" t="s">
        <v>3525</v>
      </c>
    </row>
    <row r="1076" spans="1:15" ht="15.75" customHeight="1" x14ac:dyDescent="0.25">
      <c r="A1076" s="16" t="s">
        <v>30</v>
      </c>
      <c r="B1076" s="16">
        <v>1043303</v>
      </c>
      <c r="C1076" s="16">
        <v>1044478</v>
      </c>
      <c r="E1076" s="16" t="s">
        <v>57</v>
      </c>
      <c r="F1076" s="16" t="s">
        <v>3526</v>
      </c>
      <c r="G1076" s="16" t="s">
        <v>3527</v>
      </c>
      <c r="I1076" s="16" t="s">
        <v>50</v>
      </c>
      <c r="L1076" s="16" t="s">
        <v>3528</v>
      </c>
      <c r="M1076" s="16" t="s">
        <v>3526</v>
      </c>
      <c r="N1076" s="16">
        <v>391</v>
      </c>
      <c r="O1076" s="16" t="s">
        <v>3529</v>
      </c>
    </row>
    <row r="1077" spans="1:15" ht="15.75" customHeight="1" x14ac:dyDescent="0.25">
      <c r="A1077" s="16" t="s">
        <v>30</v>
      </c>
      <c r="B1077" s="16">
        <v>1044471</v>
      </c>
      <c r="C1077" s="16">
        <v>1045526</v>
      </c>
      <c r="E1077" s="16" t="s">
        <v>57</v>
      </c>
      <c r="F1077" s="16" t="s">
        <v>3530</v>
      </c>
      <c r="G1077" s="16" t="s">
        <v>3531</v>
      </c>
      <c r="I1077" s="16" t="s">
        <v>50</v>
      </c>
      <c r="L1077" s="16" t="s">
        <v>3532</v>
      </c>
      <c r="M1077" s="16" t="s">
        <v>3530</v>
      </c>
      <c r="N1077" s="16">
        <v>351</v>
      </c>
      <c r="O1077" s="16" t="s">
        <v>3533</v>
      </c>
    </row>
    <row r="1078" spans="1:15" ht="15.75" customHeight="1" x14ac:dyDescent="0.25">
      <c r="A1078" s="16" t="s">
        <v>30</v>
      </c>
      <c r="B1078" s="16">
        <v>1045530</v>
      </c>
      <c r="C1078" s="16">
        <v>1045880</v>
      </c>
      <c r="E1078" s="16" t="s">
        <v>57</v>
      </c>
      <c r="F1078" s="16" t="s">
        <v>3534</v>
      </c>
      <c r="I1078" s="16" t="s">
        <v>50</v>
      </c>
      <c r="L1078" s="16" t="s">
        <v>3535</v>
      </c>
      <c r="M1078" s="16" t="s">
        <v>3534</v>
      </c>
      <c r="N1078" s="16">
        <v>116</v>
      </c>
      <c r="O1078" s="16" t="s">
        <v>3536</v>
      </c>
    </row>
    <row r="1079" spans="1:15" ht="15.75" customHeight="1" x14ac:dyDescent="0.25">
      <c r="A1079" s="16" t="s">
        <v>30</v>
      </c>
      <c r="B1079" s="16">
        <v>1045880</v>
      </c>
      <c r="C1079" s="16">
        <v>1046230</v>
      </c>
      <c r="E1079" s="16" t="s">
        <v>57</v>
      </c>
      <c r="F1079" s="16" t="s">
        <v>3537</v>
      </c>
      <c r="G1079" s="16" t="s">
        <v>3538</v>
      </c>
      <c r="I1079" s="16" t="s">
        <v>50</v>
      </c>
      <c r="L1079" s="16" t="s">
        <v>3539</v>
      </c>
      <c r="M1079" s="16" t="s">
        <v>3537</v>
      </c>
      <c r="N1079" s="16">
        <v>116</v>
      </c>
      <c r="O1079" s="16" t="s">
        <v>3540</v>
      </c>
    </row>
    <row r="1080" spans="1:15" ht="15.75" customHeight="1" x14ac:dyDescent="0.25">
      <c r="A1080" s="16" t="s">
        <v>30</v>
      </c>
      <c r="B1080" s="16">
        <v>1046347</v>
      </c>
      <c r="C1080" s="16">
        <v>1049172</v>
      </c>
      <c r="E1080" s="16" t="s">
        <v>57</v>
      </c>
      <c r="F1080" s="16" t="s">
        <v>3541</v>
      </c>
      <c r="G1080" s="16" t="s">
        <v>3542</v>
      </c>
      <c r="I1080" s="16" t="s">
        <v>50</v>
      </c>
      <c r="L1080" s="16" t="s">
        <v>3543</v>
      </c>
      <c r="M1080" s="16" t="s">
        <v>3541</v>
      </c>
      <c r="N1080" s="16">
        <v>941</v>
      </c>
      <c r="O1080" s="16" t="s">
        <v>3544</v>
      </c>
    </row>
    <row r="1081" spans="1:15" ht="15.75" customHeight="1" x14ac:dyDescent="0.25">
      <c r="A1081" s="16" t="s">
        <v>30</v>
      </c>
      <c r="B1081" s="16">
        <v>1049201</v>
      </c>
      <c r="C1081" s="16">
        <v>1050127</v>
      </c>
      <c r="E1081" s="16" t="s">
        <v>57</v>
      </c>
      <c r="F1081" s="16" t="s">
        <v>3545</v>
      </c>
      <c r="G1081" s="16" t="s">
        <v>3546</v>
      </c>
      <c r="I1081" s="16" t="s">
        <v>50</v>
      </c>
      <c r="L1081" s="16" t="s">
        <v>3547</v>
      </c>
      <c r="M1081" s="16" t="s">
        <v>3545</v>
      </c>
      <c r="N1081" s="16">
        <v>308</v>
      </c>
      <c r="O1081" s="16" t="s">
        <v>3548</v>
      </c>
    </row>
    <row r="1082" spans="1:15" ht="15.75" customHeight="1" x14ac:dyDescent="0.25">
      <c r="A1082" s="16" t="s">
        <v>30</v>
      </c>
      <c r="B1082" s="16">
        <v>1050174</v>
      </c>
      <c r="C1082" s="16">
        <v>1051748</v>
      </c>
      <c r="E1082" s="16" t="s">
        <v>57</v>
      </c>
      <c r="F1082" s="16" t="s">
        <v>3549</v>
      </c>
      <c r="G1082" s="16" t="s">
        <v>3550</v>
      </c>
      <c r="I1082" s="16" t="s">
        <v>50</v>
      </c>
      <c r="L1082" s="16" t="s">
        <v>3551</v>
      </c>
      <c r="M1082" s="16" t="s">
        <v>3549</v>
      </c>
      <c r="N1082" s="16">
        <v>524</v>
      </c>
      <c r="O1082" s="16" t="s">
        <v>3552</v>
      </c>
    </row>
    <row r="1083" spans="1:15" ht="15.75" customHeight="1" x14ac:dyDescent="0.25">
      <c r="A1083" s="16" t="s">
        <v>30</v>
      </c>
      <c r="B1083" s="16">
        <v>1052015</v>
      </c>
      <c r="C1083" s="16">
        <v>1052278</v>
      </c>
      <c r="E1083" s="16" t="s">
        <v>48</v>
      </c>
      <c r="F1083" s="16" t="s">
        <v>3553</v>
      </c>
      <c r="G1083" s="16" t="s">
        <v>3554</v>
      </c>
      <c r="I1083" s="16" t="s">
        <v>50</v>
      </c>
      <c r="L1083" s="16" t="s">
        <v>3555</v>
      </c>
      <c r="M1083" s="16" t="s">
        <v>3553</v>
      </c>
      <c r="N1083" s="16">
        <v>87</v>
      </c>
      <c r="O1083" s="16" t="s">
        <v>3556</v>
      </c>
    </row>
    <row r="1084" spans="1:15" ht="15.75" customHeight="1" x14ac:dyDescent="0.25">
      <c r="A1084" s="16" t="s">
        <v>30</v>
      </c>
      <c r="B1084" s="16">
        <v>1052350</v>
      </c>
      <c r="C1084" s="16">
        <v>1052916</v>
      </c>
      <c r="E1084" s="16" t="s">
        <v>57</v>
      </c>
      <c r="F1084" s="16" t="s">
        <v>3557</v>
      </c>
      <c r="I1084" s="16" t="s">
        <v>50</v>
      </c>
      <c r="L1084" s="16" t="s">
        <v>3558</v>
      </c>
      <c r="M1084" s="16" t="s">
        <v>3557</v>
      </c>
      <c r="N1084" s="16">
        <v>188</v>
      </c>
      <c r="O1084" s="16" t="s">
        <v>3559</v>
      </c>
    </row>
    <row r="1085" spans="1:15" ht="15.75" customHeight="1" x14ac:dyDescent="0.25">
      <c r="A1085" s="16" t="s">
        <v>30</v>
      </c>
      <c r="B1085" s="16">
        <v>1053062</v>
      </c>
      <c r="C1085" s="16">
        <v>1053919</v>
      </c>
      <c r="E1085" s="16" t="s">
        <v>48</v>
      </c>
      <c r="F1085" s="16" t="s">
        <v>3560</v>
      </c>
      <c r="G1085" s="16" t="s">
        <v>3561</v>
      </c>
      <c r="I1085" s="16" t="s">
        <v>50</v>
      </c>
      <c r="L1085" s="16" t="s">
        <v>3562</v>
      </c>
      <c r="M1085" s="16" t="s">
        <v>3560</v>
      </c>
      <c r="N1085" s="16">
        <v>285</v>
      </c>
      <c r="O1085" s="16" t="s">
        <v>3563</v>
      </c>
    </row>
    <row r="1086" spans="1:15" ht="15.75" customHeight="1" x14ac:dyDescent="0.25">
      <c r="A1086" s="16" t="s">
        <v>30</v>
      </c>
      <c r="B1086" s="16">
        <v>1053988</v>
      </c>
      <c r="C1086" s="16">
        <v>1054977</v>
      </c>
      <c r="E1086" s="16" t="s">
        <v>48</v>
      </c>
      <c r="F1086" s="16" t="s">
        <v>3564</v>
      </c>
      <c r="G1086" s="16" t="s">
        <v>3565</v>
      </c>
      <c r="I1086" s="16" t="s">
        <v>50</v>
      </c>
      <c r="L1086" s="16" t="s">
        <v>3566</v>
      </c>
      <c r="M1086" s="16" t="s">
        <v>3564</v>
      </c>
      <c r="N1086" s="16">
        <v>329</v>
      </c>
      <c r="O1086" s="16" t="s">
        <v>3567</v>
      </c>
    </row>
    <row r="1087" spans="1:15" ht="15.75" customHeight="1" x14ac:dyDescent="0.25">
      <c r="A1087" s="16" t="s">
        <v>30</v>
      </c>
      <c r="B1087" s="16">
        <v>1055035</v>
      </c>
      <c r="C1087" s="16">
        <v>1055484</v>
      </c>
      <c r="E1087" s="16" t="s">
        <v>48</v>
      </c>
      <c r="F1087" s="16" t="s">
        <v>3568</v>
      </c>
      <c r="G1087" s="16" t="s">
        <v>3569</v>
      </c>
      <c r="I1087" s="16" t="s">
        <v>50</v>
      </c>
      <c r="L1087" s="16" t="s">
        <v>3570</v>
      </c>
      <c r="M1087" s="16" t="s">
        <v>3568</v>
      </c>
      <c r="N1087" s="16">
        <v>149</v>
      </c>
      <c r="O1087" s="16" t="s">
        <v>3571</v>
      </c>
    </row>
    <row r="1088" spans="1:15" ht="15.75" customHeight="1" x14ac:dyDescent="0.25">
      <c r="A1088" s="16" t="s">
        <v>30</v>
      </c>
      <c r="B1088" s="16">
        <v>1055636</v>
      </c>
      <c r="C1088" s="16">
        <v>1056103</v>
      </c>
      <c r="E1088" s="16" t="s">
        <v>48</v>
      </c>
      <c r="F1088" s="16" t="s">
        <v>3572</v>
      </c>
      <c r="G1088" s="16" t="s">
        <v>3573</v>
      </c>
      <c r="I1088" s="16" t="s">
        <v>50</v>
      </c>
      <c r="L1088" s="16" t="s">
        <v>3574</v>
      </c>
      <c r="M1088" s="16" t="s">
        <v>3572</v>
      </c>
      <c r="N1088" s="16">
        <v>155</v>
      </c>
      <c r="O1088" s="16" t="s">
        <v>3575</v>
      </c>
    </row>
    <row r="1089" spans="1:15" ht="15.75" customHeight="1" x14ac:dyDescent="0.25">
      <c r="A1089" s="16" t="s">
        <v>30</v>
      </c>
      <c r="B1089" s="16">
        <v>1056280</v>
      </c>
      <c r="C1089" s="16">
        <v>1057626</v>
      </c>
      <c r="E1089" s="16" t="s">
        <v>48</v>
      </c>
      <c r="F1089" s="16" t="s">
        <v>3576</v>
      </c>
      <c r="G1089" s="16" t="s">
        <v>3577</v>
      </c>
      <c r="I1089" s="16" t="s">
        <v>50</v>
      </c>
      <c r="L1089" s="16" t="s">
        <v>3578</v>
      </c>
      <c r="M1089" s="16" t="s">
        <v>3576</v>
      </c>
      <c r="N1089" s="16">
        <v>448</v>
      </c>
      <c r="O1089" s="16" t="s">
        <v>3579</v>
      </c>
    </row>
    <row r="1090" spans="1:15" ht="15.75" customHeight="1" x14ac:dyDescent="0.25">
      <c r="A1090" s="16" t="s">
        <v>30</v>
      </c>
      <c r="B1090" s="16">
        <v>1057831</v>
      </c>
      <c r="C1090" s="16">
        <v>1058088</v>
      </c>
      <c r="E1090" s="16" t="s">
        <v>48</v>
      </c>
      <c r="F1090" s="16" t="s">
        <v>3580</v>
      </c>
      <c r="I1090" s="16" t="s">
        <v>50</v>
      </c>
      <c r="L1090" s="16" t="s">
        <v>3581</v>
      </c>
      <c r="M1090" s="16" t="s">
        <v>3580</v>
      </c>
      <c r="N1090" s="16">
        <v>85</v>
      </c>
      <c r="O1090" s="16" t="s">
        <v>3582</v>
      </c>
    </row>
    <row r="1091" spans="1:15" ht="15.75" customHeight="1" x14ac:dyDescent="0.25">
      <c r="A1091" s="16" t="s">
        <v>30</v>
      </c>
      <c r="B1091" s="16">
        <v>1058085</v>
      </c>
      <c r="C1091" s="16">
        <v>1059539</v>
      </c>
      <c r="E1091" s="16" t="s">
        <v>48</v>
      </c>
      <c r="F1091" s="16" t="s">
        <v>3583</v>
      </c>
      <c r="G1091" s="16" t="s">
        <v>3584</v>
      </c>
      <c r="I1091" s="16" t="s">
        <v>50</v>
      </c>
      <c r="L1091" s="16" t="s">
        <v>3585</v>
      </c>
      <c r="M1091" s="16" t="s">
        <v>3583</v>
      </c>
      <c r="N1091" s="16">
        <v>484</v>
      </c>
      <c r="O1091" s="16" t="s">
        <v>3586</v>
      </c>
    </row>
    <row r="1092" spans="1:15" ht="15.75" customHeight="1" x14ac:dyDescent="0.25">
      <c r="A1092" s="16" t="s">
        <v>30</v>
      </c>
      <c r="B1092" s="16">
        <v>1059659</v>
      </c>
      <c r="C1092" s="16">
        <v>1060531</v>
      </c>
      <c r="E1092" s="16" t="s">
        <v>48</v>
      </c>
      <c r="F1092" s="16" t="s">
        <v>3587</v>
      </c>
      <c r="I1092" s="16" t="s">
        <v>50</v>
      </c>
      <c r="L1092" s="16" t="s">
        <v>3588</v>
      </c>
      <c r="M1092" s="16" t="s">
        <v>3587</v>
      </c>
      <c r="N1092" s="16">
        <v>290</v>
      </c>
      <c r="O1092" s="16" t="s">
        <v>3589</v>
      </c>
    </row>
    <row r="1093" spans="1:15" ht="15.75" customHeight="1" x14ac:dyDescent="0.25">
      <c r="A1093" s="16" t="s">
        <v>30</v>
      </c>
      <c r="B1093" s="16">
        <v>1060566</v>
      </c>
      <c r="C1093" s="16">
        <v>1061453</v>
      </c>
      <c r="E1093" s="16" t="s">
        <v>48</v>
      </c>
      <c r="F1093" s="16" t="s">
        <v>3590</v>
      </c>
      <c r="G1093" s="16" t="s">
        <v>3591</v>
      </c>
      <c r="I1093" s="16" t="s">
        <v>50</v>
      </c>
      <c r="L1093" s="16" t="s">
        <v>3592</v>
      </c>
      <c r="M1093" s="16" t="s">
        <v>3590</v>
      </c>
      <c r="N1093" s="16">
        <v>295</v>
      </c>
      <c r="O1093" s="16" t="s">
        <v>3593</v>
      </c>
    </row>
    <row r="1094" spans="1:15" ht="15.75" customHeight="1" x14ac:dyDescent="0.25">
      <c r="A1094" s="16" t="s">
        <v>30</v>
      </c>
      <c r="B1094" s="16">
        <v>1061600</v>
      </c>
      <c r="C1094" s="16">
        <v>1062580</v>
      </c>
      <c r="E1094" s="16" t="s">
        <v>48</v>
      </c>
      <c r="F1094" s="16" t="s">
        <v>3594</v>
      </c>
      <c r="G1094" s="16" t="s">
        <v>3595</v>
      </c>
      <c r="I1094" s="16" t="s">
        <v>50</v>
      </c>
      <c r="L1094" s="16" t="s">
        <v>3596</v>
      </c>
      <c r="M1094" s="16" t="s">
        <v>3594</v>
      </c>
      <c r="N1094" s="16">
        <v>326</v>
      </c>
      <c r="O1094" s="16" t="s">
        <v>3597</v>
      </c>
    </row>
    <row r="1095" spans="1:15" ht="15.75" customHeight="1" x14ac:dyDescent="0.25">
      <c r="A1095" s="16" t="s">
        <v>30</v>
      </c>
      <c r="B1095" s="16">
        <v>1062574</v>
      </c>
      <c r="C1095" s="16">
        <v>1062873</v>
      </c>
      <c r="E1095" s="16" t="s">
        <v>48</v>
      </c>
      <c r="F1095" s="16" t="s">
        <v>3598</v>
      </c>
      <c r="G1095" s="16" t="s">
        <v>3599</v>
      </c>
      <c r="I1095" s="16" t="s">
        <v>50</v>
      </c>
      <c r="L1095" s="16" t="s">
        <v>3600</v>
      </c>
      <c r="M1095" s="16" t="s">
        <v>3598</v>
      </c>
      <c r="N1095" s="16">
        <v>99</v>
      </c>
      <c r="O1095" s="16" t="s">
        <v>3601</v>
      </c>
    </row>
    <row r="1096" spans="1:15" ht="15.75" customHeight="1" x14ac:dyDescent="0.25">
      <c r="A1096" s="16" t="s">
        <v>30</v>
      </c>
      <c r="B1096" s="16">
        <v>1062968</v>
      </c>
      <c r="C1096" s="16">
        <v>1063453</v>
      </c>
      <c r="E1096" s="16" t="s">
        <v>57</v>
      </c>
      <c r="F1096" s="16" t="s">
        <v>3602</v>
      </c>
      <c r="G1096" s="16" t="s">
        <v>3603</v>
      </c>
      <c r="I1096" s="16" t="s">
        <v>50</v>
      </c>
      <c r="L1096" s="16" t="s">
        <v>3604</v>
      </c>
      <c r="M1096" s="16" t="s">
        <v>3602</v>
      </c>
      <c r="N1096" s="16">
        <v>161</v>
      </c>
      <c r="O1096" s="16" t="s">
        <v>3605</v>
      </c>
    </row>
    <row r="1097" spans="1:15" ht="15.75" customHeight="1" x14ac:dyDescent="0.25">
      <c r="A1097" s="16" t="s">
        <v>30</v>
      </c>
      <c r="B1097" s="16">
        <v>1063692</v>
      </c>
      <c r="C1097" s="16">
        <v>1064657</v>
      </c>
      <c r="E1097" s="16" t="s">
        <v>57</v>
      </c>
      <c r="F1097" s="16" t="s">
        <v>3606</v>
      </c>
      <c r="G1097" s="16" t="s">
        <v>3607</v>
      </c>
      <c r="I1097" s="16" t="s">
        <v>50</v>
      </c>
      <c r="L1097" s="16" t="s">
        <v>3608</v>
      </c>
      <c r="M1097" s="16" t="s">
        <v>3606</v>
      </c>
      <c r="N1097" s="16">
        <v>321</v>
      </c>
      <c r="O1097" s="16" t="s">
        <v>3609</v>
      </c>
    </row>
    <row r="1098" spans="1:15" ht="15.75" customHeight="1" x14ac:dyDescent="0.25">
      <c r="A1098" s="16" t="s">
        <v>30</v>
      </c>
      <c r="B1098" s="16">
        <v>1064753</v>
      </c>
      <c r="C1098" s="16">
        <v>1065334</v>
      </c>
      <c r="E1098" s="16" t="s">
        <v>57</v>
      </c>
      <c r="F1098" s="16" t="s">
        <v>135</v>
      </c>
      <c r="I1098" s="16" t="s">
        <v>50</v>
      </c>
      <c r="L1098" s="16" t="s">
        <v>3610</v>
      </c>
      <c r="M1098" s="16" t="s">
        <v>135</v>
      </c>
      <c r="N1098" s="16">
        <v>193</v>
      </c>
      <c r="O1098" s="16" t="s">
        <v>3611</v>
      </c>
    </row>
    <row r="1099" spans="1:15" ht="15.75" customHeight="1" x14ac:dyDescent="0.25">
      <c r="A1099" s="16" t="s">
        <v>30</v>
      </c>
      <c r="B1099" s="16">
        <v>1065327</v>
      </c>
      <c r="C1099" s="16">
        <v>1066103</v>
      </c>
      <c r="E1099" s="16" t="s">
        <v>57</v>
      </c>
      <c r="F1099" s="16" t="s">
        <v>3612</v>
      </c>
      <c r="G1099" s="16" t="s">
        <v>3613</v>
      </c>
      <c r="I1099" s="16" t="s">
        <v>50</v>
      </c>
      <c r="L1099" s="16" t="s">
        <v>3614</v>
      </c>
      <c r="M1099" s="16" t="s">
        <v>3612</v>
      </c>
      <c r="N1099" s="16">
        <v>258</v>
      </c>
      <c r="O1099" s="16" t="s">
        <v>3615</v>
      </c>
    </row>
    <row r="1100" spans="1:15" ht="15.75" customHeight="1" x14ac:dyDescent="0.25">
      <c r="A1100" s="16" t="s">
        <v>30</v>
      </c>
      <c r="B1100" s="16">
        <v>1066156</v>
      </c>
      <c r="C1100" s="16">
        <v>1067277</v>
      </c>
      <c r="E1100" s="16" t="s">
        <v>57</v>
      </c>
      <c r="F1100" s="16" t="s">
        <v>3616</v>
      </c>
      <c r="G1100" s="16" t="s">
        <v>3617</v>
      </c>
      <c r="I1100" s="16" t="s">
        <v>50</v>
      </c>
      <c r="L1100" s="16" t="s">
        <v>3618</v>
      </c>
      <c r="M1100" s="16" t="s">
        <v>3616</v>
      </c>
      <c r="N1100" s="16">
        <v>373</v>
      </c>
      <c r="O1100" s="16" t="s">
        <v>3619</v>
      </c>
    </row>
    <row r="1101" spans="1:15" ht="15.75" customHeight="1" x14ac:dyDescent="0.25">
      <c r="A1101" s="16" t="s">
        <v>30</v>
      </c>
      <c r="B1101" s="16">
        <v>1067821</v>
      </c>
      <c r="C1101" s="16">
        <v>1069368</v>
      </c>
      <c r="E1101" s="16" t="s">
        <v>48</v>
      </c>
      <c r="F1101" s="16" t="s">
        <v>3620</v>
      </c>
      <c r="G1101" s="16" t="s">
        <v>3621</v>
      </c>
      <c r="I1101" s="16" t="s">
        <v>50</v>
      </c>
      <c r="L1101" s="16" t="s">
        <v>3622</v>
      </c>
      <c r="M1101" s="16" t="s">
        <v>3620</v>
      </c>
      <c r="N1101" s="16">
        <v>515</v>
      </c>
      <c r="O1101" s="16" t="s">
        <v>3623</v>
      </c>
    </row>
    <row r="1102" spans="1:15" ht="15.75" customHeight="1" x14ac:dyDescent="0.25">
      <c r="A1102" s="16" t="s">
        <v>30</v>
      </c>
      <c r="B1102" s="16">
        <v>1069454</v>
      </c>
      <c r="C1102" s="16">
        <v>1070530</v>
      </c>
      <c r="E1102" s="16" t="s">
        <v>48</v>
      </c>
      <c r="F1102" s="16" t="s">
        <v>3624</v>
      </c>
      <c r="G1102" s="16" t="s">
        <v>3625</v>
      </c>
      <c r="I1102" s="16" t="s">
        <v>50</v>
      </c>
      <c r="L1102" s="16" t="s">
        <v>3626</v>
      </c>
      <c r="M1102" s="16" t="s">
        <v>3624</v>
      </c>
      <c r="N1102" s="16">
        <v>358</v>
      </c>
      <c r="O1102" s="16" t="s">
        <v>3627</v>
      </c>
    </row>
    <row r="1103" spans="1:15" ht="15.75" customHeight="1" x14ac:dyDescent="0.25">
      <c r="A1103" s="16" t="s">
        <v>30</v>
      </c>
      <c r="B1103" s="16">
        <v>1070707</v>
      </c>
      <c r="C1103" s="16">
        <v>1072116</v>
      </c>
      <c r="E1103" s="16" t="s">
        <v>48</v>
      </c>
      <c r="F1103" s="16" t="s">
        <v>3628</v>
      </c>
      <c r="G1103" s="16" t="s">
        <v>3629</v>
      </c>
      <c r="I1103" s="16" t="s">
        <v>50</v>
      </c>
      <c r="L1103" s="16" t="s">
        <v>3630</v>
      </c>
      <c r="M1103" s="16" t="s">
        <v>3628</v>
      </c>
      <c r="N1103" s="16">
        <v>469</v>
      </c>
      <c r="O1103" s="16" t="s">
        <v>3631</v>
      </c>
    </row>
    <row r="1104" spans="1:15" ht="15.75" customHeight="1" x14ac:dyDescent="0.25">
      <c r="A1104" s="16" t="s">
        <v>30</v>
      </c>
      <c r="B1104" s="16">
        <v>1072141</v>
      </c>
      <c r="C1104" s="16">
        <v>1072743</v>
      </c>
      <c r="E1104" s="16" t="s">
        <v>48</v>
      </c>
      <c r="F1104" s="16" t="s">
        <v>3632</v>
      </c>
      <c r="G1104" s="16" t="s">
        <v>3633</v>
      </c>
      <c r="I1104" s="16" t="s">
        <v>50</v>
      </c>
      <c r="L1104" s="16" t="s">
        <v>3634</v>
      </c>
      <c r="M1104" s="16" t="s">
        <v>3632</v>
      </c>
      <c r="N1104" s="16">
        <v>200</v>
      </c>
      <c r="O1104" s="16" t="s">
        <v>3635</v>
      </c>
    </row>
    <row r="1105" spans="1:15" ht="15.75" customHeight="1" x14ac:dyDescent="0.25">
      <c r="A1105" s="16" t="s">
        <v>30</v>
      </c>
      <c r="B1105" s="16">
        <v>1072857</v>
      </c>
      <c r="C1105" s="16">
        <v>1078631</v>
      </c>
      <c r="E1105" s="16" t="s">
        <v>57</v>
      </c>
      <c r="F1105" s="16" t="s">
        <v>3636</v>
      </c>
      <c r="I1105" s="16" t="s">
        <v>50</v>
      </c>
      <c r="L1105" s="16" t="s">
        <v>3637</v>
      </c>
      <c r="M1105" s="16" t="s">
        <v>3636</v>
      </c>
      <c r="N1105" s="16">
        <v>1924</v>
      </c>
      <c r="O1105" s="16" t="s">
        <v>3638</v>
      </c>
    </row>
    <row r="1106" spans="1:15" ht="15.75" customHeight="1" x14ac:dyDescent="0.25">
      <c r="A1106" s="16" t="s">
        <v>30</v>
      </c>
      <c r="B1106" s="16">
        <v>1078872</v>
      </c>
      <c r="C1106" s="16">
        <v>1079951</v>
      </c>
      <c r="E1106" s="16" t="s">
        <v>57</v>
      </c>
      <c r="F1106" s="16" t="s">
        <v>3639</v>
      </c>
      <c r="G1106" s="16" t="s">
        <v>3640</v>
      </c>
      <c r="I1106" s="16" t="s">
        <v>50</v>
      </c>
      <c r="L1106" s="16" t="s">
        <v>3641</v>
      </c>
      <c r="M1106" s="16" t="s">
        <v>3639</v>
      </c>
      <c r="N1106" s="16">
        <v>359</v>
      </c>
      <c r="O1106" s="16" t="s">
        <v>3642</v>
      </c>
    </row>
    <row r="1107" spans="1:15" ht="15.75" customHeight="1" x14ac:dyDescent="0.25">
      <c r="A1107" s="16" t="s">
        <v>30</v>
      </c>
      <c r="B1107" s="16">
        <v>1079953</v>
      </c>
      <c r="C1107" s="16">
        <v>1081053</v>
      </c>
      <c r="E1107" s="16" t="s">
        <v>57</v>
      </c>
      <c r="F1107" s="16" t="s">
        <v>3643</v>
      </c>
      <c r="G1107" s="16" t="s">
        <v>3644</v>
      </c>
      <c r="I1107" s="16" t="s">
        <v>50</v>
      </c>
      <c r="L1107" s="16" t="s">
        <v>3645</v>
      </c>
      <c r="M1107" s="16" t="s">
        <v>3643</v>
      </c>
      <c r="N1107" s="16">
        <v>366</v>
      </c>
      <c r="O1107" s="16" t="s">
        <v>3646</v>
      </c>
    </row>
    <row r="1108" spans="1:15" ht="15.75" customHeight="1" x14ac:dyDescent="0.25">
      <c r="A1108" s="16" t="s">
        <v>30</v>
      </c>
      <c r="B1108" s="16">
        <v>1081312</v>
      </c>
      <c r="C1108" s="16">
        <v>1082676</v>
      </c>
      <c r="E1108" s="16" t="s">
        <v>57</v>
      </c>
      <c r="F1108" s="16" t="s">
        <v>3647</v>
      </c>
      <c r="G1108" s="16" t="s">
        <v>3648</v>
      </c>
      <c r="I1108" s="16" t="s">
        <v>50</v>
      </c>
      <c r="L1108" s="16" t="s">
        <v>3649</v>
      </c>
      <c r="M1108" s="16" t="s">
        <v>3647</v>
      </c>
      <c r="N1108" s="16">
        <v>454</v>
      </c>
      <c r="O1108" s="16" t="s">
        <v>3650</v>
      </c>
    </row>
    <row r="1109" spans="1:15" ht="15.75" customHeight="1" x14ac:dyDescent="0.25">
      <c r="A1109" s="16" t="s">
        <v>30</v>
      </c>
      <c r="B1109" s="16">
        <v>1082868</v>
      </c>
      <c r="C1109" s="16">
        <v>1085609</v>
      </c>
      <c r="E1109" s="16" t="s">
        <v>57</v>
      </c>
      <c r="F1109" s="16" t="s">
        <v>3651</v>
      </c>
      <c r="G1109" s="16" t="s">
        <v>3652</v>
      </c>
      <c r="I1109" s="16" t="s">
        <v>50</v>
      </c>
      <c r="L1109" s="16" t="s">
        <v>3653</v>
      </c>
      <c r="M1109" s="16" t="s">
        <v>3651</v>
      </c>
      <c r="N1109" s="16">
        <v>913</v>
      </c>
      <c r="O1109" s="16" t="s">
        <v>3654</v>
      </c>
    </row>
    <row r="1110" spans="1:15" ht="15.75" customHeight="1" x14ac:dyDescent="0.25">
      <c r="A1110" s="16" t="s">
        <v>30</v>
      </c>
      <c r="B1110" s="16">
        <v>1085637</v>
      </c>
      <c r="C1110" s="16">
        <v>1087520</v>
      </c>
      <c r="E1110" s="16" t="s">
        <v>57</v>
      </c>
      <c r="F1110" s="16" t="s">
        <v>3655</v>
      </c>
      <c r="I1110" s="16" t="s">
        <v>50</v>
      </c>
      <c r="L1110" s="16" t="s">
        <v>3656</v>
      </c>
      <c r="M1110" s="16" t="s">
        <v>3655</v>
      </c>
      <c r="N1110" s="16">
        <v>627</v>
      </c>
      <c r="O1110" s="16" t="s">
        <v>3657</v>
      </c>
    </row>
    <row r="1111" spans="1:15" ht="15.75" customHeight="1" x14ac:dyDescent="0.25">
      <c r="A1111" s="16" t="s">
        <v>30</v>
      </c>
      <c r="B1111" s="16">
        <v>1087617</v>
      </c>
      <c r="C1111" s="16">
        <v>1089077</v>
      </c>
      <c r="E1111" s="16" t="s">
        <v>48</v>
      </c>
      <c r="F1111" s="16" t="s">
        <v>3658</v>
      </c>
      <c r="I1111" s="16" t="s">
        <v>50</v>
      </c>
      <c r="L1111" s="16" t="s">
        <v>3659</v>
      </c>
      <c r="M1111" s="16" t="s">
        <v>3658</v>
      </c>
      <c r="N1111" s="16">
        <v>486</v>
      </c>
      <c r="O1111" s="16" t="s">
        <v>3660</v>
      </c>
    </row>
    <row r="1112" spans="1:15" ht="15.75" customHeight="1" x14ac:dyDescent="0.25">
      <c r="A1112" s="16" t="s">
        <v>30</v>
      </c>
      <c r="B1112" s="16">
        <v>1089253</v>
      </c>
      <c r="C1112" s="16">
        <v>1089387</v>
      </c>
      <c r="E1112" s="16" t="s">
        <v>48</v>
      </c>
      <c r="F1112" s="16" t="s">
        <v>3661</v>
      </c>
      <c r="G1112" s="16" t="s">
        <v>3662</v>
      </c>
      <c r="I1112" s="16" t="s">
        <v>50</v>
      </c>
      <c r="L1112" s="16" t="s">
        <v>3663</v>
      </c>
      <c r="M1112" s="16" t="s">
        <v>3661</v>
      </c>
      <c r="N1112" s="16">
        <v>44</v>
      </c>
      <c r="O1112" s="16" t="s">
        <v>3664</v>
      </c>
    </row>
    <row r="1113" spans="1:15" ht="15.75" customHeight="1" x14ac:dyDescent="0.25">
      <c r="A1113" s="16" t="s">
        <v>30</v>
      </c>
      <c r="B1113" s="16">
        <v>1089400</v>
      </c>
      <c r="C1113" s="16">
        <v>1089759</v>
      </c>
      <c r="E1113" s="16" t="s">
        <v>48</v>
      </c>
      <c r="F1113" s="16" t="s">
        <v>3665</v>
      </c>
      <c r="G1113" s="16" t="s">
        <v>3666</v>
      </c>
      <c r="I1113" s="16" t="s">
        <v>50</v>
      </c>
      <c r="L1113" s="16" t="s">
        <v>3667</v>
      </c>
      <c r="M1113" s="16" t="s">
        <v>3665</v>
      </c>
      <c r="N1113" s="16">
        <v>119</v>
      </c>
      <c r="O1113" s="16" t="s">
        <v>3668</v>
      </c>
    </row>
    <row r="1114" spans="1:15" ht="15.75" customHeight="1" x14ac:dyDescent="0.25">
      <c r="A1114" s="16" t="s">
        <v>30</v>
      </c>
      <c r="B1114" s="16">
        <v>1089723</v>
      </c>
      <c r="C1114" s="16">
        <v>1089983</v>
      </c>
      <c r="E1114" s="16" t="s">
        <v>48</v>
      </c>
      <c r="F1114" s="16" t="s">
        <v>3669</v>
      </c>
      <c r="G1114" s="16" t="s">
        <v>3670</v>
      </c>
      <c r="I1114" s="16" t="s">
        <v>50</v>
      </c>
      <c r="L1114" s="16" t="s">
        <v>3671</v>
      </c>
      <c r="M1114" s="16" t="s">
        <v>3669</v>
      </c>
      <c r="N1114" s="16">
        <v>86</v>
      </c>
      <c r="O1114" s="16" t="s">
        <v>3672</v>
      </c>
    </row>
    <row r="1115" spans="1:15" ht="15.75" customHeight="1" x14ac:dyDescent="0.25">
      <c r="A1115" s="16" t="s">
        <v>30</v>
      </c>
      <c r="B1115" s="16">
        <v>1089983</v>
      </c>
      <c r="C1115" s="16">
        <v>1091608</v>
      </c>
      <c r="E1115" s="16" t="s">
        <v>48</v>
      </c>
      <c r="F1115" s="16" t="s">
        <v>3673</v>
      </c>
      <c r="G1115" s="16" t="s">
        <v>3674</v>
      </c>
      <c r="I1115" s="16" t="s">
        <v>50</v>
      </c>
      <c r="L1115" s="16" t="s">
        <v>3675</v>
      </c>
      <c r="M1115" s="16" t="s">
        <v>3673</v>
      </c>
      <c r="N1115" s="16">
        <v>541</v>
      </c>
      <c r="O1115" s="16" t="s">
        <v>3676</v>
      </c>
    </row>
    <row r="1116" spans="1:15" ht="15.75" customHeight="1" x14ac:dyDescent="0.25">
      <c r="A1116" s="16" t="s">
        <v>30</v>
      </c>
      <c r="B1116" s="16">
        <v>1092001</v>
      </c>
      <c r="C1116" s="16">
        <v>1093359</v>
      </c>
      <c r="E1116" s="16" t="s">
        <v>48</v>
      </c>
      <c r="F1116" s="16" t="s">
        <v>3677</v>
      </c>
      <c r="G1116" s="16" t="s">
        <v>3678</v>
      </c>
      <c r="I1116" s="16" t="s">
        <v>50</v>
      </c>
      <c r="L1116" s="16" t="s">
        <v>3679</v>
      </c>
      <c r="M1116" s="16" t="s">
        <v>3677</v>
      </c>
      <c r="N1116" s="16">
        <v>452</v>
      </c>
      <c r="O1116" s="16" t="s">
        <v>3680</v>
      </c>
    </row>
    <row r="1117" spans="1:15" ht="15.75" customHeight="1" x14ac:dyDescent="0.25">
      <c r="A1117" s="16" t="s">
        <v>30</v>
      </c>
      <c r="B1117" s="16">
        <v>1093551</v>
      </c>
      <c r="C1117" s="16">
        <v>1095419</v>
      </c>
      <c r="E1117" s="16" t="s">
        <v>48</v>
      </c>
      <c r="F1117" s="16" t="s">
        <v>3681</v>
      </c>
      <c r="I1117" s="16" t="s">
        <v>50</v>
      </c>
      <c r="L1117" s="16" t="s">
        <v>3682</v>
      </c>
      <c r="M1117" s="16" t="s">
        <v>3681</v>
      </c>
      <c r="N1117" s="16">
        <v>622</v>
      </c>
      <c r="O1117" s="16" t="s">
        <v>3683</v>
      </c>
    </row>
    <row r="1118" spans="1:15" ht="15.75" customHeight="1" x14ac:dyDescent="0.25">
      <c r="A1118" s="16" t="s">
        <v>30</v>
      </c>
      <c r="B1118" s="16">
        <v>1095507</v>
      </c>
      <c r="C1118" s="16">
        <v>1097066</v>
      </c>
      <c r="E1118" s="16" t="s">
        <v>48</v>
      </c>
      <c r="F1118" s="16" t="s">
        <v>3684</v>
      </c>
      <c r="I1118" s="16" t="s">
        <v>50</v>
      </c>
      <c r="L1118" s="16" t="s">
        <v>3685</v>
      </c>
      <c r="M1118" s="16" t="s">
        <v>3684</v>
      </c>
      <c r="N1118" s="16">
        <v>519</v>
      </c>
      <c r="O1118" s="16" t="s">
        <v>3686</v>
      </c>
    </row>
    <row r="1119" spans="1:15" ht="15.75" customHeight="1" x14ac:dyDescent="0.25">
      <c r="A1119" s="16" t="s">
        <v>30</v>
      </c>
      <c r="B1119" s="16">
        <v>1097136</v>
      </c>
      <c r="C1119" s="16">
        <v>1097651</v>
      </c>
      <c r="E1119" s="16" t="s">
        <v>48</v>
      </c>
      <c r="F1119" s="16" t="s">
        <v>3687</v>
      </c>
      <c r="G1119" s="16" t="s">
        <v>3688</v>
      </c>
      <c r="I1119" s="16" t="s">
        <v>50</v>
      </c>
      <c r="L1119" s="16" t="s">
        <v>3689</v>
      </c>
      <c r="M1119" s="16" t="s">
        <v>3687</v>
      </c>
      <c r="N1119" s="16">
        <v>171</v>
      </c>
      <c r="O1119" s="16" t="s">
        <v>3690</v>
      </c>
    </row>
    <row r="1120" spans="1:15" ht="15.75" customHeight="1" x14ac:dyDescent="0.25">
      <c r="A1120" s="16" t="s">
        <v>30</v>
      </c>
      <c r="B1120" s="16">
        <v>1097648</v>
      </c>
      <c r="C1120" s="16">
        <v>1098592</v>
      </c>
      <c r="E1120" s="16" t="s">
        <v>48</v>
      </c>
      <c r="F1120" s="16" t="s">
        <v>3691</v>
      </c>
      <c r="G1120" s="16" t="s">
        <v>3692</v>
      </c>
      <c r="I1120" s="16" t="s">
        <v>50</v>
      </c>
      <c r="L1120" s="16" t="s">
        <v>3693</v>
      </c>
      <c r="M1120" s="16" t="s">
        <v>3691</v>
      </c>
      <c r="N1120" s="16">
        <v>314</v>
      </c>
      <c r="O1120" s="16" t="s">
        <v>3694</v>
      </c>
    </row>
    <row r="1121" spans="1:15" ht="15.75" customHeight="1" x14ac:dyDescent="0.25">
      <c r="A1121" s="16" t="s">
        <v>30</v>
      </c>
      <c r="B1121" s="16">
        <v>1098762</v>
      </c>
      <c r="C1121" s="16">
        <v>1099109</v>
      </c>
      <c r="E1121" s="16" t="s">
        <v>48</v>
      </c>
      <c r="F1121" s="16" t="s">
        <v>3695</v>
      </c>
      <c r="I1121" s="16" t="s">
        <v>50</v>
      </c>
      <c r="L1121" s="16" t="s">
        <v>3696</v>
      </c>
      <c r="M1121" s="16" t="s">
        <v>3695</v>
      </c>
      <c r="N1121" s="16">
        <v>115</v>
      </c>
      <c r="O1121" s="16" t="s">
        <v>3697</v>
      </c>
    </row>
    <row r="1122" spans="1:15" ht="15.75" customHeight="1" x14ac:dyDescent="0.25">
      <c r="A1122" s="16" t="s">
        <v>30</v>
      </c>
      <c r="B1122" s="16">
        <v>1099356</v>
      </c>
      <c r="C1122" s="16">
        <v>1100354</v>
      </c>
      <c r="E1122" s="16" t="s">
        <v>48</v>
      </c>
      <c r="F1122" s="16" t="s">
        <v>3698</v>
      </c>
      <c r="G1122" s="16" t="s">
        <v>3699</v>
      </c>
      <c r="I1122" s="16" t="s">
        <v>50</v>
      </c>
      <c r="L1122" s="16" t="s">
        <v>3700</v>
      </c>
      <c r="M1122" s="16" t="s">
        <v>3698</v>
      </c>
      <c r="N1122" s="16">
        <v>332</v>
      </c>
      <c r="O1122" s="16" t="s">
        <v>3701</v>
      </c>
    </row>
    <row r="1123" spans="1:15" ht="15.75" customHeight="1" x14ac:dyDescent="0.25">
      <c r="A1123" s="16" t="s">
        <v>30</v>
      </c>
      <c r="B1123" s="16">
        <v>1100359</v>
      </c>
      <c r="C1123" s="16">
        <v>1101975</v>
      </c>
      <c r="E1123" s="16" t="s">
        <v>48</v>
      </c>
      <c r="F1123" s="16" t="s">
        <v>3702</v>
      </c>
      <c r="G1123" s="16" t="s">
        <v>3703</v>
      </c>
      <c r="I1123" s="16" t="s">
        <v>50</v>
      </c>
      <c r="L1123" s="16" t="s">
        <v>3704</v>
      </c>
      <c r="M1123" s="16" t="s">
        <v>3702</v>
      </c>
      <c r="N1123" s="16">
        <v>538</v>
      </c>
      <c r="O1123" s="16" t="s">
        <v>3705</v>
      </c>
    </row>
    <row r="1124" spans="1:15" ht="15.75" customHeight="1" x14ac:dyDescent="0.25">
      <c r="A1124" s="16" t="s">
        <v>30</v>
      </c>
      <c r="B1124" s="16">
        <v>1101959</v>
      </c>
      <c r="C1124" s="16">
        <v>1102606</v>
      </c>
      <c r="E1124" s="16" t="s">
        <v>48</v>
      </c>
      <c r="F1124" s="16" t="s">
        <v>3706</v>
      </c>
      <c r="G1124" s="16" t="s">
        <v>3707</v>
      </c>
      <c r="I1124" s="16" t="s">
        <v>50</v>
      </c>
      <c r="L1124" s="16" t="s">
        <v>3708</v>
      </c>
      <c r="M1124" s="16" t="s">
        <v>3706</v>
      </c>
      <c r="N1124" s="16">
        <v>215</v>
      </c>
      <c r="O1124" s="16" t="s">
        <v>3709</v>
      </c>
    </row>
    <row r="1125" spans="1:15" ht="15.75" customHeight="1" x14ac:dyDescent="0.25">
      <c r="A1125" s="16" t="s">
        <v>30</v>
      </c>
      <c r="B1125" s="16">
        <v>1102719</v>
      </c>
      <c r="C1125" s="16">
        <v>1103720</v>
      </c>
      <c r="E1125" s="16" t="s">
        <v>48</v>
      </c>
      <c r="F1125" s="16" t="s">
        <v>3710</v>
      </c>
      <c r="G1125" s="16" t="s">
        <v>3711</v>
      </c>
      <c r="I1125" s="16" t="s">
        <v>50</v>
      </c>
      <c r="L1125" s="16" t="s">
        <v>3712</v>
      </c>
      <c r="M1125" s="16" t="s">
        <v>3710</v>
      </c>
      <c r="N1125" s="16">
        <v>333</v>
      </c>
      <c r="O1125" s="16" t="s">
        <v>3713</v>
      </c>
    </row>
    <row r="1126" spans="1:15" ht="15.75" customHeight="1" x14ac:dyDescent="0.25">
      <c r="A1126" s="16" t="s">
        <v>30</v>
      </c>
      <c r="B1126" s="16">
        <v>1103845</v>
      </c>
      <c r="C1126" s="16">
        <v>1105842</v>
      </c>
      <c r="E1126" s="16" t="s">
        <v>57</v>
      </c>
      <c r="F1126" s="16" t="s">
        <v>3714</v>
      </c>
      <c r="G1126" s="16" t="s">
        <v>3715</v>
      </c>
      <c r="I1126" s="16" t="s">
        <v>50</v>
      </c>
      <c r="L1126" s="16" t="s">
        <v>3716</v>
      </c>
      <c r="M1126" s="16" t="s">
        <v>3714</v>
      </c>
      <c r="N1126" s="16">
        <v>665</v>
      </c>
      <c r="O1126" s="16" t="s">
        <v>3717</v>
      </c>
    </row>
    <row r="1127" spans="1:15" ht="15.75" customHeight="1" x14ac:dyDescent="0.25">
      <c r="A1127" s="16" t="s">
        <v>30</v>
      </c>
      <c r="B1127" s="16">
        <v>1106223</v>
      </c>
      <c r="C1127" s="16">
        <v>1107167</v>
      </c>
      <c r="E1127" s="16" t="s">
        <v>48</v>
      </c>
      <c r="F1127" s="16" t="s">
        <v>3718</v>
      </c>
      <c r="G1127" s="16" t="s">
        <v>3719</v>
      </c>
      <c r="I1127" s="16" t="s">
        <v>50</v>
      </c>
      <c r="L1127" s="16" t="s">
        <v>3720</v>
      </c>
      <c r="M1127" s="16" t="s">
        <v>3718</v>
      </c>
      <c r="N1127" s="16">
        <v>314</v>
      </c>
      <c r="O1127" s="16" t="s">
        <v>3721</v>
      </c>
    </row>
    <row r="1128" spans="1:15" ht="15.75" customHeight="1" x14ac:dyDescent="0.25">
      <c r="A1128" s="16" t="s">
        <v>30</v>
      </c>
      <c r="B1128" s="16">
        <v>1107185</v>
      </c>
      <c r="C1128" s="16">
        <v>1107676</v>
      </c>
      <c r="E1128" s="16" t="s">
        <v>48</v>
      </c>
      <c r="F1128" s="16" t="s">
        <v>3722</v>
      </c>
      <c r="I1128" s="16" t="s">
        <v>50</v>
      </c>
      <c r="L1128" s="16" t="s">
        <v>3723</v>
      </c>
      <c r="M1128" s="16" t="s">
        <v>3722</v>
      </c>
      <c r="N1128" s="16">
        <v>163</v>
      </c>
      <c r="O1128" s="16" t="s">
        <v>3724</v>
      </c>
    </row>
    <row r="1129" spans="1:15" ht="15.75" customHeight="1" x14ac:dyDescent="0.25">
      <c r="A1129" s="16" t="s">
        <v>30</v>
      </c>
      <c r="B1129" s="16">
        <v>1107972</v>
      </c>
      <c r="C1129" s="16">
        <v>1108919</v>
      </c>
      <c r="E1129" s="16" t="s">
        <v>48</v>
      </c>
      <c r="F1129" s="16" t="s">
        <v>3725</v>
      </c>
      <c r="G1129" s="16" t="s">
        <v>3726</v>
      </c>
      <c r="I1129" s="16" t="s">
        <v>50</v>
      </c>
      <c r="L1129" s="16" t="s">
        <v>3727</v>
      </c>
      <c r="M1129" s="16" t="s">
        <v>3725</v>
      </c>
      <c r="N1129" s="16">
        <v>315</v>
      </c>
      <c r="O1129" s="16" t="s">
        <v>3728</v>
      </c>
    </row>
    <row r="1130" spans="1:15" ht="15.75" customHeight="1" x14ac:dyDescent="0.25">
      <c r="A1130" s="16" t="s">
        <v>30</v>
      </c>
      <c r="B1130" s="16">
        <v>1108919</v>
      </c>
      <c r="C1130" s="16">
        <v>1109464</v>
      </c>
      <c r="E1130" s="16" t="s">
        <v>48</v>
      </c>
      <c r="F1130" s="16" t="s">
        <v>3729</v>
      </c>
      <c r="I1130" s="16" t="s">
        <v>50</v>
      </c>
      <c r="L1130" s="16" t="s">
        <v>3730</v>
      </c>
      <c r="M1130" s="16" t="s">
        <v>3729</v>
      </c>
      <c r="N1130" s="16">
        <v>181</v>
      </c>
      <c r="O1130" s="16" t="s">
        <v>3731</v>
      </c>
    </row>
    <row r="1131" spans="1:15" ht="15.75" customHeight="1" x14ac:dyDescent="0.25">
      <c r="A1131" s="16" t="s">
        <v>30</v>
      </c>
      <c r="B1131" s="16">
        <v>1109645</v>
      </c>
      <c r="C1131" s="16">
        <v>1110481</v>
      </c>
      <c r="E1131" s="16" t="s">
        <v>57</v>
      </c>
      <c r="F1131" s="16" t="s">
        <v>3732</v>
      </c>
      <c r="I1131" s="16" t="s">
        <v>50</v>
      </c>
      <c r="L1131" s="16" t="s">
        <v>3733</v>
      </c>
      <c r="M1131" s="16" t="s">
        <v>3732</v>
      </c>
      <c r="N1131" s="16">
        <v>278</v>
      </c>
      <c r="O1131" s="16" t="s">
        <v>3734</v>
      </c>
    </row>
    <row r="1132" spans="1:15" ht="15.75" customHeight="1" x14ac:dyDescent="0.25">
      <c r="A1132" s="16" t="s">
        <v>30</v>
      </c>
      <c r="B1132" s="16">
        <v>1110908</v>
      </c>
      <c r="C1132" s="16">
        <v>1112110</v>
      </c>
      <c r="E1132" s="16" t="s">
        <v>48</v>
      </c>
      <c r="F1132" s="16" t="s">
        <v>3735</v>
      </c>
      <c r="I1132" s="16" t="s">
        <v>50</v>
      </c>
      <c r="L1132" s="16" t="s">
        <v>3736</v>
      </c>
      <c r="M1132" s="16" t="s">
        <v>3735</v>
      </c>
      <c r="N1132" s="16">
        <v>400</v>
      </c>
      <c r="O1132" s="16" t="s">
        <v>3737</v>
      </c>
    </row>
    <row r="1133" spans="1:15" ht="15.75" customHeight="1" x14ac:dyDescent="0.25">
      <c r="A1133" s="16" t="s">
        <v>30</v>
      </c>
      <c r="B1133" s="16">
        <v>1112445</v>
      </c>
      <c r="C1133" s="16">
        <v>1114010</v>
      </c>
      <c r="E1133" s="16" t="s">
        <v>57</v>
      </c>
      <c r="F1133" s="16" t="s">
        <v>3738</v>
      </c>
      <c r="I1133" s="16" t="s">
        <v>50</v>
      </c>
      <c r="L1133" s="16" t="s">
        <v>3739</v>
      </c>
      <c r="M1133" s="16" t="s">
        <v>3738</v>
      </c>
      <c r="N1133" s="16">
        <v>521</v>
      </c>
      <c r="O1133" s="16" t="s">
        <v>3740</v>
      </c>
    </row>
    <row r="1134" spans="1:15" ht="15.75" customHeight="1" x14ac:dyDescent="0.25">
      <c r="A1134" s="16" t="s">
        <v>30</v>
      </c>
      <c r="B1134" s="16">
        <v>1114037</v>
      </c>
      <c r="C1134" s="16">
        <v>1115437</v>
      </c>
      <c r="E1134" s="16" t="s">
        <v>57</v>
      </c>
      <c r="F1134" s="16" t="s">
        <v>132</v>
      </c>
      <c r="I1134" s="16" t="s">
        <v>133</v>
      </c>
      <c r="O1134" s="16" t="s">
        <v>3741</v>
      </c>
    </row>
    <row r="1135" spans="1:15" ht="15.75" customHeight="1" x14ac:dyDescent="0.25">
      <c r="A1135" s="16" t="s">
        <v>30</v>
      </c>
      <c r="B1135" s="16">
        <v>1115673</v>
      </c>
      <c r="C1135" s="16">
        <v>1116173</v>
      </c>
      <c r="E1135" s="16" t="s">
        <v>57</v>
      </c>
      <c r="F1135" s="16" t="s">
        <v>1204</v>
      </c>
      <c r="G1135" s="16" t="s">
        <v>1205</v>
      </c>
      <c r="I1135" s="16" t="s">
        <v>50</v>
      </c>
      <c r="L1135" s="16" t="s">
        <v>3742</v>
      </c>
      <c r="M1135" s="16" t="s">
        <v>1204</v>
      </c>
      <c r="N1135" s="16">
        <v>166</v>
      </c>
      <c r="O1135" s="16" t="s">
        <v>3743</v>
      </c>
    </row>
    <row r="1136" spans="1:15" ht="15.75" customHeight="1" x14ac:dyDescent="0.25">
      <c r="A1136" s="16" t="s">
        <v>30</v>
      </c>
      <c r="B1136" s="16">
        <v>1116173</v>
      </c>
      <c r="C1136" s="16">
        <v>1116784</v>
      </c>
      <c r="E1136" s="16" t="s">
        <v>57</v>
      </c>
      <c r="F1136" s="16" t="s">
        <v>3744</v>
      </c>
      <c r="G1136" s="16" t="s">
        <v>3745</v>
      </c>
      <c r="I1136" s="16" t="s">
        <v>50</v>
      </c>
      <c r="L1136" s="16" t="s">
        <v>3746</v>
      </c>
      <c r="M1136" s="16" t="s">
        <v>3744</v>
      </c>
      <c r="N1136" s="16">
        <v>203</v>
      </c>
      <c r="O1136" s="16" t="s">
        <v>3747</v>
      </c>
    </row>
    <row r="1137" spans="1:15" ht="15.75" customHeight="1" x14ac:dyDescent="0.25">
      <c r="A1137" s="16" t="s">
        <v>30</v>
      </c>
      <c r="B1137" s="16">
        <v>1116896</v>
      </c>
      <c r="C1137" s="16">
        <v>1117735</v>
      </c>
      <c r="E1137" s="16" t="s">
        <v>57</v>
      </c>
      <c r="F1137" s="16" t="s">
        <v>3748</v>
      </c>
      <c r="I1137" s="16" t="s">
        <v>50</v>
      </c>
      <c r="L1137" s="16" t="s">
        <v>3749</v>
      </c>
      <c r="M1137" s="16" t="s">
        <v>3748</v>
      </c>
      <c r="N1137" s="16">
        <v>279</v>
      </c>
      <c r="O1137" s="16" t="s">
        <v>3750</v>
      </c>
    </row>
    <row r="1138" spans="1:15" ht="15.75" customHeight="1" x14ac:dyDescent="0.25">
      <c r="A1138" s="16" t="s">
        <v>30</v>
      </c>
      <c r="B1138" s="16">
        <v>1117737</v>
      </c>
      <c r="C1138" s="16">
        <v>1118357</v>
      </c>
      <c r="E1138" s="16" t="s">
        <v>57</v>
      </c>
      <c r="F1138" s="16" t="s">
        <v>3751</v>
      </c>
      <c r="G1138" s="16" t="s">
        <v>3752</v>
      </c>
      <c r="I1138" s="16" t="s">
        <v>50</v>
      </c>
      <c r="L1138" s="16" t="s">
        <v>3753</v>
      </c>
      <c r="M1138" s="16" t="s">
        <v>3751</v>
      </c>
      <c r="N1138" s="16">
        <v>206</v>
      </c>
      <c r="O1138" s="16" t="s">
        <v>3754</v>
      </c>
    </row>
    <row r="1139" spans="1:15" ht="15.75" customHeight="1" x14ac:dyDescent="0.25">
      <c r="A1139" s="16" t="s">
        <v>30</v>
      </c>
      <c r="B1139" s="16">
        <v>1118365</v>
      </c>
      <c r="C1139" s="16">
        <v>1120788</v>
      </c>
      <c r="E1139" s="16" t="s">
        <v>57</v>
      </c>
      <c r="F1139" s="16" t="s">
        <v>3755</v>
      </c>
      <c r="I1139" s="16" t="s">
        <v>50</v>
      </c>
      <c r="L1139" s="16" t="s">
        <v>3756</v>
      </c>
      <c r="M1139" s="16" t="s">
        <v>3755</v>
      </c>
      <c r="N1139" s="16">
        <v>807</v>
      </c>
      <c r="O1139" s="16" t="s">
        <v>3757</v>
      </c>
    </row>
    <row r="1140" spans="1:15" ht="15.75" customHeight="1" x14ac:dyDescent="0.25">
      <c r="A1140" s="16" t="s">
        <v>30</v>
      </c>
      <c r="B1140" s="16">
        <v>1121041</v>
      </c>
      <c r="C1140" s="16">
        <v>1122150</v>
      </c>
      <c r="E1140" s="16" t="s">
        <v>48</v>
      </c>
      <c r="F1140" s="16" t="s">
        <v>3758</v>
      </c>
      <c r="I1140" s="16" t="s">
        <v>50</v>
      </c>
      <c r="L1140" s="16" t="s">
        <v>3759</v>
      </c>
      <c r="M1140" s="16" t="s">
        <v>3758</v>
      </c>
      <c r="N1140" s="16">
        <v>369</v>
      </c>
      <c r="O1140" s="16" t="s">
        <v>3760</v>
      </c>
    </row>
    <row r="1141" spans="1:15" ht="15.75" customHeight="1" x14ac:dyDescent="0.25">
      <c r="A1141" s="16" t="s">
        <v>30</v>
      </c>
      <c r="B1141" s="16">
        <v>1122125</v>
      </c>
      <c r="C1141" s="16">
        <v>1122487</v>
      </c>
      <c r="E1141" s="16" t="s">
        <v>48</v>
      </c>
      <c r="F1141" s="16" t="s">
        <v>135</v>
      </c>
      <c r="I1141" s="16" t="s">
        <v>50</v>
      </c>
      <c r="L1141" s="16" t="s">
        <v>3761</v>
      </c>
      <c r="M1141" s="16" t="s">
        <v>135</v>
      </c>
      <c r="N1141" s="16">
        <v>120</v>
      </c>
      <c r="O1141" s="16" t="s">
        <v>3762</v>
      </c>
    </row>
    <row r="1142" spans="1:15" ht="15.75" customHeight="1" x14ac:dyDescent="0.25">
      <c r="A1142" s="16" t="s">
        <v>30</v>
      </c>
      <c r="B1142" s="16">
        <v>1122496</v>
      </c>
      <c r="C1142" s="16">
        <v>1122774</v>
      </c>
      <c r="E1142" s="16" t="s">
        <v>48</v>
      </c>
      <c r="F1142" s="16" t="s">
        <v>1020</v>
      </c>
      <c r="I1142" s="16" t="s">
        <v>50</v>
      </c>
      <c r="L1142" s="16" t="s">
        <v>3763</v>
      </c>
      <c r="M1142" s="16" t="s">
        <v>1020</v>
      </c>
      <c r="N1142" s="16">
        <v>92</v>
      </c>
      <c r="O1142" s="16" t="s">
        <v>3764</v>
      </c>
    </row>
    <row r="1143" spans="1:15" ht="15.75" customHeight="1" x14ac:dyDescent="0.25">
      <c r="A1143" s="16" t="s">
        <v>30</v>
      </c>
      <c r="B1143" s="16">
        <v>1122899</v>
      </c>
      <c r="C1143" s="16">
        <v>1124743</v>
      </c>
      <c r="E1143" s="16" t="s">
        <v>57</v>
      </c>
      <c r="F1143" s="16" t="s">
        <v>2398</v>
      </c>
      <c r="I1143" s="16" t="s">
        <v>50</v>
      </c>
      <c r="L1143" s="16" t="s">
        <v>3765</v>
      </c>
      <c r="M1143" s="16" t="s">
        <v>2398</v>
      </c>
      <c r="N1143" s="16">
        <v>614</v>
      </c>
      <c r="O1143" s="16" t="s">
        <v>3766</v>
      </c>
    </row>
    <row r="1144" spans="1:15" ht="15.75" customHeight="1" x14ac:dyDescent="0.25">
      <c r="A1144" s="16" t="s">
        <v>30</v>
      </c>
      <c r="B1144" s="16">
        <v>1124822</v>
      </c>
      <c r="C1144" s="16">
        <v>1125718</v>
      </c>
      <c r="E1144" s="16" t="s">
        <v>57</v>
      </c>
      <c r="F1144" s="16" t="s">
        <v>3767</v>
      </c>
      <c r="I1144" s="16" t="s">
        <v>50</v>
      </c>
      <c r="L1144" s="16" t="s">
        <v>3768</v>
      </c>
      <c r="M1144" s="16" t="s">
        <v>3767</v>
      </c>
      <c r="N1144" s="16">
        <v>298</v>
      </c>
      <c r="O1144" s="16" t="s">
        <v>3769</v>
      </c>
    </row>
    <row r="1145" spans="1:15" ht="15.75" customHeight="1" x14ac:dyDescent="0.25">
      <c r="A1145" s="16" t="s">
        <v>30</v>
      </c>
      <c r="B1145" s="16">
        <v>1125830</v>
      </c>
      <c r="C1145" s="16">
        <v>1126171</v>
      </c>
      <c r="E1145" s="16" t="s">
        <v>48</v>
      </c>
      <c r="F1145" s="16" t="s">
        <v>3770</v>
      </c>
      <c r="I1145" s="16" t="s">
        <v>50</v>
      </c>
      <c r="L1145" s="16" t="s">
        <v>3771</v>
      </c>
      <c r="M1145" s="16" t="s">
        <v>3770</v>
      </c>
      <c r="N1145" s="16">
        <v>113</v>
      </c>
      <c r="O1145" s="16" t="s">
        <v>3772</v>
      </c>
    </row>
    <row r="1146" spans="1:15" ht="15.75" customHeight="1" x14ac:dyDescent="0.25">
      <c r="A1146" s="16" t="s">
        <v>30</v>
      </c>
      <c r="B1146" s="16">
        <v>1126282</v>
      </c>
      <c r="C1146" s="16">
        <v>1129056</v>
      </c>
      <c r="E1146" s="16" t="s">
        <v>57</v>
      </c>
      <c r="F1146" s="16" t="s">
        <v>364</v>
      </c>
      <c r="I1146" s="16" t="s">
        <v>50</v>
      </c>
      <c r="L1146" s="16" t="s">
        <v>3773</v>
      </c>
      <c r="M1146" s="16" t="s">
        <v>364</v>
      </c>
      <c r="N1146" s="16">
        <v>924</v>
      </c>
      <c r="O1146" s="16" t="s">
        <v>3774</v>
      </c>
    </row>
    <row r="1147" spans="1:15" ht="15.75" customHeight="1" x14ac:dyDescent="0.25">
      <c r="A1147" s="16" t="s">
        <v>30</v>
      </c>
      <c r="B1147" s="16">
        <v>1129046</v>
      </c>
      <c r="C1147" s="16">
        <v>1130479</v>
      </c>
      <c r="E1147" s="16" t="s">
        <v>57</v>
      </c>
      <c r="F1147" s="16" t="s">
        <v>1447</v>
      </c>
      <c r="I1147" s="16" t="s">
        <v>50</v>
      </c>
      <c r="L1147" s="16" t="s">
        <v>3775</v>
      </c>
      <c r="M1147" s="16" t="s">
        <v>1447</v>
      </c>
      <c r="N1147" s="16">
        <v>477</v>
      </c>
      <c r="O1147" s="16" t="s">
        <v>3776</v>
      </c>
    </row>
    <row r="1148" spans="1:15" ht="15.75" customHeight="1" x14ac:dyDescent="0.25">
      <c r="A1148" s="16" t="s">
        <v>30</v>
      </c>
      <c r="B1148" s="16">
        <v>1130405</v>
      </c>
      <c r="C1148" s="16">
        <v>1130626</v>
      </c>
      <c r="E1148" s="16" t="s">
        <v>48</v>
      </c>
      <c r="F1148" s="16" t="s">
        <v>135</v>
      </c>
      <c r="I1148" s="16" t="s">
        <v>50</v>
      </c>
      <c r="L1148" s="16" t="s">
        <v>3777</v>
      </c>
      <c r="M1148" s="16" t="s">
        <v>135</v>
      </c>
      <c r="N1148" s="16">
        <v>73</v>
      </c>
      <c r="O1148" s="16" t="s">
        <v>3778</v>
      </c>
    </row>
    <row r="1149" spans="1:15" ht="15.75" customHeight="1" x14ac:dyDescent="0.25">
      <c r="A1149" s="16" t="s">
        <v>30</v>
      </c>
      <c r="B1149" s="16">
        <v>1130707</v>
      </c>
      <c r="C1149" s="16">
        <v>1131159</v>
      </c>
      <c r="E1149" s="16" t="s">
        <v>57</v>
      </c>
      <c r="F1149" s="16" t="s">
        <v>135</v>
      </c>
      <c r="I1149" s="16" t="s">
        <v>50</v>
      </c>
      <c r="L1149" s="16" t="s">
        <v>3779</v>
      </c>
      <c r="M1149" s="16" t="s">
        <v>135</v>
      </c>
      <c r="N1149" s="16">
        <v>150</v>
      </c>
      <c r="O1149" s="16" t="s">
        <v>3780</v>
      </c>
    </row>
    <row r="1150" spans="1:15" ht="15.75" customHeight="1" x14ac:dyDescent="0.25">
      <c r="A1150" s="16" t="s">
        <v>30</v>
      </c>
      <c r="B1150" s="16">
        <v>1131375</v>
      </c>
      <c r="C1150" s="16">
        <v>1131968</v>
      </c>
      <c r="E1150" s="16" t="s">
        <v>57</v>
      </c>
      <c r="F1150" s="16" t="s">
        <v>3781</v>
      </c>
      <c r="G1150" s="16" t="s">
        <v>3782</v>
      </c>
      <c r="I1150" s="16" t="s">
        <v>50</v>
      </c>
      <c r="L1150" s="16" t="s">
        <v>3783</v>
      </c>
      <c r="M1150" s="16" t="s">
        <v>3781</v>
      </c>
      <c r="N1150" s="16">
        <v>197</v>
      </c>
      <c r="O1150" s="16" t="s">
        <v>3784</v>
      </c>
    </row>
    <row r="1151" spans="1:15" ht="15.75" customHeight="1" x14ac:dyDescent="0.25">
      <c r="A1151" s="16" t="s">
        <v>30</v>
      </c>
      <c r="B1151" s="16">
        <v>1131961</v>
      </c>
      <c r="C1151" s="16">
        <v>1133133</v>
      </c>
      <c r="E1151" s="16" t="s">
        <v>57</v>
      </c>
      <c r="F1151" s="16" t="s">
        <v>3785</v>
      </c>
      <c r="G1151" s="16" t="s">
        <v>3786</v>
      </c>
      <c r="I1151" s="16" t="s">
        <v>50</v>
      </c>
      <c r="L1151" s="16" t="s">
        <v>3787</v>
      </c>
      <c r="M1151" s="16" t="s">
        <v>3785</v>
      </c>
      <c r="N1151" s="16">
        <v>390</v>
      </c>
      <c r="O1151" s="16" t="s">
        <v>3788</v>
      </c>
    </row>
    <row r="1152" spans="1:15" ht="15.75" customHeight="1" x14ac:dyDescent="0.25">
      <c r="A1152" s="16" t="s">
        <v>30</v>
      </c>
      <c r="B1152" s="16">
        <v>1133200</v>
      </c>
      <c r="C1152" s="16">
        <v>1133988</v>
      </c>
      <c r="E1152" s="16" t="s">
        <v>57</v>
      </c>
      <c r="F1152" s="16" t="s">
        <v>3789</v>
      </c>
      <c r="G1152" s="16" t="s">
        <v>3790</v>
      </c>
      <c r="I1152" s="16" t="s">
        <v>50</v>
      </c>
      <c r="L1152" s="16" t="s">
        <v>3791</v>
      </c>
      <c r="M1152" s="16" t="s">
        <v>3789</v>
      </c>
      <c r="N1152" s="16">
        <v>262</v>
      </c>
      <c r="O1152" s="16" t="s">
        <v>3792</v>
      </c>
    </row>
    <row r="1153" spans="1:15" ht="15.75" customHeight="1" x14ac:dyDescent="0.25">
      <c r="A1153" s="16" t="s">
        <v>30</v>
      </c>
      <c r="B1153" s="16">
        <v>1134002</v>
      </c>
      <c r="C1153" s="16">
        <v>1134406</v>
      </c>
      <c r="E1153" s="16" t="s">
        <v>57</v>
      </c>
      <c r="F1153" s="16" t="s">
        <v>3793</v>
      </c>
      <c r="G1153" s="16" t="s">
        <v>3794</v>
      </c>
      <c r="I1153" s="16" t="s">
        <v>50</v>
      </c>
      <c r="L1153" s="16" t="s">
        <v>3795</v>
      </c>
      <c r="M1153" s="16" t="s">
        <v>3793</v>
      </c>
      <c r="N1153" s="16">
        <v>134</v>
      </c>
      <c r="O1153" s="16" t="s">
        <v>3796</v>
      </c>
    </row>
    <row r="1154" spans="1:15" ht="15.75" customHeight="1" x14ac:dyDescent="0.25">
      <c r="A1154" s="16" t="s">
        <v>30</v>
      </c>
      <c r="B1154" s="16">
        <v>1134524</v>
      </c>
      <c r="C1154" s="16">
        <v>1136092</v>
      </c>
      <c r="E1154" s="16" t="s">
        <v>57</v>
      </c>
      <c r="F1154" s="16" t="s">
        <v>3275</v>
      </c>
      <c r="I1154" s="16" t="s">
        <v>50</v>
      </c>
      <c r="L1154" s="16" t="s">
        <v>3797</v>
      </c>
      <c r="M1154" s="16" t="s">
        <v>3275</v>
      </c>
      <c r="N1154" s="16">
        <v>522</v>
      </c>
      <c r="O1154" s="16" t="s">
        <v>3798</v>
      </c>
    </row>
    <row r="1155" spans="1:15" ht="15.75" customHeight="1" x14ac:dyDescent="0.25">
      <c r="A1155" s="16" t="s">
        <v>30</v>
      </c>
      <c r="B1155" s="16">
        <v>1136224</v>
      </c>
      <c r="C1155" s="16">
        <v>1136937</v>
      </c>
      <c r="E1155" s="16" t="s">
        <v>48</v>
      </c>
      <c r="F1155" s="16" t="s">
        <v>3799</v>
      </c>
      <c r="G1155" s="16" t="s">
        <v>3800</v>
      </c>
      <c r="I1155" s="16" t="s">
        <v>50</v>
      </c>
      <c r="L1155" s="16" t="s">
        <v>3801</v>
      </c>
      <c r="M1155" s="16" t="s">
        <v>3799</v>
      </c>
      <c r="N1155" s="16">
        <v>237</v>
      </c>
      <c r="O1155" s="16" t="s">
        <v>3802</v>
      </c>
    </row>
    <row r="1156" spans="1:15" ht="15.75" customHeight="1" x14ac:dyDescent="0.25">
      <c r="A1156" s="16" t="s">
        <v>30</v>
      </c>
      <c r="B1156" s="16">
        <v>1137176</v>
      </c>
      <c r="C1156" s="16">
        <v>1138141</v>
      </c>
      <c r="E1156" s="16" t="s">
        <v>57</v>
      </c>
      <c r="F1156" s="16" t="s">
        <v>3803</v>
      </c>
      <c r="G1156" s="16" t="s">
        <v>3804</v>
      </c>
      <c r="I1156" s="16" t="s">
        <v>50</v>
      </c>
      <c r="L1156" s="16" t="s">
        <v>3805</v>
      </c>
      <c r="M1156" s="16" t="s">
        <v>3803</v>
      </c>
      <c r="N1156" s="16">
        <v>321</v>
      </c>
      <c r="O1156" s="16" t="s">
        <v>3806</v>
      </c>
    </row>
    <row r="1157" spans="1:15" ht="15.75" customHeight="1" x14ac:dyDescent="0.25">
      <c r="A1157" s="16" t="s">
        <v>30</v>
      </c>
      <c r="B1157" s="16">
        <v>1138138</v>
      </c>
      <c r="C1157" s="16">
        <v>1138815</v>
      </c>
      <c r="E1157" s="16" t="s">
        <v>57</v>
      </c>
      <c r="F1157" s="16" t="s">
        <v>3807</v>
      </c>
      <c r="G1157" s="16" t="s">
        <v>3808</v>
      </c>
      <c r="I1157" s="16" t="s">
        <v>50</v>
      </c>
      <c r="L1157" s="16" t="s">
        <v>3809</v>
      </c>
      <c r="M1157" s="16" t="s">
        <v>3807</v>
      </c>
      <c r="N1157" s="16">
        <v>225</v>
      </c>
      <c r="O1157" s="16" t="s">
        <v>3810</v>
      </c>
    </row>
    <row r="1158" spans="1:15" ht="15.75" customHeight="1" x14ac:dyDescent="0.25">
      <c r="A1158" s="16" t="s">
        <v>30</v>
      </c>
      <c r="B1158" s="16">
        <v>1138812</v>
      </c>
      <c r="C1158" s="16">
        <v>1139462</v>
      </c>
      <c r="E1158" s="16" t="s">
        <v>57</v>
      </c>
      <c r="F1158" s="16" t="s">
        <v>3811</v>
      </c>
      <c r="G1158" s="16" t="s">
        <v>3812</v>
      </c>
      <c r="I1158" s="16" t="s">
        <v>50</v>
      </c>
      <c r="L1158" s="16" t="s">
        <v>3813</v>
      </c>
      <c r="M1158" s="16" t="s">
        <v>3811</v>
      </c>
      <c r="N1158" s="16">
        <v>216</v>
      </c>
      <c r="O1158" s="16" t="s">
        <v>3814</v>
      </c>
    </row>
    <row r="1159" spans="1:15" ht="15.75" customHeight="1" x14ac:dyDescent="0.25">
      <c r="A1159" s="16" t="s">
        <v>30</v>
      </c>
      <c r="B1159" s="16">
        <v>1139538</v>
      </c>
      <c r="C1159" s="16">
        <v>1141064</v>
      </c>
      <c r="E1159" s="16" t="s">
        <v>57</v>
      </c>
      <c r="F1159" s="16" t="s">
        <v>3815</v>
      </c>
      <c r="G1159" s="16" t="s">
        <v>3816</v>
      </c>
      <c r="I1159" s="16" t="s">
        <v>50</v>
      </c>
      <c r="L1159" s="16" t="s">
        <v>3817</v>
      </c>
      <c r="M1159" s="16" t="s">
        <v>3815</v>
      </c>
      <c r="N1159" s="16">
        <v>508</v>
      </c>
      <c r="O1159" s="16" t="s">
        <v>3818</v>
      </c>
    </row>
    <row r="1160" spans="1:15" ht="15.75" customHeight="1" x14ac:dyDescent="0.25">
      <c r="A1160" s="16" t="s">
        <v>30</v>
      </c>
      <c r="B1160" s="16">
        <v>1141316</v>
      </c>
      <c r="C1160" s="16">
        <v>1145227</v>
      </c>
      <c r="E1160" s="16" t="s">
        <v>57</v>
      </c>
      <c r="F1160" s="16" t="s">
        <v>3819</v>
      </c>
      <c r="G1160" s="16" t="s">
        <v>3820</v>
      </c>
      <c r="I1160" s="16" t="s">
        <v>50</v>
      </c>
      <c r="L1160" s="16" t="s">
        <v>3821</v>
      </c>
      <c r="M1160" s="16" t="s">
        <v>3819</v>
      </c>
      <c r="N1160" s="16">
        <v>1303</v>
      </c>
      <c r="O1160" s="16" t="s">
        <v>3822</v>
      </c>
    </row>
    <row r="1161" spans="1:15" ht="15.75" customHeight="1" x14ac:dyDescent="0.25">
      <c r="A1161" s="16" t="s">
        <v>30</v>
      </c>
      <c r="B1161" s="16">
        <v>1145224</v>
      </c>
      <c r="C1161" s="16">
        <v>1145598</v>
      </c>
      <c r="E1161" s="16" t="s">
        <v>57</v>
      </c>
      <c r="F1161" s="16" t="s">
        <v>3823</v>
      </c>
      <c r="I1161" s="16" t="s">
        <v>50</v>
      </c>
      <c r="L1161" s="16" t="s">
        <v>3824</v>
      </c>
      <c r="M1161" s="16" t="s">
        <v>3823</v>
      </c>
      <c r="N1161" s="16">
        <v>124</v>
      </c>
      <c r="O1161" s="16" t="s">
        <v>3825</v>
      </c>
    </row>
    <row r="1162" spans="1:15" ht="15.75" customHeight="1" x14ac:dyDescent="0.25">
      <c r="A1162" s="16" t="s">
        <v>30</v>
      </c>
      <c r="B1162" s="16">
        <v>1145599</v>
      </c>
      <c r="C1162" s="16">
        <v>1146051</v>
      </c>
      <c r="E1162" s="16" t="s">
        <v>57</v>
      </c>
      <c r="F1162" s="16" t="s">
        <v>3826</v>
      </c>
      <c r="I1162" s="16" t="s">
        <v>50</v>
      </c>
      <c r="L1162" s="16" t="s">
        <v>3827</v>
      </c>
      <c r="M1162" s="16" t="s">
        <v>3826</v>
      </c>
      <c r="N1162" s="16">
        <v>150</v>
      </c>
      <c r="O1162" s="16" t="s">
        <v>3828</v>
      </c>
    </row>
    <row r="1163" spans="1:15" ht="15.75" customHeight="1" x14ac:dyDescent="0.25">
      <c r="A1163" s="16" t="s">
        <v>30</v>
      </c>
      <c r="B1163" s="16">
        <v>1146317</v>
      </c>
      <c r="C1163" s="16">
        <v>1147453</v>
      </c>
      <c r="E1163" s="16" t="s">
        <v>57</v>
      </c>
      <c r="F1163" s="16" t="s">
        <v>3829</v>
      </c>
      <c r="G1163" s="16" t="s">
        <v>3830</v>
      </c>
      <c r="I1163" s="16" t="s">
        <v>50</v>
      </c>
      <c r="L1163" s="16" t="s">
        <v>3831</v>
      </c>
      <c r="M1163" s="16" t="s">
        <v>3829</v>
      </c>
      <c r="N1163" s="16">
        <v>378</v>
      </c>
      <c r="O1163" s="16" t="s">
        <v>3832</v>
      </c>
    </row>
    <row r="1164" spans="1:15" ht="15.75" customHeight="1" x14ac:dyDescent="0.25">
      <c r="A1164" s="16" t="s">
        <v>30</v>
      </c>
      <c r="B1164" s="16">
        <v>1147468</v>
      </c>
      <c r="C1164" s="16">
        <v>1149033</v>
      </c>
      <c r="E1164" s="16" t="s">
        <v>57</v>
      </c>
      <c r="F1164" s="16" t="s">
        <v>3833</v>
      </c>
      <c r="I1164" s="16" t="s">
        <v>50</v>
      </c>
      <c r="L1164" s="16" t="s">
        <v>3834</v>
      </c>
      <c r="M1164" s="16" t="s">
        <v>3833</v>
      </c>
      <c r="N1164" s="16">
        <v>521</v>
      </c>
      <c r="O1164" s="16" t="s">
        <v>3835</v>
      </c>
    </row>
    <row r="1165" spans="1:15" ht="15.75" customHeight="1" x14ac:dyDescent="0.25">
      <c r="A1165" s="16" t="s">
        <v>30</v>
      </c>
      <c r="B1165" s="16">
        <v>1149685</v>
      </c>
      <c r="C1165" s="16">
        <v>1151322</v>
      </c>
      <c r="E1165" s="16" t="s">
        <v>48</v>
      </c>
      <c r="F1165" s="16" t="s">
        <v>3836</v>
      </c>
      <c r="G1165" s="16" t="s">
        <v>3837</v>
      </c>
      <c r="I1165" s="16" t="s">
        <v>50</v>
      </c>
      <c r="L1165" s="16" t="s">
        <v>3838</v>
      </c>
      <c r="M1165" s="16" t="s">
        <v>3836</v>
      </c>
      <c r="N1165" s="16">
        <v>545</v>
      </c>
      <c r="O1165" s="16" t="s">
        <v>3839</v>
      </c>
    </row>
    <row r="1166" spans="1:15" ht="15.75" customHeight="1" x14ac:dyDescent="0.25">
      <c r="A1166" s="16" t="s">
        <v>30</v>
      </c>
      <c r="B1166" s="16">
        <v>1151414</v>
      </c>
      <c r="C1166" s="16">
        <v>1152094</v>
      </c>
      <c r="E1166" s="16" t="s">
        <v>57</v>
      </c>
      <c r="F1166" s="16" t="s">
        <v>3840</v>
      </c>
      <c r="G1166" s="16" t="s">
        <v>3841</v>
      </c>
      <c r="I1166" s="16" t="s">
        <v>50</v>
      </c>
      <c r="L1166" s="16" t="s">
        <v>3842</v>
      </c>
      <c r="M1166" s="16" t="s">
        <v>3840</v>
      </c>
      <c r="N1166" s="16">
        <v>226</v>
      </c>
      <c r="O1166" s="16" t="s">
        <v>3843</v>
      </c>
    </row>
    <row r="1167" spans="1:15" ht="15.75" customHeight="1" x14ac:dyDescent="0.25">
      <c r="A1167" s="16" t="s">
        <v>30</v>
      </c>
      <c r="B1167" s="16">
        <v>1152270</v>
      </c>
      <c r="C1167" s="16">
        <v>1153037</v>
      </c>
      <c r="E1167" s="16" t="s">
        <v>57</v>
      </c>
      <c r="F1167" s="16" t="s">
        <v>3844</v>
      </c>
      <c r="I1167" s="16" t="s">
        <v>50</v>
      </c>
      <c r="L1167" s="16" t="s">
        <v>3845</v>
      </c>
      <c r="M1167" s="16" t="s">
        <v>3844</v>
      </c>
      <c r="N1167" s="16">
        <v>255</v>
      </c>
      <c r="O1167" s="16" t="s">
        <v>3846</v>
      </c>
    </row>
    <row r="1168" spans="1:15" ht="15.75" customHeight="1" x14ac:dyDescent="0.25">
      <c r="A1168" s="16" t="s">
        <v>30</v>
      </c>
      <c r="B1168" s="16">
        <v>1153047</v>
      </c>
      <c r="C1168" s="16">
        <v>1153763</v>
      </c>
      <c r="E1168" s="16" t="s">
        <v>57</v>
      </c>
      <c r="F1168" s="16" t="s">
        <v>3847</v>
      </c>
      <c r="I1168" s="16" t="s">
        <v>50</v>
      </c>
      <c r="L1168" s="16" t="s">
        <v>3848</v>
      </c>
      <c r="M1168" s="16" t="s">
        <v>3847</v>
      </c>
      <c r="N1168" s="16">
        <v>238</v>
      </c>
      <c r="O1168" s="16" t="s">
        <v>3849</v>
      </c>
    </row>
    <row r="1169" spans="1:15" ht="15.75" customHeight="1" x14ac:dyDescent="0.25">
      <c r="A1169" s="16" t="s">
        <v>30</v>
      </c>
      <c r="B1169" s="16">
        <v>1153747</v>
      </c>
      <c r="C1169" s="16">
        <v>1154520</v>
      </c>
      <c r="E1169" s="16" t="s">
        <v>57</v>
      </c>
      <c r="F1169" s="16" t="s">
        <v>3850</v>
      </c>
      <c r="I1169" s="16" t="s">
        <v>50</v>
      </c>
      <c r="L1169" s="16" t="s">
        <v>3851</v>
      </c>
      <c r="M1169" s="16" t="s">
        <v>3850</v>
      </c>
      <c r="N1169" s="16">
        <v>257</v>
      </c>
      <c r="O1169" s="16" t="s">
        <v>3852</v>
      </c>
    </row>
    <row r="1170" spans="1:15" ht="15.75" customHeight="1" x14ac:dyDescent="0.25">
      <c r="A1170" s="16" t="s">
        <v>30</v>
      </c>
      <c r="B1170" s="16">
        <v>1154821</v>
      </c>
      <c r="C1170" s="16">
        <v>1156095</v>
      </c>
      <c r="E1170" s="16" t="s">
        <v>57</v>
      </c>
      <c r="F1170" s="16" t="s">
        <v>3853</v>
      </c>
      <c r="G1170" s="16" t="s">
        <v>3854</v>
      </c>
      <c r="I1170" s="16" t="s">
        <v>50</v>
      </c>
      <c r="L1170" s="16" t="s">
        <v>3855</v>
      </c>
      <c r="M1170" s="16" t="s">
        <v>3853</v>
      </c>
      <c r="N1170" s="16">
        <v>424</v>
      </c>
      <c r="O1170" s="16" t="s">
        <v>3856</v>
      </c>
    </row>
    <row r="1171" spans="1:15" ht="15.75" customHeight="1" x14ac:dyDescent="0.25">
      <c r="A1171" s="16" t="s">
        <v>30</v>
      </c>
      <c r="B1171" s="16">
        <v>1156106</v>
      </c>
      <c r="C1171" s="16">
        <v>1156363</v>
      </c>
      <c r="E1171" s="16" t="s">
        <v>57</v>
      </c>
      <c r="F1171" s="16" t="s">
        <v>3857</v>
      </c>
      <c r="I1171" s="16" t="s">
        <v>50</v>
      </c>
      <c r="L1171" s="16" t="s">
        <v>3858</v>
      </c>
      <c r="M1171" s="16" t="s">
        <v>3857</v>
      </c>
      <c r="N1171" s="16">
        <v>85</v>
      </c>
      <c r="O1171" s="16" t="s">
        <v>3859</v>
      </c>
    </row>
    <row r="1172" spans="1:15" ht="15.75" customHeight="1" x14ac:dyDescent="0.25">
      <c r="A1172" s="16" t="s">
        <v>30</v>
      </c>
      <c r="B1172" s="16">
        <v>1156384</v>
      </c>
      <c r="C1172" s="16">
        <v>1156701</v>
      </c>
      <c r="E1172" s="16" t="s">
        <v>57</v>
      </c>
      <c r="F1172" s="16" t="s">
        <v>3860</v>
      </c>
      <c r="I1172" s="16" t="s">
        <v>50</v>
      </c>
      <c r="L1172" s="16" t="s">
        <v>3861</v>
      </c>
      <c r="M1172" s="16" t="s">
        <v>3860</v>
      </c>
      <c r="N1172" s="16">
        <v>105</v>
      </c>
      <c r="O1172" s="16" t="s">
        <v>3862</v>
      </c>
    </row>
    <row r="1173" spans="1:15" ht="15.75" customHeight="1" x14ac:dyDescent="0.25">
      <c r="A1173" s="16" t="s">
        <v>30</v>
      </c>
      <c r="B1173" s="16">
        <v>1156712</v>
      </c>
      <c r="C1173" s="16">
        <v>1157356</v>
      </c>
      <c r="E1173" s="16" t="s">
        <v>57</v>
      </c>
      <c r="F1173" s="16" t="s">
        <v>3863</v>
      </c>
      <c r="G1173" s="16" t="s">
        <v>3864</v>
      </c>
      <c r="I1173" s="16" t="s">
        <v>50</v>
      </c>
      <c r="L1173" s="16" t="s">
        <v>3865</v>
      </c>
      <c r="M1173" s="16" t="s">
        <v>3863</v>
      </c>
      <c r="N1173" s="16">
        <v>214</v>
      </c>
      <c r="O1173" s="16" t="s">
        <v>3866</v>
      </c>
    </row>
    <row r="1174" spans="1:15" ht="15.75" customHeight="1" x14ac:dyDescent="0.25">
      <c r="A1174" s="16" t="s">
        <v>30</v>
      </c>
      <c r="B1174" s="16">
        <v>1157389</v>
      </c>
      <c r="C1174" s="16">
        <v>1157889</v>
      </c>
      <c r="E1174" s="16" t="s">
        <v>57</v>
      </c>
      <c r="F1174" s="16" t="s">
        <v>3867</v>
      </c>
      <c r="G1174" s="16" t="s">
        <v>3868</v>
      </c>
      <c r="I1174" s="16" t="s">
        <v>50</v>
      </c>
      <c r="L1174" s="16" t="s">
        <v>3869</v>
      </c>
      <c r="M1174" s="16" t="s">
        <v>3867</v>
      </c>
      <c r="N1174" s="16">
        <v>166</v>
      </c>
      <c r="O1174" s="16" t="s">
        <v>3870</v>
      </c>
    </row>
    <row r="1175" spans="1:15" ht="15.75" customHeight="1" x14ac:dyDescent="0.25">
      <c r="A1175" s="16" t="s">
        <v>30</v>
      </c>
      <c r="B1175" s="16">
        <v>1157899</v>
      </c>
      <c r="C1175" s="16">
        <v>1158684</v>
      </c>
      <c r="E1175" s="16" t="s">
        <v>57</v>
      </c>
      <c r="F1175" s="16" t="s">
        <v>3871</v>
      </c>
      <c r="G1175" s="16" t="s">
        <v>3872</v>
      </c>
      <c r="I1175" s="16" t="s">
        <v>50</v>
      </c>
      <c r="L1175" s="16" t="s">
        <v>3873</v>
      </c>
      <c r="M1175" s="16" t="s">
        <v>3871</v>
      </c>
      <c r="N1175" s="16">
        <v>261</v>
      </c>
      <c r="O1175" s="16" t="s">
        <v>3874</v>
      </c>
    </row>
    <row r="1176" spans="1:15" ht="15.75" customHeight="1" x14ac:dyDescent="0.25">
      <c r="A1176" s="16" t="s">
        <v>30</v>
      </c>
      <c r="B1176" s="16">
        <v>1158681</v>
      </c>
      <c r="C1176" s="16">
        <v>1159475</v>
      </c>
      <c r="E1176" s="16" t="s">
        <v>57</v>
      </c>
      <c r="F1176" s="16" t="s">
        <v>3875</v>
      </c>
      <c r="G1176" s="16" t="s">
        <v>3876</v>
      </c>
      <c r="I1176" s="16" t="s">
        <v>50</v>
      </c>
      <c r="L1176" s="16" t="s">
        <v>3877</v>
      </c>
      <c r="M1176" s="16" t="s">
        <v>3875</v>
      </c>
      <c r="N1176" s="16">
        <v>264</v>
      </c>
      <c r="O1176" s="16" t="s">
        <v>3878</v>
      </c>
    </row>
    <row r="1177" spans="1:15" ht="15.75" customHeight="1" x14ac:dyDescent="0.25">
      <c r="A1177" s="16" t="s">
        <v>30</v>
      </c>
      <c r="B1177" s="16">
        <v>1159881</v>
      </c>
      <c r="C1177" s="16">
        <v>1160528</v>
      </c>
      <c r="E1177" s="16" t="s">
        <v>57</v>
      </c>
      <c r="F1177" s="16" t="s">
        <v>3879</v>
      </c>
      <c r="G1177" s="16" t="s">
        <v>3880</v>
      </c>
      <c r="I1177" s="16" t="s">
        <v>50</v>
      </c>
      <c r="L1177" s="16" t="s">
        <v>3881</v>
      </c>
      <c r="M1177" s="16" t="s">
        <v>3879</v>
      </c>
      <c r="N1177" s="16">
        <v>215</v>
      </c>
      <c r="O1177" s="16" t="s">
        <v>3882</v>
      </c>
    </row>
    <row r="1178" spans="1:15" ht="15.75" customHeight="1" x14ac:dyDescent="0.25">
      <c r="A1178" s="16" t="s">
        <v>30</v>
      </c>
      <c r="B1178" s="16">
        <v>1160777</v>
      </c>
      <c r="C1178" s="16">
        <v>1161415</v>
      </c>
      <c r="E1178" s="16" t="s">
        <v>48</v>
      </c>
      <c r="F1178" s="16" t="s">
        <v>3883</v>
      </c>
      <c r="G1178" s="16" t="s">
        <v>3884</v>
      </c>
      <c r="I1178" s="16" t="s">
        <v>50</v>
      </c>
      <c r="L1178" s="16" t="s">
        <v>3885</v>
      </c>
      <c r="M1178" s="16" t="s">
        <v>3883</v>
      </c>
      <c r="N1178" s="16">
        <v>212</v>
      </c>
      <c r="O1178" s="16" t="s">
        <v>3886</v>
      </c>
    </row>
    <row r="1179" spans="1:15" ht="15.75" customHeight="1" x14ac:dyDescent="0.25">
      <c r="A1179" s="16" t="s">
        <v>30</v>
      </c>
      <c r="B1179" s="16">
        <v>1161420</v>
      </c>
      <c r="C1179" s="16">
        <v>1162085</v>
      </c>
      <c r="E1179" s="16" t="s">
        <v>48</v>
      </c>
      <c r="F1179" s="16" t="s">
        <v>3887</v>
      </c>
      <c r="G1179" s="16" t="s">
        <v>3888</v>
      </c>
      <c r="I1179" s="16" t="s">
        <v>50</v>
      </c>
      <c r="L1179" s="16" t="s">
        <v>3889</v>
      </c>
      <c r="M1179" s="16" t="s">
        <v>3887</v>
      </c>
      <c r="N1179" s="16">
        <v>221</v>
      </c>
      <c r="O1179" s="16" t="s">
        <v>3890</v>
      </c>
    </row>
    <row r="1180" spans="1:15" ht="15.75" customHeight="1" x14ac:dyDescent="0.25">
      <c r="A1180" s="16" t="s">
        <v>30</v>
      </c>
      <c r="B1180" s="16">
        <v>1162146</v>
      </c>
      <c r="C1180" s="16">
        <v>1162886</v>
      </c>
      <c r="E1180" s="16" t="s">
        <v>48</v>
      </c>
      <c r="F1180" s="16" t="s">
        <v>3891</v>
      </c>
      <c r="I1180" s="16" t="s">
        <v>50</v>
      </c>
      <c r="L1180" s="16" t="s">
        <v>3892</v>
      </c>
      <c r="M1180" s="16" t="s">
        <v>3891</v>
      </c>
      <c r="N1180" s="16">
        <v>246</v>
      </c>
      <c r="O1180" s="16" t="s">
        <v>3893</v>
      </c>
    </row>
    <row r="1181" spans="1:15" ht="15.75" customHeight="1" x14ac:dyDescent="0.25">
      <c r="A1181" s="16" t="s">
        <v>30</v>
      </c>
      <c r="B1181" s="16">
        <v>1162929</v>
      </c>
      <c r="C1181" s="16">
        <v>1163132</v>
      </c>
      <c r="E1181" s="16" t="s">
        <v>48</v>
      </c>
      <c r="F1181" s="16" t="s">
        <v>3894</v>
      </c>
      <c r="G1181" s="16" t="s">
        <v>3895</v>
      </c>
      <c r="I1181" s="16" t="s">
        <v>50</v>
      </c>
      <c r="L1181" s="16" t="s">
        <v>3896</v>
      </c>
      <c r="M1181" s="16" t="s">
        <v>3894</v>
      </c>
      <c r="N1181" s="16">
        <v>67</v>
      </c>
      <c r="O1181" s="16" t="s">
        <v>3897</v>
      </c>
    </row>
    <row r="1182" spans="1:15" ht="15.75" customHeight="1" x14ac:dyDescent="0.25">
      <c r="A1182" s="16" t="s">
        <v>30</v>
      </c>
      <c r="B1182" s="16">
        <v>1163129</v>
      </c>
      <c r="C1182" s="16">
        <v>1163650</v>
      </c>
      <c r="E1182" s="16" t="s">
        <v>48</v>
      </c>
      <c r="F1182" s="16" t="s">
        <v>3898</v>
      </c>
      <c r="G1182" s="16" t="s">
        <v>3899</v>
      </c>
      <c r="I1182" s="16" t="s">
        <v>50</v>
      </c>
      <c r="L1182" s="16" t="s">
        <v>3900</v>
      </c>
      <c r="M1182" s="16" t="s">
        <v>3898</v>
      </c>
      <c r="N1182" s="16">
        <v>173</v>
      </c>
      <c r="O1182" s="16" t="s">
        <v>3901</v>
      </c>
    </row>
    <row r="1183" spans="1:15" ht="15.75" customHeight="1" x14ac:dyDescent="0.25">
      <c r="A1183" s="16" t="s">
        <v>30</v>
      </c>
      <c r="B1183" s="16">
        <v>1163647</v>
      </c>
      <c r="C1183" s="16">
        <v>1165593</v>
      </c>
      <c r="E1183" s="16" t="s">
        <v>48</v>
      </c>
      <c r="F1183" s="16" t="s">
        <v>3902</v>
      </c>
      <c r="I1183" s="16" t="s">
        <v>50</v>
      </c>
      <c r="L1183" s="16" t="s">
        <v>3903</v>
      </c>
      <c r="M1183" s="16" t="s">
        <v>3902</v>
      </c>
      <c r="N1183" s="16">
        <v>648</v>
      </c>
      <c r="O1183" s="16" t="s">
        <v>3904</v>
      </c>
    </row>
    <row r="1184" spans="1:15" ht="15.75" customHeight="1" x14ac:dyDescent="0.25">
      <c r="A1184" s="16" t="s">
        <v>30</v>
      </c>
      <c r="B1184" s="16">
        <v>1165736</v>
      </c>
      <c r="C1184" s="16">
        <v>1166281</v>
      </c>
      <c r="E1184" s="16" t="s">
        <v>48</v>
      </c>
      <c r="F1184" s="16" t="s">
        <v>3437</v>
      </c>
      <c r="I1184" s="16" t="s">
        <v>50</v>
      </c>
      <c r="L1184" s="16" t="s">
        <v>3905</v>
      </c>
      <c r="M1184" s="16" t="s">
        <v>3437</v>
      </c>
      <c r="N1184" s="16">
        <v>181</v>
      </c>
      <c r="O1184" s="16" t="s">
        <v>3906</v>
      </c>
    </row>
    <row r="1185" spans="1:15" ht="15.75" customHeight="1" x14ac:dyDescent="0.25">
      <c r="A1185" s="16" t="s">
        <v>30</v>
      </c>
      <c r="B1185" s="16">
        <v>1166281</v>
      </c>
      <c r="C1185" s="16">
        <v>1166742</v>
      </c>
      <c r="E1185" s="16" t="s">
        <v>48</v>
      </c>
      <c r="F1185" s="16" t="s">
        <v>3907</v>
      </c>
      <c r="I1185" s="16" t="s">
        <v>50</v>
      </c>
      <c r="L1185" s="16" t="s">
        <v>3908</v>
      </c>
      <c r="M1185" s="16" t="s">
        <v>3907</v>
      </c>
      <c r="N1185" s="16">
        <v>153</v>
      </c>
      <c r="O1185" s="16" t="s">
        <v>3909</v>
      </c>
    </row>
    <row r="1186" spans="1:15" ht="15.75" customHeight="1" x14ac:dyDescent="0.25">
      <c r="A1186" s="16" t="s">
        <v>30</v>
      </c>
      <c r="B1186" s="16">
        <v>1166743</v>
      </c>
      <c r="C1186" s="16">
        <v>1167660</v>
      </c>
      <c r="E1186" s="16" t="s">
        <v>48</v>
      </c>
      <c r="F1186" s="16" t="s">
        <v>3910</v>
      </c>
      <c r="G1186" s="16" t="s">
        <v>3911</v>
      </c>
      <c r="I1186" s="16" t="s">
        <v>50</v>
      </c>
      <c r="L1186" s="16" t="s">
        <v>3912</v>
      </c>
      <c r="M1186" s="16" t="s">
        <v>3910</v>
      </c>
      <c r="N1186" s="16">
        <v>305</v>
      </c>
      <c r="O1186" s="16" t="s">
        <v>3913</v>
      </c>
    </row>
    <row r="1187" spans="1:15" ht="15.75" customHeight="1" x14ac:dyDescent="0.25">
      <c r="A1187" s="16" t="s">
        <v>30</v>
      </c>
      <c r="B1187" s="16">
        <v>1167781</v>
      </c>
      <c r="C1187" s="16">
        <v>1168272</v>
      </c>
      <c r="E1187" s="16" t="s">
        <v>48</v>
      </c>
      <c r="F1187" s="16" t="s">
        <v>135</v>
      </c>
      <c r="I1187" s="16" t="s">
        <v>50</v>
      </c>
      <c r="L1187" s="16" t="s">
        <v>3914</v>
      </c>
      <c r="M1187" s="16" t="s">
        <v>135</v>
      </c>
      <c r="N1187" s="16">
        <v>163</v>
      </c>
      <c r="O1187" s="16" t="s">
        <v>3915</v>
      </c>
    </row>
    <row r="1188" spans="1:15" ht="15.75" customHeight="1" x14ac:dyDescent="0.25">
      <c r="A1188" s="16" t="s">
        <v>30</v>
      </c>
      <c r="B1188" s="16">
        <v>1168283</v>
      </c>
      <c r="C1188" s="16">
        <v>1168582</v>
      </c>
      <c r="E1188" s="16" t="s">
        <v>48</v>
      </c>
      <c r="F1188" s="16" t="s">
        <v>135</v>
      </c>
      <c r="I1188" s="16" t="s">
        <v>50</v>
      </c>
      <c r="L1188" s="16" t="s">
        <v>3916</v>
      </c>
      <c r="M1188" s="16" t="s">
        <v>135</v>
      </c>
      <c r="N1188" s="16">
        <v>99</v>
      </c>
      <c r="O1188" s="16" t="s">
        <v>3917</v>
      </c>
    </row>
    <row r="1189" spans="1:15" ht="15.75" customHeight="1" x14ac:dyDescent="0.25">
      <c r="A1189" s="16" t="s">
        <v>30</v>
      </c>
      <c r="B1189" s="16">
        <v>1168587</v>
      </c>
      <c r="C1189" s="16">
        <v>1170599</v>
      </c>
      <c r="E1189" s="16" t="s">
        <v>57</v>
      </c>
      <c r="F1189" s="16" t="s">
        <v>3918</v>
      </c>
      <c r="G1189" s="16" t="s">
        <v>3919</v>
      </c>
      <c r="I1189" s="16" t="s">
        <v>50</v>
      </c>
      <c r="L1189" s="16" t="s">
        <v>3920</v>
      </c>
      <c r="M1189" s="16" t="s">
        <v>3918</v>
      </c>
      <c r="N1189" s="16">
        <v>670</v>
      </c>
      <c r="O1189" s="16" t="s">
        <v>3921</v>
      </c>
    </row>
    <row r="1190" spans="1:15" ht="15.75" customHeight="1" x14ac:dyDescent="0.25">
      <c r="A1190" s="16" t="s">
        <v>30</v>
      </c>
      <c r="B1190" s="16">
        <v>1170711</v>
      </c>
      <c r="C1190" s="16">
        <v>1171697</v>
      </c>
      <c r="E1190" s="16" t="s">
        <v>57</v>
      </c>
      <c r="F1190" s="16" t="s">
        <v>3922</v>
      </c>
      <c r="G1190" s="16" t="s">
        <v>3923</v>
      </c>
      <c r="I1190" s="16" t="s">
        <v>50</v>
      </c>
      <c r="L1190" s="16" t="s">
        <v>3924</v>
      </c>
      <c r="M1190" s="16" t="s">
        <v>3922</v>
      </c>
      <c r="N1190" s="16">
        <v>328</v>
      </c>
      <c r="O1190" s="16" t="s">
        <v>3925</v>
      </c>
    </row>
    <row r="1191" spans="1:15" ht="15.75" customHeight="1" x14ac:dyDescent="0.25">
      <c r="A1191" s="16" t="s">
        <v>30</v>
      </c>
      <c r="B1191" s="16">
        <v>1171850</v>
      </c>
      <c r="C1191" s="16">
        <v>1172668</v>
      </c>
      <c r="E1191" s="16" t="s">
        <v>48</v>
      </c>
      <c r="F1191" s="16" t="s">
        <v>3926</v>
      </c>
      <c r="G1191" s="16" t="s">
        <v>3927</v>
      </c>
      <c r="I1191" s="16" t="s">
        <v>50</v>
      </c>
      <c r="L1191" s="16" t="s">
        <v>3928</v>
      </c>
      <c r="M1191" s="16" t="s">
        <v>3926</v>
      </c>
      <c r="N1191" s="16">
        <v>272</v>
      </c>
      <c r="O1191" s="16" t="s">
        <v>3929</v>
      </c>
    </row>
    <row r="1192" spans="1:15" ht="15.75" customHeight="1" x14ac:dyDescent="0.25">
      <c r="A1192" s="16" t="s">
        <v>30</v>
      </c>
      <c r="B1192" s="16">
        <v>1172767</v>
      </c>
      <c r="C1192" s="16">
        <v>1173717</v>
      </c>
      <c r="E1192" s="16" t="s">
        <v>48</v>
      </c>
      <c r="F1192" s="16" t="s">
        <v>3930</v>
      </c>
      <c r="G1192" s="16" t="s">
        <v>3931</v>
      </c>
      <c r="I1192" s="16" t="s">
        <v>50</v>
      </c>
      <c r="L1192" s="16" t="s">
        <v>3932</v>
      </c>
      <c r="M1192" s="16" t="s">
        <v>3930</v>
      </c>
      <c r="N1192" s="16">
        <v>316</v>
      </c>
      <c r="O1192" s="16" t="s">
        <v>3933</v>
      </c>
    </row>
    <row r="1193" spans="1:15" ht="15.75" customHeight="1" x14ac:dyDescent="0.25">
      <c r="A1193" s="16" t="s">
        <v>30</v>
      </c>
      <c r="B1193" s="16">
        <v>1173965</v>
      </c>
      <c r="C1193" s="16">
        <v>1175188</v>
      </c>
      <c r="E1193" s="16" t="s">
        <v>48</v>
      </c>
      <c r="F1193" s="16" t="s">
        <v>1233</v>
      </c>
      <c r="I1193" s="16" t="s">
        <v>50</v>
      </c>
      <c r="L1193" s="16" t="s">
        <v>3934</v>
      </c>
      <c r="M1193" s="16" t="s">
        <v>1233</v>
      </c>
      <c r="N1193" s="16">
        <v>407</v>
      </c>
      <c r="O1193" s="16" t="s">
        <v>3935</v>
      </c>
    </row>
    <row r="1194" spans="1:15" ht="15.75" customHeight="1" x14ac:dyDescent="0.25">
      <c r="A1194" s="16" t="s">
        <v>30</v>
      </c>
      <c r="B1194" s="16">
        <v>1175297</v>
      </c>
      <c r="C1194" s="16">
        <v>1176337</v>
      </c>
      <c r="E1194" s="16" t="s">
        <v>57</v>
      </c>
      <c r="F1194" s="16" t="s">
        <v>3936</v>
      </c>
      <c r="G1194" s="16" t="s">
        <v>3937</v>
      </c>
      <c r="I1194" s="16" t="s">
        <v>50</v>
      </c>
      <c r="L1194" s="16" t="s">
        <v>3938</v>
      </c>
      <c r="M1194" s="16" t="s">
        <v>3936</v>
      </c>
      <c r="N1194" s="16">
        <v>346</v>
      </c>
      <c r="O1194" s="16" t="s">
        <v>3939</v>
      </c>
    </row>
    <row r="1195" spans="1:15" ht="15.75" customHeight="1" x14ac:dyDescent="0.25">
      <c r="A1195" s="16" t="s">
        <v>30</v>
      </c>
      <c r="B1195" s="16">
        <v>1176413</v>
      </c>
      <c r="C1195" s="16">
        <v>1177576</v>
      </c>
      <c r="E1195" s="16" t="s">
        <v>57</v>
      </c>
      <c r="F1195" s="16" t="s">
        <v>3940</v>
      </c>
      <c r="I1195" s="16" t="s">
        <v>50</v>
      </c>
      <c r="L1195" s="16" t="s">
        <v>3941</v>
      </c>
      <c r="M1195" s="16" t="s">
        <v>3940</v>
      </c>
      <c r="N1195" s="16">
        <v>387</v>
      </c>
      <c r="O1195" s="16" t="s">
        <v>3942</v>
      </c>
    </row>
    <row r="1196" spans="1:15" ht="15.75" customHeight="1" x14ac:dyDescent="0.25">
      <c r="A1196" s="16" t="s">
        <v>30</v>
      </c>
      <c r="B1196" s="16">
        <v>1177688</v>
      </c>
      <c r="C1196" s="16">
        <v>1179094</v>
      </c>
      <c r="E1196" s="16" t="s">
        <v>57</v>
      </c>
      <c r="F1196" s="16" t="s">
        <v>3943</v>
      </c>
      <c r="G1196" s="16" t="s">
        <v>3944</v>
      </c>
      <c r="I1196" s="16" t="s">
        <v>50</v>
      </c>
      <c r="L1196" s="16" t="s">
        <v>3945</v>
      </c>
      <c r="M1196" s="16" t="s">
        <v>3943</v>
      </c>
      <c r="N1196" s="16">
        <v>468</v>
      </c>
      <c r="O1196" s="16" t="s">
        <v>3946</v>
      </c>
    </row>
    <row r="1197" spans="1:15" ht="15.75" customHeight="1" x14ac:dyDescent="0.25">
      <c r="A1197" s="16" t="s">
        <v>30</v>
      </c>
      <c r="B1197" s="16">
        <v>1179096</v>
      </c>
      <c r="C1197" s="16">
        <v>1180268</v>
      </c>
      <c r="E1197" s="16" t="s">
        <v>57</v>
      </c>
      <c r="F1197" s="16" t="s">
        <v>1004</v>
      </c>
      <c r="I1197" s="16" t="s">
        <v>50</v>
      </c>
      <c r="L1197" s="16" t="s">
        <v>3947</v>
      </c>
      <c r="M1197" s="16" t="s">
        <v>1004</v>
      </c>
      <c r="N1197" s="16">
        <v>390</v>
      </c>
      <c r="O1197" s="16" t="s">
        <v>3948</v>
      </c>
    </row>
    <row r="1198" spans="1:15" ht="15.75" customHeight="1" x14ac:dyDescent="0.25">
      <c r="A1198" s="16" t="s">
        <v>30</v>
      </c>
      <c r="B1198" s="16">
        <v>1180481</v>
      </c>
      <c r="C1198" s="16">
        <v>1181800</v>
      </c>
      <c r="E1198" s="16" t="s">
        <v>48</v>
      </c>
      <c r="F1198" s="16" t="s">
        <v>3949</v>
      </c>
      <c r="G1198" s="16" t="s">
        <v>3950</v>
      </c>
      <c r="I1198" s="16" t="s">
        <v>50</v>
      </c>
      <c r="L1198" s="16" t="s">
        <v>3951</v>
      </c>
      <c r="M1198" s="16" t="s">
        <v>3949</v>
      </c>
      <c r="N1198" s="16">
        <v>439</v>
      </c>
      <c r="O1198" s="16" t="s">
        <v>3952</v>
      </c>
    </row>
    <row r="1199" spans="1:15" ht="15.75" customHeight="1" x14ac:dyDescent="0.25">
      <c r="A1199" s="16" t="s">
        <v>30</v>
      </c>
      <c r="B1199" s="16">
        <v>1181857</v>
      </c>
      <c r="C1199" s="16">
        <v>1183338</v>
      </c>
      <c r="E1199" s="16" t="s">
        <v>48</v>
      </c>
      <c r="F1199" s="16" t="s">
        <v>3953</v>
      </c>
      <c r="G1199" s="16" t="s">
        <v>3954</v>
      </c>
      <c r="I1199" s="16" t="s">
        <v>50</v>
      </c>
      <c r="L1199" s="16" t="s">
        <v>3955</v>
      </c>
      <c r="M1199" s="16" t="s">
        <v>3953</v>
      </c>
      <c r="N1199" s="16">
        <v>493</v>
      </c>
      <c r="O1199" s="16" t="s">
        <v>3956</v>
      </c>
    </row>
    <row r="1200" spans="1:15" ht="15.75" customHeight="1" x14ac:dyDescent="0.25">
      <c r="A1200" s="16" t="s">
        <v>30</v>
      </c>
      <c r="B1200" s="16">
        <v>1183389</v>
      </c>
      <c r="C1200" s="16">
        <v>1184315</v>
      </c>
      <c r="E1200" s="16" t="s">
        <v>57</v>
      </c>
      <c r="F1200" s="16" t="s">
        <v>3957</v>
      </c>
      <c r="G1200" s="16" t="s">
        <v>3958</v>
      </c>
      <c r="I1200" s="16" t="s">
        <v>50</v>
      </c>
      <c r="L1200" s="16" t="s">
        <v>3959</v>
      </c>
      <c r="M1200" s="16" t="s">
        <v>3957</v>
      </c>
      <c r="N1200" s="16">
        <v>308</v>
      </c>
      <c r="O1200" s="16" t="s">
        <v>3960</v>
      </c>
    </row>
    <row r="1201" spans="1:15" ht="15.75" customHeight="1" x14ac:dyDescent="0.25">
      <c r="A1201" s="16" t="s">
        <v>30</v>
      </c>
      <c r="B1201" s="16">
        <v>1184368</v>
      </c>
      <c r="C1201" s="16">
        <v>1184871</v>
      </c>
      <c r="E1201" s="16" t="s">
        <v>57</v>
      </c>
      <c r="F1201" s="16" t="s">
        <v>3961</v>
      </c>
      <c r="I1201" s="16" t="s">
        <v>50</v>
      </c>
      <c r="L1201" s="16" t="s">
        <v>3962</v>
      </c>
      <c r="M1201" s="16" t="s">
        <v>3961</v>
      </c>
      <c r="N1201" s="16">
        <v>167</v>
      </c>
      <c r="O1201" s="16" t="s">
        <v>3963</v>
      </c>
    </row>
    <row r="1202" spans="1:15" ht="15.75" customHeight="1" x14ac:dyDescent="0.25">
      <c r="A1202" s="16" t="s">
        <v>30</v>
      </c>
      <c r="B1202" s="16">
        <v>1184982</v>
      </c>
      <c r="C1202" s="16">
        <v>1185653</v>
      </c>
      <c r="E1202" s="16" t="s">
        <v>48</v>
      </c>
      <c r="F1202" s="16" t="s">
        <v>3964</v>
      </c>
      <c r="G1202" s="16" t="s">
        <v>3965</v>
      </c>
      <c r="I1202" s="16" t="s">
        <v>50</v>
      </c>
      <c r="L1202" s="16" t="s">
        <v>3966</v>
      </c>
      <c r="M1202" s="16" t="s">
        <v>3964</v>
      </c>
      <c r="N1202" s="16">
        <v>223</v>
      </c>
      <c r="O1202" s="16" t="s">
        <v>3967</v>
      </c>
    </row>
    <row r="1203" spans="1:15" ht="15.75" customHeight="1" x14ac:dyDescent="0.25">
      <c r="A1203" s="16" t="s">
        <v>30</v>
      </c>
      <c r="B1203" s="16">
        <v>1185687</v>
      </c>
      <c r="C1203" s="16">
        <v>1187216</v>
      </c>
      <c r="E1203" s="16" t="s">
        <v>57</v>
      </c>
      <c r="F1203" s="16" t="s">
        <v>3968</v>
      </c>
      <c r="I1203" s="16" t="s">
        <v>50</v>
      </c>
      <c r="L1203" s="16" t="s">
        <v>3969</v>
      </c>
      <c r="M1203" s="16" t="s">
        <v>3968</v>
      </c>
      <c r="N1203" s="16">
        <v>509</v>
      </c>
      <c r="O1203" s="16" t="s">
        <v>3970</v>
      </c>
    </row>
    <row r="1204" spans="1:15" ht="15.75" customHeight="1" x14ac:dyDescent="0.25">
      <c r="A1204" s="16" t="s">
        <v>30</v>
      </c>
      <c r="B1204" s="16">
        <v>1187331</v>
      </c>
      <c r="C1204" s="16">
        <v>1187948</v>
      </c>
      <c r="E1204" s="16" t="s">
        <v>57</v>
      </c>
      <c r="F1204" s="16" t="s">
        <v>3971</v>
      </c>
      <c r="G1204" s="16" t="s">
        <v>3972</v>
      </c>
      <c r="I1204" s="16" t="s">
        <v>50</v>
      </c>
      <c r="L1204" s="16" t="s">
        <v>3973</v>
      </c>
      <c r="M1204" s="16" t="s">
        <v>3971</v>
      </c>
      <c r="N1204" s="16">
        <v>205</v>
      </c>
      <c r="O1204" s="16" t="s">
        <v>3974</v>
      </c>
    </row>
    <row r="1205" spans="1:15" ht="15.75" customHeight="1" x14ac:dyDescent="0.25">
      <c r="A1205" s="16" t="s">
        <v>30</v>
      </c>
      <c r="B1205" s="16">
        <v>1188053</v>
      </c>
      <c r="C1205" s="16">
        <v>1188919</v>
      </c>
      <c r="E1205" s="16" t="s">
        <v>48</v>
      </c>
      <c r="F1205" s="16" t="s">
        <v>1764</v>
      </c>
      <c r="I1205" s="16" t="s">
        <v>50</v>
      </c>
      <c r="L1205" s="16" t="s">
        <v>3975</v>
      </c>
      <c r="M1205" s="16" t="s">
        <v>1764</v>
      </c>
      <c r="N1205" s="16">
        <v>288</v>
      </c>
      <c r="O1205" s="16" t="s">
        <v>3976</v>
      </c>
    </row>
    <row r="1206" spans="1:15" ht="15.75" customHeight="1" x14ac:dyDescent="0.25">
      <c r="A1206" s="16" t="s">
        <v>30</v>
      </c>
      <c r="B1206" s="16">
        <v>1188959</v>
      </c>
      <c r="C1206" s="16">
        <v>1189957</v>
      </c>
      <c r="E1206" s="16" t="s">
        <v>57</v>
      </c>
      <c r="F1206" s="16" t="s">
        <v>3977</v>
      </c>
      <c r="G1206" s="16" t="s">
        <v>3978</v>
      </c>
      <c r="I1206" s="16" t="s">
        <v>50</v>
      </c>
      <c r="L1206" s="16" t="s">
        <v>3979</v>
      </c>
      <c r="M1206" s="16" t="s">
        <v>3977</v>
      </c>
      <c r="N1206" s="16">
        <v>332</v>
      </c>
      <c r="O1206" s="16" t="s">
        <v>3980</v>
      </c>
    </row>
    <row r="1207" spans="1:15" ht="15.75" customHeight="1" x14ac:dyDescent="0.25">
      <c r="A1207" s="16" t="s">
        <v>30</v>
      </c>
      <c r="B1207" s="16">
        <v>1189954</v>
      </c>
      <c r="C1207" s="16">
        <v>1190925</v>
      </c>
      <c r="E1207" s="16" t="s">
        <v>57</v>
      </c>
      <c r="F1207" s="16" t="s">
        <v>1243</v>
      </c>
      <c r="I1207" s="16" t="s">
        <v>50</v>
      </c>
      <c r="L1207" s="16" t="s">
        <v>3981</v>
      </c>
      <c r="M1207" s="16" t="s">
        <v>1243</v>
      </c>
      <c r="N1207" s="16">
        <v>323</v>
      </c>
      <c r="O1207" s="16" t="s">
        <v>3982</v>
      </c>
    </row>
    <row r="1208" spans="1:15" ht="15.75" customHeight="1" x14ac:dyDescent="0.25">
      <c r="A1208" s="16" t="s">
        <v>30</v>
      </c>
      <c r="B1208" s="16">
        <v>1190935</v>
      </c>
      <c r="C1208" s="16">
        <v>1191870</v>
      </c>
      <c r="E1208" s="16" t="s">
        <v>57</v>
      </c>
      <c r="F1208" s="16" t="s">
        <v>3983</v>
      </c>
      <c r="G1208" s="16" t="s">
        <v>3984</v>
      </c>
      <c r="I1208" s="16" t="s">
        <v>50</v>
      </c>
      <c r="L1208" s="16" t="s">
        <v>3985</v>
      </c>
      <c r="M1208" s="16" t="s">
        <v>3983</v>
      </c>
      <c r="N1208" s="16">
        <v>311</v>
      </c>
      <c r="O1208" s="16" t="s">
        <v>3986</v>
      </c>
    </row>
    <row r="1209" spans="1:15" ht="15.75" customHeight="1" x14ac:dyDescent="0.25">
      <c r="A1209" s="16" t="s">
        <v>30</v>
      </c>
      <c r="B1209" s="16">
        <v>1191880</v>
      </c>
      <c r="C1209" s="16">
        <v>1192800</v>
      </c>
      <c r="E1209" s="16" t="s">
        <v>57</v>
      </c>
      <c r="F1209" s="16" t="s">
        <v>3987</v>
      </c>
      <c r="G1209" s="16" t="s">
        <v>3988</v>
      </c>
      <c r="I1209" s="16" t="s">
        <v>50</v>
      </c>
      <c r="L1209" s="16" t="s">
        <v>3989</v>
      </c>
      <c r="M1209" s="16" t="s">
        <v>3987</v>
      </c>
      <c r="N1209" s="16">
        <v>306</v>
      </c>
      <c r="O1209" s="16" t="s">
        <v>3990</v>
      </c>
    </row>
    <row r="1210" spans="1:15" ht="15.75" customHeight="1" x14ac:dyDescent="0.25">
      <c r="A1210" s="16" t="s">
        <v>30</v>
      </c>
      <c r="B1210" s="16">
        <v>1192881</v>
      </c>
      <c r="C1210" s="16">
        <v>1194506</v>
      </c>
      <c r="E1210" s="16" t="s">
        <v>57</v>
      </c>
      <c r="F1210" s="16" t="s">
        <v>1249</v>
      </c>
      <c r="I1210" s="16" t="s">
        <v>50</v>
      </c>
      <c r="L1210" s="16" t="s">
        <v>3991</v>
      </c>
      <c r="M1210" s="16" t="s">
        <v>1249</v>
      </c>
      <c r="N1210" s="16">
        <v>541</v>
      </c>
      <c r="O1210" s="16" t="s">
        <v>3992</v>
      </c>
    </row>
    <row r="1211" spans="1:15" ht="15.75" customHeight="1" x14ac:dyDescent="0.25">
      <c r="A1211" s="16" t="s">
        <v>30</v>
      </c>
      <c r="B1211" s="16">
        <v>1194801</v>
      </c>
      <c r="C1211" s="16">
        <v>1195754</v>
      </c>
      <c r="E1211" s="16" t="s">
        <v>48</v>
      </c>
      <c r="F1211" s="16" t="s">
        <v>3993</v>
      </c>
      <c r="G1211" s="16" t="s">
        <v>3994</v>
      </c>
      <c r="I1211" s="16" t="s">
        <v>50</v>
      </c>
      <c r="L1211" s="16" t="s">
        <v>3995</v>
      </c>
      <c r="M1211" s="16" t="s">
        <v>3993</v>
      </c>
      <c r="N1211" s="16">
        <v>317</v>
      </c>
      <c r="O1211" s="16" t="s">
        <v>3996</v>
      </c>
    </row>
    <row r="1212" spans="1:15" ht="15.75" customHeight="1" x14ac:dyDescent="0.25">
      <c r="A1212" s="16" t="s">
        <v>30</v>
      </c>
      <c r="B1212" s="16">
        <v>1196403</v>
      </c>
      <c r="C1212" s="16">
        <v>1196633</v>
      </c>
      <c r="E1212" s="16" t="s">
        <v>57</v>
      </c>
      <c r="F1212" s="16" t="s">
        <v>3997</v>
      </c>
      <c r="I1212" s="16" t="s">
        <v>50</v>
      </c>
      <c r="L1212" s="16" t="s">
        <v>3998</v>
      </c>
      <c r="M1212" s="16" t="s">
        <v>3997</v>
      </c>
      <c r="N1212" s="16">
        <v>76</v>
      </c>
      <c r="O1212" s="16" t="s">
        <v>3999</v>
      </c>
    </row>
    <row r="1213" spans="1:15" ht="15.75" customHeight="1" x14ac:dyDescent="0.25">
      <c r="A1213" s="16" t="s">
        <v>30</v>
      </c>
      <c r="B1213" s="16">
        <v>1196830</v>
      </c>
      <c r="C1213" s="16">
        <v>1198416</v>
      </c>
      <c r="E1213" s="16" t="s">
        <v>48</v>
      </c>
      <c r="F1213" s="16" t="s">
        <v>4000</v>
      </c>
      <c r="I1213" s="16" t="s">
        <v>50</v>
      </c>
      <c r="L1213" s="16" t="s">
        <v>4001</v>
      </c>
      <c r="M1213" s="16" t="s">
        <v>4000</v>
      </c>
      <c r="N1213" s="16">
        <v>528</v>
      </c>
      <c r="O1213" s="16" t="s">
        <v>4002</v>
      </c>
    </row>
    <row r="1214" spans="1:15" ht="15.75" customHeight="1" x14ac:dyDescent="0.25">
      <c r="A1214" s="16" t="s">
        <v>30</v>
      </c>
      <c r="B1214" s="16">
        <v>1198618</v>
      </c>
      <c r="C1214" s="16">
        <v>1199073</v>
      </c>
      <c r="E1214" s="16" t="s">
        <v>48</v>
      </c>
      <c r="F1214" s="16" t="s">
        <v>4003</v>
      </c>
      <c r="G1214" s="16" t="s">
        <v>4004</v>
      </c>
      <c r="I1214" s="16" t="s">
        <v>50</v>
      </c>
      <c r="L1214" s="16" t="s">
        <v>4005</v>
      </c>
      <c r="M1214" s="16" t="s">
        <v>4003</v>
      </c>
      <c r="N1214" s="16">
        <v>151</v>
      </c>
      <c r="O1214" s="16" t="s">
        <v>4006</v>
      </c>
    </row>
    <row r="1215" spans="1:15" ht="15.75" customHeight="1" x14ac:dyDescent="0.25">
      <c r="A1215" s="16" t="s">
        <v>30</v>
      </c>
      <c r="B1215" s="16">
        <v>1199104</v>
      </c>
      <c r="C1215" s="16">
        <v>1200069</v>
      </c>
      <c r="E1215" s="16" t="s">
        <v>48</v>
      </c>
      <c r="F1215" s="16" t="s">
        <v>4007</v>
      </c>
      <c r="G1215" s="16" t="s">
        <v>4008</v>
      </c>
      <c r="I1215" s="16" t="s">
        <v>50</v>
      </c>
      <c r="L1215" s="16" t="s">
        <v>4009</v>
      </c>
      <c r="M1215" s="16" t="s">
        <v>4007</v>
      </c>
      <c r="N1215" s="16">
        <v>321</v>
      </c>
      <c r="O1215" s="16" t="s">
        <v>4010</v>
      </c>
    </row>
    <row r="1216" spans="1:15" ht="15.75" customHeight="1" x14ac:dyDescent="0.25">
      <c r="A1216" s="16" t="s">
        <v>30</v>
      </c>
      <c r="B1216" s="16">
        <v>1200072</v>
      </c>
      <c r="C1216" s="16">
        <v>1200395</v>
      </c>
      <c r="E1216" s="16" t="s">
        <v>48</v>
      </c>
      <c r="F1216" s="16" t="s">
        <v>4011</v>
      </c>
      <c r="G1216" s="16" t="s">
        <v>4012</v>
      </c>
      <c r="I1216" s="16" t="s">
        <v>50</v>
      </c>
      <c r="L1216" s="16" t="s">
        <v>4013</v>
      </c>
      <c r="M1216" s="16" t="s">
        <v>4011</v>
      </c>
      <c r="N1216" s="16">
        <v>107</v>
      </c>
      <c r="O1216" s="16" t="s">
        <v>4014</v>
      </c>
    </row>
    <row r="1217" spans="1:15" ht="15.75" customHeight="1" x14ac:dyDescent="0.25">
      <c r="A1217" s="16" t="s">
        <v>30</v>
      </c>
      <c r="B1217" s="16">
        <v>1200407</v>
      </c>
      <c r="C1217" s="16">
        <v>1202239</v>
      </c>
      <c r="E1217" s="16" t="s">
        <v>48</v>
      </c>
      <c r="F1217" s="16" t="s">
        <v>4015</v>
      </c>
      <c r="I1217" s="16" t="s">
        <v>50</v>
      </c>
      <c r="L1217" s="16" t="s">
        <v>4016</v>
      </c>
      <c r="M1217" s="16" t="s">
        <v>4015</v>
      </c>
      <c r="N1217" s="16">
        <v>610</v>
      </c>
      <c r="O1217" s="16" t="s">
        <v>4017</v>
      </c>
    </row>
    <row r="1218" spans="1:15" ht="15.75" customHeight="1" x14ac:dyDescent="0.25">
      <c r="A1218" s="16" t="s">
        <v>30</v>
      </c>
      <c r="B1218" s="16">
        <v>1202249</v>
      </c>
      <c r="C1218" s="16">
        <v>1203715</v>
      </c>
      <c r="E1218" s="16" t="s">
        <v>48</v>
      </c>
      <c r="F1218" s="16" t="s">
        <v>4018</v>
      </c>
      <c r="G1218" s="16" t="s">
        <v>4019</v>
      </c>
      <c r="I1218" s="16" t="s">
        <v>50</v>
      </c>
      <c r="L1218" s="16" t="s">
        <v>4020</v>
      </c>
      <c r="M1218" s="16" t="s">
        <v>4018</v>
      </c>
      <c r="N1218" s="16">
        <v>488</v>
      </c>
      <c r="O1218" s="16" t="s">
        <v>4021</v>
      </c>
    </row>
    <row r="1219" spans="1:15" ht="15.75" customHeight="1" x14ac:dyDescent="0.25">
      <c r="A1219" s="16" t="s">
        <v>30</v>
      </c>
      <c r="B1219" s="16">
        <v>1203729</v>
      </c>
      <c r="C1219" s="16">
        <v>1205102</v>
      </c>
      <c r="E1219" s="16" t="s">
        <v>48</v>
      </c>
      <c r="F1219" s="16" t="s">
        <v>4022</v>
      </c>
      <c r="G1219" s="16" t="s">
        <v>4023</v>
      </c>
      <c r="I1219" s="16" t="s">
        <v>50</v>
      </c>
      <c r="L1219" s="16" t="s">
        <v>4024</v>
      </c>
      <c r="M1219" s="16" t="s">
        <v>4022</v>
      </c>
      <c r="N1219" s="16">
        <v>457</v>
      </c>
      <c r="O1219" s="16" t="s">
        <v>4025</v>
      </c>
    </row>
    <row r="1220" spans="1:15" ht="15.75" customHeight="1" x14ac:dyDescent="0.25">
      <c r="A1220" s="16" t="s">
        <v>30</v>
      </c>
      <c r="B1220" s="16">
        <v>1205096</v>
      </c>
      <c r="C1220" s="16">
        <v>1206178</v>
      </c>
      <c r="E1220" s="16" t="s">
        <v>48</v>
      </c>
      <c r="F1220" s="16" t="s">
        <v>4026</v>
      </c>
      <c r="G1220" s="16" t="s">
        <v>4027</v>
      </c>
      <c r="I1220" s="16" t="s">
        <v>50</v>
      </c>
      <c r="L1220" s="16" t="s">
        <v>4028</v>
      </c>
      <c r="M1220" s="16" t="s">
        <v>4026</v>
      </c>
      <c r="N1220" s="16">
        <v>360</v>
      </c>
      <c r="O1220" s="16" t="s">
        <v>4029</v>
      </c>
    </row>
    <row r="1221" spans="1:15" ht="15.75" customHeight="1" x14ac:dyDescent="0.25">
      <c r="A1221" s="16" t="s">
        <v>30</v>
      </c>
      <c r="B1221" s="16">
        <v>1206290</v>
      </c>
      <c r="C1221" s="16">
        <v>1207603</v>
      </c>
      <c r="E1221" s="16" t="s">
        <v>48</v>
      </c>
      <c r="F1221" s="16" t="s">
        <v>4030</v>
      </c>
      <c r="G1221" s="16" t="s">
        <v>4031</v>
      </c>
      <c r="I1221" s="16" t="s">
        <v>50</v>
      </c>
      <c r="L1221" s="16" t="s">
        <v>4032</v>
      </c>
      <c r="M1221" s="16" t="s">
        <v>4030</v>
      </c>
      <c r="N1221" s="16">
        <v>437</v>
      </c>
      <c r="O1221" s="16" t="s">
        <v>4033</v>
      </c>
    </row>
    <row r="1222" spans="1:15" ht="15.75" customHeight="1" x14ac:dyDescent="0.25">
      <c r="A1222" s="16" t="s">
        <v>30</v>
      </c>
      <c r="B1222" s="16">
        <v>1207626</v>
      </c>
      <c r="C1222" s="16">
        <v>1208810</v>
      </c>
      <c r="E1222" s="16" t="s">
        <v>48</v>
      </c>
      <c r="F1222" s="16" t="s">
        <v>4034</v>
      </c>
      <c r="G1222" s="16" t="s">
        <v>4035</v>
      </c>
      <c r="I1222" s="16" t="s">
        <v>50</v>
      </c>
      <c r="L1222" s="16" t="s">
        <v>4036</v>
      </c>
      <c r="M1222" s="16" t="s">
        <v>4034</v>
      </c>
      <c r="N1222" s="16">
        <v>394</v>
      </c>
      <c r="O1222" s="16" t="s">
        <v>4037</v>
      </c>
    </row>
    <row r="1223" spans="1:15" ht="15.75" customHeight="1" x14ac:dyDescent="0.25">
      <c r="A1223" s="16" t="s">
        <v>30</v>
      </c>
      <c r="B1223" s="16">
        <v>1208822</v>
      </c>
      <c r="C1223" s="16">
        <v>1209877</v>
      </c>
      <c r="E1223" s="16" t="s">
        <v>48</v>
      </c>
      <c r="F1223" s="16" t="s">
        <v>4038</v>
      </c>
      <c r="G1223" s="16" t="s">
        <v>4039</v>
      </c>
      <c r="I1223" s="16" t="s">
        <v>50</v>
      </c>
      <c r="L1223" s="16" t="s">
        <v>4040</v>
      </c>
      <c r="M1223" s="16" t="s">
        <v>4038</v>
      </c>
      <c r="N1223" s="16">
        <v>351</v>
      </c>
      <c r="O1223" s="16" t="s">
        <v>4041</v>
      </c>
    </row>
    <row r="1224" spans="1:15" ht="15.75" customHeight="1" x14ac:dyDescent="0.25">
      <c r="A1224" s="16" t="s">
        <v>30</v>
      </c>
      <c r="B1224" s="16">
        <v>1210015</v>
      </c>
      <c r="C1224" s="16">
        <v>1211442</v>
      </c>
      <c r="E1224" s="16" t="s">
        <v>48</v>
      </c>
      <c r="F1224" s="16" t="s">
        <v>4042</v>
      </c>
      <c r="G1224" s="16" t="s">
        <v>4043</v>
      </c>
      <c r="I1224" s="16" t="s">
        <v>50</v>
      </c>
      <c r="L1224" s="16" t="s">
        <v>4044</v>
      </c>
      <c r="M1224" s="16" t="s">
        <v>4042</v>
      </c>
      <c r="N1224" s="16">
        <v>475</v>
      </c>
      <c r="O1224" s="16" t="s">
        <v>4045</v>
      </c>
    </row>
    <row r="1225" spans="1:15" ht="15.75" customHeight="1" x14ac:dyDescent="0.25">
      <c r="A1225" s="16" t="s">
        <v>30</v>
      </c>
      <c r="B1225" s="16">
        <v>1211514</v>
      </c>
      <c r="C1225" s="16">
        <v>1212434</v>
      </c>
      <c r="E1225" s="16" t="s">
        <v>48</v>
      </c>
      <c r="F1225" s="16" t="s">
        <v>4046</v>
      </c>
      <c r="I1225" s="16" t="s">
        <v>50</v>
      </c>
      <c r="L1225" s="16" t="s">
        <v>4047</v>
      </c>
      <c r="M1225" s="16" t="s">
        <v>4046</v>
      </c>
      <c r="N1225" s="16">
        <v>306</v>
      </c>
      <c r="O1225" s="16" t="s">
        <v>4048</v>
      </c>
    </row>
    <row r="1226" spans="1:15" ht="15.75" customHeight="1" x14ac:dyDescent="0.25">
      <c r="A1226" s="16" t="s">
        <v>30</v>
      </c>
      <c r="B1226" s="16">
        <v>1212434</v>
      </c>
      <c r="C1226" s="16">
        <v>1213198</v>
      </c>
      <c r="E1226" s="16" t="s">
        <v>48</v>
      </c>
      <c r="F1226" s="16" t="s">
        <v>4049</v>
      </c>
      <c r="I1226" s="16" t="s">
        <v>50</v>
      </c>
      <c r="L1226" s="16" t="s">
        <v>4050</v>
      </c>
      <c r="M1226" s="16" t="s">
        <v>4049</v>
      </c>
      <c r="N1226" s="16">
        <v>254</v>
      </c>
      <c r="O1226" s="16" t="s">
        <v>4051</v>
      </c>
    </row>
    <row r="1227" spans="1:15" ht="15.75" customHeight="1" x14ac:dyDescent="0.25">
      <c r="A1227" s="16" t="s">
        <v>30</v>
      </c>
      <c r="B1227" s="16">
        <v>1213217</v>
      </c>
      <c r="C1227" s="16">
        <v>1214494</v>
      </c>
      <c r="E1227" s="16" t="s">
        <v>48</v>
      </c>
      <c r="F1227" s="16" t="s">
        <v>4052</v>
      </c>
      <c r="G1227" s="16" t="s">
        <v>4053</v>
      </c>
      <c r="I1227" s="16" t="s">
        <v>50</v>
      </c>
      <c r="L1227" s="16" t="s">
        <v>4054</v>
      </c>
      <c r="M1227" s="16" t="s">
        <v>4052</v>
      </c>
      <c r="N1227" s="16">
        <v>425</v>
      </c>
      <c r="O1227" s="16" t="s">
        <v>4055</v>
      </c>
    </row>
    <row r="1228" spans="1:15" ht="15.75" customHeight="1" x14ac:dyDescent="0.25">
      <c r="A1228" s="16" t="s">
        <v>30</v>
      </c>
      <c r="B1228" s="16">
        <v>1214578</v>
      </c>
      <c r="C1228" s="16">
        <v>1215843</v>
      </c>
      <c r="E1228" s="16" t="s">
        <v>48</v>
      </c>
      <c r="F1228" s="16" t="s">
        <v>4056</v>
      </c>
      <c r="G1228" s="16" t="s">
        <v>4057</v>
      </c>
      <c r="I1228" s="16" t="s">
        <v>50</v>
      </c>
      <c r="L1228" s="16" t="s">
        <v>4058</v>
      </c>
      <c r="M1228" s="16" t="s">
        <v>4056</v>
      </c>
      <c r="N1228" s="16">
        <v>421</v>
      </c>
      <c r="O1228" s="16" t="s">
        <v>4059</v>
      </c>
    </row>
    <row r="1229" spans="1:15" ht="15.75" customHeight="1" x14ac:dyDescent="0.25">
      <c r="A1229" s="16" t="s">
        <v>30</v>
      </c>
      <c r="B1229" s="16">
        <v>1215882</v>
      </c>
      <c r="C1229" s="16">
        <v>1216799</v>
      </c>
      <c r="E1229" s="16" t="s">
        <v>48</v>
      </c>
      <c r="F1229" s="16" t="s">
        <v>4060</v>
      </c>
      <c r="G1229" s="16" t="s">
        <v>4061</v>
      </c>
      <c r="I1229" s="16" t="s">
        <v>50</v>
      </c>
      <c r="L1229" s="16" t="s">
        <v>4062</v>
      </c>
      <c r="M1229" s="16" t="s">
        <v>4060</v>
      </c>
      <c r="N1229" s="16">
        <v>305</v>
      </c>
      <c r="O1229" s="16" t="s">
        <v>4063</v>
      </c>
    </row>
    <row r="1230" spans="1:15" ht="15.75" customHeight="1" x14ac:dyDescent="0.25">
      <c r="A1230" s="16" t="s">
        <v>30</v>
      </c>
      <c r="B1230" s="16">
        <v>1216926</v>
      </c>
      <c r="C1230" s="16">
        <v>1218083</v>
      </c>
      <c r="E1230" s="16" t="s">
        <v>48</v>
      </c>
      <c r="F1230" s="16" t="s">
        <v>4064</v>
      </c>
      <c r="G1230" s="16" t="s">
        <v>4065</v>
      </c>
      <c r="I1230" s="16" t="s">
        <v>50</v>
      </c>
      <c r="L1230" s="16" t="s">
        <v>4066</v>
      </c>
      <c r="M1230" s="16" t="s">
        <v>4064</v>
      </c>
      <c r="N1230" s="16">
        <v>385</v>
      </c>
      <c r="O1230" s="16" t="s">
        <v>4067</v>
      </c>
    </row>
    <row r="1231" spans="1:15" ht="15.75" customHeight="1" x14ac:dyDescent="0.25">
      <c r="A1231" s="16" t="s">
        <v>30</v>
      </c>
      <c r="B1231" s="16">
        <v>1218127</v>
      </c>
      <c r="C1231" s="16">
        <v>1218984</v>
      </c>
      <c r="E1231" s="16" t="s">
        <v>57</v>
      </c>
      <c r="F1231" s="16" t="s">
        <v>4068</v>
      </c>
      <c r="G1231" s="16" t="s">
        <v>4069</v>
      </c>
      <c r="I1231" s="16" t="s">
        <v>50</v>
      </c>
      <c r="L1231" s="16" t="s">
        <v>4070</v>
      </c>
      <c r="M1231" s="16" t="s">
        <v>4068</v>
      </c>
      <c r="N1231" s="16">
        <v>285</v>
      </c>
      <c r="O1231" s="16" t="s">
        <v>4071</v>
      </c>
    </row>
    <row r="1232" spans="1:15" ht="15.75" customHeight="1" x14ac:dyDescent="0.25">
      <c r="A1232" s="16" t="s">
        <v>30</v>
      </c>
      <c r="B1232" s="16">
        <v>1219002</v>
      </c>
      <c r="C1232" s="16">
        <v>1219496</v>
      </c>
      <c r="E1232" s="16" t="s">
        <v>57</v>
      </c>
      <c r="F1232" s="16" t="s">
        <v>4072</v>
      </c>
      <c r="G1232" s="16" t="s">
        <v>4073</v>
      </c>
      <c r="I1232" s="16" t="s">
        <v>50</v>
      </c>
      <c r="L1232" s="16" t="s">
        <v>4074</v>
      </c>
      <c r="M1232" s="16" t="s">
        <v>4072</v>
      </c>
      <c r="N1232" s="16">
        <v>164</v>
      </c>
      <c r="O1232" s="16" t="s">
        <v>4075</v>
      </c>
    </row>
    <row r="1233" spans="1:15" ht="15.75" customHeight="1" x14ac:dyDescent="0.25">
      <c r="A1233" s="16" t="s">
        <v>30</v>
      </c>
      <c r="B1233" s="16">
        <v>1219499</v>
      </c>
      <c r="C1233" s="16">
        <v>1220224</v>
      </c>
      <c r="E1233" s="16" t="s">
        <v>57</v>
      </c>
      <c r="F1233" s="16" t="s">
        <v>4076</v>
      </c>
      <c r="G1233" s="16" t="s">
        <v>4077</v>
      </c>
      <c r="I1233" s="16" t="s">
        <v>50</v>
      </c>
      <c r="L1233" s="16" t="s">
        <v>4078</v>
      </c>
      <c r="M1233" s="16" t="s">
        <v>4076</v>
      </c>
      <c r="N1233" s="16">
        <v>241</v>
      </c>
      <c r="O1233" s="16" t="s">
        <v>4079</v>
      </c>
    </row>
    <row r="1234" spans="1:15" ht="15.75" customHeight="1" x14ac:dyDescent="0.25">
      <c r="A1234" s="16" t="s">
        <v>30</v>
      </c>
      <c r="B1234" s="16">
        <v>1220228</v>
      </c>
      <c r="C1234" s="16">
        <v>1220746</v>
      </c>
      <c r="E1234" s="16" t="s">
        <v>57</v>
      </c>
      <c r="F1234" s="16" t="s">
        <v>4080</v>
      </c>
      <c r="G1234" s="16" t="s">
        <v>4081</v>
      </c>
      <c r="I1234" s="16" t="s">
        <v>50</v>
      </c>
      <c r="L1234" s="16" t="s">
        <v>4082</v>
      </c>
      <c r="M1234" s="16" t="s">
        <v>4080</v>
      </c>
      <c r="N1234" s="16">
        <v>172</v>
      </c>
      <c r="O1234" s="16" t="s">
        <v>4083</v>
      </c>
    </row>
    <row r="1235" spans="1:15" ht="15.75" customHeight="1" x14ac:dyDescent="0.25">
      <c r="A1235" s="16" t="s">
        <v>30</v>
      </c>
      <c r="B1235" s="16">
        <v>1220727</v>
      </c>
      <c r="C1235" s="16">
        <v>1221341</v>
      </c>
      <c r="E1235" s="16" t="s">
        <v>57</v>
      </c>
      <c r="F1235" s="16" t="s">
        <v>4084</v>
      </c>
      <c r="G1235" s="16" t="s">
        <v>4085</v>
      </c>
      <c r="I1235" s="16" t="s">
        <v>50</v>
      </c>
      <c r="L1235" s="16" t="s">
        <v>4086</v>
      </c>
      <c r="M1235" s="16" t="s">
        <v>4084</v>
      </c>
      <c r="N1235" s="16">
        <v>204</v>
      </c>
      <c r="O1235" s="16" t="s">
        <v>4087</v>
      </c>
    </row>
    <row r="1236" spans="1:15" ht="15.75" customHeight="1" x14ac:dyDescent="0.25">
      <c r="A1236" s="16" t="s">
        <v>30</v>
      </c>
      <c r="B1236" s="16">
        <v>1221392</v>
      </c>
      <c r="C1236" s="16">
        <v>1221928</v>
      </c>
      <c r="E1236" s="16" t="s">
        <v>57</v>
      </c>
      <c r="F1236" s="16" t="s">
        <v>4088</v>
      </c>
      <c r="I1236" s="16" t="s">
        <v>50</v>
      </c>
      <c r="L1236" s="16" t="s">
        <v>4089</v>
      </c>
      <c r="M1236" s="16" t="s">
        <v>4088</v>
      </c>
      <c r="N1236" s="16">
        <v>178</v>
      </c>
      <c r="O1236" s="16" t="s">
        <v>4090</v>
      </c>
    </row>
    <row r="1237" spans="1:15" ht="15.75" customHeight="1" x14ac:dyDescent="0.25">
      <c r="A1237" s="16" t="s">
        <v>30</v>
      </c>
      <c r="B1237" s="16">
        <v>1222017</v>
      </c>
      <c r="C1237" s="16">
        <v>1223372</v>
      </c>
      <c r="E1237" s="16" t="s">
        <v>48</v>
      </c>
      <c r="F1237" s="16" t="s">
        <v>4091</v>
      </c>
      <c r="G1237" s="16" t="s">
        <v>4092</v>
      </c>
      <c r="I1237" s="16" t="s">
        <v>50</v>
      </c>
      <c r="L1237" s="16" t="s">
        <v>4093</v>
      </c>
      <c r="M1237" s="16" t="s">
        <v>4091</v>
      </c>
      <c r="N1237" s="16">
        <v>451</v>
      </c>
      <c r="O1237" s="16" t="s">
        <v>4094</v>
      </c>
    </row>
    <row r="1238" spans="1:15" ht="15.75" customHeight="1" x14ac:dyDescent="0.25">
      <c r="A1238" s="16" t="s">
        <v>30</v>
      </c>
      <c r="B1238" s="16">
        <v>1223747</v>
      </c>
      <c r="C1238" s="16">
        <v>1224286</v>
      </c>
      <c r="E1238" s="16" t="s">
        <v>48</v>
      </c>
      <c r="F1238" s="16" t="s">
        <v>4095</v>
      </c>
      <c r="G1238" s="16" t="s">
        <v>4096</v>
      </c>
      <c r="I1238" s="16" t="s">
        <v>50</v>
      </c>
      <c r="L1238" s="16" t="s">
        <v>4097</v>
      </c>
      <c r="M1238" s="16" t="s">
        <v>4095</v>
      </c>
      <c r="N1238" s="16">
        <v>179</v>
      </c>
      <c r="O1238" s="16" t="s">
        <v>4098</v>
      </c>
    </row>
    <row r="1239" spans="1:15" ht="15.75" customHeight="1" x14ac:dyDescent="0.25">
      <c r="A1239" s="16" t="s">
        <v>30</v>
      </c>
      <c r="B1239" s="16">
        <v>1224617</v>
      </c>
      <c r="C1239" s="16">
        <v>1225939</v>
      </c>
      <c r="E1239" s="16" t="s">
        <v>48</v>
      </c>
      <c r="F1239" s="16" t="s">
        <v>4099</v>
      </c>
      <c r="I1239" s="16" t="s">
        <v>50</v>
      </c>
      <c r="L1239" s="16" t="s">
        <v>4100</v>
      </c>
      <c r="M1239" s="16" t="s">
        <v>4099</v>
      </c>
      <c r="N1239" s="16">
        <v>440</v>
      </c>
      <c r="O1239" s="16" t="s">
        <v>4101</v>
      </c>
    </row>
    <row r="1240" spans="1:15" ht="15.75" customHeight="1" x14ac:dyDescent="0.25">
      <c r="A1240" s="16" t="s">
        <v>30</v>
      </c>
      <c r="B1240" s="16">
        <v>1226039</v>
      </c>
      <c r="C1240" s="16">
        <v>1226506</v>
      </c>
      <c r="E1240" s="16" t="s">
        <v>57</v>
      </c>
      <c r="F1240" s="16" t="s">
        <v>4102</v>
      </c>
      <c r="G1240" s="16" t="s">
        <v>4103</v>
      </c>
      <c r="I1240" s="16" t="s">
        <v>50</v>
      </c>
      <c r="L1240" s="16" t="s">
        <v>4104</v>
      </c>
      <c r="M1240" s="16" t="s">
        <v>4102</v>
      </c>
      <c r="N1240" s="16">
        <v>155</v>
      </c>
      <c r="O1240" s="16" t="s">
        <v>4105</v>
      </c>
    </row>
    <row r="1241" spans="1:15" ht="15.75" customHeight="1" x14ac:dyDescent="0.25">
      <c r="A1241" s="16" t="s">
        <v>30</v>
      </c>
      <c r="B1241" s="16">
        <v>1226636</v>
      </c>
      <c r="C1241" s="16">
        <v>1226734</v>
      </c>
      <c r="E1241" s="16" t="s">
        <v>48</v>
      </c>
      <c r="F1241" s="16" t="s">
        <v>4106</v>
      </c>
      <c r="G1241" s="16" t="s">
        <v>4107</v>
      </c>
      <c r="I1241" s="16" t="s">
        <v>4108</v>
      </c>
      <c r="O1241" s="16" t="s">
        <v>4109</v>
      </c>
    </row>
    <row r="1242" spans="1:15" ht="15.75" customHeight="1" x14ac:dyDescent="0.25">
      <c r="A1242" s="16" t="s">
        <v>30</v>
      </c>
      <c r="B1242" s="16">
        <v>1226756</v>
      </c>
      <c r="C1242" s="16">
        <v>1228486</v>
      </c>
      <c r="E1242" s="16" t="s">
        <v>57</v>
      </c>
      <c r="F1242" s="16" t="s">
        <v>4110</v>
      </c>
      <c r="G1242" s="16" t="s">
        <v>2402</v>
      </c>
      <c r="I1242" s="16" t="s">
        <v>50</v>
      </c>
      <c r="L1242" s="16" t="s">
        <v>4111</v>
      </c>
      <c r="M1242" s="16" t="s">
        <v>4110</v>
      </c>
      <c r="N1242" s="16">
        <v>576</v>
      </c>
      <c r="O1242" s="16" t="s">
        <v>4112</v>
      </c>
    </row>
    <row r="1243" spans="1:15" ht="15.75" customHeight="1" x14ac:dyDescent="0.25">
      <c r="A1243" s="16" t="s">
        <v>30</v>
      </c>
      <c r="B1243" s="16">
        <v>1228486</v>
      </c>
      <c r="C1243" s="16">
        <v>1230246</v>
      </c>
      <c r="E1243" s="16" t="s">
        <v>57</v>
      </c>
      <c r="F1243" s="16" t="s">
        <v>4113</v>
      </c>
      <c r="G1243" s="16" t="s">
        <v>4114</v>
      </c>
      <c r="I1243" s="16" t="s">
        <v>50</v>
      </c>
      <c r="L1243" s="16" t="s">
        <v>4115</v>
      </c>
      <c r="M1243" s="16" t="s">
        <v>4113</v>
      </c>
      <c r="N1243" s="16">
        <v>586</v>
      </c>
      <c r="O1243" s="16" t="s">
        <v>4116</v>
      </c>
    </row>
    <row r="1244" spans="1:15" ht="15.75" customHeight="1" x14ac:dyDescent="0.25">
      <c r="A1244" s="16" t="s">
        <v>30</v>
      </c>
      <c r="B1244" s="16">
        <v>1230318</v>
      </c>
      <c r="C1244" s="16">
        <v>1231274</v>
      </c>
      <c r="E1244" s="16" t="s">
        <v>57</v>
      </c>
      <c r="F1244" s="16" t="s">
        <v>4117</v>
      </c>
      <c r="G1244" s="16" t="s">
        <v>4118</v>
      </c>
      <c r="I1244" s="16" t="s">
        <v>50</v>
      </c>
      <c r="L1244" s="16" t="s">
        <v>4119</v>
      </c>
      <c r="M1244" s="16" t="s">
        <v>4117</v>
      </c>
      <c r="N1244" s="16">
        <v>318</v>
      </c>
      <c r="O1244" s="16" t="s">
        <v>4120</v>
      </c>
    </row>
    <row r="1245" spans="1:15" ht="15.75" customHeight="1" x14ac:dyDescent="0.25">
      <c r="A1245" s="16" t="s">
        <v>30</v>
      </c>
      <c r="B1245" s="16">
        <v>1231348</v>
      </c>
      <c r="C1245" s="16">
        <v>1232205</v>
      </c>
      <c r="E1245" s="16" t="s">
        <v>57</v>
      </c>
      <c r="F1245" s="16" t="s">
        <v>4121</v>
      </c>
      <c r="I1245" s="16" t="s">
        <v>50</v>
      </c>
      <c r="L1245" s="16" t="s">
        <v>4122</v>
      </c>
      <c r="M1245" s="16" t="s">
        <v>4121</v>
      </c>
      <c r="N1245" s="16">
        <v>285</v>
      </c>
      <c r="O1245" s="16" t="s">
        <v>4123</v>
      </c>
    </row>
    <row r="1246" spans="1:15" ht="15.75" customHeight="1" x14ac:dyDescent="0.25">
      <c r="A1246" s="16" t="s">
        <v>30</v>
      </c>
      <c r="B1246" s="16">
        <v>1232284</v>
      </c>
      <c r="C1246" s="16">
        <v>1233255</v>
      </c>
      <c r="E1246" s="16" t="s">
        <v>57</v>
      </c>
      <c r="F1246" s="16" t="s">
        <v>4124</v>
      </c>
      <c r="G1246" s="16" t="s">
        <v>4125</v>
      </c>
      <c r="I1246" s="16" t="s">
        <v>50</v>
      </c>
      <c r="L1246" s="16" t="s">
        <v>4126</v>
      </c>
      <c r="M1246" s="16" t="s">
        <v>4124</v>
      </c>
      <c r="N1246" s="16">
        <v>323</v>
      </c>
      <c r="O1246" s="16" t="s">
        <v>4127</v>
      </c>
    </row>
    <row r="1247" spans="1:15" ht="15.75" customHeight="1" x14ac:dyDescent="0.25">
      <c r="A1247" s="16" t="s">
        <v>30</v>
      </c>
      <c r="B1247" s="16">
        <v>1233252</v>
      </c>
      <c r="C1247" s="16">
        <v>1233668</v>
      </c>
      <c r="E1247" s="16" t="s">
        <v>57</v>
      </c>
      <c r="F1247" s="16" t="s">
        <v>4128</v>
      </c>
      <c r="I1247" s="16" t="s">
        <v>50</v>
      </c>
      <c r="L1247" s="16" t="s">
        <v>4129</v>
      </c>
      <c r="M1247" s="16" t="s">
        <v>4128</v>
      </c>
      <c r="N1247" s="16">
        <v>138</v>
      </c>
      <c r="O1247" s="16" t="s">
        <v>4130</v>
      </c>
    </row>
    <row r="1248" spans="1:15" ht="15.75" customHeight="1" x14ac:dyDescent="0.25">
      <c r="A1248" s="16" t="s">
        <v>30</v>
      </c>
      <c r="B1248" s="16">
        <v>1233682</v>
      </c>
      <c r="C1248" s="16">
        <v>1236765</v>
      </c>
      <c r="E1248" s="16" t="s">
        <v>57</v>
      </c>
      <c r="F1248" s="16" t="s">
        <v>1892</v>
      </c>
      <c r="I1248" s="16" t="s">
        <v>50</v>
      </c>
      <c r="L1248" s="16" t="s">
        <v>4131</v>
      </c>
      <c r="M1248" s="16" t="s">
        <v>1892</v>
      </c>
      <c r="N1248" s="16">
        <v>1027</v>
      </c>
      <c r="O1248" s="16" t="s">
        <v>4132</v>
      </c>
    </row>
    <row r="1249" spans="1:15" ht="15.75" customHeight="1" x14ac:dyDescent="0.25">
      <c r="A1249" s="16" t="s">
        <v>30</v>
      </c>
      <c r="B1249" s="16">
        <v>1237144</v>
      </c>
      <c r="C1249" s="16">
        <v>1238187</v>
      </c>
      <c r="E1249" s="16" t="s">
        <v>48</v>
      </c>
      <c r="F1249" s="16" t="s">
        <v>4133</v>
      </c>
      <c r="G1249" s="16" t="s">
        <v>4134</v>
      </c>
      <c r="I1249" s="16" t="s">
        <v>50</v>
      </c>
      <c r="L1249" s="16" t="s">
        <v>4135</v>
      </c>
      <c r="M1249" s="16" t="s">
        <v>4133</v>
      </c>
      <c r="N1249" s="16">
        <v>347</v>
      </c>
      <c r="O1249" s="16" t="s">
        <v>4136</v>
      </c>
    </row>
    <row r="1250" spans="1:15" ht="15.75" customHeight="1" x14ac:dyDescent="0.25">
      <c r="A1250" s="16" t="s">
        <v>30</v>
      </c>
      <c r="B1250" s="16">
        <v>1238338</v>
      </c>
      <c r="C1250" s="16">
        <v>1238661</v>
      </c>
      <c r="E1250" s="16" t="s">
        <v>48</v>
      </c>
      <c r="F1250" s="16" t="s">
        <v>4137</v>
      </c>
      <c r="G1250" s="16" t="s">
        <v>4138</v>
      </c>
      <c r="I1250" s="16" t="s">
        <v>50</v>
      </c>
      <c r="L1250" s="16" t="s">
        <v>4139</v>
      </c>
      <c r="M1250" s="16" t="s">
        <v>4137</v>
      </c>
      <c r="N1250" s="16">
        <v>107</v>
      </c>
      <c r="O1250" s="16" t="s">
        <v>4140</v>
      </c>
    </row>
    <row r="1251" spans="1:15" ht="15.75" customHeight="1" x14ac:dyDescent="0.25">
      <c r="A1251" s="16" t="s">
        <v>30</v>
      </c>
      <c r="B1251" s="16">
        <v>1238738</v>
      </c>
      <c r="C1251" s="16">
        <v>1239838</v>
      </c>
      <c r="E1251" s="16" t="s">
        <v>57</v>
      </c>
      <c r="F1251" s="16" t="s">
        <v>1797</v>
      </c>
      <c r="G1251" s="16" t="s">
        <v>1798</v>
      </c>
      <c r="I1251" s="16" t="s">
        <v>50</v>
      </c>
      <c r="L1251" s="16" t="s">
        <v>4141</v>
      </c>
      <c r="M1251" s="16" t="s">
        <v>1797</v>
      </c>
      <c r="N1251" s="16">
        <v>366</v>
      </c>
      <c r="O1251" s="16" t="s">
        <v>4142</v>
      </c>
    </row>
    <row r="1252" spans="1:15" ht="15.75" customHeight="1" x14ac:dyDescent="0.25">
      <c r="A1252" s="16" t="s">
        <v>30</v>
      </c>
      <c r="B1252" s="16">
        <v>1239926</v>
      </c>
      <c r="C1252" s="16">
        <v>1241014</v>
      </c>
      <c r="E1252" s="16" t="s">
        <v>57</v>
      </c>
      <c r="F1252" s="16" t="s">
        <v>4143</v>
      </c>
      <c r="G1252" s="16" t="s">
        <v>4144</v>
      </c>
      <c r="I1252" s="16" t="s">
        <v>50</v>
      </c>
      <c r="L1252" s="16" t="s">
        <v>4145</v>
      </c>
      <c r="M1252" s="16" t="s">
        <v>4143</v>
      </c>
      <c r="N1252" s="16">
        <v>362</v>
      </c>
      <c r="O1252" s="16" t="s">
        <v>4146</v>
      </c>
    </row>
    <row r="1253" spans="1:15" ht="15.75" customHeight="1" x14ac:dyDescent="0.25">
      <c r="A1253" s="16" t="s">
        <v>30</v>
      </c>
      <c r="B1253" s="16">
        <v>1241205</v>
      </c>
      <c r="C1253" s="16">
        <v>1241549</v>
      </c>
      <c r="E1253" s="16" t="s">
        <v>48</v>
      </c>
      <c r="F1253" s="16" t="s">
        <v>4147</v>
      </c>
      <c r="I1253" s="16" t="s">
        <v>50</v>
      </c>
      <c r="L1253" s="16" t="s">
        <v>4148</v>
      </c>
      <c r="M1253" s="16" t="s">
        <v>4147</v>
      </c>
      <c r="N1253" s="16">
        <v>114</v>
      </c>
      <c r="O1253" s="16" t="s">
        <v>4149</v>
      </c>
    </row>
    <row r="1254" spans="1:15" ht="15.75" customHeight="1" x14ac:dyDescent="0.25">
      <c r="A1254" s="16" t="s">
        <v>30</v>
      </c>
      <c r="B1254" s="16">
        <v>1241589</v>
      </c>
      <c r="C1254" s="16">
        <v>1241870</v>
      </c>
      <c r="E1254" s="16" t="s">
        <v>57</v>
      </c>
      <c r="F1254" s="16" t="s">
        <v>4150</v>
      </c>
      <c r="I1254" s="16" t="s">
        <v>50</v>
      </c>
      <c r="L1254" s="16" t="s">
        <v>4151</v>
      </c>
      <c r="M1254" s="16" t="s">
        <v>4150</v>
      </c>
      <c r="N1254" s="16">
        <v>93</v>
      </c>
      <c r="O1254" s="16" t="s">
        <v>4152</v>
      </c>
    </row>
    <row r="1255" spans="1:15" ht="15.75" customHeight="1" x14ac:dyDescent="0.25">
      <c r="A1255" s="16" t="s">
        <v>30</v>
      </c>
      <c r="B1255" s="16">
        <v>1241886</v>
      </c>
      <c r="C1255" s="16">
        <v>1241987</v>
      </c>
      <c r="E1255" s="16" t="s">
        <v>48</v>
      </c>
      <c r="F1255" s="16" t="s">
        <v>135</v>
      </c>
      <c r="I1255" s="16" t="s">
        <v>50</v>
      </c>
      <c r="L1255" s="16" t="s">
        <v>4153</v>
      </c>
      <c r="M1255" s="16" t="s">
        <v>135</v>
      </c>
      <c r="N1255" s="16">
        <v>33</v>
      </c>
      <c r="O1255" s="16" t="s">
        <v>4154</v>
      </c>
    </row>
    <row r="1256" spans="1:15" ht="15.75" customHeight="1" x14ac:dyDescent="0.25">
      <c r="A1256" s="16" t="s">
        <v>30</v>
      </c>
      <c r="B1256" s="16">
        <v>1242155</v>
      </c>
      <c r="C1256" s="16">
        <v>1243141</v>
      </c>
      <c r="E1256" s="16" t="s">
        <v>57</v>
      </c>
      <c r="F1256" s="16" t="s">
        <v>4155</v>
      </c>
      <c r="I1256" s="16" t="s">
        <v>50</v>
      </c>
      <c r="L1256" s="16" t="s">
        <v>4156</v>
      </c>
      <c r="M1256" s="16" t="s">
        <v>4155</v>
      </c>
      <c r="N1256" s="16">
        <v>328</v>
      </c>
      <c r="O1256" s="16" t="s">
        <v>4157</v>
      </c>
    </row>
    <row r="1257" spans="1:15" ht="15.75" customHeight="1" x14ac:dyDescent="0.25">
      <c r="A1257" s="16" t="s">
        <v>30</v>
      </c>
      <c r="B1257" s="16">
        <v>1243183</v>
      </c>
      <c r="C1257" s="16">
        <v>1243764</v>
      </c>
      <c r="E1257" s="16" t="s">
        <v>48</v>
      </c>
      <c r="F1257" s="16" t="s">
        <v>4158</v>
      </c>
      <c r="I1257" s="16" t="s">
        <v>50</v>
      </c>
      <c r="L1257" s="16" t="s">
        <v>4159</v>
      </c>
      <c r="M1257" s="16" t="s">
        <v>4158</v>
      </c>
      <c r="N1257" s="16">
        <v>193</v>
      </c>
      <c r="O1257" s="16" t="s">
        <v>4160</v>
      </c>
    </row>
    <row r="1258" spans="1:15" ht="15.75" customHeight="1" x14ac:dyDescent="0.25">
      <c r="A1258" s="16" t="s">
        <v>30</v>
      </c>
      <c r="B1258" s="16">
        <v>1243849</v>
      </c>
      <c r="C1258" s="16">
        <v>1245003</v>
      </c>
      <c r="E1258" s="16" t="s">
        <v>48</v>
      </c>
      <c r="F1258" s="16" t="s">
        <v>4161</v>
      </c>
      <c r="G1258" s="16" t="s">
        <v>4162</v>
      </c>
      <c r="I1258" s="16" t="s">
        <v>50</v>
      </c>
      <c r="L1258" s="16" t="s">
        <v>4163</v>
      </c>
      <c r="M1258" s="16" t="s">
        <v>4161</v>
      </c>
      <c r="N1258" s="16">
        <v>384</v>
      </c>
      <c r="O1258" s="16" t="s">
        <v>4164</v>
      </c>
    </row>
    <row r="1259" spans="1:15" ht="15.75" customHeight="1" x14ac:dyDescent="0.25">
      <c r="A1259" s="16" t="s">
        <v>30</v>
      </c>
      <c r="B1259" s="16">
        <v>1245298</v>
      </c>
      <c r="C1259" s="16">
        <v>1245813</v>
      </c>
      <c r="E1259" s="16" t="s">
        <v>48</v>
      </c>
      <c r="F1259" s="16" t="s">
        <v>4165</v>
      </c>
      <c r="I1259" s="16" t="s">
        <v>50</v>
      </c>
      <c r="L1259" s="16" t="s">
        <v>4166</v>
      </c>
      <c r="M1259" s="16" t="s">
        <v>4165</v>
      </c>
      <c r="N1259" s="16">
        <v>171</v>
      </c>
      <c r="O1259" s="16" t="s">
        <v>4167</v>
      </c>
    </row>
    <row r="1260" spans="1:15" ht="15.75" customHeight="1" x14ac:dyDescent="0.25">
      <c r="A1260" s="16" t="s">
        <v>30</v>
      </c>
      <c r="B1260" s="16">
        <v>1245864</v>
      </c>
      <c r="C1260" s="16">
        <v>1246376</v>
      </c>
      <c r="E1260" s="16" t="s">
        <v>48</v>
      </c>
      <c r="F1260" s="16" t="s">
        <v>1608</v>
      </c>
      <c r="I1260" s="16" t="s">
        <v>50</v>
      </c>
      <c r="L1260" s="16" t="s">
        <v>4168</v>
      </c>
      <c r="M1260" s="16" t="s">
        <v>1608</v>
      </c>
      <c r="N1260" s="16">
        <v>170</v>
      </c>
      <c r="O1260" s="16" t="s">
        <v>4169</v>
      </c>
    </row>
    <row r="1261" spans="1:15" ht="15.75" customHeight="1" x14ac:dyDescent="0.25">
      <c r="A1261" s="16" t="s">
        <v>30</v>
      </c>
      <c r="B1261" s="16">
        <v>1246474</v>
      </c>
      <c r="C1261" s="16">
        <v>1246902</v>
      </c>
      <c r="E1261" s="16" t="s">
        <v>57</v>
      </c>
      <c r="F1261" s="16" t="s">
        <v>4170</v>
      </c>
      <c r="I1261" s="16" t="s">
        <v>50</v>
      </c>
      <c r="L1261" s="16" t="s">
        <v>4171</v>
      </c>
      <c r="M1261" s="16" t="s">
        <v>4170</v>
      </c>
      <c r="N1261" s="16">
        <v>142</v>
      </c>
      <c r="O1261" s="16" t="s">
        <v>4172</v>
      </c>
    </row>
    <row r="1262" spans="1:15" ht="15.75" customHeight="1" x14ac:dyDescent="0.25">
      <c r="A1262" s="16" t="s">
        <v>30</v>
      </c>
      <c r="B1262" s="16">
        <v>1246995</v>
      </c>
      <c r="C1262" s="16">
        <v>1247678</v>
      </c>
      <c r="E1262" s="16" t="s">
        <v>57</v>
      </c>
      <c r="F1262" s="16" t="s">
        <v>4173</v>
      </c>
      <c r="G1262" s="16" t="s">
        <v>4174</v>
      </c>
      <c r="I1262" s="16" t="s">
        <v>50</v>
      </c>
      <c r="L1262" s="16" t="s">
        <v>4175</v>
      </c>
      <c r="M1262" s="16" t="s">
        <v>4173</v>
      </c>
      <c r="N1262" s="16">
        <v>227</v>
      </c>
      <c r="O1262" s="16" t="s">
        <v>4176</v>
      </c>
    </row>
    <row r="1263" spans="1:15" ht="15.75" customHeight="1" x14ac:dyDescent="0.25">
      <c r="A1263" s="16" t="s">
        <v>30</v>
      </c>
      <c r="B1263" s="16">
        <v>1247678</v>
      </c>
      <c r="C1263" s="16">
        <v>1248343</v>
      </c>
      <c r="E1263" s="16" t="s">
        <v>57</v>
      </c>
      <c r="F1263" s="16" t="s">
        <v>4177</v>
      </c>
      <c r="G1263" s="16" t="s">
        <v>4178</v>
      </c>
      <c r="I1263" s="16" t="s">
        <v>50</v>
      </c>
      <c r="L1263" s="16" t="s">
        <v>4179</v>
      </c>
      <c r="M1263" s="16" t="s">
        <v>4177</v>
      </c>
      <c r="N1263" s="16">
        <v>221</v>
      </c>
      <c r="O1263" s="16" t="s">
        <v>4180</v>
      </c>
    </row>
    <row r="1264" spans="1:15" ht="15.75" customHeight="1" x14ac:dyDescent="0.25">
      <c r="A1264" s="16" t="s">
        <v>30</v>
      </c>
      <c r="B1264" s="16">
        <v>1248347</v>
      </c>
      <c r="C1264" s="16">
        <v>1249066</v>
      </c>
      <c r="E1264" s="16" t="s">
        <v>57</v>
      </c>
      <c r="F1264" s="16" t="s">
        <v>4181</v>
      </c>
      <c r="I1264" s="16" t="s">
        <v>50</v>
      </c>
      <c r="L1264" s="16" t="s">
        <v>4182</v>
      </c>
      <c r="M1264" s="16" t="s">
        <v>4181</v>
      </c>
      <c r="N1264" s="16">
        <v>239</v>
      </c>
      <c r="O1264" s="16" t="s">
        <v>4183</v>
      </c>
    </row>
    <row r="1265" spans="1:15" ht="15.75" customHeight="1" x14ac:dyDescent="0.25">
      <c r="A1265" s="16" t="s">
        <v>30</v>
      </c>
      <c r="B1265" s="16">
        <v>1249084</v>
      </c>
      <c r="C1265" s="16">
        <v>1249815</v>
      </c>
      <c r="E1265" s="16" t="s">
        <v>57</v>
      </c>
      <c r="F1265" s="16" t="s">
        <v>4184</v>
      </c>
      <c r="G1265" s="16" t="s">
        <v>4185</v>
      </c>
      <c r="I1265" s="16" t="s">
        <v>50</v>
      </c>
      <c r="L1265" s="16" t="s">
        <v>4186</v>
      </c>
      <c r="M1265" s="16" t="s">
        <v>4184</v>
      </c>
      <c r="N1265" s="16">
        <v>243</v>
      </c>
      <c r="O1265" s="16" t="s">
        <v>4187</v>
      </c>
    </row>
    <row r="1266" spans="1:15" ht="15.75" customHeight="1" x14ac:dyDescent="0.25">
      <c r="A1266" s="16" t="s">
        <v>30</v>
      </c>
      <c r="B1266" s="16">
        <v>1249941</v>
      </c>
      <c r="C1266" s="16">
        <v>1250525</v>
      </c>
      <c r="E1266" s="16" t="s">
        <v>57</v>
      </c>
      <c r="F1266" s="16" t="s">
        <v>4188</v>
      </c>
      <c r="G1266" s="16" t="s">
        <v>4189</v>
      </c>
      <c r="I1266" s="16" t="s">
        <v>50</v>
      </c>
      <c r="L1266" s="16" t="s">
        <v>4190</v>
      </c>
      <c r="M1266" s="16" t="s">
        <v>4188</v>
      </c>
      <c r="N1266" s="16">
        <v>194</v>
      </c>
      <c r="O1266" s="16" t="s">
        <v>4191</v>
      </c>
    </row>
    <row r="1267" spans="1:15" ht="15.75" customHeight="1" x14ac:dyDescent="0.25">
      <c r="A1267" s="16" t="s">
        <v>30</v>
      </c>
      <c r="B1267" s="16">
        <v>1250733</v>
      </c>
      <c r="C1267" s="16">
        <v>1251539</v>
      </c>
      <c r="E1267" s="16" t="s">
        <v>48</v>
      </c>
      <c r="F1267" s="16" t="s">
        <v>4192</v>
      </c>
      <c r="I1267" s="16" t="s">
        <v>50</v>
      </c>
      <c r="L1267" s="16" t="s">
        <v>4193</v>
      </c>
      <c r="M1267" s="16" t="s">
        <v>4192</v>
      </c>
      <c r="N1267" s="16">
        <v>268</v>
      </c>
      <c r="O1267" s="16" t="s">
        <v>4194</v>
      </c>
    </row>
    <row r="1268" spans="1:15" ht="15.75" customHeight="1" x14ac:dyDescent="0.25">
      <c r="A1268" s="16" t="s">
        <v>30</v>
      </c>
      <c r="B1268" s="16">
        <v>1251568</v>
      </c>
      <c r="C1268" s="16">
        <v>1252551</v>
      </c>
      <c r="E1268" s="16" t="s">
        <v>57</v>
      </c>
      <c r="F1268" s="16" t="s">
        <v>1243</v>
      </c>
      <c r="I1268" s="16" t="s">
        <v>50</v>
      </c>
      <c r="L1268" s="16" t="s">
        <v>4195</v>
      </c>
      <c r="M1268" s="16" t="s">
        <v>1243</v>
      </c>
      <c r="N1268" s="16">
        <v>327</v>
      </c>
      <c r="O1268" s="16" t="s">
        <v>4196</v>
      </c>
    </row>
    <row r="1269" spans="1:15" ht="15.75" customHeight="1" x14ac:dyDescent="0.25">
      <c r="A1269" s="16" t="s">
        <v>30</v>
      </c>
      <c r="B1269" s="16">
        <v>1252554</v>
      </c>
      <c r="C1269" s="16">
        <v>1253546</v>
      </c>
      <c r="E1269" s="16" t="s">
        <v>57</v>
      </c>
      <c r="F1269" s="16" t="s">
        <v>4197</v>
      </c>
      <c r="G1269" s="16" t="s">
        <v>4198</v>
      </c>
      <c r="I1269" s="16" t="s">
        <v>50</v>
      </c>
      <c r="L1269" s="16" t="s">
        <v>4199</v>
      </c>
      <c r="M1269" s="16" t="s">
        <v>4197</v>
      </c>
      <c r="N1269" s="16">
        <v>330</v>
      </c>
      <c r="O1269" s="16" t="s">
        <v>4200</v>
      </c>
    </row>
    <row r="1270" spans="1:15" ht="15.75" customHeight="1" x14ac:dyDescent="0.25">
      <c r="A1270" s="16" t="s">
        <v>30</v>
      </c>
      <c r="B1270" s="16">
        <v>1253556</v>
      </c>
      <c r="C1270" s="16">
        <v>1254443</v>
      </c>
      <c r="E1270" s="16" t="s">
        <v>57</v>
      </c>
      <c r="F1270" s="16" t="s">
        <v>4201</v>
      </c>
      <c r="I1270" s="16" t="s">
        <v>50</v>
      </c>
      <c r="L1270" s="16" t="s">
        <v>4202</v>
      </c>
      <c r="M1270" s="16" t="s">
        <v>4201</v>
      </c>
      <c r="N1270" s="16">
        <v>295</v>
      </c>
      <c r="O1270" s="16" t="s">
        <v>4203</v>
      </c>
    </row>
    <row r="1271" spans="1:15" ht="15.75" customHeight="1" x14ac:dyDescent="0.25">
      <c r="A1271" s="16" t="s">
        <v>30</v>
      </c>
      <c r="B1271" s="16">
        <v>1254458</v>
      </c>
      <c r="C1271" s="16">
        <v>1255459</v>
      </c>
      <c r="E1271" s="16" t="s">
        <v>57</v>
      </c>
      <c r="F1271" s="16" t="s">
        <v>4201</v>
      </c>
      <c r="I1271" s="16" t="s">
        <v>50</v>
      </c>
      <c r="L1271" s="16" t="s">
        <v>4204</v>
      </c>
      <c r="M1271" s="16" t="s">
        <v>4201</v>
      </c>
      <c r="N1271" s="16">
        <v>333</v>
      </c>
      <c r="O1271" s="16" t="s">
        <v>4205</v>
      </c>
    </row>
    <row r="1272" spans="1:15" ht="15.75" customHeight="1" x14ac:dyDescent="0.25">
      <c r="A1272" s="16" t="s">
        <v>30</v>
      </c>
      <c r="B1272" s="16">
        <v>1255549</v>
      </c>
      <c r="C1272" s="16">
        <v>1257729</v>
      </c>
      <c r="E1272" s="16" t="s">
        <v>57</v>
      </c>
      <c r="F1272" s="16" t="s">
        <v>4206</v>
      </c>
      <c r="G1272" s="16" t="s">
        <v>4207</v>
      </c>
      <c r="I1272" s="16" t="s">
        <v>50</v>
      </c>
      <c r="L1272" s="16" t="s">
        <v>4208</v>
      </c>
      <c r="M1272" s="16" t="s">
        <v>4206</v>
      </c>
      <c r="N1272" s="16">
        <v>726</v>
      </c>
      <c r="O1272" s="16" t="s">
        <v>4209</v>
      </c>
    </row>
    <row r="1273" spans="1:15" ht="15.75" customHeight="1" x14ac:dyDescent="0.25">
      <c r="A1273" s="16" t="s">
        <v>30</v>
      </c>
      <c r="B1273" s="16">
        <v>1258339</v>
      </c>
      <c r="C1273" s="16">
        <v>1258974</v>
      </c>
      <c r="E1273" s="16" t="s">
        <v>57</v>
      </c>
      <c r="F1273" s="16" t="s">
        <v>4210</v>
      </c>
      <c r="I1273" s="16" t="s">
        <v>50</v>
      </c>
      <c r="L1273" s="16" t="s">
        <v>4211</v>
      </c>
      <c r="M1273" s="16" t="s">
        <v>4210</v>
      </c>
      <c r="N1273" s="16">
        <v>211</v>
      </c>
      <c r="O1273" s="16" t="s">
        <v>4212</v>
      </c>
    </row>
    <row r="1274" spans="1:15" ht="15.75" customHeight="1" x14ac:dyDescent="0.25">
      <c r="A1274" s="16" t="s">
        <v>30</v>
      </c>
      <c r="B1274" s="16">
        <v>1258975</v>
      </c>
      <c r="C1274" s="16">
        <v>1259400</v>
      </c>
      <c r="E1274" s="16" t="s">
        <v>57</v>
      </c>
      <c r="F1274" s="16" t="s">
        <v>4213</v>
      </c>
      <c r="G1274" s="16" t="s">
        <v>4214</v>
      </c>
      <c r="I1274" s="16" t="s">
        <v>50</v>
      </c>
      <c r="L1274" s="16" t="s">
        <v>4215</v>
      </c>
      <c r="M1274" s="16" t="s">
        <v>4213</v>
      </c>
      <c r="N1274" s="16">
        <v>141</v>
      </c>
      <c r="O1274" s="16" t="s">
        <v>4216</v>
      </c>
    </row>
    <row r="1275" spans="1:15" ht="15.75" customHeight="1" x14ac:dyDescent="0.25">
      <c r="A1275" s="16" t="s">
        <v>30</v>
      </c>
      <c r="B1275" s="16">
        <v>1259393</v>
      </c>
      <c r="C1275" s="16">
        <v>1260076</v>
      </c>
      <c r="E1275" s="16" t="s">
        <v>57</v>
      </c>
      <c r="F1275" s="16" t="s">
        <v>4217</v>
      </c>
      <c r="G1275" s="16" t="s">
        <v>4218</v>
      </c>
      <c r="I1275" s="16" t="s">
        <v>50</v>
      </c>
      <c r="L1275" s="16" t="s">
        <v>4219</v>
      </c>
      <c r="M1275" s="16" t="s">
        <v>4217</v>
      </c>
      <c r="N1275" s="16">
        <v>227</v>
      </c>
      <c r="O1275" s="16" t="s">
        <v>4220</v>
      </c>
    </row>
    <row r="1276" spans="1:15" ht="15.75" customHeight="1" x14ac:dyDescent="0.25">
      <c r="A1276" s="16" t="s">
        <v>30</v>
      </c>
      <c r="B1276" s="16">
        <v>1260232</v>
      </c>
      <c r="C1276" s="16">
        <v>1260375</v>
      </c>
      <c r="E1276" s="16" t="s">
        <v>48</v>
      </c>
      <c r="F1276" s="16" t="s">
        <v>135</v>
      </c>
      <c r="I1276" s="16" t="s">
        <v>50</v>
      </c>
      <c r="L1276" s="16" t="s">
        <v>4221</v>
      </c>
      <c r="M1276" s="16" t="s">
        <v>135</v>
      </c>
      <c r="N1276" s="16">
        <v>47</v>
      </c>
      <c r="O1276" s="16" t="s">
        <v>4222</v>
      </c>
    </row>
    <row r="1277" spans="1:15" ht="15.75" customHeight="1" x14ac:dyDescent="0.25">
      <c r="A1277" s="16" t="s">
        <v>30</v>
      </c>
      <c r="B1277" s="16">
        <v>1260426</v>
      </c>
      <c r="C1277" s="16">
        <v>1261457</v>
      </c>
      <c r="E1277" s="16" t="s">
        <v>57</v>
      </c>
      <c r="F1277" s="16" t="s">
        <v>4223</v>
      </c>
      <c r="G1277" s="16" t="s">
        <v>4224</v>
      </c>
      <c r="I1277" s="16" t="s">
        <v>50</v>
      </c>
      <c r="L1277" s="16" t="s">
        <v>4225</v>
      </c>
      <c r="M1277" s="16" t="s">
        <v>4223</v>
      </c>
      <c r="N1277" s="16">
        <v>343</v>
      </c>
      <c r="O1277" s="16" t="s">
        <v>4226</v>
      </c>
    </row>
    <row r="1278" spans="1:15" ht="15.75" customHeight="1" x14ac:dyDescent="0.25">
      <c r="A1278" s="16" t="s">
        <v>30</v>
      </c>
      <c r="B1278" s="16">
        <v>1261932</v>
      </c>
      <c r="C1278" s="16">
        <v>1262825</v>
      </c>
      <c r="E1278" s="16" t="s">
        <v>48</v>
      </c>
      <c r="F1278" s="16" t="s">
        <v>4227</v>
      </c>
      <c r="I1278" s="16" t="s">
        <v>50</v>
      </c>
      <c r="L1278" s="16" t="s">
        <v>4228</v>
      </c>
      <c r="M1278" s="16" t="s">
        <v>4227</v>
      </c>
      <c r="N1278" s="16">
        <v>297</v>
      </c>
      <c r="O1278" s="16" t="s">
        <v>4229</v>
      </c>
    </row>
    <row r="1279" spans="1:15" ht="15.75" customHeight="1" x14ac:dyDescent="0.25">
      <c r="A1279" s="16" t="s">
        <v>30</v>
      </c>
      <c r="B1279" s="16">
        <v>1262818</v>
      </c>
      <c r="C1279" s="16">
        <v>1263909</v>
      </c>
      <c r="E1279" s="16" t="s">
        <v>48</v>
      </c>
      <c r="F1279" s="16" t="s">
        <v>4230</v>
      </c>
      <c r="G1279" s="16" t="s">
        <v>4231</v>
      </c>
      <c r="I1279" s="16" t="s">
        <v>50</v>
      </c>
      <c r="L1279" s="16" t="s">
        <v>4232</v>
      </c>
      <c r="M1279" s="16" t="s">
        <v>4230</v>
      </c>
      <c r="N1279" s="16">
        <v>363</v>
      </c>
      <c r="O1279" s="16" t="s">
        <v>4233</v>
      </c>
    </row>
    <row r="1280" spans="1:15" ht="15.75" customHeight="1" x14ac:dyDescent="0.25">
      <c r="A1280" s="16" t="s">
        <v>30</v>
      </c>
      <c r="B1280" s="16">
        <v>1263945</v>
      </c>
      <c r="C1280" s="16">
        <v>1265114</v>
      </c>
      <c r="E1280" s="16" t="s">
        <v>48</v>
      </c>
      <c r="F1280" s="16" t="s">
        <v>4234</v>
      </c>
      <c r="G1280" s="16" t="s">
        <v>4235</v>
      </c>
      <c r="I1280" s="16" t="s">
        <v>50</v>
      </c>
      <c r="L1280" s="16" t="s">
        <v>4236</v>
      </c>
      <c r="M1280" s="16" t="s">
        <v>4234</v>
      </c>
      <c r="N1280" s="16">
        <v>389</v>
      </c>
      <c r="O1280" s="16" t="s">
        <v>4237</v>
      </c>
    </row>
    <row r="1281" spans="1:15" ht="15.75" customHeight="1" x14ac:dyDescent="0.25">
      <c r="A1281" s="16" t="s">
        <v>30</v>
      </c>
      <c r="B1281" s="16">
        <v>1265114</v>
      </c>
      <c r="C1281" s="16">
        <v>1265995</v>
      </c>
      <c r="E1281" s="16" t="s">
        <v>48</v>
      </c>
      <c r="F1281" s="16" t="s">
        <v>4238</v>
      </c>
      <c r="G1281" s="16" t="s">
        <v>4239</v>
      </c>
      <c r="I1281" s="16" t="s">
        <v>50</v>
      </c>
      <c r="L1281" s="16" t="s">
        <v>4240</v>
      </c>
      <c r="M1281" s="16" t="s">
        <v>4238</v>
      </c>
      <c r="N1281" s="16">
        <v>293</v>
      </c>
      <c r="O1281" s="16" t="s">
        <v>4241</v>
      </c>
    </row>
    <row r="1282" spans="1:15" ht="15.75" customHeight="1" x14ac:dyDescent="0.25">
      <c r="A1282" s="16" t="s">
        <v>30</v>
      </c>
      <c r="B1282" s="16">
        <v>1266116</v>
      </c>
      <c r="C1282" s="16">
        <v>1266739</v>
      </c>
      <c r="E1282" s="16" t="s">
        <v>48</v>
      </c>
      <c r="F1282" s="16" t="s">
        <v>2381</v>
      </c>
      <c r="I1282" s="16" t="s">
        <v>50</v>
      </c>
      <c r="L1282" s="16" t="s">
        <v>4242</v>
      </c>
      <c r="M1282" s="16" t="s">
        <v>2381</v>
      </c>
      <c r="N1282" s="16">
        <v>207</v>
      </c>
      <c r="O1282" s="16" t="s">
        <v>4243</v>
      </c>
    </row>
    <row r="1283" spans="1:15" ht="15.75" customHeight="1" x14ac:dyDescent="0.25">
      <c r="A1283" s="16" t="s">
        <v>30</v>
      </c>
      <c r="B1283" s="16">
        <v>1266787</v>
      </c>
      <c r="C1283" s="16">
        <v>1267860</v>
      </c>
      <c r="E1283" s="16" t="s">
        <v>48</v>
      </c>
      <c r="F1283" s="16" t="s">
        <v>4244</v>
      </c>
      <c r="G1283" s="16" t="s">
        <v>4245</v>
      </c>
      <c r="I1283" s="16" t="s">
        <v>50</v>
      </c>
      <c r="L1283" s="16" t="s">
        <v>4246</v>
      </c>
      <c r="M1283" s="16" t="s">
        <v>4244</v>
      </c>
      <c r="N1283" s="16">
        <v>357</v>
      </c>
      <c r="O1283" s="16" t="s">
        <v>4247</v>
      </c>
    </row>
    <row r="1284" spans="1:15" ht="15.75" customHeight="1" x14ac:dyDescent="0.25">
      <c r="A1284" s="16" t="s">
        <v>30</v>
      </c>
      <c r="B1284" s="16">
        <v>1267871</v>
      </c>
      <c r="C1284" s="16">
        <v>1268842</v>
      </c>
      <c r="E1284" s="16" t="s">
        <v>48</v>
      </c>
      <c r="F1284" s="16" t="s">
        <v>4248</v>
      </c>
      <c r="G1284" s="16" t="s">
        <v>4249</v>
      </c>
      <c r="I1284" s="16" t="s">
        <v>50</v>
      </c>
      <c r="L1284" s="16" t="s">
        <v>4250</v>
      </c>
      <c r="M1284" s="16" t="s">
        <v>4248</v>
      </c>
      <c r="N1284" s="16">
        <v>323</v>
      </c>
      <c r="O1284" s="16" t="s">
        <v>4251</v>
      </c>
    </row>
    <row r="1285" spans="1:15" ht="15.75" customHeight="1" x14ac:dyDescent="0.25">
      <c r="A1285" s="16" t="s">
        <v>30</v>
      </c>
      <c r="B1285" s="16">
        <v>1268901</v>
      </c>
      <c r="C1285" s="16">
        <v>1269845</v>
      </c>
      <c r="E1285" s="16" t="s">
        <v>57</v>
      </c>
      <c r="F1285" s="16" t="s">
        <v>4252</v>
      </c>
      <c r="G1285" s="16" t="s">
        <v>4253</v>
      </c>
      <c r="I1285" s="16" t="s">
        <v>50</v>
      </c>
      <c r="L1285" s="16" t="s">
        <v>4254</v>
      </c>
      <c r="M1285" s="16" t="s">
        <v>4252</v>
      </c>
      <c r="N1285" s="16">
        <v>314</v>
      </c>
      <c r="O1285" s="16" t="s">
        <v>4255</v>
      </c>
    </row>
    <row r="1286" spans="1:15" ht="15.75" customHeight="1" x14ac:dyDescent="0.25">
      <c r="A1286" s="16" t="s">
        <v>30</v>
      </c>
      <c r="B1286" s="16">
        <v>1269976</v>
      </c>
      <c r="C1286" s="16">
        <v>1270479</v>
      </c>
      <c r="E1286" s="16" t="s">
        <v>48</v>
      </c>
      <c r="F1286" s="16" t="s">
        <v>4256</v>
      </c>
      <c r="G1286" s="16" t="s">
        <v>4257</v>
      </c>
      <c r="I1286" s="16" t="s">
        <v>50</v>
      </c>
      <c r="L1286" s="16" t="s">
        <v>4258</v>
      </c>
      <c r="M1286" s="16" t="s">
        <v>4256</v>
      </c>
      <c r="N1286" s="16">
        <v>167</v>
      </c>
      <c r="O1286" s="16" t="s">
        <v>4259</v>
      </c>
    </row>
    <row r="1287" spans="1:15" ht="15.75" customHeight="1" x14ac:dyDescent="0.25">
      <c r="A1287" s="16" t="s">
        <v>30</v>
      </c>
      <c r="B1287" s="16">
        <v>1270557</v>
      </c>
      <c r="C1287" s="16">
        <v>1272692</v>
      </c>
      <c r="E1287" s="16" t="s">
        <v>57</v>
      </c>
      <c r="F1287" s="16" t="s">
        <v>4260</v>
      </c>
      <c r="G1287" s="16" t="s">
        <v>4261</v>
      </c>
      <c r="I1287" s="16" t="s">
        <v>50</v>
      </c>
      <c r="L1287" s="16" t="s">
        <v>4262</v>
      </c>
      <c r="M1287" s="16" t="s">
        <v>4260</v>
      </c>
      <c r="N1287" s="16">
        <v>711</v>
      </c>
      <c r="O1287" s="16" t="s">
        <v>4263</v>
      </c>
    </row>
    <row r="1288" spans="1:15" ht="15.75" customHeight="1" x14ac:dyDescent="0.25">
      <c r="A1288" s="16" t="s">
        <v>30</v>
      </c>
      <c r="B1288" s="16">
        <v>1272760</v>
      </c>
      <c r="C1288" s="16">
        <v>1273965</v>
      </c>
      <c r="E1288" s="16" t="s">
        <v>57</v>
      </c>
      <c r="F1288" s="16" t="s">
        <v>4264</v>
      </c>
      <c r="I1288" s="16" t="s">
        <v>50</v>
      </c>
      <c r="L1288" s="16" t="s">
        <v>4265</v>
      </c>
      <c r="M1288" s="16" t="s">
        <v>4264</v>
      </c>
      <c r="N1288" s="16">
        <v>401</v>
      </c>
      <c r="O1288" s="16" t="s">
        <v>4266</v>
      </c>
    </row>
    <row r="1289" spans="1:15" ht="15.75" customHeight="1" x14ac:dyDescent="0.25">
      <c r="A1289" s="16" t="s">
        <v>30</v>
      </c>
      <c r="B1289" s="16">
        <v>1274182</v>
      </c>
      <c r="C1289" s="16">
        <v>1274625</v>
      </c>
      <c r="E1289" s="16" t="s">
        <v>48</v>
      </c>
      <c r="F1289" s="16" t="s">
        <v>4267</v>
      </c>
      <c r="I1289" s="16" t="s">
        <v>50</v>
      </c>
      <c r="L1289" s="16" t="s">
        <v>4268</v>
      </c>
      <c r="M1289" s="16" t="s">
        <v>4267</v>
      </c>
      <c r="N1289" s="16">
        <v>147</v>
      </c>
      <c r="O1289" s="16" t="s">
        <v>4269</v>
      </c>
    </row>
    <row r="1290" spans="1:15" ht="15.75" customHeight="1" x14ac:dyDescent="0.25">
      <c r="A1290" s="16" t="s">
        <v>30</v>
      </c>
      <c r="B1290" s="16">
        <v>1274712</v>
      </c>
      <c r="C1290" s="16">
        <v>1275203</v>
      </c>
      <c r="E1290" s="16" t="s">
        <v>48</v>
      </c>
      <c r="F1290" s="16" t="s">
        <v>4270</v>
      </c>
      <c r="I1290" s="16" t="s">
        <v>50</v>
      </c>
      <c r="L1290" s="16" t="s">
        <v>4271</v>
      </c>
      <c r="M1290" s="16" t="s">
        <v>4270</v>
      </c>
      <c r="N1290" s="16">
        <v>163</v>
      </c>
      <c r="O1290" s="16" t="s">
        <v>4272</v>
      </c>
    </row>
    <row r="1291" spans="1:15" ht="15.75" customHeight="1" x14ac:dyDescent="0.25">
      <c r="A1291" s="16" t="s">
        <v>30</v>
      </c>
      <c r="B1291" s="16">
        <v>1275214</v>
      </c>
      <c r="C1291" s="16">
        <v>1276731</v>
      </c>
      <c r="E1291" s="16" t="s">
        <v>48</v>
      </c>
      <c r="F1291" s="16" t="s">
        <v>4273</v>
      </c>
      <c r="G1291" s="16" t="s">
        <v>4274</v>
      </c>
      <c r="I1291" s="16" t="s">
        <v>50</v>
      </c>
      <c r="L1291" s="16" t="s">
        <v>4275</v>
      </c>
      <c r="M1291" s="16" t="s">
        <v>4273</v>
      </c>
      <c r="N1291" s="16">
        <v>505</v>
      </c>
      <c r="O1291" s="16" t="s">
        <v>4276</v>
      </c>
    </row>
    <row r="1292" spans="1:15" ht="15.75" customHeight="1" x14ac:dyDescent="0.25">
      <c r="A1292" s="16" t="s">
        <v>30</v>
      </c>
      <c r="B1292" s="16">
        <v>1276796</v>
      </c>
      <c r="C1292" s="16">
        <v>1277686</v>
      </c>
      <c r="E1292" s="16" t="s">
        <v>57</v>
      </c>
      <c r="F1292" s="16" t="s">
        <v>4277</v>
      </c>
      <c r="I1292" s="16" t="s">
        <v>50</v>
      </c>
      <c r="L1292" s="16" t="s">
        <v>4278</v>
      </c>
      <c r="M1292" s="16" t="s">
        <v>4277</v>
      </c>
      <c r="N1292" s="16">
        <v>296</v>
      </c>
      <c r="O1292" s="16" t="s">
        <v>4279</v>
      </c>
    </row>
    <row r="1293" spans="1:15" ht="15.75" customHeight="1" x14ac:dyDescent="0.25">
      <c r="A1293" s="16" t="s">
        <v>30</v>
      </c>
      <c r="B1293" s="16">
        <v>1277686</v>
      </c>
      <c r="C1293" s="16">
        <v>1278141</v>
      </c>
      <c r="E1293" s="16" t="s">
        <v>57</v>
      </c>
      <c r="F1293" s="16" t="s">
        <v>4280</v>
      </c>
      <c r="G1293" s="16" t="s">
        <v>4281</v>
      </c>
      <c r="I1293" s="16" t="s">
        <v>50</v>
      </c>
      <c r="L1293" s="16" t="s">
        <v>4282</v>
      </c>
      <c r="M1293" s="16" t="s">
        <v>4280</v>
      </c>
      <c r="N1293" s="16">
        <v>151</v>
      </c>
      <c r="O1293" s="16" t="s">
        <v>4283</v>
      </c>
    </row>
    <row r="1294" spans="1:15" ht="15.75" customHeight="1" x14ac:dyDescent="0.25">
      <c r="A1294" s="16" t="s">
        <v>30</v>
      </c>
      <c r="B1294" s="16">
        <v>1278348</v>
      </c>
      <c r="C1294" s="16">
        <v>1279283</v>
      </c>
      <c r="E1294" s="16" t="s">
        <v>48</v>
      </c>
      <c r="F1294" s="16" t="s">
        <v>4284</v>
      </c>
      <c r="G1294" s="16" t="s">
        <v>4285</v>
      </c>
      <c r="I1294" s="16" t="s">
        <v>50</v>
      </c>
      <c r="L1294" s="16" t="s">
        <v>4286</v>
      </c>
      <c r="M1294" s="16" t="s">
        <v>4284</v>
      </c>
      <c r="N1294" s="16">
        <v>311</v>
      </c>
      <c r="O1294" s="16" t="s">
        <v>4287</v>
      </c>
    </row>
    <row r="1295" spans="1:15" ht="15.75" customHeight="1" x14ac:dyDescent="0.25">
      <c r="A1295" s="16" t="s">
        <v>30</v>
      </c>
      <c r="B1295" s="16">
        <v>1279370</v>
      </c>
      <c r="C1295" s="16">
        <v>1280878</v>
      </c>
      <c r="E1295" s="16" t="s">
        <v>57</v>
      </c>
      <c r="F1295" s="16" t="s">
        <v>4288</v>
      </c>
      <c r="G1295" s="16" t="s">
        <v>4289</v>
      </c>
      <c r="I1295" s="16" t="s">
        <v>50</v>
      </c>
      <c r="L1295" s="16" t="s">
        <v>4290</v>
      </c>
      <c r="M1295" s="16" t="s">
        <v>4288</v>
      </c>
      <c r="N1295" s="16">
        <v>502</v>
      </c>
      <c r="O1295" s="16" t="s">
        <v>4291</v>
      </c>
    </row>
    <row r="1296" spans="1:15" ht="15.75" customHeight="1" x14ac:dyDescent="0.25">
      <c r="A1296" s="16" t="s">
        <v>30</v>
      </c>
      <c r="B1296" s="16">
        <v>1280990</v>
      </c>
      <c r="C1296" s="16">
        <v>1282088</v>
      </c>
      <c r="E1296" s="16" t="s">
        <v>57</v>
      </c>
      <c r="F1296" s="16" t="s">
        <v>4292</v>
      </c>
      <c r="G1296" s="16" t="s">
        <v>4293</v>
      </c>
      <c r="I1296" s="16" t="s">
        <v>50</v>
      </c>
      <c r="L1296" s="16" t="s">
        <v>4294</v>
      </c>
      <c r="M1296" s="16" t="s">
        <v>4292</v>
      </c>
      <c r="N1296" s="16">
        <v>365</v>
      </c>
      <c r="O1296" s="16" t="s">
        <v>4295</v>
      </c>
    </row>
    <row r="1297" spans="1:15" ht="15.75" customHeight="1" x14ac:dyDescent="0.25">
      <c r="A1297" s="16" t="s">
        <v>30</v>
      </c>
      <c r="B1297" s="16">
        <v>1282221</v>
      </c>
      <c r="C1297" s="16">
        <v>1282910</v>
      </c>
      <c r="E1297" s="16" t="s">
        <v>48</v>
      </c>
      <c r="F1297" s="16" t="s">
        <v>4296</v>
      </c>
      <c r="G1297" s="16" t="s">
        <v>4297</v>
      </c>
      <c r="I1297" s="16" t="s">
        <v>50</v>
      </c>
      <c r="L1297" s="16" t="s">
        <v>4298</v>
      </c>
      <c r="M1297" s="16" t="s">
        <v>4296</v>
      </c>
      <c r="N1297" s="16">
        <v>229</v>
      </c>
      <c r="O1297" s="16" t="s">
        <v>4299</v>
      </c>
    </row>
    <row r="1298" spans="1:15" ht="15.75" customHeight="1" x14ac:dyDescent="0.25">
      <c r="A1298" s="16" t="s">
        <v>30</v>
      </c>
      <c r="B1298" s="16">
        <v>1283198</v>
      </c>
      <c r="C1298" s="16">
        <v>1284925</v>
      </c>
      <c r="E1298" s="16" t="s">
        <v>48</v>
      </c>
      <c r="F1298" s="16" t="s">
        <v>4300</v>
      </c>
      <c r="G1298" s="16" t="s">
        <v>4301</v>
      </c>
      <c r="I1298" s="16" t="s">
        <v>50</v>
      </c>
      <c r="L1298" s="16" t="s">
        <v>4302</v>
      </c>
      <c r="M1298" s="16" t="s">
        <v>4300</v>
      </c>
      <c r="N1298" s="16">
        <v>575</v>
      </c>
      <c r="O1298" s="16" t="s">
        <v>4303</v>
      </c>
    </row>
    <row r="1299" spans="1:15" ht="15.75" customHeight="1" x14ac:dyDescent="0.25">
      <c r="A1299" s="16" t="s">
        <v>30</v>
      </c>
      <c r="B1299" s="16">
        <v>1284918</v>
      </c>
      <c r="C1299" s="16">
        <v>1285625</v>
      </c>
      <c r="E1299" s="16" t="s">
        <v>48</v>
      </c>
      <c r="F1299" s="16" t="s">
        <v>4304</v>
      </c>
      <c r="I1299" s="16" t="s">
        <v>50</v>
      </c>
      <c r="L1299" s="16" t="s">
        <v>4305</v>
      </c>
      <c r="M1299" s="16" t="s">
        <v>4304</v>
      </c>
      <c r="N1299" s="16">
        <v>235</v>
      </c>
      <c r="O1299" s="16" t="s">
        <v>4306</v>
      </c>
    </row>
    <row r="1300" spans="1:15" ht="15.75" customHeight="1" x14ac:dyDescent="0.25">
      <c r="A1300" s="16" t="s">
        <v>30</v>
      </c>
      <c r="B1300" s="16">
        <v>1285622</v>
      </c>
      <c r="C1300" s="16">
        <v>1286314</v>
      </c>
      <c r="E1300" s="16" t="s">
        <v>48</v>
      </c>
      <c r="F1300" s="16" t="s">
        <v>4307</v>
      </c>
      <c r="I1300" s="16" t="s">
        <v>50</v>
      </c>
      <c r="L1300" s="16" t="s">
        <v>4308</v>
      </c>
      <c r="M1300" s="16" t="s">
        <v>4307</v>
      </c>
      <c r="N1300" s="16">
        <v>230</v>
      </c>
      <c r="O1300" s="16" t="s">
        <v>4309</v>
      </c>
    </row>
    <row r="1301" spans="1:15" ht="15.75" customHeight="1" x14ac:dyDescent="0.25">
      <c r="A1301" s="16" t="s">
        <v>30</v>
      </c>
      <c r="B1301" s="16">
        <v>1286387</v>
      </c>
      <c r="C1301" s="16">
        <v>1289101</v>
      </c>
      <c r="E1301" s="16" t="s">
        <v>57</v>
      </c>
      <c r="F1301" s="16" t="s">
        <v>4310</v>
      </c>
      <c r="I1301" s="16" t="s">
        <v>50</v>
      </c>
      <c r="L1301" s="16" t="s">
        <v>4311</v>
      </c>
      <c r="M1301" s="16" t="s">
        <v>4310</v>
      </c>
      <c r="N1301" s="16">
        <v>904</v>
      </c>
      <c r="O1301" s="16" t="s">
        <v>4312</v>
      </c>
    </row>
    <row r="1302" spans="1:15" ht="15.75" customHeight="1" x14ac:dyDescent="0.25">
      <c r="A1302" s="16" t="s">
        <v>30</v>
      </c>
      <c r="B1302" s="16">
        <v>1289389</v>
      </c>
      <c r="C1302" s="16">
        <v>1290987</v>
      </c>
      <c r="E1302" s="16" t="s">
        <v>57</v>
      </c>
      <c r="F1302" s="16" t="s">
        <v>4313</v>
      </c>
      <c r="I1302" s="16" t="s">
        <v>50</v>
      </c>
      <c r="L1302" s="16" t="s">
        <v>4314</v>
      </c>
      <c r="M1302" s="16" t="s">
        <v>4313</v>
      </c>
      <c r="N1302" s="16">
        <v>532</v>
      </c>
      <c r="O1302" s="16" t="s">
        <v>4315</v>
      </c>
    </row>
    <row r="1303" spans="1:15" ht="15.75" customHeight="1" x14ac:dyDescent="0.25">
      <c r="A1303" s="16" t="s">
        <v>30</v>
      </c>
      <c r="B1303" s="16">
        <v>1291261</v>
      </c>
      <c r="C1303" s="16">
        <v>1291347</v>
      </c>
      <c r="E1303" s="16" t="s">
        <v>48</v>
      </c>
      <c r="F1303" s="16" t="s">
        <v>132</v>
      </c>
      <c r="I1303" s="16" t="s">
        <v>133</v>
      </c>
      <c r="O1303" s="16" t="s">
        <v>4316</v>
      </c>
    </row>
    <row r="1304" spans="1:15" ht="15.75" customHeight="1" x14ac:dyDescent="0.25">
      <c r="A1304" s="16" t="s">
        <v>30</v>
      </c>
      <c r="B1304" s="16">
        <v>1291391</v>
      </c>
      <c r="C1304" s="16">
        <v>1292395</v>
      </c>
      <c r="E1304" s="16" t="s">
        <v>57</v>
      </c>
      <c r="F1304" s="16" t="s">
        <v>4317</v>
      </c>
      <c r="G1304" s="16" t="s">
        <v>4318</v>
      </c>
      <c r="I1304" s="16" t="s">
        <v>50</v>
      </c>
      <c r="L1304" s="16" t="s">
        <v>4319</v>
      </c>
      <c r="M1304" s="16" t="s">
        <v>4317</v>
      </c>
      <c r="N1304" s="16">
        <v>334</v>
      </c>
      <c r="O1304" s="16" t="s">
        <v>4320</v>
      </c>
    </row>
    <row r="1305" spans="1:15" ht="15.75" customHeight="1" x14ac:dyDescent="0.25">
      <c r="A1305" s="16" t="s">
        <v>30</v>
      </c>
      <c r="B1305" s="16">
        <v>1292630</v>
      </c>
      <c r="C1305" s="16">
        <v>1293439</v>
      </c>
      <c r="E1305" s="16" t="s">
        <v>48</v>
      </c>
      <c r="F1305" s="16" t="s">
        <v>4321</v>
      </c>
      <c r="G1305" s="16" t="s">
        <v>4322</v>
      </c>
      <c r="I1305" s="16" t="s">
        <v>50</v>
      </c>
      <c r="L1305" s="16" t="s">
        <v>4323</v>
      </c>
      <c r="M1305" s="16" t="s">
        <v>4321</v>
      </c>
      <c r="N1305" s="16">
        <v>269</v>
      </c>
      <c r="O1305" s="16" t="s">
        <v>4324</v>
      </c>
    </row>
    <row r="1306" spans="1:15" ht="15.75" customHeight="1" x14ac:dyDescent="0.25">
      <c r="A1306" s="16" t="s">
        <v>30</v>
      </c>
      <c r="B1306" s="16">
        <v>1293532</v>
      </c>
      <c r="C1306" s="16">
        <v>1294548</v>
      </c>
      <c r="E1306" s="16" t="s">
        <v>57</v>
      </c>
      <c r="F1306" s="16" t="s">
        <v>4325</v>
      </c>
      <c r="I1306" s="16" t="s">
        <v>50</v>
      </c>
      <c r="L1306" s="16" t="s">
        <v>4326</v>
      </c>
      <c r="M1306" s="16" t="s">
        <v>4325</v>
      </c>
      <c r="N1306" s="16">
        <v>338</v>
      </c>
      <c r="O1306" s="16" t="s">
        <v>4327</v>
      </c>
    </row>
    <row r="1307" spans="1:15" ht="15.75" customHeight="1" x14ac:dyDescent="0.25">
      <c r="A1307" s="16" t="s">
        <v>30</v>
      </c>
      <c r="B1307" s="16">
        <v>1294560</v>
      </c>
      <c r="C1307" s="16">
        <v>1295369</v>
      </c>
      <c r="E1307" s="16" t="s">
        <v>57</v>
      </c>
      <c r="F1307" s="16" t="s">
        <v>1243</v>
      </c>
      <c r="I1307" s="16" t="s">
        <v>50</v>
      </c>
      <c r="L1307" s="16" t="s">
        <v>4328</v>
      </c>
      <c r="M1307" s="16" t="s">
        <v>1243</v>
      </c>
      <c r="N1307" s="16">
        <v>269</v>
      </c>
      <c r="O1307" s="16" t="s">
        <v>4329</v>
      </c>
    </row>
    <row r="1308" spans="1:15" ht="15.75" customHeight="1" x14ac:dyDescent="0.25">
      <c r="A1308" s="16" t="s">
        <v>30</v>
      </c>
      <c r="B1308" s="16">
        <v>1295369</v>
      </c>
      <c r="C1308" s="16">
        <v>1296418</v>
      </c>
      <c r="E1308" s="16" t="s">
        <v>57</v>
      </c>
      <c r="F1308" s="16" t="s">
        <v>1261</v>
      </c>
      <c r="I1308" s="16" t="s">
        <v>50</v>
      </c>
      <c r="L1308" s="16" t="s">
        <v>4330</v>
      </c>
      <c r="M1308" s="16" t="s">
        <v>1261</v>
      </c>
      <c r="N1308" s="16">
        <v>349</v>
      </c>
      <c r="O1308" s="16" t="s">
        <v>4331</v>
      </c>
    </row>
    <row r="1309" spans="1:15" ht="15.75" customHeight="1" x14ac:dyDescent="0.25">
      <c r="A1309" s="16" t="s">
        <v>30</v>
      </c>
      <c r="B1309" s="16">
        <v>1296422</v>
      </c>
      <c r="C1309" s="16">
        <v>1297309</v>
      </c>
      <c r="E1309" s="16" t="s">
        <v>57</v>
      </c>
      <c r="F1309" s="16" t="s">
        <v>4201</v>
      </c>
      <c r="I1309" s="16" t="s">
        <v>50</v>
      </c>
      <c r="L1309" s="16" t="s">
        <v>4332</v>
      </c>
      <c r="M1309" s="16" t="s">
        <v>4201</v>
      </c>
      <c r="N1309" s="16">
        <v>295</v>
      </c>
      <c r="O1309" s="16" t="s">
        <v>4333</v>
      </c>
    </row>
    <row r="1310" spans="1:15" ht="15.75" customHeight="1" x14ac:dyDescent="0.25">
      <c r="A1310" s="16" t="s">
        <v>30</v>
      </c>
      <c r="B1310" s="16">
        <v>1297299</v>
      </c>
      <c r="C1310" s="16">
        <v>1298264</v>
      </c>
      <c r="E1310" s="16" t="s">
        <v>57</v>
      </c>
      <c r="F1310" s="16" t="s">
        <v>4201</v>
      </c>
      <c r="I1310" s="16" t="s">
        <v>50</v>
      </c>
      <c r="L1310" s="16" t="s">
        <v>4334</v>
      </c>
      <c r="M1310" s="16" t="s">
        <v>4201</v>
      </c>
      <c r="N1310" s="16">
        <v>321</v>
      </c>
      <c r="O1310" s="16" t="s">
        <v>4335</v>
      </c>
    </row>
    <row r="1311" spans="1:15" ht="15.75" customHeight="1" x14ac:dyDescent="0.25">
      <c r="A1311" s="16" t="s">
        <v>30</v>
      </c>
      <c r="B1311" s="16">
        <v>1298264</v>
      </c>
      <c r="C1311" s="16">
        <v>1299958</v>
      </c>
      <c r="E1311" s="16" t="s">
        <v>57</v>
      </c>
      <c r="F1311" s="16" t="s">
        <v>1249</v>
      </c>
      <c r="I1311" s="16" t="s">
        <v>50</v>
      </c>
      <c r="L1311" s="16" t="s">
        <v>4336</v>
      </c>
      <c r="M1311" s="16" t="s">
        <v>1249</v>
      </c>
      <c r="N1311" s="16">
        <v>564</v>
      </c>
      <c r="O1311" s="16" t="s">
        <v>4337</v>
      </c>
    </row>
    <row r="1312" spans="1:15" ht="15.75" customHeight="1" x14ac:dyDescent="0.25">
      <c r="A1312" s="16" t="s">
        <v>30</v>
      </c>
      <c r="B1312" s="16">
        <v>1300028</v>
      </c>
      <c r="C1312" s="16">
        <v>1301440</v>
      </c>
      <c r="E1312" s="16" t="s">
        <v>48</v>
      </c>
      <c r="F1312" s="16" t="s">
        <v>4338</v>
      </c>
      <c r="I1312" s="16" t="s">
        <v>50</v>
      </c>
      <c r="L1312" s="16" t="s">
        <v>4339</v>
      </c>
      <c r="M1312" s="16" t="s">
        <v>4338</v>
      </c>
      <c r="N1312" s="16">
        <v>470</v>
      </c>
      <c r="O1312" s="16" t="s">
        <v>4340</v>
      </c>
    </row>
    <row r="1313" spans="1:15" ht="15.75" customHeight="1" x14ac:dyDescent="0.25">
      <c r="A1313" s="16" t="s">
        <v>30</v>
      </c>
      <c r="B1313" s="16">
        <v>1301478</v>
      </c>
      <c r="C1313" s="16">
        <v>1304117</v>
      </c>
      <c r="E1313" s="16" t="s">
        <v>57</v>
      </c>
      <c r="F1313" s="16" t="s">
        <v>4341</v>
      </c>
      <c r="G1313" s="16" t="s">
        <v>4342</v>
      </c>
      <c r="I1313" s="16" t="s">
        <v>50</v>
      </c>
      <c r="L1313" s="16" t="s">
        <v>4343</v>
      </c>
      <c r="M1313" s="16" t="s">
        <v>4341</v>
      </c>
      <c r="N1313" s="16">
        <v>879</v>
      </c>
      <c r="O1313" s="16" t="s">
        <v>4344</v>
      </c>
    </row>
    <row r="1314" spans="1:15" ht="15.75" customHeight="1" x14ac:dyDescent="0.25">
      <c r="A1314" s="16" t="s">
        <v>30</v>
      </c>
      <c r="B1314" s="16">
        <v>1304300</v>
      </c>
      <c r="C1314" s="16">
        <v>1305310</v>
      </c>
      <c r="E1314" s="16" t="s">
        <v>57</v>
      </c>
      <c r="F1314" s="16" t="s">
        <v>4345</v>
      </c>
      <c r="G1314" s="16" t="s">
        <v>4346</v>
      </c>
      <c r="I1314" s="16" t="s">
        <v>50</v>
      </c>
      <c r="L1314" s="16" t="s">
        <v>4347</v>
      </c>
      <c r="M1314" s="16" t="s">
        <v>4345</v>
      </c>
      <c r="N1314" s="16">
        <v>336</v>
      </c>
      <c r="O1314" s="16" t="s">
        <v>4348</v>
      </c>
    </row>
    <row r="1315" spans="1:15" ht="15.75" customHeight="1" x14ac:dyDescent="0.25">
      <c r="A1315" s="16" t="s">
        <v>30</v>
      </c>
      <c r="B1315" s="16">
        <v>1305673</v>
      </c>
      <c r="C1315" s="16">
        <v>1306500</v>
      </c>
      <c r="E1315" s="16" t="s">
        <v>48</v>
      </c>
      <c r="F1315" s="16" t="s">
        <v>4349</v>
      </c>
      <c r="G1315" s="16" t="s">
        <v>4350</v>
      </c>
      <c r="I1315" s="16" t="s">
        <v>50</v>
      </c>
      <c r="L1315" s="16" t="s">
        <v>4351</v>
      </c>
      <c r="M1315" s="16" t="s">
        <v>4349</v>
      </c>
      <c r="N1315" s="16">
        <v>275</v>
      </c>
      <c r="O1315" s="16" t="s">
        <v>4352</v>
      </c>
    </row>
    <row r="1316" spans="1:15" ht="15.75" customHeight="1" x14ac:dyDescent="0.25">
      <c r="A1316" s="16" t="s">
        <v>30</v>
      </c>
      <c r="B1316" s="16">
        <v>1306557</v>
      </c>
      <c r="C1316" s="16">
        <v>1307855</v>
      </c>
      <c r="E1316" s="16" t="s">
        <v>57</v>
      </c>
      <c r="F1316" s="16" t="s">
        <v>4353</v>
      </c>
      <c r="G1316" s="16" t="s">
        <v>4354</v>
      </c>
      <c r="I1316" s="16" t="s">
        <v>50</v>
      </c>
      <c r="L1316" s="16" t="s">
        <v>4355</v>
      </c>
      <c r="M1316" s="16" t="s">
        <v>4353</v>
      </c>
      <c r="N1316" s="16">
        <v>432</v>
      </c>
      <c r="O1316" s="16" t="s">
        <v>4356</v>
      </c>
    </row>
    <row r="1317" spans="1:15" ht="15.75" customHeight="1" x14ac:dyDescent="0.25">
      <c r="A1317" s="16" t="s">
        <v>30</v>
      </c>
      <c r="B1317" s="16">
        <v>1307984</v>
      </c>
      <c r="C1317" s="16">
        <v>1308349</v>
      </c>
      <c r="E1317" s="16" t="s">
        <v>57</v>
      </c>
      <c r="F1317" s="16" t="s">
        <v>4357</v>
      </c>
      <c r="I1317" s="16" t="s">
        <v>50</v>
      </c>
      <c r="L1317" s="16" t="s">
        <v>4358</v>
      </c>
      <c r="M1317" s="16" t="s">
        <v>4357</v>
      </c>
      <c r="N1317" s="16">
        <v>121</v>
      </c>
      <c r="O1317" s="16" t="s">
        <v>4359</v>
      </c>
    </row>
    <row r="1318" spans="1:15" ht="15.75" customHeight="1" x14ac:dyDescent="0.25">
      <c r="A1318" s="16" t="s">
        <v>30</v>
      </c>
      <c r="B1318" s="16">
        <v>1308657</v>
      </c>
      <c r="C1318" s="16">
        <v>1308733</v>
      </c>
      <c r="E1318" s="16" t="s">
        <v>48</v>
      </c>
      <c r="F1318" s="16" t="s">
        <v>413</v>
      </c>
      <c r="I1318" s="16" t="s">
        <v>290</v>
      </c>
      <c r="O1318" s="16" t="s">
        <v>4360</v>
      </c>
    </row>
    <row r="1319" spans="1:15" ht="15.75" customHeight="1" x14ac:dyDescent="0.25">
      <c r="A1319" s="16" t="s">
        <v>30</v>
      </c>
      <c r="B1319" s="16">
        <v>1308739</v>
      </c>
      <c r="C1319" s="16">
        <v>1308823</v>
      </c>
      <c r="E1319" s="16" t="s">
        <v>48</v>
      </c>
      <c r="F1319" s="16" t="s">
        <v>294</v>
      </c>
      <c r="I1319" s="16" t="s">
        <v>290</v>
      </c>
      <c r="O1319" s="16" t="s">
        <v>4361</v>
      </c>
    </row>
    <row r="1320" spans="1:15" ht="15.75" customHeight="1" x14ac:dyDescent="0.25">
      <c r="A1320" s="16" t="s">
        <v>30</v>
      </c>
      <c r="B1320" s="16">
        <v>1308852</v>
      </c>
      <c r="C1320" s="16">
        <v>1308926</v>
      </c>
      <c r="E1320" s="16" t="s">
        <v>48</v>
      </c>
      <c r="F1320" s="16" t="s">
        <v>4362</v>
      </c>
      <c r="I1320" s="16" t="s">
        <v>290</v>
      </c>
      <c r="O1320" s="16" t="s">
        <v>4363</v>
      </c>
    </row>
    <row r="1321" spans="1:15" ht="15.75" customHeight="1" x14ac:dyDescent="0.25">
      <c r="A1321" s="16" t="s">
        <v>30</v>
      </c>
      <c r="B1321" s="16">
        <v>1308974</v>
      </c>
      <c r="C1321" s="16">
        <v>1309048</v>
      </c>
      <c r="E1321" s="16" t="s">
        <v>48</v>
      </c>
      <c r="F1321" s="16" t="s">
        <v>4362</v>
      </c>
      <c r="I1321" s="16" t="s">
        <v>290</v>
      </c>
      <c r="O1321" s="16" t="s">
        <v>4364</v>
      </c>
    </row>
    <row r="1322" spans="1:15" ht="15.75" customHeight="1" x14ac:dyDescent="0.25">
      <c r="A1322" s="16" t="s">
        <v>30</v>
      </c>
      <c r="B1322" s="16">
        <v>1309197</v>
      </c>
      <c r="C1322" s="16">
        <v>1309484</v>
      </c>
      <c r="E1322" s="16" t="s">
        <v>57</v>
      </c>
      <c r="F1322" s="16" t="s">
        <v>4365</v>
      </c>
      <c r="G1322" s="16" t="s">
        <v>4366</v>
      </c>
      <c r="I1322" s="16" t="s">
        <v>50</v>
      </c>
      <c r="L1322" s="16" t="s">
        <v>4367</v>
      </c>
      <c r="M1322" s="16" t="s">
        <v>4365</v>
      </c>
      <c r="N1322" s="16">
        <v>95</v>
      </c>
      <c r="O1322" s="16" t="s">
        <v>4368</v>
      </c>
    </row>
    <row r="1323" spans="1:15" ht="15.75" customHeight="1" x14ac:dyDescent="0.25">
      <c r="A1323" s="16" t="s">
        <v>30</v>
      </c>
      <c r="B1323" s="16">
        <v>1309703</v>
      </c>
      <c r="C1323" s="16">
        <v>1310308</v>
      </c>
      <c r="E1323" s="16" t="s">
        <v>48</v>
      </c>
      <c r="F1323" s="16" t="s">
        <v>1869</v>
      </c>
      <c r="I1323" s="16" t="s">
        <v>50</v>
      </c>
      <c r="L1323" s="16" t="s">
        <v>4369</v>
      </c>
      <c r="M1323" s="16" t="s">
        <v>1869</v>
      </c>
      <c r="N1323" s="16">
        <v>201</v>
      </c>
      <c r="O1323" s="16" t="s">
        <v>4370</v>
      </c>
    </row>
    <row r="1324" spans="1:15" ht="15.75" customHeight="1" x14ac:dyDescent="0.25">
      <c r="A1324" s="16" t="s">
        <v>30</v>
      </c>
      <c r="B1324" s="16">
        <v>1310355</v>
      </c>
      <c r="C1324" s="16">
        <v>1310771</v>
      </c>
      <c r="E1324" s="16" t="s">
        <v>57</v>
      </c>
      <c r="F1324" s="16" t="s">
        <v>4371</v>
      </c>
      <c r="I1324" s="16" t="s">
        <v>50</v>
      </c>
      <c r="L1324" s="16" t="s">
        <v>4372</v>
      </c>
      <c r="M1324" s="16" t="s">
        <v>4371</v>
      </c>
      <c r="N1324" s="16">
        <v>138</v>
      </c>
      <c r="O1324" s="16" t="s">
        <v>4373</v>
      </c>
    </row>
    <row r="1325" spans="1:15" ht="15.75" customHeight="1" x14ac:dyDescent="0.25">
      <c r="A1325" s="16" t="s">
        <v>30</v>
      </c>
      <c r="B1325" s="16">
        <v>1310802</v>
      </c>
      <c r="C1325" s="16">
        <v>1311152</v>
      </c>
      <c r="E1325" s="16" t="s">
        <v>57</v>
      </c>
      <c r="F1325" s="16" t="s">
        <v>2594</v>
      </c>
      <c r="I1325" s="16" t="s">
        <v>50</v>
      </c>
      <c r="L1325" s="16" t="s">
        <v>4374</v>
      </c>
      <c r="M1325" s="16" t="s">
        <v>2594</v>
      </c>
      <c r="N1325" s="16">
        <v>116</v>
      </c>
      <c r="O1325" s="16" t="s">
        <v>4375</v>
      </c>
    </row>
    <row r="1326" spans="1:15" ht="15.75" customHeight="1" x14ac:dyDescent="0.25">
      <c r="A1326" s="16" t="s">
        <v>30</v>
      </c>
      <c r="B1326" s="16">
        <v>1311264</v>
      </c>
      <c r="C1326" s="16">
        <v>1311980</v>
      </c>
      <c r="E1326" s="16" t="s">
        <v>48</v>
      </c>
      <c r="F1326" s="16" t="s">
        <v>4376</v>
      </c>
      <c r="I1326" s="16" t="s">
        <v>50</v>
      </c>
      <c r="L1326" s="16" t="s">
        <v>4377</v>
      </c>
      <c r="M1326" s="16" t="s">
        <v>4376</v>
      </c>
      <c r="N1326" s="16">
        <v>238</v>
      </c>
      <c r="O1326" s="16" t="s">
        <v>4378</v>
      </c>
    </row>
    <row r="1327" spans="1:15" ht="15.75" customHeight="1" x14ac:dyDescent="0.25">
      <c r="A1327" s="16" t="s">
        <v>30</v>
      </c>
      <c r="B1327" s="16">
        <v>1311981</v>
      </c>
      <c r="C1327" s="16">
        <v>1312523</v>
      </c>
      <c r="E1327" s="16" t="s">
        <v>48</v>
      </c>
      <c r="F1327" s="16" t="s">
        <v>4379</v>
      </c>
      <c r="I1327" s="16" t="s">
        <v>50</v>
      </c>
      <c r="L1327" s="16" t="s">
        <v>4380</v>
      </c>
      <c r="M1327" s="16" t="s">
        <v>4379</v>
      </c>
      <c r="N1327" s="16">
        <v>180</v>
      </c>
      <c r="O1327" s="16" t="s">
        <v>4381</v>
      </c>
    </row>
    <row r="1328" spans="1:15" ht="15.75" customHeight="1" x14ac:dyDescent="0.25">
      <c r="A1328" s="16" t="s">
        <v>30</v>
      </c>
      <c r="B1328" s="16">
        <v>1312538</v>
      </c>
      <c r="C1328" s="16">
        <v>1312945</v>
      </c>
      <c r="E1328" s="16" t="s">
        <v>57</v>
      </c>
      <c r="F1328" s="16" t="s">
        <v>4382</v>
      </c>
      <c r="I1328" s="16" t="s">
        <v>50</v>
      </c>
      <c r="L1328" s="16" t="s">
        <v>4383</v>
      </c>
      <c r="M1328" s="16" t="s">
        <v>4382</v>
      </c>
      <c r="N1328" s="16">
        <v>135</v>
      </c>
      <c r="O1328" s="16" t="s">
        <v>4384</v>
      </c>
    </row>
    <row r="1329" spans="1:15" ht="15.75" customHeight="1" x14ac:dyDescent="0.25">
      <c r="A1329" s="16" t="s">
        <v>30</v>
      </c>
      <c r="B1329" s="16">
        <v>1313035</v>
      </c>
      <c r="C1329" s="16">
        <v>1313718</v>
      </c>
      <c r="E1329" s="16" t="s">
        <v>48</v>
      </c>
      <c r="F1329" s="16" t="s">
        <v>4385</v>
      </c>
      <c r="I1329" s="16" t="s">
        <v>50</v>
      </c>
      <c r="L1329" s="16" t="s">
        <v>4386</v>
      </c>
      <c r="M1329" s="16" t="s">
        <v>4385</v>
      </c>
      <c r="N1329" s="16">
        <v>227</v>
      </c>
      <c r="O1329" s="16" t="s">
        <v>4387</v>
      </c>
    </row>
    <row r="1330" spans="1:15" ht="15.75" customHeight="1" x14ac:dyDescent="0.25">
      <c r="A1330" s="16" t="s">
        <v>30</v>
      </c>
      <c r="B1330" s="16">
        <v>1313731</v>
      </c>
      <c r="C1330" s="16">
        <v>1314219</v>
      </c>
      <c r="E1330" s="16" t="s">
        <v>48</v>
      </c>
      <c r="F1330" s="16" t="s">
        <v>4388</v>
      </c>
      <c r="I1330" s="16" t="s">
        <v>50</v>
      </c>
      <c r="L1330" s="16" t="s">
        <v>4389</v>
      </c>
      <c r="M1330" s="16" t="s">
        <v>4388</v>
      </c>
      <c r="N1330" s="16">
        <v>162</v>
      </c>
      <c r="O1330" s="16" t="s">
        <v>4390</v>
      </c>
    </row>
    <row r="1331" spans="1:15" ht="15.75" customHeight="1" x14ac:dyDescent="0.25">
      <c r="A1331" s="16" t="s">
        <v>30</v>
      </c>
      <c r="B1331" s="16">
        <v>1314219</v>
      </c>
      <c r="C1331" s="16">
        <v>1314839</v>
      </c>
      <c r="E1331" s="16" t="s">
        <v>48</v>
      </c>
      <c r="F1331" s="16" t="s">
        <v>4391</v>
      </c>
      <c r="G1331" s="16" t="s">
        <v>4392</v>
      </c>
      <c r="I1331" s="16" t="s">
        <v>50</v>
      </c>
      <c r="L1331" s="16" t="s">
        <v>4393</v>
      </c>
      <c r="M1331" s="16" t="s">
        <v>4391</v>
      </c>
      <c r="N1331" s="16">
        <v>206</v>
      </c>
      <c r="O1331" s="16" t="s">
        <v>4394</v>
      </c>
    </row>
    <row r="1332" spans="1:15" ht="15.75" customHeight="1" x14ac:dyDescent="0.25">
      <c r="A1332" s="16" t="s">
        <v>30</v>
      </c>
      <c r="B1332" s="16">
        <v>1314839</v>
      </c>
      <c r="C1332" s="16">
        <v>1315471</v>
      </c>
      <c r="E1332" s="16" t="s">
        <v>48</v>
      </c>
      <c r="F1332" s="16" t="s">
        <v>4395</v>
      </c>
      <c r="I1332" s="16" t="s">
        <v>50</v>
      </c>
      <c r="L1332" s="16" t="s">
        <v>4396</v>
      </c>
      <c r="M1332" s="16" t="s">
        <v>4395</v>
      </c>
      <c r="N1332" s="16">
        <v>210</v>
      </c>
      <c r="O1332" s="16" t="s">
        <v>4397</v>
      </c>
    </row>
    <row r="1333" spans="1:15" ht="15.75" customHeight="1" x14ac:dyDescent="0.25">
      <c r="A1333" s="16" t="s">
        <v>30</v>
      </c>
      <c r="B1333" s="16">
        <v>1315473</v>
      </c>
      <c r="C1333" s="16">
        <v>1316099</v>
      </c>
      <c r="E1333" s="16" t="s">
        <v>48</v>
      </c>
      <c r="F1333" s="16" t="s">
        <v>4398</v>
      </c>
      <c r="I1333" s="16" t="s">
        <v>50</v>
      </c>
      <c r="L1333" s="16" t="s">
        <v>4399</v>
      </c>
      <c r="M1333" s="16" t="s">
        <v>4398</v>
      </c>
      <c r="N1333" s="16">
        <v>208</v>
      </c>
      <c r="O1333" s="16" t="s">
        <v>4400</v>
      </c>
    </row>
    <row r="1334" spans="1:15" ht="15.75" customHeight="1" x14ac:dyDescent="0.25">
      <c r="A1334" s="16" t="s">
        <v>30</v>
      </c>
      <c r="B1334" s="16">
        <v>1316206</v>
      </c>
      <c r="C1334" s="16">
        <v>1317396</v>
      </c>
      <c r="E1334" s="16" t="s">
        <v>57</v>
      </c>
      <c r="F1334" s="16" t="s">
        <v>4401</v>
      </c>
      <c r="I1334" s="16" t="s">
        <v>50</v>
      </c>
      <c r="L1334" s="16" t="s">
        <v>4402</v>
      </c>
      <c r="M1334" s="16" t="s">
        <v>4401</v>
      </c>
      <c r="N1334" s="16">
        <v>396</v>
      </c>
      <c r="O1334" s="16" t="s">
        <v>4403</v>
      </c>
    </row>
    <row r="1335" spans="1:15" ht="15.75" customHeight="1" x14ac:dyDescent="0.25">
      <c r="A1335" s="16" t="s">
        <v>30</v>
      </c>
      <c r="B1335" s="16">
        <v>1317536</v>
      </c>
      <c r="C1335" s="16">
        <v>1318624</v>
      </c>
      <c r="E1335" s="16" t="s">
        <v>57</v>
      </c>
      <c r="F1335" s="16" t="s">
        <v>4404</v>
      </c>
      <c r="G1335" s="16" t="s">
        <v>4405</v>
      </c>
      <c r="I1335" s="16" t="s">
        <v>50</v>
      </c>
      <c r="L1335" s="16" t="s">
        <v>4406</v>
      </c>
      <c r="M1335" s="16" t="s">
        <v>4404</v>
      </c>
      <c r="N1335" s="16">
        <v>362</v>
      </c>
      <c r="O1335" s="16" t="s">
        <v>4407</v>
      </c>
    </row>
    <row r="1336" spans="1:15" ht="15.75" customHeight="1" x14ac:dyDescent="0.25">
      <c r="A1336" s="16" t="s">
        <v>30</v>
      </c>
      <c r="B1336" s="16">
        <v>1318694</v>
      </c>
      <c r="C1336" s="16">
        <v>1319188</v>
      </c>
      <c r="E1336" s="16" t="s">
        <v>57</v>
      </c>
      <c r="F1336" s="16" t="s">
        <v>4408</v>
      </c>
      <c r="G1336" s="16" t="s">
        <v>4409</v>
      </c>
      <c r="I1336" s="16" t="s">
        <v>50</v>
      </c>
      <c r="L1336" s="16" t="s">
        <v>4410</v>
      </c>
      <c r="M1336" s="16" t="s">
        <v>4408</v>
      </c>
      <c r="N1336" s="16">
        <v>164</v>
      </c>
      <c r="O1336" s="16" t="s">
        <v>4411</v>
      </c>
    </row>
    <row r="1337" spans="1:15" ht="15.75" customHeight="1" x14ac:dyDescent="0.25">
      <c r="A1337" s="16" t="s">
        <v>30</v>
      </c>
      <c r="B1337" s="16">
        <v>1319359</v>
      </c>
      <c r="C1337" s="16">
        <v>1319607</v>
      </c>
      <c r="E1337" s="16" t="s">
        <v>48</v>
      </c>
      <c r="F1337" s="16" t="s">
        <v>4412</v>
      </c>
      <c r="I1337" s="16" t="s">
        <v>50</v>
      </c>
      <c r="L1337" s="16" t="s">
        <v>4413</v>
      </c>
      <c r="M1337" s="16" t="s">
        <v>4412</v>
      </c>
      <c r="N1337" s="16">
        <v>82</v>
      </c>
      <c r="O1337" s="16" t="s">
        <v>4414</v>
      </c>
    </row>
    <row r="1338" spans="1:15" ht="15.75" customHeight="1" x14ac:dyDescent="0.25">
      <c r="A1338" s="16" t="s">
        <v>30</v>
      </c>
      <c r="B1338" s="16">
        <v>1319604</v>
      </c>
      <c r="C1338" s="16">
        <v>1319948</v>
      </c>
      <c r="E1338" s="16" t="s">
        <v>48</v>
      </c>
      <c r="F1338" s="16" t="s">
        <v>4415</v>
      </c>
      <c r="I1338" s="16" t="s">
        <v>50</v>
      </c>
      <c r="L1338" s="16" t="s">
        <v>4416</v>
      </c>
      <c r="M1338" s="16" t="s">
        <v>4415</v>
      </c>
      <c r="N1338" s="16">
        <v>114</v>
      </c>
      <c r="O1338" s="16" t="s">
        <v>4417</v>
      </c>
    </row>
    <row r="1339" spans="1:15" ht="15.75" customHeight="1" x14ac:dyDescent="0.25">
      <c r="A1339" s="16" t="s">
        <v>30</v>
      </c>
      <c r="B1339" s="16">
        <v>1319992</v>
      </c>
      <c r="C1339" s="16">
        <v>1322601</v>
      </c>
      <c r="E1339" s="16" t="s">
        <v>48</v>
      </c>
      <c r="F1339" s="16" t="s">
        <v>4418</v>
      </c>
      <c r="G1339" s="16" t="s">
        <v>4419</v>
      </c>
      <c r="I1339" s="16" t="s">
        <v>50</v>
      </c>
      <c r="L1339" s="16" t="s">
        <v>4420</v>
      </c>
      <c r="M1339" s="16" t="s">
        <v>4418</v>
      </c>
      <c r="N1339" s="16">
        <v>869</v>
      </c>
      <c r="O1339" s="16" t="s">
        <v>4421</v>
      </c>
    </row>
    <row r="1340" spans="1:15" ht="15.75" customHeight="1" x14ac:dyDescent="0.25">
      <c r="A1340" s="16" t="s">
        <v>30</v>
      </c>
      <c r="B1340" s="16">
        <v>1322673</v>
      </c>
      <c r="C1340" s="16">
        <v>1323287</v>
      </c>
      <c r="E1340" s="16" t="s">
        <v>57</v>
      </c>
      <c r="F1340" s="16" t="s">
        <v>4422</v>
      </c>
      <c r="G1340" s="16" t="s">
        <v>4423</v>
      </c>
      <c r="I1340" s="16" t="s">
        <v>50</v>
      </c>
      <c r="L1340" s="16" t="s">
        <v>4424</v>
      </c>
      <c r="M1340" s="16" t="s">
        <v>4422</v>
      </c>
      <c r="N1340" s="16">
        <v>204</v>
      </c>
      <c r="O1340" s="16" t="s">
        <v>4425</v>
      </c>
    </row>
    <row r="1341" spans="1:15" ht="15.75" customHeight="1" x14ac:dyDescent="0.25">
      <c r="A1341" s="16" t="s">
        <v>30</v>
      </c>
      <c r="B1341" s="16">
        <v>1323331</v>
      </c>
      <c r="C1341" s="16">
        <v>1324725</v>
      </c>
      <c r="E1341" s="16" t="s">
        <v>48</v>
      </c>
      <c r="F1341" s="16" t="s">
        <v>4426</v>
      </c>
      <c r="G1341" s="16" t="s">
        <v>4427</v>
      </c>
      <c r="I1341" s="16" t="s">
        <v>50</v>
      </c>
      <c r="L1341" s="16" t="s">
        <v>4428</v>
      </c>
      <c r="M1341" s="16" t="s">
        <v>4426</v>
      </c>
      <c r="N1341" s="16">
        <v>464</v>
      </c>
      <c r="O1341" s="16" t="s">
        <v>4429</v>
      </c>
    </row>
    <row r="1342" spans="1:15" ht="15.75" customHeight="1" x14ac:dyDescent="0.25">
      <c r="A1342" s="16" t="s">
        <v>30</v>
      </c>
      <c r="B1342" s="16">
        <v>1324734</v>
      </c>
      <c r="C1342" s="16">
        <v>1325450</v>
      </c>
      <c r="E1342" s="16" t="s">
        <v>48</v>
      </c>
      <c r="F1342" s="16" t="s">
        <v>4430</v>
      </c>
      <c r="G1342" s="16" t="s">
        <v>4431</v>
      </c>
      <c r="I1342" s="16" t="s">
        <v>50</v>
      </c>
      <c r="L1342" s="16" t="s">
        <v>4432</v>
      </c>
      <c r="M1342" s="16" t="s">
        <v>4430</v>
      </c>
      <c r="N1342" s="16">
        <v>238</v>
      </c>
      <c r="O1342" s="16" t="s">
        <v>4433</v>
      </c>
    </row>
    <row r="1343" spans="1:15" ht="15.75" customHeight="1" x14ac:dyDescent="0.25">
      <c r="A1343" s="16" t="s">
        <v>30</v>
      </c>
      <c r="B1343" s="16">
        <v>1325650</v>
      </c>
      <c r="C1343" s="16">
        <v>1326837</v>
      </c>
      <c r="E1343" s="16" t="s">
        <v>48</v>
      </c>
      <c r="F1343" s="16" t="s">
        <v>4434</v>
      </c>
      <c r="G1343" s="16" t="s">
        <v>4435</v>
      </c>
      <c r="I1343" s="16" t="s">
        <v>50</v>
      </c>
      <c r="L1343" s="16" t="s">
        <v>4436</v>
      </c>
      <c r="M1343" s="16" t="s">
        <v>4434</v>
      </c>
      <c r="N1343" s="16">
        <v>395</v>
      </c>
      <c r="O1343" s="16" t="s">
        <v>4437</v>
      </c>
    </row>
    <row r="1344" spans="1:15" ht="15.75" customHeight="1" x14ac:dyDescent="0.25">
      <c r="A1344" s="16" t="s">
        <v>30</v>
      </c>
      <c r="B1344" s="16">
        <v>1326901</v>
      </c>
      <c r="C1344" s="16">
        <v>1327848</v>
      </c>
      <c r="E1344" s="16" t="s">
        <v>57</v>
      </c>
      <c r="F1344" s="16" t="s">
        <v>4438</v>
      </c>
      <c r="I1344" s="16" t="s">
        <v>50</v>
      </c>
      <c r="L1344" s="16" t="s">
        <v>4439</v>
      </c>
      <c r="M1344" s="16" t="s">
        <v>4438</v>
      </c>
      <c r="N1344" s="16">
        <v>315</v>
      </c>
      <c r="O1344" s="16" t="s">
        <v>4440</v>
      </c>
    </row>
    <row r="1345" spans="1:15" ht="15.75" customHeight="1" x14ac:dyDescent="0.25">
      <c r="A1345" s="16" t="s">
        <v>30</v>
      </c>
      <c r="B1345" s="16">
        <v>1327850</v>
      </c>
      <c r="C1345" s="16">
        <v>1328791</v>
      </c>
      <c r="E1345" s="16" t="s">
        <v>57</v>
      </c>
      <c r="F1345" s="16" t="s">
        <v>4441</v>
      </c>
      <c r="G1345" s="16" t="s">
        <v>4442</v>
      </c>
      <c r="I1345" s="16" t="s">
        <v>50</v>
      </c>
      <c r="L1345" s="16" t="s">
        <v>4443</v>
      </c>
      <c r="M1345" s="16" t="s">
        <v>4441</v>
      </c>
      <c r="N1345" s="16">
        <v>313</v>
      </c>
      <c r="O1345" s="16" t="s">
        <v>4444</v>
      </c>
    </row>
    <row r="1346" spans="1:15" ht="15.75" customHeight="1" x14ac:dyDescent="0.25">
      <c r="A1346" s="16" t="s">
        <v>30</v>
      </c>
      <c r="B1346" s="16">
        <v>1328803</v>
      </c>
      <c r="C1346" s="16">
        <v>1329432</v>
      </c>
      <c r="E1346" s="16" t="s">
        <v>57</v>
      </c>
      <c r="F1346" s="16" t="s">
        <v>4445</v>
      </c>
      <c r="G1346" s="16" t="s">
        <v>4446</v>
      </c>
      <c r="I1346" s="16" t="s">
        <v>50</v>
      </c>
      <c r="L1346" s="16" t="s">
        <v>4447</v>
      </c>
      <c r="M1346" s="16" t="s">
        <v>4445</v>
      </c>
      <c r="N1346" s="16">
        <v>209</v>
      </c>
      <c r="O1346" s="16" t="s">
        <v>4448</v>
      </c>
    </row>
    <row r="1347" spans="1:15" ht="15.75" customHeight="1" x14ac:dyDescent="0.25">
      <c r="A1347" s="16" t="s">
        <v>30</v>
      </c>
      <c r="B1347" s="16">
        <v>1329495</v>
      </c>
      <c r="C1347" s="16">
        <v>1330745</v>
      </c>
      <c r="E1347" s="16" t="s">
        <v>57</v>
      </c>
      <c r="F1347" s="16" t="s">
        <v>4449</v>
      </c>
      <c r="I1347" s="16" t="s">
        <v>50</v>
      </c>
      <c r="L1347" s="16" t="s">
        <v>4450</v>
      </c>
      <c r="M1347" s="16" t="s">
        <v>4449</v>
      </c>
      <c r="N1347" s="16">
        <v>416</v>
      </c>
      <c r="O1347" s="16" t="s">
        <v>4451</v>
      </c>
    </row>
    <row r="1348" spans="1:15" ht="15.75" customHeight="1" x14ac:dyDescent="0.25">
      <c r="A1348" s="16" t="s">
        <v>30</v>
      </c>
      <c r="B1348" s="16">
        <v>1330752</v>
      </c>
      <c r="C1348" s="16">
        <v>1331363</v>
      </c>
      <c r="E1348" s="16" t="s">
        <v>57</v>
      </c>
      <c r="F1348" s="16" t="s">
        <v>4452</v>
      </c>
      <c r="I1348" s="16" t="s">
        <v>50</v>
      </c>
      <c r="L1348" s="16" t="s">
        <v>4453</v>
      </c>
      <c r="M1348" s="16" t="s">
        <v>4452</v>
      </c>
      <c r="N1348" s="16">
        <v>203</v>
      </c>
      <c r="O1348" s="16" t="s">
        <v>4454</v>
      </c>
    </row>
    <row r="1349" spans="1:15" ht="15.75" customHeight="1" x14ac:dyDescent="0.25">
      <c r="A1349" s="16" t="s">
        <v>30</v>
      </c>
      <c r="B1349" s="16">
        <v>1331429</v>
      </c>
      <c r="C1349" s="16">
        <v>1332691</v>
      </c>
      <c r="E1349" s="16" t="s">
        <v>57</v>
      </c>
      <c r="F1349" s="16" t="s">
        <v>4455</v>
      </c>
      <c r="I1349" s="16" t="s">
        <v>50</v>
      </c>
      <c r="L1349" s="16" t="s">
        <v>4456</v>
      </c>
      <c r="M1349" s="16" t="s">
        <v>4455</v>
      </c>
      <c r="N1349" s="16">
        <v>420</v>
      </c>
      <c r="O1349" s="16" t="s">
        <v>4457</v>
      </c>
    </row>
    <row r="1350" spans="1:15" ht="15.75" customHeight="1" x14ac:dyDescent="0.25">
      <c r="A1350" s="16" t="s">
        <v>30</v>
      </c>
      <c r="B1350" s="16">
        <v>1332716</v>
      </c>
      <c r="C1350" s="16">
        <v>1333396</v>
      </c>
      <c r="E1350" s="16" t="s">
        <v>57</v>
      </c>
      <c r="F1350" s="16" t="s">
        <v>4458</v>
      </c>
      <c r="I1350" s="16" t="s">
        <v>50</v>
      </c>
      <c r="L1350" s="16" t="s">
        <v>4459</v>
      </c>
      <c r="M1350" s="16" t="s">
        <v>4458</v>
      </c>
      <c r="N1350" s="16">
        <v>226</v>
      </c>
      <c r="O1350" s="16" t="s">
        <v>4460</v>
      </c>
    </row>
    <row r="1351" spans="1:15" ht="15.75" customHeight="1" x14ac:dyDescent="0.25">
      <c r="A1351" s="16" t="s">
        <v>30</v>
      </c>
      <c r="B1351" s="16">
        <v>1333619</v>
      </c>
      <c r="C1351" s="16">
        <v>1334059</v>
      </c>
      <c r="E1351" s="16" t="s">
        <v>48</v>
      </c>
      <c r="F1351" s="16" t="s">
        <v>3264</v>
      </c>
      <c r="I1351" s="16" t="s">
        <v>50</v>
      </c>
      <c r="L1351" s="16" t="s">
        <v>4461</v>
      </c>
      <c r="M1351" s="16" t="s">
        <v>3264</v>
      </c>
      <c r="N1351" s="16">
        <v>146</v>
      </c>
      <c r="O1351" s="16" t="s">
        <v>4462</v>
      </c>
    </row>
    <row r="1352" spans="1:15" ht="15.75" customHeight="1" x14ac:dyDescent="0.25">
      <c r="A1352" s="16" t="s">
        <v>30</v>
      </c>
      <c r="B1352" s="16">
        <v>1334098</v>
      </c>
      <c r="C1352" s="16">
        <v>1334385</v>
      </c>
      <c r="E1352" s="16" t="s">
        <v>48</v>
      </c>
      <c r="F1352" s="16" t="s">
        <v>135</v>
      </c>
      <c r="I1352" s="16" t="s">
        <v>50</v>
      </c>
      <c r="L1352" s="16" t="s">
        <v>4463</v>
      </c>
      <c r="M1352" s="16" t="s">
        <v>135</v>
      </c>
      <c r="N1352" s="16">
        <v>95</v>
      </c>
      <c r="O1352" s="16" t="s">
        <v>4464</v>
      </c>
    </row>
    <row r="1353" spans="1:15" ht="15.75" customHeight="1" x14ac:dyDescent="0.25">
      <c r="A1353" s="16" t="s">
        <v>30</v>
      </c>
      <c r="B1353" s="16">
        <v>1334446</v>
      </c>
      <c r="C1353" s="16">
        <v>1335369</v>
      </c>
      <c r="E1353" s="16" t="s">
        <v>48</v>
      </c>
      <c r="F1353" s="16" t="s">
        <v>4465</v>
      </c>
      <c r="I1353" s="16" t="s">
        <v>50</v>
      </c>
      <c r="L1353" s="16" t="s">
        <v>4466</v>
      </c>
      <c r="M1353" s="16" t="s">
        <v>4465</v>
      </c>
      <c r="N1353" s="16">
        <v>307</v>
      </c>
      <c r="O1353" s="16" t="s">
        <v>4467</v>
      </c>
    </row>
    <row r="1354" spans="1:15" ht="15.75" customHeight="1" x14ac:dyDescent="0.25">
      <c r="A1354" s="16" t="s">
        <v>30</v>
      </c>
      <c r="B1354" s="16">
        <v>1335359</v>
      </c>
      <c r="C1354" s="16">
        <v>1336075</v>
      </c>
      <c r="E1354" s="16" t="s">
        <v>48</v>
      </c>
      <c r="F1354" s="16" t="s">
        <v>4468</v>
      </c>
      <c r="I1354" s="16" t="s">
        <v>50</v>
      </c>
      <c r="L1354" s="16" t="s">
        <v>4469</v>
      </c>
      <c r="M1354" s="16" t="s">
        <v>4468</v>
      </c>
      <c r="N1354" s="16">
        <v>238</v>
      </c>
      <c r="O1354" s="16" t="s">
        <v>4470</v>
      </c>
    </row>
    <row r="1355" spans="1:15" ht="15.75" customHeight="1" x14ac:dyDescent="0.25">
      <c r="A1355" s="16" t="s">
        <v>30</v>
      </c>
      <c r="B1355" s="16">
        <v>1336462</v>
      </c>
      <c r="C1355" s="16">
        <v>1336650</v>
      </c>
      <c r="E1355" s="16" t="s">
        <v>57</v>
      </c>
      <c r="F1355" s="16" t="s">
        <v>2150</v>
      </c>
      <c r="I1355" s="16" t="s">
        <v>50</v>
      </c>
      <c r="L1355" s="16" t="s">
        <v>4471</v>
      </c>
      <c r="M1355" s="16" t="s">
        <v>2150</v>
      </c>
      <c r="N1355" s="16">
        <v>62</v>
      </c>
      <c r="O1355" s="16" t="s">
        <v>4472</v>
      </c>
    </row>
    <row r="1356" spans="1:15" ht="15.75" customHeight="1" x14ac:dyDescent="0.25">
      <c r="A1356" s="16" t="s">
        <v>30</v>
      </c>
      <c r="B1356" s="16">
        <v>1336773</v>
      </c>
      <c r="C1356" s="16">
        <v>1337056</v>
      </c>
      <c r="E1356" s="16" t="s">
        <v>48</v>
      </c>
      <c r="F1356" s="16" t="s">
        <v>132</v>
      </c>
      <c r="I1356" s="16" t="s">
        <v>133</v>
      </c>
      <c r="O1356" s="16" t="s">
        <v>4473</v>
      </c>
    </row>
    <row r="1357" spans="1:15" ht="15.75" customHeight="1" x14ac:dyDescent="0.25">
      <c r="A1357" s="16" t="s">
        <v>30</v>
      </c>
      <c r="B1357" s="16">
        <v>1337183</v>
      </c>
      <c r="C1357" s="16">
        <v>1337350</v>
      </c>
      <c r="E1357" s="16" t="s">
        <v>48</v>
      </c>
      <c r="F1357" s="16" t="s">
        <v>260</v>
      </c>
      <c r="I1357" s="16" t="s">
        <v>50</v>
      </c>
      <c r="L1357" s="16" t="s">
        <v>4474</v>
      </c>
      <c r="M1357" s="16" t="s">
        <v>260</v>
      </c>
      <c r="N1357" s="16">
        <v>55</v>
      </c>
      <c r="O1357" s="16" t="s">
        <v>4475</v>
      </c>
    </row>
    <row r="1358" spans="1:15" ht="15.75" customHeight="1" x14ac:dyDescent="0.25">
      <c r="A1358" s="16" t="s">
        <v>30</v>
      </c>
      <c r="B1358" s="16">
        <v>1337692</v>
      </c>
      <c r="C1358" s="16">
        <v>1337865</v>
      </c>
      <c r="E1358" s="16" t="s">
        <v>48</v>
      </c>
      <c r="F1358" s="16" t="s">
        <v>4476</v>
      </c>
      <c r="I1358" s="16" t="s">
        <v>50</v>
      </c>
      <c r="L1358" s="16" t="s">
        <v>4477</v>
      </c>
      <c r="M1358" s="16" t="s">
        <v>4476</v>
      </c>
      <c r="N1358" s="16">
        <v>57</v>
      </c>
      <c r="O1358" s="16" t="s">
        <v>4478</v>
      </c>
    </row>
    <row r="1359" spans="1:15" ht="15.75" customHeight="1" x14ac:dyDescent="0.25">
      <c r="A1359" s="16" t="s">
        <v>30</v>
      </c>
      <c r="B1359" s="16">
        <v>1338669</v>
      </c>
      <c r="C1359" s="16">
        <v>1340621</v>
      </c>
      <c r="E1359" s="16" t="s">
        <v>57</v>
      </c>
      <c r="F1359" s="16" t="s">
        <v>4479</v>
      </c>
      <c r="I1359" s="16" t="s">
        <v>50</v>
      </c>
      <c r="L1359" s="16" t="s">
        <v>4480</v>
      </c>
      <c r="M1359" s="16" t="s">
        <v>4479</v>
      </c>
      <c r="N1359" s="16">
        <v>650</v>
      </c>
      <c r="O1359" s="16" t="s">
        <v>4481</v>
      </c>
    </row>
    <row r="1360" spans="1:15" ht="15.75" customHeight="1" x14ac:dyDescent="0.25">
      <c r="A1360" s="16" t="s">
        <v>30</v>
      </c>
      <c r="B1360" s="16">
        <v>1340837</v>
      </c>
      <c r="C1360" s="16">
        <v>1342474</v>
      </c>
      <c r="E1360" s="16" t="s">
        <v>57</v>
      </c>
      <c r="F1360" s="16" t="s">
        <v>4482</v>
      </c>
      <c r="G1360" s="16" t="s">
        <v>4483</v>
      </c>
      <c r="I1360" s="16" t="s">
        <v>50</v>
      </c>
      <c r="L1360" s="16" t="s">
        <v>4484</v>
      </c>
      <c r="M1360" s="16" t="s">
        <v>4482</v>
      </c>
      <c r="N1360" s="16">
        <v>545</v>
      </c>
      <c r="O1360" s="16" t="s">
        <v>4485</v>
      </c>
    </row>
    <row r="1361" spans="1:15" ht="15.75" customHeight="1" x14ac:dyDescent="0.25">
      <c r="A1361" s="16" t="s">
        <v>30</v>
      </c>
      <c r="B1361" s="16">
        <v>1342624</v>
      </c>
      <c r="C1361" s="16">
        <v>1347114</v>
      </c>
      <c r="E1361" s="16" t="s">
        <v>57</v>
      </c>
      <c r="F1361" s="16" t="s">
        <v>926</v>
      </c>
      <c r="I1361" s="16" t="s">
        <v>50</v>
      </c>
      <c r="L1361" s="16" t="s">
        <v>4486</v>
      </c>
      <c r="M1361" s="16" t="s">
        <v>926</v>
      </c>
      <c r="N1361" s="16">
        <v>1496</v>
      </c>
      <c r="O1361" s="16" t="s">
        <v>4487</v>
      </c>
    </row>
    <row r="1362" spans="1:15" ht="15.75" customHeight="1" x14ac:dyDescent="0.25">
      <c r="A1362" s="16" t="s">
        <v>30</v>
      </c>
      <c r="B1362" s="16">
        <v>1347527</v>
      </c>
      <c r="C1362" s="16">
        <v>1348573</v>
      </c>
      <c r="E1362" s="16" t="s">
        <v>48</v>
      </c>
      <c r="F1362" s="16" t="s">
        <v>4488</v>
      </c>
      <c r="I1362" s="16" t="s">
        <v>50</v>
      </c>
      <c r="L1362" s="16" t="s">
        <v>4489</v>
      </c>
      <c r="M1362" s="16" t="s">
        <v>4488</v>
      </c>
      <c r="N1362" s="16">
        <v>348</v>
      </c>
      <c r="O1362" s="16" t="s">
        <v>4490</v>
      </c>
    </row>
    <row r="1363" spans="1:15" ht="15.75" customHeight="1" x14ac:dyDescent="0.25">
      <c r="A1363" s="16" t="s">
        <v>30</v>
      </c>
      <c r="B1363" s="16">
        <v>1348805</v>
      </c>
      <c r="C1363" s="16">
        <v>1350181</v>
      </c>
      <c r="E1363" s="16" t="s">
        <v>48</v>
      </c>
      <c r="F1363" s="16" t="s">
        <v>4491</v>
      </c>
      <c r="G1363" s="16" t="s">
        <v>4492</v>
      </c>
      <c r="I1363" s="16" t="s">
        <v>50</v>
      </c>
      <c r="L1363" s="16" t="s">
        <v>4493</v>
      </c>
      <c r="M1363" s="16" t="s">
        <v>4491</v>
      </c>
      <c r="N1363" s="16">
        <v>458</v>
      </c>
      <c r="O1363" s="16" t="s">
        <v>4494</v>
      </c>
    </row>
    <row r="1364" spans="1:15" ht="15.75" customHeight="1" x14ac:dyDescent="0.25">
      <c r="A1364" s="16" t="s">
        <v>30</v>
      </c>
      <c r="B1364" s="16">
        <v>1350261</v>
      </c>
      <c r="C1364" s="16">
        <v>1350740</v>
      </c>
      <c r="E1364" s="16" t="s">
        <v>48</v>
      </c>
      <c r="F1364" s="16" t="s">
        <v>4495</v>
      </c>
      <c r="G1364" s="16" t="s">
        <v>4496</v>
      </c>
      <c r="I1364" s="16" t="s">
        <v>50</v>
      </c>
      <c r="L1364" s="16" t="s">
        <v>4497</v>
      </c>
      <c r="M1364" s="16" t="s">
        <v>4495</v>
      </c>
      <c r="N1364" s="16">
        <v>159</v>
      </c>
      <c r="O1364" s="16" t="s">
        <v>4498</v>
      </c>
    </row>
    <row r="1365" spans="1:15" ht="15.75" customHeight="1" x14ac:dyDescent="0.25">
      <c r="A1365" s="16" t="s">
        <v>30</v>
      </c>
      <c r="B1365" s="16">
        <v>1350742</v>
      </c>
      <c r="C1365" s="16">
        <v>1353510</v>
      </c>
      <c r="E1365" s="16" t="s">
        <v>48</v>
      </c>
      <c r="F1365" s="16" t="s">
        <v>4499</v>
      </c>
      <c r="I1365" s="16" t="s">
        <v>50</v>
      </c>
      <c r="L1365" s="16" t="s">
        <v>4500</v>
      </c>
      <c r="M1365" s="16" t="s">
        <v>4499</v>
      </c>
      <c r="N1365" s="16">
        <v>922</v>
      </c>
      <c r="O1365" s="16" t="s">
        <v>4501</v>
      </c>
    </row>
    <row r="1366" spans="1:15" ht="15.75" customHeight="1" x14ac:dyDescent="0.25">
      <c r="A1366" s="16" t="s">
        <v>30</v>
      </c>
      <c r="B1366" s="16">
        <v>1353528</v>
      </c>
      <c r="C1366" s="16">
        <v>1354145</v>
      </c>
      <c r="E1366" s="16" t="s">
        <v>48</v>
      </c>
      <c r="F1366" s="16" t="s">
        <v>4502</v>
      </c>
      <c r="G1366" s="16" t="s">
        <v>4503</v>
      </c>
      <c r="I1366" s="16" t="s">
        <v>50</v>
      </c>
      <c r="L1366" s="16" t="s">
        <v>4504</v>
      </c>
      <c r="M1366" s="16" t="s">
        <v>4502</v>
      </c>
      <c r="N1366" s="16">
        <v>205</v>
      </c>
      <c r="O1366" s="16" t="s">
        <v>4505</v>
      </c>
    </row>
    <row r="1367" spans="1:15" ht="15.75" customHeight="1" x14ac:dyDescent="0.25">
      <c r="A1367" s="16" t="s">
        <v>30</v>
      </c>
      <c r="B1367" s="16">
        <v>1354206</v>
      </c>
      <c r="C1367" s="16">
        <v>1355546</v>
      </c>
      <c r="E1367" s="16" t="s">
        <v>48</v>
      </c>
      <c r="F1367" s="16" t="s">
        <v>4506</v>
      </c>
      <c r="I1367" s="16" t="s">
        <v>50</v>
      </c>
      <c r="L1367" s="16" t="s">
        <v>4507</v>
      </c>
      <c r="M1367" s="16" t="s">
        <v>4506</v>
      </c>
      <c r="N1367" s="16">
        <v>446</v>
      </c>
      <c r="O1367" s="16" t="s">
        <v>4508</v>
      </c>
    </row>
    <row r="1368" spans="1:15" ht="15.75" customHeight="1" x14ac:dyDescent="0.25">
      <c r="A1368" s="16" t="s">
        <v>30</v>
      </c>
      <c r="B1368" s="16">
        <v>1355627</v>
      </c>
      <c r="C1368" s="16">
        <v>1356925</v>
      </c>
      <c r="E1368" s="16" t="s">
        <v>57</v>
      </c>
      <c r="F1368" s="16" t="s">
        <v>4509</v>
      </c>
      <c r="G1368" s="16" t="s">
        <v>4510</v>
      </c>
      <c r="I1368" s="16" t="s">
        <v>50</v>
      </c>
      <c r="L1368" s="16" t="s">
        <v>4511</v>
      </c>
      <c r="M1368" s="16" t="s">
        <v>4509</v>
      </c>
      <c r="N1368" s="16">
        <v>432</v>
      </c>
      <c r="O1368" s="16" t="s">
        <v>4512</v>
      </c>
    </row>
    <row r="1369" spans="1:15" ht="15.75" customHeight="1" x14ac:dyDescent="0.25">
      <c r="A1369" s="16" t="s">
        <v>30</v>
      </c>
      <c r="B1369" s="16">
        <v>1356925</v>
      </c>
      <c r="C1369" s="16">
        <v>1357761</v>
      </c>
      <c r="E1369" s="16" t="s">
        <v>57</v>
      </c>
      <c r="F1369" s="16" t="s">
        <v>4513</v>
      </c>
      <c r="G1369" s="16" t="s">
        <v>4514</v>
      </c>
      <c r="I1369" s="16" t="s">
        <v>50</v>
      </c>
      <c r="L1369" s="16" t="s">
        <v>4515</v>
      </c>
      <c r="M1369" s="16" t="s">
        <v>4513</v>
      </c>
      <c r="N1369" s="16">
        <v>278</v>
      </c>
      <c r="O1369" s="16" t="s">
        <v>4516</v>
      </c>
    </row>
    <row r="1370" spans="1:15" ht="15.75" customHeight="1" x14ac:dyDescent="0.25">
      <c r="A1370" s="16" t="s">
        <v>30</v>
      </c>
      <c r="B1370" s="16">
        <v>1357831</v>
      </c>
      <c r="C1370" s="16">
        <v>1358235</v>
      </c>
      <c r="E1370" s="16" t="s">
        <v>57</v>
      </c>
      <c r="F1370" s="16" t="s">
        <v>4517</v>
      </c>
      <c r="I1370" s="16" t="s">
        <v>50</v>
      </c>
      <c r="L1370" s="16" t="s">
        <v>4518</v>
      </c>
      <c r="M1370" s="16" t="s">
        <v>4517</v>
      </c>
      <c r="N1370" s="16">
        <v>134</v>
      </c>
      <c r="O1370" s="16" t="s">
        <v>4519</v>
      </c>
    </row>
    <row r="1371" spans="1:15" ht="15.75" customHeight="1" x14ac:dyDescent="0.25">
      <c r="A1371" s="16" t="s">
        <v>30</v>
      </c>
      <c r="B1371" s="16">
        <v>1358678</v>
      </c>
      <c r="C1371" s="16">
        <v>1360198</v>
      </c>
      <c r="E1371" s="16" t="s">
        <v>48</v>
      </c>
      <c r="F1371" s="16" t="s">
        <v>4520</v>
      </c>
      <c r="I1371" s="16" t="s">
        <v>50</v>
      </c>
      <c r="L1371" s="16" t="s">
        <v>4521</v>
      </c>
      <c r="M1371" s="16" t="s">
        <v>4520</v>
      </c>
      <c r="N1371" s="16">
        <v>506</v>
      </c>
      <c r="O1371" s="16" t="s">
        <v>4522</v>
      </c>
    </row>
    <row r="1372" spans="1:15" ht="15.75" customHeight="1" x14ac:dyDescent="0.25">
      <c r="A1372" s="16" t="s">
        <v>30</v>
      </c>
      <c r="B1372" s="16">
        <v>1360465</v>
      </c>
      <c r="C1372" s="16">
        <v>1362186</v>
      </c>
      <c r="E1372" s="16" t="s">
        <v>48</v>
      </c>
      <c r="F1372" s="16" t="s">
        <v>4523</v>
      </c>
      <c r="I1372" s="16" t="s">
        <v>50</v>
      </c>
      <c r="L1372" s="16" t="s">
        <v>4524</v>
      </c>
      <c r="M1372" s="16" t="s">
        <v>4523</v>
      </c>
      <c r="N1372" s="16">
        <v>573</v>
      </c>
      <c r="O1372" s="16" t="s">
        <v>4525</v>
      </c>
    </row>
    <row r="1373" spans="1:15" ht="15.75" customHeight="1" x14ac:dyDescent="0.25">
      <c r="A1373" s="16" t="s">
        <v>30</v>
      </c>
      <c r="B1373" s="16">
        <v>1362186</v>
      </c>
      <c r="C1373" s="16">
        <v>1362677</v>
      </c>
      <c r="E1373" s="16" t="s">
        <v>48</v>
      </c>
      <c r="F1373" s="16" t="s">
        <v>4526</v>
      </c>
      <c r="G1373" s="16" t="s">
        <v>4527</v>
      </c>
      <c r="I1373" s="16" t="s">
        <v>50</v>
      </c>
      <c r="L1373" s="16" t="s">
        <v>4528</v>
      </c>
      <c r="M1373" s="16" t="s">
        <v>4526</v>
      </c>
      <c r="N1373" s="16">
        <v>163</v>
      </c>
      <c r="O1373" s="16" t="s">
        <v>4529</v>
      </c>
    </row>
    <row r="1374" spans="1:15" ht="15.75" customHeight="1" x14ac:dyDescent="0.25">
      <c r="A1374" s="16" t="s">
        <v>30</v>
      </c>
      <c r="B1374" s="16">
        <v>1362964</v>
      </c>
      <c r="C1374" s="16">
        <v>1364697</v>
      </c>
      <c r="E1374" s="16" t="s">
        <v>57</v>
      </c>
      <c r="F1374" s="16" t="s">
        <v>4530</v>
      </c>
      <c r="G1374" s="16" t="s">
        <v>4531</v>
      </c>
      <c r="I1374" s="16" t="s">
        <v>50</v>
      </c>
      <c r="L1374" s="16" t="s">
        <v>4532</v>
      </c>
      <c r="M1374" s="16" t="s">
        <v>4530</v>
      </c>
      <c r="N1374" s="16">
        <v>577</v>
      </c>
      <c r="O1374" s="16" t="s">
        <v>4533</v>
      </c>
    </row>
    <row r="1375" spans="1:15" ht="15.75" customHeight="1" x14ac:dyDescent="0.25">
      <c r="A1375" s="16" t="s">
        <v>30</v>
      </c>
      <c r="B1375" s="16">
        <v>1364777</v>
      </c>
      <c r="C1375" s="16">
        <v>1365346</v>
      </c>
      <c r="E1375" s="16" t="s">
        <v>48</v>
      </c>
      <c r="F1375" s="16" t="s">
        <v>4534</v>
      </c>
      <c r="I1375" s="16" t="s">
        <v>50</v>
      </c>
      <c r="L1375" s="16" t="s">
        <v>4535</v>
      </c>
      <c r="M1375" s="16" t="s">
        <v>4534</v>
      </c>
      <c r="N1375" s="16">
        <v>189</v>
      </c>
      <c r="O1375" s="16" t="s">
        <v>4536</v>
      </c>
    </row>
    <row r="1376" spans="1:15" ht="15.75" customHeight="1" x14ac:dyDescent="0.25">
      <c r="A1376" s="16" t="s">
        <v>30</v>
      </c>
      <c r="B1376" s="16">
        <v>1365396</v>
      </c>
      <c r="C1376" s="16">
        <v>1365647</v>
      </c>
      <c r="E1376" s="16" t="s">
        <v>48</v>
      </c>
      <c r="F1376" s="16" t="s">
        <v>4537</v>
      </c>
      <c r="I1376" s="16" t="s">
        <v>50</v>
      </c>
      <c r="L1376" s="16" t="s">
        <v>4538</v>
      </c>
      <c r="M1376" s="16" t="s">
        <v>4537</v>
      </c>
      <c r="N1376" s="16">
        <v>83</v>
      </c>
      <c r="O1376" s="16" t="s">
        <v>4539</v>
      </c>
    </row>
    <row r="1377" spans="1:15" ht="15.75" customHeight="1" x14ac:dyDescent="0.25">
      <c r="A1377" s="16" t="s">
        <v>30</v>
      </c>
      <c r="B1377" s="16">
        <v>1365673</v>
      </c>
      <c r="C1377" s="16">
        <v>1366137</v>
      </c>
      <c r="E1377" s="16" t="s">
        <v>48</v>
      </c>
      <c r="F1377" s="16" t="s">
        <v>4540</v>
      </c>
      <c r="I1377" s="16" t="s">
        <v>50</v>
      </c>
      <c r="L1377" s="16" t="s">
        <v>4541</v>
      </c>
      <c r="M1377" s="16" t="s">
        <v>4540</v>
      </c>
      <c r="N1377" s="16">
        <v>154</v>
      </c>
      <c r="O1377" s="16" t="s">
        <v>4542</v>
      </c>
    </row>
    <row r="1378" spans="1:15" ht="15.75" customHeight="1" x14ac:dyDescent="0.25">
      <c r="A1378" s="16" t="s">
        <v>30</v>
      </c>
      <c r="B1378" s="16">
        <v>1366324</v>
      </c>
      <c r="C1378" s="16">
        <v>1367295</v>
      </c>
      <c r="E1378" s="16" t="s">
        <v>57</v>
      </c>
      <c r="F1378" s="16" t="s">
        <v>2369</v>
      </c>
      <c r="I1378" s="16" t="s">
        <v>50</v>
      </c>
      <c r="L1378" s="16" t="s">
        <v>4543</v>
      </c>
      <c r="M1378" s="16" t="s">
        <v>2369</v>
      </c>
      <c r="N1378" s="16">
        <v>323</v>
      </c>
      <c r="O1378" s="16" t="s">
        <v>4544</v>
      </c>
    </row>
    <row r="1379" spans="1:15" ht="15.75" customHeight="1" x14ac:dyDescent="0.25">
      <c r="A1379" s="16" t="s">
        <v>30</v>
      </c>
      <c r="B1379" s="16">
        <v>1367386</v>
      </c>
      <c r="C1379" s="16">
        <v>1367872</v>
      </c>
      <c r="E1379" s="16" t="s">
        <v>57</v>
      </c>
      <c r="F1379" s="16" t="s">
        <v>132</v>
      </c>
      <c r="I1379" s="16" t="s">
        <v>133</v>
      </c>
      <c r="O1379" s="16" t="s">
        <v>4545</v>
      </c>
    </row>
    <row r="1380" spans="1:15" ht="15.75" customHeight="1" x14ac:dyDescent="0.25">
      <c r="A1380" s="16" t="s">
        <v>30</v>
      </c>
      <c r="B1380" s="16">
        <v>1367946</v>
      </c>
      <c r="C1380" s="16">
        <v>1369595</v>
      </c>
      <c r="E1380" s="16" t="s">
        <v>57</v>
      </c>
      <c r="F1380" s="16" t="s">
        <v>4537</v>
      </c>
      <c r="G1380" s="16" t="s">
        <v>4546</v>
      </c>
      <c r="I1380" s="16" t="s">
        <v>50</v>
      </c>
      <c r="L1380" s="16" t="s">
        <v>4547</v>
      </c>
      <c r="M1380" s="16" t="s">
        <v>4537</v>
      </c>
      <c r="N1380" s="16">
        <v>549</v>
      </c>
      <c r="O1380" s="16" t="s">
        <v>4548</v>
      </c>
    </row>
    <row r="1381" spans="1:15" ht="15.75" customHeight="1" x14ac:dyDescent="0.25">
      <c r="A1381" s="16" t="s">
        <v>30</v>
      </c>
      <c r="B1381" s="16">
        <v>1369692</v>
      </c>
      <c r="C1381" s="16">
        <v>1370774</v>
      </c>
      <c r="E1381" s="16" t="s">
        <v>57</v>
      </c>
      <c r="F1381" s="16" t="s">
        <v>4549</v>
      </c>
      <c r="G1381" s="16" t="s">
        <v>4550</v>
      </c>
      <c r="I1381" s="16" t="s">
        <v>50</v>
      </c>
      <c r="L1381" s="16" t="s">
        <v>4551</v>
      </c>
      <c r="M1381" s="16" t="s">
        <v>4549</v>
      </c>
      <c r="N1381" s="16">
        <v>360</v>
      </c>
      <c r="O1381" s="16" t="s">
        <v>4552</v>
      </c>
    </row>
    <row r="1382" spans="1:15" ht="15.75" customHeight="1" x14ac:dyDescent="0.25">
      <c r="A1382" s="16" t="s">
        <v>30</v>
      </c>
      <c r="B1382" s="16">
        <v>1370784</v>
      </c>
      <c r="C1382" s="16">
        <v>1372190</v>
      </c>
      <c r="E1382" s="16" t="s">
        <v>57</v>
      </c>
      <c r="F1382" s="16" t="s">
        <v>4553</v>
      </c>
      <c r="I1382" s="16" t="s">
        <v>50</v>
      </c>
      <c r="L1382" s="16" t="s">
        <v>4554</v>
      </c>
      <c r="M1382" s="16" t="s">
        <v>4553</v>
      </c>
      <c r="N1382" s="16">
        <v>468</v>
      </c>
      <c r="O1382" s="16" t="s">
        <v>4555</v>
      </c>
    </row>
    <row r="1383" spans="1:15" ht="15.75" customHeight="1" x14ac:dyDescent="0.25">
      <c r="A1383" s="16" t="s">
        <v>30</v>
      </c>
      <c r="B1383" s="16">
        <v>1372332</v>
      </c>
      <c r="C1383" s="16">
        <v>1373768</v>
      </c>
      <c r="E1383" s="16" t="s">
        <v>57</v>
      </c>
      <c r="F1383" s="16" t="s">
        <v>4556</v>
      </c>
      <c r="G1383" s="16" t="s">
        <v>4557</v>
      </c>
      <c r="I1383" s="16" t="s">
        <v>50</v>
      </c>
      <c r="L1383" s="16" t="s">
        <v>4558</v>
      </c>
      <c r="M1383" s="16" t="s">
        <v>4556</v>
      </c>
      <c r="N1383" s="16">
        <v>478</v>
      </c>
      <c r="O1383" s="16" t="s">
        <v>4559</v>
      </c>
    </row>
    <row r="1384" spans="1:15" ht="15.75" customHeight="1" x14ac:dyDescent="0.25">
      <c r="A1384" s="16" t="s">
        <v>30</v>
      </c>
      <c r="B1384" s="16">
        <v>1373999</v>
      </c>
      <c r="C1384" s="16">
        <v>1374075</v>
      </c>
      <c r="E1384" s="16" t="s">
        <v>48</v>
      </c>
      <c r="F1384" s="16" t="s">
        <v>968</v>
      </c>
      <c r="I1384" s="16" t="s">
        <v>290</v>
      </c>
      <c r="O1384" s="16" t="s">
        <v>4560</v>
      </c>
    </row>
    <row r="1385" spans="1:15" ht="15.75" customHeight="1" x14ac:dyDescent="0.25">
      <c r="A1385" s="16" t="s">
        <v>30</v>
      </c>
      <c r="B1385" s="16">
        <v>1374301</v>
      </c>
      <c r="C1385" s="16">
        <v>1374618</v>
      </c>
      <c r="E1385" s="16" t="s">
        <v>48</v>
      </c>
      <c r="F1385" s="16" t="s">
        <v>4561</v>
      </c>
      <c r="I1385" s="16" t="s">
        <v>50</v>
      </c>
      <c r="L1385" s="16" t="s">
        <v>4562</v>
      </c>
      <c r="M1385" s="16" t="s">
        <v>4561</v>
      </c>
      <c r="N1385" s="16">
        <v>105</v>
      </c>
      <c r="O1385" s="16" t="s">
        <v>4563</v>
      </c>
    </row>
    <row r="1386" spans="1:15" ht="15.75" customHeight="1" x14ac:dyDescent="0.25">
      <c r="A1386" s="16" t="s">
        <v>30</v>
      </c>
      <c r="B1386" s="16">
        <v>1374655</v>
      </c>
      <c r="C1386" s="16">
        <v>1375401</v>
      </c>
      <c r="E1386" s="16" t="s">
        <v>48</v>
      </c>
      <c r="F1386" s="16" t="s">
        <v>1485</v>
      </c>
      <c r="I1386" s="16" t="s">
        <v>50</v>
      </c>
      <c r="L1386" s="16" t="s">
        <v>4564</v>
      </c>
      <c r="M1386" s="16" t="s">
        <v>1485</v>
      </c>
      <c r="N1386" s="16">
        <v>248</v>
      </c>
      <c r="O1386" s="16" t="s">
        <v>4565</v>
      </c>
    </row>
    <row r="1387" spans="1:15" ht="15.75" customHeight="1" x14ac:dyDescent="0.25">
      <c r="A1387" s="16" t="s">
        <v>30</v>
      </c>
      <c r="B1387" s="16">
        <v>1375464</v>
      </c>
      <c r="C1387" s="16">
        <v>1375745</v>
      </c>
      <c r="E1387" s="16" t="s">
        <v>57</v>
      </c>
      <c r="F1387" s="16" t="s">
        <v>135</v>
      </c>
      <c r="I1387" s="16" t="s">
        <v>50</v>
      </c>
      <c r="L1387" s="16" t="s">
        <v>4566</v>
      </c>
      <c r="M1387" s="16" t="s">
        <v>135</v>
      </c>
      <c r="N1387" s="16">
        <v>93</v>
      </c>
      <c r="O1387" s="16" t="s">
        <v>4567</v>
      </c>
    </row>
    <row r="1388" spans="1:15" ht="15.75" customHeight="1" x14ac:dyDescent="0.25">
      <c r="A1388" s="16" t="s">
        <v>30</v>
      </c>
      <c r="B1388" s="16">
        <v>1375745</v>
      </c>
      <c r="C1388" s="16">
        <v>1375978</v>
      </c>
      <c r="E1388" s="16" t="s">
        <v>48</v>
      </c>
      <c r="F1388" s="16" t="s">
        <v>204</v>
      </c>
      <c r="I1388" s="16" t="s">
        <v>50</v>
      </c>
      <c r="L1388" s="16" t="s">
        <v>4568</v>
      </c>
      <c r="M1388" s="16" t="s">
        <v>204</v>
      </c>
      <c r="N1388" s="16">
        <v>77</v>
      </c>
      <c r="O1388" s="16" t="s">
        <v>4569</v>
      </c>
    </row>
    <row r="1389" spans="1:15" ht="15.75" customHeight="1" x14ac:dyDescent="0.25">
      <c r="A1389" s="16" t="s">
        <v>30</v>
      </c>
      <c r="B1389" s="16">
        <v>1375990</v>
      </c>
      <c r="C1389" s="16">
        <v>1376706</v>
      </c>
      <c r="E1389" s="16" t="s">
        <v>48</v>
      </c>
      <c r="F1389" s="16" t="s">
        <v>135</v>
      </c>
      <c r="I1389" s="16" t="s">
        <v>50</v>
      </c>
      <c r="L1389" s="16" t="s">
        <v>4570</v>
      </c>
      <c r="M1389" s="16" t="s">
        <v>135</v>
      </c>
      <c r="N1389" s="16">
        <v>238</v>
      </c>
      <c r="O1389" s="16" t="s">
        <v>4571</v>
      </c>
    </row>
    <row r="1390" spans="1:15" ht="15.75" customHeight="1" x14ac:dyDescent="0.25">
      <c r="A1390" s="16" t="s">
        <v>30</v>
      </c>
      <c r="B1390" s="16">
        <v>1376987</v>
      </c>
      <c r="C1390" s="16">
        <v>1377523</v>
      </c>
      <c r="E1390" s="16" t="s">
        <v>48</v>
      </c>
      <c r="F1390" s="16" t="s">
        <v>4572</v>
      </c>
      <c r="I1390" s="16" t="s">
        <v>50</v>
      </c>
      <c r="L1390" s="16" t="s">
        <v>4573</v>
      </c>
      <c r="M1390" s="16" t="s">
        <v>4572</v>
      </c>
      <c r="N1390" s="16">
        <v>178</v>
      </c>
      <c r="O1390" s="16" t="s">
        <v>4574</v>
      </c>
    </row>
    <row r="1391" spans="1:15" ht="15.75" customHeight="1" x14ac:dyDescent="0.25">
      <c r="A1391" s="16" t="s">
        <v>30</v>
      </c>
      <c r="B1391" s="16">
        <v>1377724</v>
      </c>
      <c r="C1391" s="16">
        <v>1378170</v>
      </c>
      <c r="E1391" s="16" t="s">
        <v>48</v>
      </c>
      <c r="F1391" s="16" t="s">
        <v>4379</v>
      </c>
      <c r="I1391" s="16" t="s">
        <v>50</v>
      </c>
      <c r="L1391" s="16" t="s">
        <v>4575</v>
      </c>
      <c r="M1391" s="16" t="s">
        <v>4379</v>
      </c>
      <c r="N1391" s="16">
        <v>148</v>
      </c>
      <c r="O1391" s="16" t="s">
        <v>4576</v>
      </c>
    </row>
    <row r="1392" spans="1:15" ht="15.75" customHeight="1" x14ac:dyDescent="0.25">
      <c r="A1392" s="16" t="s">
        <v>30</v>
      </c>
      <c r="B1392" s="16">
        <v>1378170</v>
      </c>
      <c r="C1392" s="16">
        <v>1378346</v>
      </c>
      <c r="E1392" s="16" t="s">
        <v>48</v>
      </c>
      <c r="F1392" s="16" t="s">
        <v>135</v>
      </c>
      <c r="I1392" s="16" t="s">
        <v>50</v>
      </c>
      <c r="L1392" s="16" t="s">
        <v>4577</v>
      </c>
      <c r="M1392" s="16" t="s">
        <v>135</v>
      </c>
      <c r="N1392" s="16">
        <v>58</v>
      </c>
      <c r="O1392" s="16" t="s">
        <v>4578</v>
      </c>
    </row>
    <row r="1393" spans="1:15" ht="15.75" customHeight="1" x14ac:dyDescent="0.25">
      <c r="A1393" s="16" t="s">
        <v>30</v>
      </c>
      <c r="B1393" s="16">
        <v>1378359</v>
      </c>
      <c r="C1393" s="16">
        <v>1378913</v>
      </c>
      <c r="E1393" s="16" t="s">
        <v>48</v>
      </c>
      <c r="F1393" s="16" t="s">
        <v>4379</v>
      </c>
      <c r="I1393" s="16" t="s">
        <v>50</v>
      </c>
      <c r="L1393" s="16" t="s">
        <v>4579</v>
      </c>
      <c r="M1393" s="16" t="s">
        <v>4379</v>
      </c>
      <c r="N1393" s="16">
        <v>184</v>
      </c>
      <c r="O1393" s="16" t="s">
        <v>4580</v>
      </c>
    </row>
    <row r="1394" spans="1:15" ht="15.75" customHeight="1" x14ac:dyDescent="0.25">
      <c r="A1394" s="16" t="s">
        <v>30</v>
      </c>
      <c r="B1394" s="16">
        <v>1378913</v>
      </c>
      <c r="C1394" s="16">
        <v>1379089</v>
      </c>
      <c r="E1394" s="16" t="s">
        <v>48</v>
      </c>
      <c r="F1394" s="16" t="s">
        <v>135</v>
      </c>
      <c r="I1394" s="16" t="s">
        <v>50</v>
      </c>
      <c r="L1394" s="16" t="s">
        <v>4581</v>
      </c>
      <c r="M1394" s="16" t="s">
        <v>135</v>
      </c>
      <c r="N1394" s="16">
        <v>58</v>
      </c>
      <c r="O1394" s="16" t="s">
        <v>4582</v>
      </c>
    </row>
    <row r="1395" spans="1:15" ht="15.75" customHeight="1" x14ac:dyDescent="0.25">
      <c r="A1395" s="16" t="s">
        <v>30</v>
      </c>
      <c r="B1395" s="16">
        <v>1379102</v>
      </c>
      <c r="C1395" s="16">
        <v>1379653</v>
      </c>
      <c r="E1395" s="16" t="s">
        <v>48</v>
      </c>
      <c r="F1395" s="16" t="s">
        <v>4379</v>
      </c>
      <c r="I1395" s="16" t="s">
        <v>50</v>
      </c>
      <c r="L1395" s="16" t="s">
        <v>4583</v>
      </c>
      <c r="M1395" s="16" t="s">
        <v>4379</v>
      </c>
      <c r="N1395" s="16">
        <v>183</v>
      </c>
      <c r="O1395" s="16" t="s">
        <v>4584</v>
      </c>
    </row>
    <row r="1396" spans="1:15" ht="15.75" customHeight="1" x14ac:dyDescent="0.25">
      <c r="A1396" s="16" t="s">
        <v>30</v>
      </c>
      <c r="B1396" s="16">
        <v>1379932</v>
      </c>
      <c r="C1396" s="16">
        <v>1381014</v>
      </c>
      <c r="E1396" s="16" t="s">
        <v>48</v>
      </c>
      <c r="F1396" s="16" t="s">
        <v>4585</v>
      </c>
      <c r="G1396" s="16" t="s">
        <v>4586</v>
      </c>
      <c r="I1396" s="16" t="s">
        <v>50</v>
      </c>
      <c r="L1396" s="16" t="s">
        <v>4587</v>
      </c>
      <c r="M1396" s="16" t="s">
        <v>4585</v>
      </c>
      <c r="N1396" s="16">
        <v>360</v>
      </c>
      <c r="O1396" s="16" t="s">
        <v>4588</v>
      </c>
    </row>
    <row r="1397" spans="1:15" ht="15.75" customHeight="1" x14ac:dyDescent="0.25">
      <c r="A1397" s="16" t="s">
        <v>30</v>
      </c>
      <c r="B1397" s="16">
        <v>1381067</v>
      </c>
      <c r="C1397" s="16">
        <v>1381507</v>
      </c>
      <c r="E1397" s="16" t="s">
        <v>48</v>
      </c>
      <c r="F1397" s="16" t="s">
        <v>4589</v>
      </c>
      <c r="I1397" s="16" t="s">
        <v>50</v>
      </c>
      <c r="L1397" s="16" t="s">
        <v>4590</v>
      </c>
      <c r="M1397" s="16" t="s">
        <v>4589</v>
      </c>
      <c r="N1397" s="16">
        <v>146</v>
      </c>
      <c r="O1397" s="16" t="s">
        <v>4591</v>
      </c>
    </row>
    <row r="1398" spans="1:15" ht="15.75" customHeight="1" x14ac:dyDescent="0.25">
      <c r="A1398" s="16" t="s">
        <v>30</v>
      </c>
      <c r="B1398" s="16">
        <v>1381507</v>
      </c>
      <c r="C1398" s="16">
        <v>1382319</v>
      </c>
      <c r="E1398" s="16" t="s">
        <v>48</v>
      </c>
      <c r="F1398" s="16" t="s">
        <v>132</v>
      </c>
      <c r="G1398" s="16" t="s">
        <v>4592</v>
      </c>
      <c r="I1398" s="16" t="s">
        <v>133</v>
      </c>
      <c r="O1398" s="16" t="s">
        <v>4593</v>
      </c>
    </row>
    <row r="1399" spans="1:15" ht="15.75" customHeight="1" x14ac:dyDescent="0.25">
      <c r="A1399" s="16" t="s">
        <v>30</v>
      </c>
      <c r="B1399" s="16">
        <v>1382317</v>
      </c>
      <c r="C1399" s="16">
        <v>1382340</v>
      </c>
      <c r="E1399" s="16" t="s">
        <v>57</v>
      </c>
      <c r="F1399" s="16" t="s">
        <v>132</v>
      </c>
      <c r="I1399" s="16" t="s">
        <v>133</v>
      </c>
      <c r="O1399" s="16" t="s">
        <v>4594</v>
      </c>
    </row>
    <row r="1400" spans="1:15" ht="15.75" customHeight="1" x14ac:dyDescent="0.25">
      <c r="A1400" s="16" t="s">
        <v>30</v>
      </c>
      <c r="B1400" s="16">
        <v>1382385</v>
      </c>
      <c r="C1400" s="16">
        <v>1383188</v>
      </c>
      <c r="E1400" s="16" t="s">
        <v>48</v>
      </c>
      <c r="F1400" s="16" t="s">
        <v>4595</v>
      </c>
      <c r="I1400" s="16" t="s">
        <v>50</v>
      </c>
      <c r="L1400" s="16" t="s">
        <v>4596</v>
      </c>
      <c r="M1400" s="16" t="s">
        <v>4595</v>
      </c>
      <c r="N1400" s="16">
        <v>267</v>
      </c>
      <c r="O1400" s="16" t="s">
        <v>4597</v>
      </c>
    </row>
    <row r="1401" spans="1:15" ht="15.75" customHeight="1" x14ac:dyDescent="0.25">
      <c r="A1401" s="16" t="s">
        <v>30</v>
      </c>
      <c r="B1401" s="16">
        <v>1383203</v>
      </c>
      <c r="C1401" s="16">
        <v>1384057</v>
      </c>
      <c r="E1401" s="16" t="s">
        <v>48</v>
      </c>
      <c r="F1401" s="16" t="s">
        <v>4598</v>
      </c>
      <c r="G1401" s="16" t="s">
        <v>4599</v>
      </c>
      <c r="I1401" s="16" t="s">
        <v>50</v>
      </c>
      <c r="L1401" s="16" t="s">
        <v>4600</v>
      </c>
      <c r="M1401" s="16" t="s">
        <v>4598</v>
      </c>
      <c r="N1401" s="16">
        <v>284</v>
      </c>
      <c r="O1401" s="16" t="s">
        <v>4601</v>
      </c>
    </row>
    <row r="1402" spans="1:15" ht="15.75" customHeight="1" x14ac:dyDescent="0.25">
      <c r="A1402" s="16" t="s">
        <v>30</v>
      </c>
      <c r="B1402" s="16">
        <v>1384117</v>
      </c>
      <c r="C1402" s="16">
        <v>1385064</v>
      </c>
      <c r="E1402" s="16" t="s">
        <v>48</v>
      </c>
      <c r="F1402" s="16" t="s">
        <v>283</v>
      </c>
      <c r="I1402" s="16" t="s">
        <v>50</v>
      </c>
      <c r="L1402" s="16" t="s">
        <v>4602</v>
      </c>
      <c r="M1402" s="16" t="s">
        <v>283</v>
      </c>
      <c r="N1402" s="16">
        <v>315</v>
      </c>
      <c r="O1402" s="16" t="s">
        <v>4603</v>
      </c>
    </row>
    <row r="1403" spans="1:15" ht="15.75" customHeight="1" x14ac:dyDescent="0.25">
      <c r="A1403" s="16" t="s">
        <v>30</v>
      </c>
      <c r="B1403" s="16">
        <v>1385064</v>
      </c>
      <c r="C1403" s="16">
        <v>1386245</v>
      </c>
      <c r="E1403" s="16" t="s">
        <v>48</v>
      </c>
      <c r="F1403" s="16" t="s">
        <v>4604</v>
      </c>
      <c r="I1403" s="16" t="s">
        <v>50</v>
      </c>
      <c r="L1403" s="16" t="s">
        <v>4605</v>
      </c>
      <c r="M1403" s="16" t="s">
        <v>4604</v>
      </c>
      <c r="N1403" s="16">
        <v>393</v>
      </c>
      <c r="O1403" s="16" t="s">
        <v>4606</v>
      </c>
    </row>
    <row r="1404" spans="1:15" ht="15.75" customHeight="1" x14ac:dyDescent="0.25">
      <c r="A1404" s="16" t="s">
        <v>30</v>
      </c>
      <c r="B1404" s="16">
        <v>1386260</v>
      </c>
      <c r="C1404" s="16">
        <v>1387549</v>
      </c>
      <c r="E1404" s="16" t="s">
        <v>48</v>
      </c>
      <c r="F1404" s="16" t="s">
        <v>4607</v>
      </c>
      <c r="G1404" s="16" t="s">
        <v>4608</v>
      </c>
      <c r="I1404" s="16" t="s">
        <v>50</v>
      </c>
      <c r="L1404" s="16" t="s">
        <v>4609</v>
      </c>
      <c r="M1404" s="16" t="s">
        <v>4607</v>
      </c>
      <c r="N1404" s="16">
        <v>429</v>
      </c>
      <c r="O1404" s="16" t="s">
        <v>4610</v>
      </c>
    </row>
    <row r="1405" spans="1:15" ht="15.75" customHeight="1" x14ac:dyDescent="0.25">
      <c r="A1405" s="16" t="s">
        <v>30</v>
      </c>
      <c r="B1405" s="16">
        <v>1387558</v>
      </c>
      <c r="C1405" s="16">
        <v>1388697</v>
      </c>
      <c r="E1405" s="16" t="s">
        <v>48</v>
      </c>
      <c r="F1405" s="16" t="s">
        <v>4611</v>
      </c>
      <c r="G1405" s="16" t="s">
        <v>4612</v>
      </c>
      <c r="I1405" s="16" t="s">
        <v>50</v>
      </c>
      <c r="L1405" s="16" t="s">
        <v>4613</v>
      </c>
      <c r="M1405" s="16" t="s">
        <v>4611</v>
      </c>
      <c r="N1405" s="16">
        <v>379</v>
      </c>
      <c r="O1405" s="16" t="s">
        <v>4614</v>
      </c>
    </row>
    <row r="1406" spans="1:15" ht="15.75" customHeight="1" x14ac:dyDescent="0.25">
      <c r="A1406" s="16" t="s">
        <v>30</v>
      </c>
      <c r="B1406" s="16">
        <v>1388707</v>
      </c>
      <c r="C1406" s="16">
        <v>1389354</v>
      </c>
      <c r="E1406" s="16" t="s">
        <v>48</v>
      </c>
      <c r="F1406" s="16" t="s">
        <v>4615</v>
      </c>
      <c r="I1406" s="16" t="s">
        <v>50</v>
      </c>
      <c r="L1406" s="16" t="s">
        <v>4616</v>
      </c>
      <c r="M1406" s="16" t="s">
        <v>4615</v>
      </c>
      <c r="N1406" s="16">
        <v>215</v>
      </c>
      <c r="O1406" s="16" t="s">
        <v>4617</v>
      </c>
    </row>
    <row r="1407" spans="1:15" ht="15.75" customHeight="1" x14ac:dyDescent="0.25">
      <c r="A1407" s="16" t="s">
        <v>30</v>
      </c>
      <c r="B1407" s="16">
        <v>1389342</v>
      </c>
      <c r="C1407" s="16">
        <v>1390124</v>
      </c>
      <c r="E1407" s="16" t="s">
        <v>48</v>
      </c>
      <c r="F1407" s="16" t="s">
        <v>4618</v>
      </c>
      <c r="G1407" s="16" t="s">
        <v>4619</v>
      </c>
      <c r="I1407" s="16" t="s">
        <v>50</v>
      </c>
      <c r="L1407" s="16" t="s">
        <v>4620</v>
      </c>
      <c r="M1407" s="16" t="s">
        <v>4618</v>
      </c>
      <c r="N1407" s="16">
        <v>260</v>
      </c>
      <c r="O1407" s="16" t="s">
        <v>4621</v>
      </c>
    </row>
    <row r="1408" spans="1:15" ht="15.75" customHeight="1" x14ac:dyDescent="0.25">
      <c r="A1408" s="16" t="s">
        <v>30</v>
      </c>
      <c r="B1408" s="16">
        <v>1390134</v>
      </c>
      <c r="C1408" s="16">
        <v>1390775</v>
      </c>
      <c r="E1408" s="16" t="s">
        <v>48</v>
      </c>
      <c r="F1408" s="16" t="s">
        <v>4622</v>
      </c>
      <c r="G1408" s="16" t="s">
        <v>4623</v>
      </c>
      <c r="I1408" s="16" t="s">
        <v>50</v>
      </c>
      <c r="L1408" s="16" t="s">
        <v>4624</v>
      </c>
      <c r="M1408" s="16" t="s">
        <v>4622</v>
      </c>
      <c r="N1408" s="16">
        <v>213</v>
      </c>
      <c r="O1408" s="16" t="s">
        <v>4625</v>
      </c>
    </row>
    <row r="1409" spans="1:15" ht="15.75" customHeight="1" x14ac:dyDescent="0.25">
      <c r="A1409" s="16" t="s">
        <v>30</v>
      </c>
      <c r="B1409" s="16">
        <v>1390857</v>
      </c>
      <c r="C1409" s="16">
        <v>1391540</v>
      </c>
      <c r="E1409" s="16" t="s">
        <v>48</v>
      </c>
      <c r="F1409" s="16" t="s">
        <v>4626</v>
      </c>
      <c r="G1409" s="16" t="s">
        <v>4627</v>
      </c>
      <c r="I1409" s="16" t="s">
        <v>50</v>
      </c>
      <c r="L1409" s="16" t="s">
        <v>4628</v>
      </c>
      <c r="M1409" s="16" t="s">
        <v>4626</v>
      </c>
      <c r="N1409" s="16">
        <v>227</v>
      </c>
      <c r="O1409" s="16" t="s">
        <v>4629</v>
      </c>
    </row>
    <row r="1410" spans="1:15" ht="15.75" customHeight="1" x14ac:dyDescent="0.25">
      <c r="A1410" s="16" t="s">
        <v>30</v>
      </c>
      <c r="B1410" s="16">
        <v>1391540</v>
      </c>
      <c r="C1410" s="16">
        <v>1392790</v>
      </c>
      <c r="E1410" s="16" t="s">
        <v>48</v>
      </c>
      <c r="F1410" s="16" t="s">
        <v>4630</v>
      </c>
      <c r="G1410" s="16" t="s">
        <v>4631</v>
      </c>
      <c r="I1410" s="16" t="s">
        <v>50</v>
      </c>
      <c r="L1410" s="16" t="s">
        <v>4632</v>
      </c>
      <c r="M1410" s="16" t="s">
        <v>4630</v>
      </c>
      <c r="N1410" s="16">
        <v>416</v>
      </c>
      <c r="O1410" s="16" t="s">
        <v>4633</v>
      </c>
    </row>
    <row r="1411" spans="1:15" ht="15.75" customHeight="1" x14ac:dyDescent="0.25">
      <c r="A1411" s="16" t="s">
        <v>30</v>
      </c>
      <c r="B1411" s="16">
        <v>1393030</v>
      </c>
      <c r="C1411" s="16">
        <v>1394097</v>
      </c>
      <c r="E1411" s="16" t="s">
        <v>48</v>
      </c>
      <c r="F1411" s="16" t="s">
        <v>4634</v>
      </c>
      <c r="G1411" s="16" t="s">
        <v>4635</v>
      </c>
      <c r="I1411" s="16" t="s">
        <v>50</v>
      </c>
      <c r="L1411" s="16" t="s">
        <v>4636</v>
      </c>
      <c r="M1411" s="16" t="s">
        <v>4634</v>
      </c>
      <c r="N1411" s="16">
        <v>355</v>
      </c>
      <c r="O1411" s="16" t="s">
        <v>4637</v>
      </c>
    </row>
    <row r="1412" spans="1:15" ht="15.75" customHeight="1" x14ac:dyDescent="0.25">
      <c r="A1412" s="16" t="s">
        <v>30</v>
      </c>
      <c r="B1412" s="16">
        <v>1394167</v>
      </c>
      <c r="C1412" s="16">
        <v>1394607</v>
      </c>
      <c r="E1412" s="16" t="s">
        <v>57</v>
      </c>
      <c r="F1412" s="16" t="s">
        <v>4638</v>
      </c>
      <c r="I1412" s="16" t="s">
        <v>50</v>
      </c>
      <c r="L1412" s="16" t="s">
        <v>4639</v>
      </c>
      <c r="M1412" s="16" t="s">
        <v>4638</v>
      </c>
      <c r="N1412" s="16">
        <v>146</v>
      </c>
      <c r="O1412" s="16" t="s">
        <v>4640</v>
      </c>
    </row>
    <row r="1413" spans="1:15" ht="15.75" customHeight="1" x14ac:dyDescent="0.25">
      <c r="A1413" s="16" t="s">
        <v>30</v>
      </c>
      <c r="B1413" s="16">
        <v>1394892</v>
      </c>
      <c r="C1413" s="16">
        <v>1396136</v>
      </c>
      <c r="E1413" s="16" t="s">
        <v>48</v>
      </c>
      <c r="F1413" s="16" t="s">
        <v>4641</v>
      </c>
      <c r="G1413" s="16" t="s">
        <v>4642</v>
      </c>
      <c r="I1413" s="16" t="s">
        <v>50</v>
      </c>
      <c r="L1413" s="16" t="s">
        <v>4643</v>
      </c>
      <c r="M1413" s="16" t="s">
        <v>4641</v>
      </c>
      <c r="N1413" s="16">
        <v>414</v>
      </c>
      <c r="O1413" s="16" t="s">
        <v>4644</v>
      </c>
    </row>
    <row r="1414" spans="1:15" ht="15.75" customHeight="1" x14ac:dyDescent="0.25">
      <c r="A1414" s="16" t="s">
        <v>30</v>
      </c>
      <c r="B1414" s="16">
        <v>1396258</v>
      </c>
      <c r="C1414" s="16">
        <v>1396866</v>
      </c>
      <c r="E1414" s="16" t="s">
        <v>48</v>
      </c>
      <c r="F1414" s="16" t="s">
        <v>2348</v>
      </c>
      <c r="I1414" s="16" t="s">
        <v>50</v>
      </c>
      <c r="L1414" s="16" t="s">
        <v>4645</v>
      </c>
      <c r="M1414" s="16" t="s">
        <v>2348</v>
      </c>
      <c r="N1414" s="16">
        <v>202</v>
      </c>
      <c r="O1414" s="16" t="s">
        <v>4646</v>
      </c>
    </row>
    <row r="1415" spans="1:15" ht="15.75" customHeight="1" x14ac:dyDescent="0.25">
      <c r="A1415" s="16" t="s">
        <v>30</v>
      </c>
      <c r="B1415" s="16">
        <v>1396866</v>
      </c>
      <c r="C1415" s="16">
        <v>1397420</v>
      </c>
      <c r="E1415" s="16" t="s">
        <v>48</v>
      </c>
      <c r="F1415" s="16" t="s">
        <v>4647</v>
      </c>
      <c r="I1415" s="16" t="s">
        <v>50</v>
      </c>
      <c r="L1415" s="16" t="s">
        <v>4648</v>
      </c>
      <c r="M1415" s="16" t="s">
        <v>4647</v>
      </c>
      <c r="N1415" s="16">
        <v>184</v>
      </c>
      <c r="O1415" s="16" t="s">
        <v>4649</v>
      </c>
    </row>
    <row r="1416" spans="1:15" ht="15.75" customHeight="1" x14ac:dyDescent="0.25">
      <c r="A1416" s="16" t="s">
        <v>30</v>
      </c>
      <c r="B1416" s="16">
        <v>1397467</v>
      </c>
      <c r="C1416" s="16">
        <v>1398021</v>
      </c>
      <c r="E1416" s="16" t="s">
        <v>57</v>
      </c>
      <c r="F1416" s="16" t="s">
        <v>4650</v>
      </c>
      <c r="I1416" s="16" t="s">
        <v>50</v>
      </c>
      <c r="L1416" s="16" t="s">
        <v>4651</v>
      </c>
      <c r="M1416" s="16" t="s">
        <v>4650</v>
      </c>
      <c r="N1416" s="16">
        <v>184</v>
      </c>
      <c r="O1416" s="16" t="s">
        <v>4652</v>
      </c>
    </row>
    <row r="1417" spans="1:15" ht="15.75" customHeight="1" x14ac:dyDescent="0.25">
      <c r="A1417" s="16" t="s">
        <v>30</v>
      </c>
      <c r="B1417" s="16">
        <v>1398119</v>
      </c>
      <c r="C1417" s="16">
        <v>1399966</v>
      </c>
      <c r="E1417" s="16" t="s">
        <v>48</v>
      </c>
      <c r="F1417" s="16" t="s">
        <v>4653</v>
      </c>
      <c r="G1417" s="16" t="s">
        <v>4654</v>
      </c>
      <c r="I1417" s="16" t="s">
        <v>50</v>
      </c>
      <c r="L1417" s="16" t="s">
        <v>4655</v>
      </c>
      <c r="M1417" s="16" t="s">
        <v>4653</v>
      </c>
      <c r="N1417" s="16">
        <v>615</v>
      </c>
      <c r="O1417" s="16" t="s">
        <v>4656</v>
      </c>
    </row>
    <row r="1418" spans="1:15" ht="15.75" customHeight="1" x14ac:dyDescent="0.25">
      <c r="A1418" s="16" t="s">
        <v>30</v>
      </c>
      <c r="B1418" s="16">
        <v>1400004</v>
      </c>
      <c r="C1418" s="16">
        <v>1400801</v>
      </c>
      <c r="E1418" s="16" t="s">
        <v>57</v>
      </c>
      <c r="F1418" s="16" t="s">
        <v>4657</v>
      </c>
      <c r="G1418" s="16" t="s">
        <v>4658</v>
      </c>
      <c r="I1418" s="16" t="s">
        <v>50</v>
      </c>
      <c r="L1418" s="16" t="s">
        <v>4659</v>
      </c>
      <c r="M1418" s="16" t="s">
        <v>4657</v>
      </c>
      <c r="N1418" s="16">
        <v>265</v>
      </c>
      <c r="O1418" s="16" t="s">
        <v>4660</v>
      </c>
    </row>
    <row r="1419" spans="1:15" ht="15.75" customHeight="1" x14ac:dyDescent="0.25">
      <c r="A1419" s="16" t="s">
        <v>30</v>
      </c>
      <c r="B1419" s="16">
        <v>1400801</v>
      </c>
      <c r="C1419" s="16">
        <v>1401502</v>
      </c>
      <c r="E1419" s="16" t="s">
        <v>57</v>
      </c>
      <c r="F1419" s="16" t="s">
        <v>4661</v>
      </c>
      <c r="I1419" s="16" t="s">
        <v>50</v>
      </c>
      <c r="L1419" s="16" t="s">
        <v>4662</v>
      </c>
      <c r="M1419" s="16" t="s">
        <v>4661</v>
      </c>
      <c r="N1419" s="16">
        <v>233</v>
      </c>
      <c r="O1419" s="16" t="s">
        <v>4663</v>
      </c>
    </row>
    <row r="1420" spans="1:15" ht="15.75" customHeight="1" x14ac:dyDescent="0.25">
      <c r="A1420" s="16" t="s">
        <v>30</v>
      </c>
      <c r="B1420" s="16">
        <v>1401499</v>
      </c>
      <c r="C1420" s="16">
        <v>1402377</v>
      </c>
      <c r="E1420" s="16" t="s">
        <v>57</v>
      </c>
      <c r="F1420" s="16" t="s">
        <v>4664</v>
      </c>
      <c r="G1420" s="16" t="s">
        <v>4665</v>
      </c>
      <c r="I1420" s="16" t="s">
        <v>50</v>
      </c>
      <c r="L1420" s="16" t="s">
        <v>4666</v>
      </c>
      <c r="M1420" s="16" t="s">
        <v>4664</v>
      </c>
      <c r="N1420" s="16">
        <v>292</v>
      </c>
      <c r="O1420" s="16" t="s">
        <v>4667</v>
      </c>
    </row>
    <row r="1421" spans="1:15" ht="15.75" customHeight="1" x14ac:dyDescent="0.25">
      <c r="A1421" s="16" t="s">
        <v>30</v>
      </c>
      <c r="B1421" s="16">
        <v>1402377</v>
      </c>
      <c r="C1421" s="16">
        <v>1403384</v>
      </c>
      <c r="E1421" s="16" t="s">
        <v>57</v>
      </c>
      <c r="F1421" s="16" t="s">
        <v>4668</v>
      </c>
      <c r="G1421" s="16" t="s">
        <v>4669</v>
      </c>
      <c r="I1421" s="16" t="s">
        <v>50</v>
      </c>
      <c r="L1421" s="16" t="s">
        <v>4670</v>
      </c>
      <c r="M1421" s="16" t="s">
        <v>4668</v>
      </c>
      <c r="N1421" s="16">
        <v>335</v>
      </c>
      <c r="O1421" s="16" t="s">
        <v>4671</v>
      </c>
    </row>
    <row r="1422" spans="1:15" ht="15.75" customHeight="1" x14ac:dyDescent="0.25">
      <c r="A1422" s="16" t="s">
        <v>30</v>
      </c>
      <c r="B1422" s="16">
        <v>1403472</v>
      </c>
      <c r="C1422" s="16">
        <v>1405484</v>
      </c>
      <c r="E1422" s="16" t="s">
        <v>57</v>
      </c>
      <c r="F1422" s="16" t="s">
        <v>4672</v>
      </c>
      <c r="G1422" s="16" t="s">
        <v>4673</v>
      </c>
      <c r="I1422" s="16" t="s">
        <v>50</v>
      </c>
      <c r="L1422" s="16" t="s">
        <v>4674</v>
      </c>
      <c r="M1422" s="16" t="s">
        <v>4672</v>
      </c>
      <c r="N1422" s="16">
        <v>670</v>
      </c>
      <c r="O1422" s="16" t="s">
        <v>4675</v>
      </c>
    </row>
    <row r="1423" spans="1:15" ht="15.75" customHeight="1" x14ac:dyDescent="0.25">
      <c r="A1423" s="16" t="s">
        <v>30</v>
      </c>
      <c r="B1423" s="16">
        <v>1405633</v>
      </c>
      <c r="C1423" s="16">
        <v>1406853</v>
      </c>
      <c r="E1423" s="16" t="s">
        <v>48</v>
      </c>
      <c r="F1423" s="16" t="s">
        <v>4676</v>
      </c>
      <c r="G1423" s="16" t="s">
        <v>4677</v>
      </c>
      <c r="I1423" s="16" t="s">
        <v>50</v>
      </c>
      <c r="L1423" s="16" t="s">
        <v>4678</v>
      </c>
      <c r="M1423" s="16" t="s">
        <v>4676</v>
      </c>
      <c r="N1423" s="16">
        <v>406</v>
      </c>
      <c r="O1423" s="16" t="s">
        <v>4679</v>
      </c>
    </row>
    <row r="1424" spans="1:15" ht="15.75" customHeight="1" x14ac:dyDescent="0.25">
      <c r="A1424" s="16" t="s">
        <v>30</v>
      </c>
      <c r="B1424" s="16">
        <v>1406920</v>
      </c>
      <c r="C1424" s="16">
        <v>1407183</v>
      </c>
      <c r="E1424" s="16" t="s">
        <v>57</v>
      </c>
      <c r="F1424" s="16" t="s">
        <v>4680</v>
      </c>
      <c r="I1424" s="16" t="s">
        <v>50</v>
      </c>
      <c r="L1424" s="16" t="s">
        <v>4681</v>
      </c>
      <c r="M1424" s="16" t="s">
        <v>4680</v>
      </c>
      <c r="N1424" s="16">
        <v>87</v>
      </c>
      <c r="O1424" s="16" t="s">
        <v>4682</v>
      </c>
    </row>
    <row r="1425" spans="1:15" ht="15.75" customHeight="1" x14ac:dyDescent="0.25">
      <c r="A1425" s="16" t="s">
        <v>30</v>
      </c>
      <c r="B1425" s="16">
        <v>1407298</v>
      </c>
      <c r="C1425" s="16">
        <v>1408206</v>
      </c>
      <c r="E1425" s="16" t="s">
        <v>48</v>
      </c>
      <c r="F1425" s="16" t="s">
        <v>4683</v>
      </c>
      <c r="I1425" s="16" t="s">
        <v>50</v>
      </c>
      <c r="L1425" s="16" t="s">
        <v>4684</v>
      </c>
      <c r="M1425" s="16" t="s">
        <v>4683</v>
      </c>
      <c r="N1425" s="16">
        <v>302</v>
      </c>
      <c r="O1425" s="16" t="s">
        <v>4685</v>
      </c>
    </row>
    <row r="1426" spans="1:15" ht="15.75" customHeight="1" x14ac:dyDescent="0.25">
      <c r="A1426" s="16" t="s">
        <v>30</v>
      </c>
      <c r="B1426" s="16">
        <v>1408245</v>
      </c>
      <c r="C1426" s="16">
        <v>1409459</v>
      </c>
      <c r="E1426" s="16" t="s">
        <v>57</v>
      </c>
      <c r="F1426" s="16" t="s">
        <v>4686</v>
      </c>
      <c r="G1426" s="16" t="s">
        <v>4687</v>
      </c>
      <c r="I1426" s="16" t="s">
        <v>50</v>
      </c>
      <c r="L1426" s="16" t="s">
        <v>4688</v>
      </c>
      <c r="M1426" s="16" t="s">
        <v>4686</v>
      </c>
      <c r="N1426" s="16">
        <v>404</v>
      </c>
      <c r="O1426" s="16" t="s">
        <v>4689</v>
      </c>
    </row>
    <row r="1427" spans="1:15" ht="15.75" customHeight="1" x14ac:dyDescent="0.25">
      <c r="A1427" s="16" t="s">
        <v>30</v>
      </c>
      <c r="B1427" s="16">
        <v>1409501</v>
      </c>
      <c r="C1427" s="16">
        <v>1411744</v>
      </c>
      <c r="E1427" s="16" t="s">
        <v>57</v>
      </c>
      <c r="F1427" s="16" t="s">
        <v>4690</v>
      </c>
      <c r="G1427" s="16" t="s">
        <v>4691</v>
      </c>
      <c r="I1427" s="16" t="s">
        <v>50</v>
      </c>
      <c r="L1427" s="16" t="s">
        <v>4692</v>
      </c>
      <c r="M1427" s="16" t="s">
        <v>4690</v>
      </c>
      <c r="N1427" s="16">
        <v>747</v>
      </c>
      <c r="O1427" s="16" t="s">
        <v>4693</v>
      </c>
    </row>
    <row r="1428" spans="1:15" ht="15.75" customHeight="1" x14ac:dyDescent="0.25">
      <c r="A1428" s="16" t="s">
        <v>30</v>
      </c>
      <c r="B1428" s="16">
        <v>1411811</v>
      </c>
      <c r="C1428" s="16">
        <v>1413709</v>
      </c>
      <c r="E1428" s="16" t="s">
        <v>57</v>
      </c>
      <c r="F1428" s="16" t="s">
        <v>4694</v>
      </c>
      <c r="G1428" s="16" t="s">
        <v>4695</v>
      </c>
      <c r="I1428" s="16" t="s">
        <v>50</v>
      </c>
      <c r="L1428" s="16" t="s">
        <v>4696</v>
      </c>
      <c r="M1428" s="16" t="s">
        <v>4694</v>
      </c>
      <c r="N1428" s="16">
        <v>632</v>
      </c>
      <c r="O1428" s="16" t="s">
        <v>4697</v>
      </c>
    </row>
    <row r="1429" spans="1:15" ht="15.75" customHeight="1" x14ac:dyDescent="0.25">
      <c r="A1429" s="16" t="s">
        <v>30</v>
      </c>
      <c r="B1429" s="16">
        <v>1413783</v>
      </c>
      <c r="C1429" s="16">
        <v>1414718</v>
      </c>
      <c r="E1429" s="16" t="s">
        <v>57</v>
      </c>
      <c r="F1429" s="16" t="s">
        <v>4698</v>
      </c>
      <c r="G1429" s="16" t="s">
        <v>4699</v>
      </c>
      <c r="I1429" s="16" t="s">
        <v>50</v>
      </c>
      <c r="L1429" s="16" t="s">
        <v>4700</v>
      </c>
      <c r="M1429" s="16" t="s">
        <v>4698</v>
      </c>
      <c r="N1429" s="16">
        <v>311</v>
      </c>
      <c r="O1429" s="16" t="s">
        <v>4701</v>
      </c>
    </row>
    <row r="1430" spans="1:15" ht="15.75" customHeight="1" x14ac:dyDescent="0.25">
      <c r="A1430" s="16" t="s">
        <v>30</v>
      </c>
      <c r="B1430" s="16">
        <v>1414815</v>
      </c>
      <c r="C1430" s="16">
        <v>1416245</v>
      </c>
      <c r="E1430" s="16" t="s">
        <v>48</v>
      </c>
      <c r="F1430" s="16" t="s">
        <v>4702</v>
      </c>
      <c r="G1430" s="16" t="s">
        <v>4703</v>
      </c>
      <c r="I1430" s="16" t="s">
        <v>50</v>
      </c>
      <c r="L1430" s="16" t="s">
        <v>4704</v>
      </c>
      <c r="M1430" s="16" t="s">
        <v>4702</v>
      </c>
      <c r="N1430" s="16">
        <v>476</v>
      </c>
      <c r="O1430" s="16" t="s">
        <v>4705</v>
      </c>
    </row>
    <row r="1431" spans="1:15" ht="15.75" customHeight="1" x14ac:dyDescent="0.25">
      <c r="A1431" s="16" t="s">
        <v>30</v>
      </c>
      <c r="B1431" s="16">
        <v>1416438</v>
      </c>
      <c r="C1431" s="16">
        <v>1416599</v>
      </c>
      <c r="E1431" s="16" t="s">
        <v>48</v>
      </c>
      <c r="F1431" s="16" t="s">
        <v>1469</v>
      </c>
      <c r="I1431" s="16" t="s">
        <v>50</v>
      </c>
      <c r="L1431" s="16" t="s">
        <v>4706</v>
      </c>
      <c r="M1431" s="16" t="s">
        <v>1469</v>
      </c>
      <c r="N1431" s="16">
        <v>53</v>
      </c>
      <c r="O1431" s="16" t="s">
        <v>4707</v>
      </c>
    </row>
    <row r="1432" spans="1:15" ht="15.75" customHeight="1" x14ac:dyDescent="0.25">
      <c r="A1432" s="16" t="s">
        <v>30</v>
      </c>
      <c r="B1432" s="16">
        <v>1416916</v>
      </c>
      <c r="C1432" s="16">
        <v>1417272</v>
      </c>
      <c r="E1432" s="16" t="s">
        <v>57</v>
      </c>
      <c r="F1432" s="16" t="s">
        <v>4708</v>
      </c>
      <c r="I1432" s="16" t="s">
        <v>50</v>
      </c>
      <c r="L1432" s="16" t="s">
        <v>4709</v>
      </c>
      <c r="M1432" s="16" t="s">
        <v>4708</v>
      </c>
      <c r="N1432" s="16">
        <v>118</v>
      </c>
      <c r="O1432" s="16" t="s">
        <v>4710</v>
      </c>
    </row>
    <row r="1433" spans="1:15" ht="15.75" customHeight="1" x14ac:dyDescent="0.25">
      <c r="A1433" s="16" t="s">
        <v>30</v>
      </c>
      <c r="B1433" s="16">
        <v>1417282</v>
      </c>
      <c r="C1433" s="16">
        <v>1418344</v>
      </c>
      <c r="E1433" s="16" t="s">
        <v>48</v>
      </c>
      <c r="F1433" s="16" t="s">
        <v>132</v>
      </c>
      <c r="I1433" s="16" t="s">
        <v>133</v>
      </c>
      <c r="O1433" s="16" t="s">
        <v>4711</v>
      </c>
    </row>
    <row r="1434" spans="1:15" ht="15.75" customHeight="1" x14ac:dyDescent="0.25">
      <c r="A1434" s="16" t="s">
        <v>30</v>
      </c>
      <c r="B1434" s="16">
        <v>1418372</v>
      </c>
      <c r="C1434" s="16">
        <v>1419061</v>
      </c>
      <c r="E1434" s="16" t="s">
        <v>57</v>
      </c>
      <c r="F1434" s="16" t="s">
        <v>4712</v>
      </c>
      <c r="G1434" s="16" t="s">
        <v>4713</v>
      </c>
      <c r="I1434" s="16" t="s">
        <v>50</v>
      </c>
      <c r="L1434" s="16" t="s">
        <v>4714</v>
      </c>
      <c r="M1434" s="16" t="s">
        <v>4712</v>
      </c>
      <c r="N1434" s="16">
        <v>229</v>
      </c>
      <c r="O1434" s="16" t="s">
        <v>4715</v>
      </c>
    </row>
    <row r="1435" spans="1:15" ht="15.75" customHeight="1" x14ac:dyDescent="0.25">
      <c r="A1435" s="16" t="s">
        <v>30</v>
      </c>
      <c r="B1435" s="16">
        <v>1419137</v>
      </c>
      <c r="C1435" s="16">
        <v>1420540</v>
      </c>
      <c r="E1435" s="16" t="s">
        <v>57</v>
      </c>
      <c r="F1435" s="16" t="s">
        <v>4716</v>
      </c>
      <c r="G1435" s="16" t="s">
        <v>4717</v>
      </c>
      <c r="I1435" s="16" t="s">
        <v>50</v>
      </c>
      <c r="L1435" s="16" t="s">
        <v>4718</v>
      </c>
      <c r="M1435" s="16" t="s">
        <v>4716</v>
      </c>
      <c r="N1435" s="16">
        <v>467</v>
      </c>
      <c r="O1435" s="16" t="s">
        <v>4719</v>
      </c>
    </row>
    <row r="1436" spans="1:15" ht="15.75" customHeight="1" x14ac:dyDescent="0.25">
      <c r="A1436" s="16" t="s">
        <v>30</v>
      </c>
      <c r="B1436" s="16">
        <v>1420767</v>
      </c>
      <c r="C1436" s="16">
        <v>1421240</v>
      </c>
      <c r="E1436" s="16" t="s">
        <v>48</v>
      </c>
      <c r="F1436" s="16" t="s">
        <v>4720</v>
      </c>
      <c r="G1436" s="16" t="s">
        <v>4423</v>
      </c>
      <c r="I1436" s="16" t="s">
        <v>50</v>
      </c>
      <c r="L1436" s="16" t="s">
        <v>4721</v>
      </c>
      <c r="M1436" s="16" t="s">
        <v>4720</v>
      </c>
      <c r="N1436" s="16">
        <v>157</v>
      </c>
      <c r="O1436" s="16" t="s">
        <v>4722</v>
      </c>
    </row>
    <row r="1437" spans="1:15" ht="15.75" customHeight="1" x14ac:dyDescent="0.25">
      <c r="A1437" s="16" t="s">
        <v>30</v>
      </c>
      <c r="B1437" s="16">
        <v>1421244</v>
      </c>
      <c r="C1437" s="16">
        <v>1421678</v>
      </c>
      <c r="E1437" s="16" t="s">
        <v>48</v>
      </c>
      <c r="F1437" s="16" t="s">
        <v>4723</v>
      </c>
      <c r="G1437" s="16" t="s">
        <v>4724</v>
      </c>
      <c r="I1437" s="16" t="s">
        <v>50</v>
      </c>
      <c r="L1437" s="16" t="s">
        <v>4725</v>
      </c>
      <c r="M1437" s="16" t="s">
        <v>4723</v>
      </c>
      <c r="N1437" s="16">
        <v>144</v>
      </c>
      <c r="O1437" s="16" t="s">
        <v>4726</v>
      </c>
    </row>
    <row r="1438" spans="1:15" ht="15.75" customHeight="1" x14ac:dyDescent="0.25">
      <c r="A1438" s="16" t="s">
        <v>30</v>
      </c>
      <c r="B1438" s="16">
        <v>1421745</v>
      </c>
      <c r="C1438" s="16">
        <v>1422731</v>
      </c>
      <c r="E1438" s="16" t="s">
        <v>48</v>
      </c>
      <c r="F1438" s="16" t="s">
        <v>4727</v>
      </c>
      <c r="G1438" s="16" t="s">
        <v>4728</v>
      </c>
      <c r="I1438" s="16" t="s">
        <v>50</v>
      </c>
      <c r="L1438" s="16" t="s">
        <v>4729</v>
      </c>
      <c r="M1438" s="16" t="s">
        <v>4727</v>
      </c>
      <c r="N1438" s="16">
        <v>328</v>
      </c>
      <c r="O1438" s="16" t="s">
        <v>4730</v>
      </c>
    </row>
    <row r="1439" spans="1:15" ht="15.75" customHeight="1" x14ac:dyDescent="0.25">
      <c r="A1439" s="16" t="s">
        <v>30</v>
      </c>
      <c r="B1439" s="16">
        <v>1422728</v>
      </c>
      <c r="C1439" s="16">
        <v>1423219</v>
      </c>
      <c r="E1439" s="16" t="s">
        <v>48</v>
      </c>
      <c r="F1439" s="16" t="s">
        <v>4731</v>
      </c>
      <c r="I1439" s="16" t="s">
        <v>50</v>
      </c>
      <c r="L1439" s="16" t="s">
        <v>4732</v>
      </c>
      <c r="M1439" s="16" t="s">
        <v>4731</v>
      </c>
      <c r="N1439" s="16">
        <v>163</v>
      </c>
      <c r="O1439" s="16" t="s">
        <v>4733</v>
      </c>
    </row>
    <row r="1440" spans="1:15" ht="15.75" customHeight="1" x14ac:dyDescent="0.25">
      <c r="A1440" s="16" t="s">
        <v>30</v>
      </c>
      <c r="B1440" s="16">
        <v>1423219</v>
      </c>
      <c r="C1440" s="16">
        <v>1423848</v>
      </c>
      <c r="E1440" s="16" t="s">
        <v>48</v>
      </c>
      <c r="F1440" s="16" t="s">
        <v>4734</v>
      </c>
      <c r="I1440" s="16" t="s">
        <v>50</v>
      </c>
      <c r="L1440" s="16" t="s">
        <v>4735</v>
      </c>
      <c r="M1440" s="16" t="s">
        <v>4734</v>
      </c>
      <c r="N1440" s="16">
        <v>209</v>
      </c>
      <c r="O1440" s="16" t="s">
        <v>4736</v>
      </c>
    </row>
    <row r="1441" spans="1:15" ht="15.75" customHeight="1" x14ac:dyDescent="0.25">
      <c r="A1441" s="16" t="s">
        <v>30</v>
      </c>
      <c r="B1441" s="16">
        <v>1423865</v>
      </c>
      <c r="C1441" s="16">
        <v>1424677</v>
      </c>
      <c r="E1441" s="16" t="s">
        <v>48</v>
      </c>
      <c r="F1441" s="16" t="s">
        <v>4737</v>
      </c>
      <c r="G1441" s="16" t="s">
        <v>4738</v>
      </c>
      <c r="I1441" s="16" t="s">
        <v>50</v>
      </c>
      <c r="L1441" s="16" t="s">
        <v>4739</v>
      </c>
      <c r="M1441" s="16" t="s">
        <v>4737</v>
      </c>
      <c r="N1441" s="16">
        <v>270</v>
      </c>
      <c r="O1441" s="16" t="s">
        <v>4740</v>
      </c>
    </row>
    <row r="1442" spans="1:15" ht="15.75" customHeight="1" x14ac:dyDescent="0.25">
      <c r="A1442" s="16" t="s">
        <v>30</v>
      </c>
      <c r="B1442" s="16">
        <v>1424672</v>
      </c>
      <c r="C1442" s="16">
        <v>1424920</v>
      </c>
      <c r="E1442" s="16" t="s">
        <v>57</v>
      </c>
      <c r="F1442" s="16" t="s">
        <v>4741</v>
      </c>
      <c r="G1442" s="16" t="s">
        <v>4742</v>
      </c>
      <c r="I1442" s="16" t="s">
        <v>50</v>
      </c>
      <c r="L1442" s="16" t="s">
        <v>4743</v>
      </c>
      <c r="M1442" s="16" t="s">
        <v>4741</v>
      </c>
      <c r="N1442" s="16">
        <v>82</v>
      </c>
      <c r="O1442" s="16" t="s">
        <v>4744</v>
      </c>
    </row>
    <row r="1443" spans="1:15" ht="15.75" customHeight="1" x14ac:dyDescent="0.25">
      <c r="A1443" s="16" t="s">
        <v>30</v>
      </c>
      <c r="B1443" s="16">
        <v>1424966</v>
      </c>
      <c r="C1443" s="16">
        <v>1425706</v>
      </c>
      <c r="E1443" s="16" t="s">
        <v>48</v>
      </c>
      <c r="F1443" s="16" t="s">
        <v>135</v>
      </c>
      <c r="I1443" s="16" t="s">
        <v>50</v>
      </c>
      <c r="L1443" s="16" t="s">
        <v>4745</v>
      </c>
      <c r="M1443" s="16" t="s">
        <v>135</v>
      </c>
      <c r="N1443" s="16">
        <v>246</v>
      </c>
      <c r="O1443" s="16" t="s">
        <v>4746</v>
      </c>
    </row>
    <row r="1444" spans="1:15" ht="15.75" customHeight="1" x14ac:dyDescent="0.25">
      <c r="A1444" s="16" t="s">
        <v>30</v>
      </c>
      <c r="B1444" s="16">
        <v>1425855</v>
      </c>
      <c r="C1444" s="16">
        <v>1426844</v>
      </c>
      <c r="E1444" s="16" t="s">
        <v>48</v>
      </c>
      <c r="F1444" s="16" t="s">
        <v>4747</v>
      </c>
      <c r="G1444" s="16" t="s">
        <v>4748</v>
      </c>
      <c r="I1444" s="16" t="s">
        <v>50</v>
      </c>
      <c r="L1444" s="16" t="s">
        <v>4749</v>
      </c>
      <c r="M1444" s="16" t="s">
        <v>4747</v>
      </c>
      <c r="N1444" s="16">
        <v>329</v>
      </c>
      <c r="O1444" s="16" t="s">
        <v>4750</v>
      </c>
    </row>
    <row r="1445" spans="1:15" ht="15.75" customHeight="1" x14ac:dyDescent="0.25">
      <c r="A1445" s="16" t="s">
        <v>30</v>
      </c>
      <c r="B1445" s="16">
        <v>1426878</v>
      </c>
      <c r="C1445" s="16">
        <v>1429265</v>
      </c>
      <c r="E1445" s="16" t="s">
        <v>48</v>
      </c>
      <c r="F1445" s="16" t="s">
        <v>4751</v>
      </c>
      <c r="G1445" s="16" t="s">
        <v>4752</v>
      </c>
      <c r="I1445" s="16" t="s">
        <v>50</v>
      </c>
      <c r="L1445" s="16" t="s">
        <v>4753</v>
      </c>
      <c r="M1445" s="16" t="s">
        <v>4751</v>
      </c>
      <c r="N1445" s="16">
        <v>795</v>
      </c>
      <c r="O1445" s="16" t="s">
        <v>4754</v>
      </c>
    </row>
    <row r="1446" spans="1:15" ht="15.75" customHeight="1" x14ac:dyDescent="0.25">
      <c r="A1446" s="16" t="s">
        <v>30</v>
      </c>
      <c r="B1446" s="16">
        <v>1429267</v>
      </c>
      <c r="C1446" s="16">
        <v>1429557</v>
      </c>
      <c r="E1446" s="16" t="s">
        <v>48</v>
      </c>
      <c r="F1446" s="16" t="s">
        <v>4755</v>
      </c>
      <c r="I1446" s="16" t="s">
        <v>50</v>
      </c>
      <c r="L1446" s="16" t="s">
        <v>4756</v>
      </c>
      <c r="M1446" s="16" t="s">
        <v>4755</v>
      </c>
      <c r="N1446" s="16">
        <v>96</v>
      </c>
      <c r="O1446" s="16" t="s">
        <v>4757</v>
      </c>
    </row>
    <row r="1447" spans="1:15" ht="15.75" customHeight="1" x14ac:dyDescent="0.25">
      <c r="A1447" s="16" t="s">
        <v>30</v>
      </c>
      <c r="B1447" s="16">
        <v>1429610</v>
      </c>
      <c r="C1447" s="16">
        <v>1430095</v>
      </c>
      <c r="E1447" s="16" t="s">
        <v>48</v>
      </c>
      <c r="F1447" s="16" t="s">
        <v>4758</v>
      </c>
      <c r="I1447" s="16" t="s">
        <v>50</v>
      </c>
      <c r="L1447" s="16" t="s">
        <v>4759</v>
      </c>
      <c r="M1447" s="16" t="s">
        <v>4758</v>
      </c>
      <c r="N1447" s="16">
        <v>161</v>
      </c>
      <c r="O1447" s="16" t="s">
        <v>4760</v>
      </c>
    </row>
    <row r="1448" spans="1:15" ht="15.75" customHeight="1" x14ac:dyDescent="0.25">
      <c r="A1448" s="16" t="s">
        <v>30</v>
      </c>
      <c r="B1448" s="16">
        <v>1430161</v>
      </c>
      <c r="C1448" s="16">
        <v>1431114</v>
      </c>
      <c r="E1448" s="16" t="s">
        <v>48</v>
      </c>
      <c r="F1448" s="16" t="s">
        <v>4761</v>
      </c>
      <c r="I1448" s="16" t="s">
        <v>50</v>
      </c>
      <c r="L1448" s="16" t="s">
        <v>4762</v>
      </c>
      <c r="M1448" s="16" t="s">
        <v>4761</v>
      </c>
      <c r="N1448" s="16">
        <v>317</v>
      </c>
      <c r="O1448" s="16" t="s">
        <v>4763</v>
      </c>
    </row>
    <row r="1449" spans="1:15" ht="15.75" customHeight="1" x14ac:dyDescent="0.25">
      <c r="A1449" s="16" t="s">
        <v>30</v>
      </c>
      <c r="B1449" s="16">
        <v>1431173</v>
      </c>
      <c r="C1449" s="16">
        <v>1431628</v>
      </c>
      <c r="E1449" s="16" t="s">
        <v>48</v>
      </c>
      <c r="F1449" s="16" t="s">
        <v>135</v>
      </c>
      <c r="I1449" s="16" t="s">
        <v>50</v>
      </c>
      <c r="L1449" s="16" t="s">
        <v>4764</v>
      </c>
      <c r="M1449" s="16" t="s">
        <v>135</v>
      </c>
      <c r="N1449" s="16">
        <v>151</v>
      </c>
      <c r="O1449" s="16" t="s">
        <v>4765</v>
      </c>
    </row>
    <row r="1450" spans="1:15" ht="15.75" customHeight="1" x14ac:dyDescent="0.25">
      <c r="A1450" s="16" t="s">
        <v>30</v>
      </c>
      <c r="B1450" s="16">
        <v>1431612</v>
      </c>
      <c r="C1450" s="16">
        <v>1432322</v>
      </c>
      <c r="E1450" s="16" t="s">
        <v>48</v>
      </c>
      <c r="F1450" s="16" t="s">
        <v>4766</v>
      </c>
      <c r="I1450" s="16" t="s">
        <v>50</v>
      </c>
      <c r="L1450" s="16" t="s">
        <v>4767</v>
      </c>
      <c r="M1450" s="16" t="s">
        <v>4766</v>
      </c>
      <c r="N1450" s="16">
        <v>236</v>
      </c>
      <c r="O1450" s="16" t="s">
        <v>4768</v>
      </c>
    </row>
    <row r="1451" spans="1:15" ht="15.75" customHeight="1" x14ac:dyDescent="0.25">
      <c r="A1451" s="16" t="s">
        <v>30</v>
      </c>
      <c r="B1451" s="16">
        <v>1432371</v>
      </c>
      <c r="C1451" s="16">
        <v>1433369</v>
      </c>
      <c r="E1451" s="16" t="s">
        <v>57</v>
      </c>
      <c r="F1451" s="16" t="s">
        <v>758</v>
      </c>
      <c r="I1451" s="16" t="s">
        <v>50</v>
      </c>
      <c r="L1451" s="16" t="s">
        <v>4769</v>
      </c>
      <c r="M1451" s="16" t="s">
        <v>758</v>
      </c>
      <c r="N1451" s="16">
        <v>332</v>
      </c>
      <c r="O1451" s="16" t="s">
        <v>4770</v>
      </c>
    </row>
    <row r="1452" spans="1:15" ht="15.75" customHeight="1" x14ac:dyDescent="0.25">
      <c r="A1452" s="16" t="s">
        <v>30</v>
      </c>
      <c r="B1452" s="16">
        <v>1433588</v>
      </c>
      <c r="C1452" s="16">
        <v>1433788</v>
      </c>
      <c r="E1452" s="16" t="s">
        <v>48</v>
      </c>
      <c r="F1452" s="16" t="s">
        <v>4771</v>
      </c>
      <c r="I1452" s="16" t="s">
        <v>50</v>
      </c>
      <c r="L1452" s="16" t="s">
        <v>4772</v>
      </c>
      <c r="M1452" s="16" t="s">
        <v>4771</v>
      </c>
      <c r="N1452" s="16">
        <v>66</v>
      </c>
      <c r="O1452" s="16" t="s">
        <v>4773</v>
      </c>
    </row>
    <row r="1453" spans="1:15" ht="15.75" customHeight="1" x14ac:dyDescent="0.25">
      <c r="A1453" s="16" t="s">
        <v>30</v>
      </c>
      <c r="B1453" s="16">
        <v>1433785</v>
      </c>
      <c r="C1453" s="16">
        <v>1434630</v>
      </c>
      <c r="E1453" s="16" t="s">
        <v>48</v>
      </c>
      <c r="F1453" s="16" t="s">
        <v>4774</v>
      </c>
      <c r="I1453" s="16" t="s">
        <v>50</v>
      </c>
      <c r="L1453" s="16" t="s">
        <v>4775</v>
      </c>
      <c r="M1453" s="16" t="s">
        <v>4774</v>
      </c>
      <c r="N1453" s="16">
        <v>281</v>
      </c>
      <c r="O1453" s="16" t="s">
        <v>4776</v>
      </c>
    </row>
    <row r="1454" spans="1:15" ht="15.75" customHeight="1" x14ac:dyDescent="0.25">
      <c r="A1454" s="16" t="s">
        <v>30</v>
      </c>
      <c r="B1454" s="16">
        <v>1434630</v>
      </c>
      <c r="C1454" s="16">
        <v>1435391</v>
      </c>
      <c r="E1454" s="16" t="s">
        <v>48</v>
      </c>
      <c r="F1454" s="16" t="s">
        <v>4777</v>
      </c>
      <c r="I1454" s="16" t="s">
        <v>50</v>
      </c>
      <c r="L1454" s="16" t="s">
        <v>4778</v>
      </c>
      <c r="M1454" s="16" t="s">
        <v>4777</v>
      </c>
      <c r="N1454" s="16">
        <v>253</v>
      </c>
      <c r="O1454" s="16" t="s">
        <v>4779</v>
      </c>
    </row>
    <row r="1455" spans="1:15" ht="15.75" customHeight="1" x14ac:dyDescent="0.25">
      <c r="A1455" s="16" t="s">
        <v>30</v>
      </c>
      <c r="B1455" s="16">
        <v>1435469</v>
      </c>
      <c r="C1455" s="16">
        <v>1436443</v>
      </c>
      <c r="E1455" s="16" t="s">
        <v>48</v>
      </c>
      <c r="F1455" s="16" t="s">
        <v>4780</v>
      </c>
      <c r="I1455" s="16" t="s">
        <v>50</v>
      </c>
      <c r="L1455" s="16" t="s">
        <v>4781</v>
      </c>
      <c r="M1455" s="16" t="s">
        <v>4780</v>
      </c>
      <c r="N1455" s="16">
        <v>324</v>
      </c>
      <c r="O1455" s="16" t="s">
        <v>4782</v>
      </c>
    </row>
    <row r="1456" spans="1:15" ht="15.75" customHeight="1" x14ac:dyDescent="0.25">
      <c r="A1456" s="16" t="s">
        <v>30</v>
      </c>
      <c r="B1456" s="16">
        <v>1436520</v>
      </c>
      <c r="C1456" s="16">
        <v>1438571</v>
      </c>
      <c r="E1456" s="16" t="s">
        <v>48</v>
      </c>
      <c r="F1456" s="16" t="s">
        <v>252</v>
      </c>
      <c r="I1456" s="16" t="s">
        <v>50</v>
      </c>
      <c r="L1456" s="16" t="s">
        <v>4783</v>
      </c>
      <c r="M1456" s="16" t="s">
        <v>252</v>
      </c>
      <c r="N1456" s="16">
        <v>683</v>
      </c>
      <c r="O1456" s="16" t="s">
        <v>4784</v>
      </c>
    </row>
    <row r="1457" spans="1:15" ht="15.75" customHeight="1" x14ac:dyDescent="0.25">
      <c r="A1457" s="16" t="s">
        <v>30</v>
      </c>
      <c r="B1457" s="16">
        <v>1438579</v>
      </c>
      <c r="C1457" s="16">
        <v>1439028</v>
      </c>
      <c r="E1457" s="16" t="s">
        <v>48</v>
      </c>
      <c r="F1457" s="16" t="s">
        <v>132</v>
      </c>
      <c r="I1457" s="16" t="s">
        <v>133</v>
      </c>
      <c r="O1457" s="16" t="s">
        <v>4785</v>
      </c>
    </row>
    <row r="1458" spans="1:15" ht="15.75" customHeight="1" x14ac:dyDescent="0.25">
      <c r="A1458" s="16" t="s">
        <v>30</v>
      </c>
      <c r="B1458" s="16">
        <v>1439110</v>
      </c>
      <c r="C1458" s="16">
        <v>1439925</v>
      </c>
      <c r="E1458" s="16" t="s">
        <v>48</v>
      </c>
      <c r="F1458" s="16" t="s">
        <v>4786</v>
      </c>
      <c r="I1458" s="16" t="s">
        <v>50</v>
      </c>
      <c r="L1458" s="16" t="s">
        <v>4787</v>
      </c>
      <c r="M1458" s="16" t="s">
        <v>4786</v>
      </c>
      <c r="N1458" s="16">
        <v>271</v>
      </c>
      <c r="O1458" s="16" t="s">
        <v>4788</v>
      </c>
    </row>
    <row r="1459" spans="1:15" ht="15.75" customHeight="1" x14ac:dyDescent="0.25">
      <c r="A1459" s="16" t="s">
        <v>30</v>
      </c>
      <c r="B1459" s="16">
        <v>1440058</v>
      </c>
      <c r="C1459" s="16">
        <v>1440600</v>
      </c>
      <c r="E1459" s="16" t="s">
        <v>48</v>
      </c>
      <c r="F1459" s="16" t="s">
        <v>4789</v>
      </c>
      <c r="G1459" s="16" t="s">
        <v>4790</v>
      </c>
      <c r="I1459" s="16" t="s">
        <v>50</v>
      </c>
      <c r="L1459" s="16" t="s">
        <v>4791</v>
      </c>
      <c r="M1459" s="16" t="s">
        <v>4789</v>
      </c>
      <c r="N1459" s="16">
        <v>180</v>
      </c>
      <c r="O1459" s="16" t="s">
        <v>4792</v>
      </c>
    </row>
    <row r="1460" spans="1:15" ht="15.75" customHeight="1" x14ac:dyDescent="0.25">
      <c r="A1460" s="16" t="s">
        <v>30</v>
      </c>
      <c r="B1460" s="16">
        <v>1440811</v>
      </c>
      <c r="C1460" s="16">
        <v>1441008</v>
      </c>
      <c r="E1460" s="16" t="s">
        <v>48</v>
      </c>
      <c r="F1460" s="16" t="s">
        <v>4793</v>
      </c>
      <c r="G1460" s="16" t="s">
        <v>4794</v>
      </c>
      <c r="I1460" s="16" t="s">
        <v>50</v>
      </c>
      <c r="L1460" s="16" t="s">
        <v>4795</v>
      </c>
      <c r="M1460" s="16" t="s">
        <v>4793</v>
      </c>
      <c r="N1460" s="16">
        <v>65</v>
      </c>
      <c r="O1460" s="16" t="s">
        <v>4796</v>
      </c>
    </row>
    <row r="1461" spans="1:15" ht="15.75" customHeight="1" x14ac:dyDescent="0.25">
      <c r="A1461" s="16" t="s">
        <v>30</v>
      </c>
      <c r="B1461" s="16">
        <v>1441074</v>
      </c>
      <c r="C1461" s="16">
        <v>1441427</v>
      </c>
      <c r="E1461" s="16" t="s">
        <v>48</v>
      </c>
      <c r="F1461" s="16" t="s">
        <v>4797</v>
      </c>
      <c r="G1461" s="16" t="s">
        <v>4798</v>
      </c>
      <c r="I1461" s="16" t="s">
        <v>50</v>
      </c>
      <c r="L1461" s="16" t="s">
        <v>4799</v>
      </c>
      <c r="M1461" s="16" t="s">
        <v>4797</v>
      </c>
      <c r="N1461" s="16">
        <v>117</v>
      </c>
      <c r="O1461" s="16" t="s">
        <v>4800</v>
      </c>
    </row>
    <row r="1462" spans="1:15" ht="15.75" customHeight="1" x14ac:dyDescent="0.25">
      <c r="A1462" s="16" t="s">
        <v>30</v>
      </c>
      <c r="B1462" s="16">
        <v>1441540</v>
      </c>
      <c r="C1462" s="16">
        <v>1445175</v>
      </c>
      <c r="E1462" s="16" t="s">
        <v>48</v>
      </c>
      <c r="F1462" s="16" t="s">
        <v>4801</v>
      </c>
      <c r="G1462" s="16" t="s">
        <v>4802</v>
      </c>
      <c r="I1462" s="16" t="s">
        <v>50</v>
      </c>
      <c r="L1462" s="16" t="s">
        <v>4803</v>
      </c>
      <c r="M1462" s="16" t="s">
        <v>4801</v>
      </c>
      <c r="N1462" s="16">
        <v>1211</v>
      </c>
      <c r="O1462" s="16" t="s">
        <v>4804</v>
      </c>
    </row>
    <row r="1463" spans="1:15" ht="15.75" customHeight="1" x14ac:dyDescent="0.25">
      <c r="A1463" s="16" t="s">
        <v>30</v>
      </c>
      <c r="B1463" s="16">
        <v>1445175</v>
      </c>
      <c r="C1463" s="16">
        <v>1447097</v>
      </c>
      <c r="E1463" s="16" t="s">
        <v>48</v>
      </c>
      <c r="F1463" s="16" t="s">
        <v>4805</v>
      </c>
      <c r="G1463" s="16" t="s">
        <v>4806</v>
      </c>
      <c r="I1463" s="16" t="s">
        <v>50</v>
      </c>
      <c r="L1463" s="16" t="s">
        <v>4807</v>
      </c>
      <c r="M1463" s="16" t="s">
        <v>4805</v>
      </c>
      <c r="N1463" s="16">
        <v>640</v>
      </c>
      <c r="O1463" s="16" t="s">
        <v>4808</v>
      </c>
    </row>
    <row r="1464" spans="1:15" ht="15.75" customHeight="1" x14ac:dyDescent="0.25">
      <c r="A1464" s="16" t="s">
        <v>30</v>
      </c>
      <c r="B1464" s="16">
        <v>1447166</v>
      </c>
      <c r="C1464" s="16">
        <v>1447612</v>
      </c>
      <c r="E1464" s="16" t="s">
        <v>57</v>
      </c>
      <c r="F1464" s="16" t="s">
        <v>4809</v>
      </c>
      <c r="G1464" s="16" t="s">
        <v>4810</v>
      </c>
      <c r="I1464" s="16" t="s">
        <v>50</v>
      </c>
      <c r="L1464" s="16" t="s">
        <v>4811</v>
      </c>
      <c r="M1464" s="16" t="s">
        <v>4809</v>
      </c>
      <c r="N1464" s="16">
        <v>148</v>
      </c>
      <c r="O1464" s="16" t="s">
        <v>4812</v>
      </c>
    </row>
    <row r="1465" spans="1:15" ht="15.75" customHeight="1" x14ac:dyDescent="0.25">
      <c r="A1465" s="16" t="s">
        <v>30</v>
      </c>
      <c r="B1465" s="16">
        <v>1447739</v>
      </c>
      <c r="C1465" s="16">
        <v>1449514</v>
      </c>
      <c r="E1465" s="16" t="s">
        <v>48</v>
      </c>
      <c r="F1465" s="16" t="s">
        <v>4813</v>
      </c>
      <c r="I1465" s="16" t="s">
        <v>50</v>
      </c>
      <c r="L1465" s="16" t="s">
        <v>4814</v>
      </c>
      <c r="M1465" s="16" t="s">
        <v>4813</v>
      </c>
      <c r="N1465" s="16">
        <v>591</v>
      </c>
      <c r="O1465" s="16" t="s">
        <v>4815</v>
      </c>
    </row>
    <row r="1466" spans="1:15" ht="15.75" customHeight="1" x14ac:dyDescent="0.25">
      <c r="A1466" s="16" t="s">
        <v>30</v>
      </c>
      <c r="B1466" s="16">
        <v>1449683</v>
      </c>
      <c r="C1466" s="16">
        <v>1450216</v>
      </c>
      <c r="E1466" s="16" t="s">
        <v>48</v>
      </c>
      <c r="F1466" s="16" t="s">
        <v>4816</v>
      </c>
      <c r="G1466" s="16" t="s">
        <v>4817</v>
      </c>
      <c r="I1466" s="16" t="s">
        <v>50</v>
      </c>
      <c r="L1466" s="16" t="s">
        <v>4818</v>
      </c>
      <c r="M1466" s="16" t="s">
        <v>4816</v>
      </c>
      <c r="N1466" s="16">
        <v>177</v>
      </c>
      <c r="O1466" s="16" t="s">
        <v>4819</v>
      </c>
    </row>
    <row r="1467" spans="1:15" ht="15.75" customHeight="1" x14ac:dyDescent="0.25">
      <c r="A1467" s="16" t="s">
        <v>30</v>
      </c>
      <c r="B1467" s="16">
        <v>1450450</v>
      </c>
      <c r="C1467" s="16">
        <v>1451178</v>
      </c>
      <c r="E1467" s="16" t="s">
        <v>48</v>
      </c>
      <c r="F1467" s="16" t="s">
        <v>135</v>
      </c>
      <c r="I1467" s="16" t="s">
        <v>50</v>
      </c>
      <c r="L1467" s="16" t="s">
        <v>4820</v>
      </c>
      <c r="M1467" s="16" t="s">
        <v>135</v>
      </c>
      <c r="N1467" s="16">
        <v>242</v>
      </c>
      <c r="O1467" s="16" t="s">
        <v>4821</v>
      </c>
    </row>
    <row r="1468" spans="1:15" ht="15.75" customHeight="1" x14ac:dyDescent="0.25">
      <c r="A1468" s="16" t="s">
        <v>30</v>
      </c>
      <c r="B1468" s="16">
        <v>1451175</v>
      </c>
      <c r="C1468" s="16">
        <v>1451312</v>
      </c>
      <c r="E1468" s="16" t="s">
        <v>48</v>
      </c>
      <c r="F1468" s="16" t="s">
        <v>135</v>
      </c>
      <c r="I1468" s="16" t="s">
        <v>50</v>
      </c>
      <c r="L1468" s="16" t="s">
        <v>4822</v>
      </c>
      <c r="M1468" s="16" t="s">
        <v>135</v>
      </c>
      <c r="N1468" s="16">
        <v>45</v>
      </c>
      <c r="O1468" s="16" t="s">
        <v>4823</v>
      </c>
    </row>
    <row r="1469" spans="1:15" ht="15.75" customHeight="1" x14ac:dyDescent="0.25">
      <c r="A1469" s="16" t="s">
        <v>30</v>
      </c>
      <c r="B1469" s="16">
        <v>1451448</v>
      </c>
      <c r="C1469" s="16">
        <v>1451717</v>
      </c>
      <c r="E1469" s="16" t="s">
        <v>48</v>
      </c>
      <c r="F1469" s="16" t="s">
        <v>4824</v>
      </c>
      <c r="G1469" s="16" t="s">
        <v>4825</v>
      </c>
      <c r="I1469" s="16" t="s">
        <v>50</v>
      </c>
      <c r="L1469" s="16" t="s">
        <v>4826</v>
      </c>
      <c r="M1469" s="16" t="s">
        <v>4824</v>
      </c>
      <c r="N1469" s="16">
        <v>89</v>
      </c>
      <c r="O1469" s="16" t="s">
        <v>4827</v>
      </c>
    </row>
    <row r="1470" spans="1:15" ht="15.75" customHeight="1" x14ac:dyDescent="0.25">
      <c r="A1470" s="16" t="s">
        <v>30</v>
      </c>
      <c r="B1470" s="16">
        <v>1451788</v>
      </c>
      <c r="C1470" s="16">
        <v>1452396</v>
      </c>
      <c r="E1470" s="16" t="s">
        <v>57</v>
      </c>
      <c r="F1470" s="16" t="s">
        <v>132</v>
      </c>
      <c r="I1470" s="16" t="s">
        <v>133</v>
      </c>
      <c r="O1470" s="16" t="s">
        <v>4828</v>
      </c>
    </row>
    <row r="1471" spans="1:15" ht="15.75" customHeight="1" x14ac:dyDescent="0.25">
      <c r="A1471" s="16" t="s">
        <v>30</v>
      </c>
      <c r="B1471" s="16">
        <v>1452490</v>
      </c>
      <c r="C1471" s="16">
        <v>1453929</v>
      </c>
      <c r="E1471" s="16" t="s">
        <v>57</v>
      </c>
      <c r="F1471" s="16" t="s">
        <v>4829</v>
      </c>
      <c r="G1471" s="16" t="s">
        <v>4830</v>
      </c>
      <c r="I1471" s="16" t="s">
        <v>50</v>
      </c>
      <c r="L1471" s="16" t="s">
        <v>4831</v>
      </c>
      <c r="M1471" s="16" t="s">
        <v>4829</v>
      </c>
      <c r="N1471" s="16">
        <v>479</v>
      </c>
      <c r="O1471" s="16" t="s">
        <v>4832</v>
      </c>
    </row>
    <row r="1472" spans="1:15" ht="15.75" customHeight="1" x14ac:dyDescent="0.25">
      <c r="A1472" s="16" t="s">
        <v>30</v>
      </c>
      <c r="B1472" s="16">
        <v>1454093</v>
      </c>
      <c r="C1472" s="16">
        <v>1454569</v>
      </c>
      <c r="E1472" s="16" t="s">
        <v>48</v>
      </c>
      <c r="F1472" s="16" t="s">
        <v>4833</v>
      </c>
      <c r="G1472" s="16" t="s">
        <v>4834</v>
      </c>
      <c r="I1472" s="16" t="s">
        <v>50</v>
      </c>
      <c r="L1472" s="16" t="s">
        <v>4835</v>
      </c>
      <c r="M1472" s="16" t="s">
        <v>4833</v>
      </c>
      <c r="N1472" s="16">
        <v>158</v>
      </c>
      <c r="O1472" s="16" t="s">
        <v>4836</v>
      </c>
    </row>
    <row r="1473" spans="1:15" ht="15.75" customHeight="1" x14ac:dyDescent="0.25">
      <c r="A1473" s="16" t="s">
        <v>30</v>
      </c>
      <c r="B1473" s="16">
        <v>1454608</v>
      </c>
      <c r="C1473" s="16">
        <v>1454907</v>
      </c>
      <c r="E1473" s="16" t="s">
        <v>57</v>
      </c>
      <c r="F1473" s="16" t="s">
        <v>4837</v>
      </c>
      <c r="G1473" s="16" t="s">
        <v>4838</v>
      </c>
      <c r="I1473" s="16" t="s">
        <v>50</v>
      </c>
      <c r="L1473" s="16" t="s">
        <v>4839</v>
      </c>
      <c r="M1473" s="16" t="s">
        <v>4837</v>
      </c>
      <c r="N1473" s="16">
        <v>99</v>
      </c>
      <c r="O1473" s="16" t="s">
        <v>4840</v>
      </c>
    </row>
    <row r="1474" spans="1:15" ht="15.75" customHeight="1" x14ac:dyDescent="0.25">
      <c r="A1474" s="16" t="s">
        <v>30</v>
      </c>
      <c r="B1474" s="16">
        <v>1455034</v>
      </c>
      <c r="C1474" s="16">
        <v>1455663</v>
      </c>
      <c r="E1474" s="16" t="s">
        <v>48</v>
      </c>
      <c r="F1474" s="16" t="s">
        <v>4841</v>
      </c>
      <c r="G1474" s="16" t="s">
        <v>4842</v>
      </c>
      <c r="I1474" s="16" t="s">
        <v>50</v>
      </c>
      <c r="L1474" s="16" t="s">
        <v>4843</v>
      </c>
      <c r="M1474" s="16" t="s">
        <v>4841</v>
      </c>
      <c r="N1474" s="16">
        <v>209</v>
      </c>
      <c r="O1474" s="16" t="s">
        <v>4844</v>
      </c>
    </row>
    <row r="1475" spans="1:15" ht="15.75" customHeight="1" x14ac:dyDescent="0.25">
      <c r="A1475" s="16" t="s">
        <v>30</v>
      </c>
      <c r="B1475" s="16">
        <v>1455754</v>
      </c>
      <c r="C1475" s="16">
        <v>1457661</v>
      </c>
      <c r="E1475" s="16" t="s">
        <v>48</v>
      </c>
      <c r="F1475" s="16" t="s">
        <v>4845</v>
      </c>
      <c r="G1475" s="16" t="s">
        <v>4846</v>
      </c>
      <c r="I1475" s="16" t="s">
        <v>50</v>
      </c>
      <c r="L1475" s="16" t="s">
        <v>4847</v>
      </c>
      <c r="M1475" s="16" t="s">
        <v>4845</v>
      </c>
      <c r="N1475" s="16">
        <v>635</v>
      </c>
      <c r="O1475" s="16" t="s">
        <v>4848</v>
      </c>
    </row>
    <row r="1476" spans="1:15" ht="15.75" customHeight="1" x14ac:dyDescent="0.25">
      <c r="A1476" s="16" t="s">
        <v>30</v>
      </c>
      <c r="B1476" s="16">
        <v>1457773</v>
      </c>
      <c r="C1476" s="16">
        <v>1458600</v>
      </c>
      <c r="E1476" s="16" t="s">
        <v>48</v>
      </c>
      <c r="F1476" s="16" t="s">
        <v>4849</v>
      </c>
      <c r="G1476" s="16" t="s">
        <v>4850</v>
      </c>
      <c r="I1476" s="16" t="s">
        <v>50</v>
      </c>
      <c r="L1476" s="16" t="s">
        <v>4851</v>
      </c>
      <c r="M1476" s="16" t="s">
        <v>4849</v>
      </c>
      <c r="N1476" s="16">
        <v>275</v>
      </c>
      <c r="O1476" s="16" t="s">
        <v>4852</v>
      </c>
    </row>
    <row r="1477" spans="1:15" ht="15.75" customHeight="1" x14ac:dyDescent="0.25">
      <c r="A1477" s="16" t="s">
        <v>30</v>
      </c>
      <c r="B1477" s="16">
        <v>1458638</v>
      </c>
      <c r="C1477" s="16">
        <v>1459975</v>
      </c>
      <c r="E1477" s="16" t="s">
        <v>48</v>
      </c>
      <c r="F1477" s="16" t="s">
        <v>4853</v>
      </c>
      <c r="G1477" s="16" t="s">
        <v>4854</v>
      </c>
      <c r="I1477" s="16" t="s">
        <v>50</v>
      </c>
      <c r="L1477" s="16" t="s">
        <v>4855</v>
      </c>
      <c r="M1477" s="16" t="s">
        <v>4853</v>
      </c>
      <c r="N1477" s="16">
        <v>445</v>
      </c>
      <c r="O1477" s="16" t="s">
        <v>4856</v>
      </c>
    </row>
    <row r="1478" spans="1:15" ht="15.75" customHeight="1" x14ac:dyDescent="0.25">
      <c r="A1478" s="16" t="s">
        <v>30</v>
      </c>
      <c r="B1478" s="16">
        <v>1460034</v>
      </c>
      <c r="C1478" s="16">
        <v>1460528</v>
      </c>
      <c r="E1478" s="16" t="s">
        <v>48</v>
      </c>
      <c r="F1478" s="16" t="s">
        <v>4857</v>
      </c>
      <c r="G1478" s="16" t="s">
        <v>4858</v>
      </c>
      <c r="I1478" s="16" t="s">
        <v>50</v>
      </c>
      <c r="L1478" s="16" t="s">
        <v>4859</v>
      </c>
      <c r="M1478" s="16" t="s">
        <v>4857</v>
      </c>
      <c r="N1478" s="16">
        <v>164</v>
      </c>
      <c r="O1478" s="16" t="s">
        <v>4860</v>
      </c>
    </row>
    <row r="1479" spans="1:15" ht="15.75" customHeight="1" x14ac:dyDescent="0.25">
      <c r="A1479" s="16" t="s">
        <v>30</v>
      </c>
      <c r="B1479" s="16">
        <v>1460742</v>
      </c>
      <c r="C1479" s="16">
        <v>1461272</v>
      </c>
      <c r="E1479" s="16" t="s">
        <v>48</v>
      </c>
      <c r="F1479" s="16" t="s">
        <v>4861</v>
      </c>
      <c r="I1479" s="16" t="s">
        <v>50</v>
      </c>
      <c r="L1479" s="16" t="s">
        <v>4862</v>
      </c>
      <c r="M1479" s="16" t="s">
        <v>4861</v>
      </c>
      <c r="N1479" s="16">
        <v>176</v>
      </c>
      <c r="O1479" s="16" t="s">
        <v>4863</v>
      </c>
    </row>
    <row r="1480" spans="1:15" ht="15.75" customHeight="1" x14ac:dyDescent="0.25">
      <c r="A1480" s="16" t="s">
        <v>30</v>
      </c>
      <c r="B1480" s="16">
        <v>1461350</v>
      </c>
      <c r="C1480" s="16">
        <v>1462714</v>
      </c>
      <c r="E1480" s="16" t="s">
        <v>57</v>
      </c>
      <c r="F1480" s="16" t="s">
        <v>4864</v>
      </c>
      <c r="I1480" s="16" t="s">
        <v>50</v>
      </c>
      <c r="L1480" s="16" t="s">
        <v>4865</v>
      </c>
      <c r="M1480" s="16" t="s">
        <v>4864</v>
      </c>
      <c r="N1480" s="16">
        <v>454</v>
      </c>
      <c r="O1480" s="16" t="s">
        <v>4866</v>
      </c>
    </row>
    <row r="1481" spans="1:15" ht="15.75" customHeight="1" x14ac:dyDescent="0.25">
      <c r="A1481" s="16" t="s">
        <v>30</v>
      </c>
      <c r="B1481" s="16">
        <v>1463301</v>
      </c>
      <c r="C1481" s="16">
        <v>1463471</v>
      </c>
      <c r="E1481" s="16" t="s">
        <v>48</v>
      </c>
      <c r="F1481" s="16" t="s">
        <v>135</v>
      </c>
      <c r="I1481" s="16" t="s">
        <v>50</v>
      </c>
      <c r="L1481" s="16" t="s">
        <v>4867</v>
      </c>
      <c r="M1481" s="16" t="s">
        <v>135</v>
      </c>
      <c r="N1481" s="16">
        <v>56</v>
      </c>
      <c r="O1481" s="16" t="s">
        <v>4868</v>
      </c>
    </row>
    <row r="1482" spans="1:15" ht="15.75" customHeight="1" x14ac:dyDescent="0.25">
      <c r="A1482" s="16" t="s">
        <v>30</v>
      </c>
      <c r="B1482" s="16">
        <v>1463472</v>
      </c>
      <c r="C1482" s="16">
        <v>1463843</v>
      </c>
      <c r="E1482" s="16" t="s">
        <v>48</v>
      </c>
      <c r="F1482" s="16" t="s">
        <v>4869</v>
      </c>
      <c r="I1482" s="16" t="s">
        <v>50</v>
      </c>
      <c r="L1482" s="16" t="s">
        <v>4870</v>
      </c>
      <c r="M1482" s="16" t="s">
        <v>4869</v>
      </c>
      <c r="N1482" s="16">
        <v>123</v>
      </c>
      <c r="O1482" s="16" t="s">
        <v>4871</v>
      </c>
    </row>
    <row r="1483" spans="1:15" ht="15.75" customHeight="1" x14ac:dyDescent="0.25">
      <c r="A1483" s="16" t="s">
        <v>30</v>
      </c>
      <c r="B1483" s="16">
        <v>1464101</v>
      </c>
      <c r="C1483" s="16">
        <v>1464646</v>
      </c>
      <c r="E1483" s="16" t="s">
        <v>48</v>
      </c>
      <c r="F1483" s="16" t="s">
        <v>4872</v>
      </c>
      <c r="I1483" s="16" t="s">
        <v>50</v>
      </c>
      <c r="L1483" s="16" t="s">
        <v>4873</v>
      </c>
      <c r="M1483" s="16" t="s">
        <v>4872</v>
      </c>
      <c r="N1483" s="16">
        <v>181</v>
      </c>
      <c r="O1483" s="16" t="s">
        <v>4874</v>
      </c>
    </row>
    <row r="1484" spans="1:15" ht="15.75" customHeight="1" x14ac:dyDescent="0.25">
      <c r="A1484" s="16" t="s">
        <v>30</v>
      </c>
      <c r="B1484" s="16">
        <v>1464655</v>
      </c>
      <c r="C1484" s="16">
        <v>1464828</v>
      </c>
      <c r="E1484" s="16" t="s">
        <v>48</v>
      </c>
      <c r="F1484" s="16" t="s">
        <v>4875</v>
      </c>
      <c r="I1484" s="16" t="s">
        <v>50</v>
      </c>
      <c r="L1484" s="16" t="s">
        <v>4876</v>
      </c>
      <c r="M1484" s="16" t="s">
        <v>4875</v>
      </c>
      <c r="N1484" s="16">
        <v>57</v>
      </c>
      <c r="O1484" s="16" t="s">
        <v>4877</v>
      </c>
    </row>
    <row r="1485" spans="1:15" ht="15.75" customHeight="1" x14ac:dyDescent="0.25">
      <c r="A1485" s="16" t="s">
        <v>30</v>
      </c>
      <c r="B1485" s="16">
        <v>1464923</v>
      </c>
      <c r="C1485" s="16">
        <v>1465786</v>
      </c>
      <c r="E1485" s="16" t="s">
        <v>57</v>
      </c>
      <c r="F1485" s="16" t="s">
        <v>3237</v>
      </c>
      <c r="I1485" s="16" t="s">
        <v>50</v>
      </c>
      <c r="L1485" s="16" t="s">
        <v>4878</v>
      </c>
      <c r="M1485" s="16" t="s">
        <v>3237</v>
      </c>
      <c r="N1485" s="16">
        <v>287</v>
      </c>
      <c r="O1485" s="16" t="s">
        <v>4879</v>
      </c>
    </row>
    <row r="1486" spans="1:15" ht="15.75" customHeight="1" x14ac:dyDescent="0.25">
      <c r="A1486" s="16" t="s">
        <v>30</v>
      </c>
      <c r="B1486" s="16">
        <v>1465961</v>
      </c>
      <c r="C1486" s="16">
        <v>1467022</v>
      </c>
      <c r="E1486" s="16" t="s">
        <v>48</v>
      </c>
      <c r="F1486" s="16" t="s">
        <v>4880</v>
      </c>
      <c r="G1486" s="16" t="s">
        <v>4881</v>
      </c>
      <c r="I1486" s="16" t="s">
        <v>50</v>
      </c>
      <c r="L1486" s="16" t="s">
        <v>4882</v>
      </c>
      <c r="M1486" s="16" t="s">
        <v>4880</v>
      </c>
      <c r="N1486" s="16">
        <v>353</v>
      </c>
      <c r="O1486" s="16" t="s">
        <v>4883</v>
      </c>
    </row>
    <row r="1487" spans="1:15" ht="15.75" customHeight="1" x14ac:dyDescent="0.25">
      <c r="A1487" s="16" t="s">
        <v>30</v>
      </c>
      <c r="B1487" s="16">
        <v>1467034</v>
      </c>
      <c r="C1487" s="16">
        <v>1467675</v>
      </c>
      <c r="E1487" s="16" t="s">
        <v>48</v>
      </c>
      <c r="F1487" s="16" t="s">
        <v>4884</v>
      </c>
      <c r="I1487" s="16" t="s">
        <v>50</v>
      </c>
      <c r="L1487" s="16" t="s">
        <v>4885</v>
      </c>
      <c r="M1487" s="16" t="s">
        <v>4884</v>
      </c>
      <c r="N1487" s="16">
        <v>213</v>
      </c>
      <c r="O1487" s="16" t="s">
        <v>4886</v>
      </c>
    </row>
    <row r="1488" spans="1:15" ht="15.75" customHeight="1" x14ac:dyDescent="0.25">
      <c r="A1488" s="16" t="s">
        <v>30</v>
      </c>
      <c r="B1488" s="16">
        <v>1467718</v>
      </c>
      <c r="C1488" s="16">
        <v>1468188</v>
      </c>
      <c r="E1488" s="16" t="s">
        <v>48</v>
      </c>
      <c r="F1488" s="16" t="s">
        <v>2140</v>
      </c>
      <c r="I1488" s="16" t="s">
        <v>50</v>
      </c>
      <c r="L1488" s="16" t="s">
        <v>4887</v>
      </c>
      <c r="M1488" s="16" t="s">
        <v>2140</v>
      </c>
      <c r="N1488" s="16">
        <v>156</v>
      </c>
      <c r="O1488" s="16" t="s">
        <v>4888</v>
      </c>
    </row>
    <row r="1489" spans="1:15" ht="15.75" customHeight="1" x14ac:dyDescent="0.25">
      <c r="A1489" s="16" t="s">
        <v>30</v>
      </c>
      <c r="B1489" s="16">
        <v>1468429</v>
      </c>
      <c r="C1489" s="16">
        <v>1469346</v>
      </c>
      <c r="E1489" s="16" t="s">
        <v>48</v>
      </c>
      <c r="F1489" s="16" t="s">
        <v>4889</v>
      </c>
      <c r="I1489" s="16" t="s">
        <v>50</v>
      </c>
      <c r="L1489" s="16" t="s">
        <v>4890</v>
      </c>
      <c r="M1489" s="16" t="s">
        <v>4889</v>
      </c>
      <c r="N1489" s="16">
        <v>305</v>
      </c>
      <c r="O1489" s="16" t="s">
        <v>4891</v>
      </c>
    </row>
    <row r="1490" spans="1:15" ht="15.75" customHeight="1" x14ac:dyDescent="0.25">
      <c r="A1490" s="16" t="s">
        <v>30</v>
      </c>
      <c r="B1490" s="16">
        <v>1469413</v>
      </c>
      <c r="C1490" s="16">
        <v>1469736</v>
      </c>
      <c r="E1490" s="16" t="s">
        <v>57</v>
      </c>
      <c r="F1490" s="16" t="s">
        <v>4892</v>
      </c>
      <c r="I1490" s="16" t="s">
        <v>50</v>
      </c>
      <c r="L1490" s="16" t="s">
        <v>4893</v>
      </c>
      <c r="M1490" s="16" t="s">
        <v>4892</v>
      </c>
      <c r="N1490" s="16">
        <v>107</v>
      </c>
      <c r="O1490" s="16" t="s">
        <v>4894</v>
      </c>
    </row>
    <row r="1491" spans="1:15" ht="15.75" customHeight="1" x14ac:dyDescent="0.25">
      <c r="A1491" s="16" t="s">
        <v>30</v>
      </c>
      <c r="B1491" s="16">
        <v>1469802</v>
      </c>
      <c r="C1491" s="16">
        <v>1470533</v>
      </c>
      <c r="E1491" s="16" t="s">
        <v>57</v>
      </c>
      <c r="F1491" s="16" t="s">
        <v>4895</v>
      </c>
      <c r="G1491" s="16" t="s">
        <v>4896</v>
      </c>
      <c r="I1491" s="16" t="s">
        <v>50</v>
      </c>
      <c r="L1491" s="16" t="s">
        <v>4897</v>
      </c>
      <c r="M1491" s="16" t="s">
        <v>4895</v>
      </c>
      <c r="N1491" s="16">
        <v>243</v>
      </c>
      <c r="O1491" s="16" t="s">
        <v>4898</v>
      </c>
    </row>
    <row r="1492" spans="1:15" ht="15.75" customHeight="1" x14ac:dyDescent="0.25">
      <c r="A1492" s="16" t="s">
        <v>30</v>
      </c>
      <c r="B1492" s="16">
        <v>1470537</v>
      </c>
      <c r="C1492" s="16">
        <v>1471751</v>
      </c>
      <c r="E1492" s="16" t="s">
        <v>57</v>
      </c>
      <c r="F1492" s="16" t="s">
        <v>4899</v>
      </c>
      <c r="G1492" s="16" t="s">
        <v>4900</v>
      </c>
      <c r="I1492" s="16" t="s">
        <v>50</v>
      </c>
      <c r="L1492" s="16" t="s">
        <v>4901</v>
      </c>
      <c r="M1492" s="16" t="s">
        <v>4899</v>
      </c>
      <c r="N1492" s="16">
        <v>404</v>
      </c>
      <c r="O1492" s="16" t="s">
        <v>4902</v>
      </c>
    </row>
    <row r="1493" spans="1:15" ht="15.75" customHeight="1" x14ac:dyDescent="0.25">
      <c r="A1493" s="16" t="s">
        <v>30</v>
      </c>
      <c r="B1493" s="16">
        <v>1471888</v>
      </c>
      <c r="C1493" s="16">
        <v>1472544</v>
      </c>
      <c r="E1493" s="16" t="s">
        <v>48</v>
      </c>
      <c r="F1493" s="16" t="s">
        <v>4903</v>
      </c>
      <c r="G1493" s="16" t="s">
        <v>4904</v>
      </c>
      <c r="I1493" s="16" t="s">
        <v>50</v>
      </c>
      <c r="L1493" s="16" t="s">
        <v>4905</v>
      </c>
      <c r="M1493" s="16" t="s">
        <v>4903</v>
      </c>
      <c r="N1493" s="16">
        <v>218</v>
      </c>
      <c r="O1493" s="16" t="s">
        <v>4906</v>
      </c>
    </row>
    <row r="1494" spans="1:15" ht="15.75" customHeight="1" x14ac:dyDescent="0.25">
      <c r="A1494" s="16" t="s">
        <v>30</v>
      </c>
      <c r="B1494" s="16">
        <v>1472605</v>
      </c>
      <c r="C1494" s="16">
        <v>1472871</v>
      </c>
      <c r="E1494" s="16" t="s">
        <v>48</v>
      </c>
      <c r="F1494" s="16" t="s">
        <v>4907</v>
      </c>
      <c r="I1494" s="16" t="s">
        <v>50</v>
      </c>
      <c r="L1494" s="16" t="s">
        <v>4908</v>
      </c>
      <c r="M1494" s="16" t="s">
        <v>4907</v>
      </c>
      <c r="N1494" s="16">
        <v>88</v>
      </c>
      <c r="O1494" s="16" t="s">
        <v>4909</v>
      </c>
    </row>
    <row r="1495" spans="1:15" ht="15.75" customHeight="1" x14ac:dyDescent="0.25">
      <c r="A1495" s="16" t="s">
        <v>30</v>
      </c>
      <c r="B1495" s="16">
        <v>1472973</v>
      </c>
      <c r="C1495" s="16">
        <v>1473701</v>
      </c>
      <c r="E1495" s="16" t="s">
        <v>48</v>
      </c>
      <c r="F1495" s="16" t="s">
        <v>4622</v>
      </c>
      <c r="G1495" s="16" t="s">
        <v>4623</v>
      </c>
      <c r="I1495" s="16" t="s">
        <v>50</v>
      </c>
      <c r="L1495" s="16" t="s">
        <v>4910</v>
      </c>
      <c r="M1495" s="16" t="s">
        <v>4622</v>
      </c>
      <c r="N1495" s="16">
        <v>242</v>
      </c>
      <c r="O1495" s="16" t="s">
        <v>4911</v>
      </c>
    </row>
    <row r="1496" spans="1:15" ht="15.75" customHeight="1" x14ac:dyDescent="0.25">
      <c r="A1496" s="16" t="s">
        <v>30</v>
      </c>
      <c r="B1496" s="16">
        <v>1473789</v>
      </c>
      <c r="C1496" s="16">
        <v>1474667</v>
      </c>
      <c r="E1496" s="16" t="s">
        <v>57</v>
      </c>
      <c r="F1496" s="16" t="s">
        <v>4912</v>
      </c>
      <c r="G1496" s="16" t="s">
        <v>4913</v>
      </c>
      <c r="I1496" s="16" t="s">
        <v>50</v>
      </c>
      <c r="L1496" s="16" t="s">
        <v>4914</v>
      </c>
      <c r="M1496" s="16" t="s">
        <v>4912</v>
      </c>
      <c r="N1496" s="16">
        <v>292</v>
      </c>
      <c r="O1496" s="16" t="s">
        <v>4915</v>
      </c>
    </row>
    <row r="1497" spans="1:15" ht="15.75" customHeight="1" x14ac:dyDescent="0.25">
      <c r="A1497" s="16" t="s">
        <v>30</v>
      </c>
      <c r="B1497" s="16">
        <v>1475130</v>
      </c>
      <c r="C1497" s="16">
        <v>1475558</v>
      </c>
      <c r="E1497" s="16" t="s">
        <v>48</v>
      </c>
      <c r="F1497" s="16" t="s">
        <v>4916</v>
      </c>
      <c r="G1497" s="16" t="s">
        <v>4917</v>
      </c>
      <c r="I1497" s="16" t="s">
        <v>50</v>
      </c>
      <c r="L1497" s="16" t="s">
        <v>4918</v>
      </c>
      <c r="M1497" s="16" t="s">
        <v>4916</v>
      </c>
      <c r="N1497" s="16">
        <v>142</v>
      </c>
      <c r="O1497" s="16" t="s">
        <v>4919</v>
      </c>
    </row>
    <row r="1498" spans="1:15" ht="15.75" customHeight="1" x14ac:dyDescent="0.25">
      <c r="A1498" s="16" t="s">
        <v>30</v>
      </c>
      <c r="B1498" s="16">
        <v>1475575</v>
      </c>
      <c r="C1498" s="16">
        <v>1475967</v>
      </c>
      <c r="E1498" s="16" t="s">
        <v>48</v>
      </c>
      <c r="F1498" s="16" t="s">
        <v>4920</v>
      </c>
      <c r="G1498" s="16" t="s">
        <v>4921</v>
      </c>
      <c r="I1498" s="16" t="s">
        <v>50</v>
      </c>
      <c r="L1498" s="16" t="s">
        <v>4922</v>
      </c>
      <c r="M1498" s="16" t="s">
        <v>4920</v>
      </c>
      <c r="N1498" s="16">
        <v>130</v>
      </c>
      <c r="O1498" s="16" t="s">
        <v>4923</v>
      </c>
    </row>
    <row r="1499" spans="1:15" ht="15.75" customHeight="1" x14ac:dyDescent="0.25">
      <c r="A1499" s="16" t="s">
        <v>30</v>
      </c>
      <c r="B1499" s="16">
        <v>1476148</v>
      </c>
      <c r="C1499" s="16">
        <v>1476786</v>
      </c>
      <c r="E1499" s="16" t="s">
        <v>48</v>
      </c>
      <c r="F1499" s="16" t="s">
        <v>4924</v>
      </c>
      <c r="G1499" s="16" t="s">
        <v>4925</v>
      </c>
      <c r="I1499" s="16" t="s">
        <v>50</v>
      </c>
      <c r="L1499" s="16" t="s">
        <v>4926</v>
      </c>
      <c r="M1499" s="16" t="s">
        <v>4924</v>
      </c>
      <c r="N1499" s="16">
        <v>212</v>
      </c>
      <c r="O1499" s="16" t="s">
        <v>4927</v>
      </c>
    </row>
    <row r="1500" spans="1:15" ht="15.75" customHeight="1" x14ac:dyDescent="0.25">
      <c r="A1500" s="16" t="s">
        <v>30</v>
      </c>
      <c r="B1500" s="16">
        <v>1476786</v>
      </c>
      <c r="C1500" s="16">
        <v>1477238</v>
      </c>
      <c r="E1500" s="16" t="s">
        <v>48</v>
      </c>
      <c r="F1500" s="16" t="s">
        <v>4928</v>
      </c>
      <c r="I1500" s="16" t="s">
        <v>50</v>
      </c>
      <c r="L1500" s="16" t="s">
        <v>4929</v>
      </c>
      <c r="M1500" s="16" t="s">
        <v>4928</v>
      </c>
      <c r="N1500" s="16">
        <v>150</v>
      </c>
      <c r="O1500" s="16" t="s">
        <v>4930</v>
      </c>
    </row>
    <row r="1501" spans="1:15" ht="15.75" customHeight="1" x14ac:dyDescent="0.25">
      <c r="A1501" s="16" t="s">
        <v>30</v>
      </c>
      <c r="B1501" s="16">
        <v>1477274</v>
      </c>
      <c r="C1501" s="16">
        <v>1479151</v>
      </c>
      <c r="E1501" s="16" t="s">
        <v>57</v>
      </c>
      <c r="F1501" s="16" t="s">
        <v>4931</v>
      </c>
      <c r="G1501" s="16" t="s">
        <v>4932</v>
      </c>
      <c r="I1501" s="16" t="s">
        <v>50</v>
      </c>
      <c r="L1501" s="16" t="s">
        <v>4933</v>
      </c>
      <c r="M1501" s="16" t="s">
        <v>4931</v>
      </c>
      <c r="N1501" s="16">
        <v>625</v>
      </c>
      <c r="O1501" s="16" t="s">
        <v>4934</v>
      </c>
    </row>
    <row r="1502" spans="1:15" ht="15.75" customHeight="1" x14ac:dyDescent="0.25">
      <c r="A1502" s="16" t="s">
        <v>30</v>
      </c>
      <c r="B1502" s="16">
        <v>1479193</v>
      </c>
      <c r="C1502" s="16">
        <v>1480083</v>
      </c>
      <c r="E1502" s="16" t="s">
        <v>57</v>
      </c>
      <c r="F1502" s="16" t="s">
        <v>4935</v>
      </c>
      <c r="G1502" s="16" t="s">
        <v>4936</v>
      </c>
      <c r="I1502" s="16" t="s">
        <v>50</v>
      </c>
      <c r="L1502" s="16" t="s">
        <v>4937</v>
      </c>
      <c r="M1502" s="16" t="s">
        <v>4935</v>
      </c>
      <c r="N1502" s="16">
        <v>296</v>
      </c>
      <c r="O1502" s="16" t="s">
        <v>4938</v>
      </c>
    </row>
    <row r="1503" spans="1:15" ht="15.75" customHeight="1" x14ac:dyDescent="0.25">
      <c r="A1503" s="16" t="s">
        <v>30</v>
      </c>
      <c r="B1503" s="16">
        <v>1480083</v>
      </c>
      <c r="C1503" s="16">
        <v>1480337</v>
      </c>
      <c r="E1503" s="16" t="s">
        <v>57</v>
      </c>
      <c r="F1503" s="16" t="s">
        <v>4939</v>
      </c>
      <c r="G1503" s="16" t="s">
        <v>4940</v>
      </c>
      <c r="I1503" s="16" t="s">
        <v>50</v>
      </c>
      <c r="L1503" s="16" t="s">
        <v>4941</v>
      </c>
      <c r="M1503" s="16" t="s">
        <v>4939</v>
      </c>
      <c r="N1503" s="16">
        <v>84</v>
      </c>
      <c r="O1503" s="16" t="s">
        <v>4942</v>
      </c>
    </row>
    <row r="1504" spans="1:15" ht="15.75" customHeight="1" x14ac:dyDescent="0.25">
      <c r="A1504" s="16" t="s">
        <v>30</v>
      </c>
      <c r="B1504" s="16">
        <v>1480496</v>
      </c>
      <c r="C1504" s="16">
        <v>1481953</v>
      </c>
      <c r="E1504" s="16" t="s">
        <v>48</v>
      </c>
      <c r="F1504" s="16" t="s">
        <v>4943</v>
      </c>
      <c r="G1504" s="16" t="s">
        <v>4944</v>
      </c>
      <c r="I1504" s="16" t="s">
        <v>50</v>
      </c>
      <c r="L1504" s="16" t="s">
        <v>4945</v>
      </c>
      <c r="M1504" s="16" t="s">
        <v>4943</v>
      </c>
      <c r="N1504" s="16">
        <v>485</v>
      </c>
      <c r="O1504" s="16" t="s">
        <v>4946</v>
      </c>
    </row>
    <row r="1505" spans="1:15" ht="15.75" customHeight="1" x14ac:dyDescent="0.25">
      <c r="A1505" s="16" t="s">
        <v>30</v>
      </c>
      <c r="B1505" s="16">
        <v>1481968</v>
      </c>
      <c r="C1505" s="16">
        <v>1482288</v>
      </c>
      <c r="E1505" s="16" t="s">
        <v>48</v>
      </c>
      <c r="F1505" s="16" t="s">
        <v>4947</v>
      </c>
      <c r="I1505" s="16" t="s">
        <v>50</v>
      </c>
      <c r="L1505" s="16" t="s">
        <v>4948</v>
      </c>
      <c r="M1505" s="16" t="s">
        <v>4947</v>
      </c>
      <c r="N1505" s="16">
        <v>106</v>
      </c>
      <c r="O1505" s="16" t="s">
        <v>4949</v>
      </c>
    </row>
    <row r="1506" spans="1:15" ht="15.75" customHeight="1" x14ac:dyDescent="0.25">
      <c r="A1506" s="16" t="s">
        <v>30</v>
      </c>
      <c r="B1506" s="16">
        <v>1482282</v>
      </c>
      <c r="C1506" s="16">
        <v>1483001</v>
      </c>
      <c r="E1506" s="16" t="s">
        <v>48</v>
      </c>
      <c r="F1506" s="16" t="s">
        <v>4950</v>
      </c>
      <c r="G1506" s="16" t="s">
        <v>4951</v>
      </c>
      <c r="I1506" s="16" t="s">
        <v>50</v>
      </c>
      <c r="L1506" s="16" t="s">
        <v>4952</v>
      </c>
      <c r="M1506" s="16" t="s">
        <v>4950</v>
      </c>
      <c r="N1506" s="16">
        <v>239</v>
      </c>
      <c r="O1506" s="16" t="s">
        <v>4953</v>
      </c>
    </row>
    <row r="1507" spans="1:15" ht="15.75" customHeight="1" x14ac:dyDescent="0.25">
      <c r="A1507" s="16" t="s">
        <v>30</v>
      </c>
      <c r="B1507" s="16">
        <v>1482994</v>
      </c>
      <c r="C1507" s="16">
        <v>1483152</v>
      </c>
      <c r="E1507" s="16" t="s">
        <v>48</v>
      </c>
      <c r="F1507" s="16" t="s">
        <v>4954</v>
      </c>
      <c r="I1507" s="16" t="s">
        <v>50</v>
      </c>
      <c r="L1507" s="16" t="s">
        <v>4955</v>
      </c>
      <c r="M1507" s="16" t="s">
        <v>4954</v>
      </c>
      <c r="N1507" s="16">
        <v>52</v>
      </c>
      <c r="O1507" s="16" t="s">
        <v>4956</v>
      </c>
    </row>
    <row r="1508" spans="1:15" ht="15.75" customHeight="1" x14ac:dyDescent="0.25">
      <c r="A1508" s="16" t="s">
        <v>30</v>
      </c>
      <c r="B1508" s="16">
        <v>1483301</v>
      </c>
      <c r="C1508" s="16">
        <v>1483519</v>
      </c>
      <c r="E1508" s="16" t="s">
        <v>48</v>
      </c>
      <c r="F1508" s="16" t="s">
        <v>4957</v>
      </c>
      <c r="G1508" s="16" t="s">
        <v>4958</v>
      </c>
      <c r="I1508" s="16" t="s">
        <v>50</v>
      </c>
      <c r="L1508" s="16" t="s">
        <v>4959</v>
      </c>
      <c r="M1508" s="16" t="s">
        <v>4957</v>
      </c>
      <c r="N1508" s="16">
        <v>72</v>
      </c>
      <c r="O1508" s="16" t="s">
        <v>4960</v>
      </c>
    </row>
    <row r="1509" spans="1:15" ht="15.75" customHeight="1" x14ac:dyDescent="0.25">
      <c r="A1509" s="16" t="s">
        <v>30</v>
      </c>
      <c r="B1509" s="16">
        <v>1483658</v>
      </c>
      <c r="C1509" s="16">
        <v>1484134</v>
      </c>
      <c r="E1509" s="16" t="s">
        <v>57</v>
      </c>
      <c r="F1509" s="16" t="s">
        <v>4961</v>
      </c>
      <c r="G1509" s="16" t="s">
        <v>4962</v>
      </c>
      <c r="I1509" s="16" t="s">
        <v>50</v>
      </c>
      <c r="L1509" s="16" t="s">
        <v>4963</v>
      </c>
      <c r="M1509" s="16" t="s">
        <v>4961</v>
      </c>
      <c r="N1509" s="16">
        <v>158</v>
      </c>
      <c r="O1509" s="16" t="s">
        <v>4964</v>
      </c>
    </row>
    <row r="1510" spans="1:15" ht="15.75" customHeight="1" x14ac:dyDescent="0.25">
      <c r="A1510" s="16" t="s">
        <v>30</v>
      </c>
      <c r="B1510" s="16">
        <v>1484193</v>
      </c>
      <c r="C1510" s="16">
        <v>1485146</v>
      </c>
      <c r="E1510" s="16" t="s">
        <v>48</v>
      </c>
      <c r="F1510" s="16" t="s">
        <v>4965</v>
      </c>
      <c r="I1510" s="16" t="s">
        <v>50</v>
      </c>
      <c r="L1510" s="16" t="s">
        <v>4966</v>
      </c>
      <c r="M1510" s="16" t="s">
        <v>4965</v>
      </c>
      <c r="N1510" s="16">
        <v>317</v>
      </c>
      <c r="O1510" s="16" t="s">
        <v>4967</v>
      </c>
    </row>
    <row r="1511" spans="1:15" ht="15.75" customHeight="1" x14ac:dyDescent="0.25">
      <c r="A1511" s="16" t="s">
        <v>30</v>
      </c>
      <c r="B1511" s="16">
        <v>1485290</v>
      </c>
      <c r="C1511" s="16">
        <v>1486096</v>
      </c>
      <c r="E1511" s="16" t="s">
        <v>57</v>
      </c>
      <c r="F1511" s="16" t="s">
        <v>4968</v>
      </c>
      <c r="G1511" s="16" t="s">
        <v>4969</v>
      </c>
      <c r="I1511" s="16" t="s">
        <v>50</v>
      </c>
      <c r="L1511" s="16" t="s">
        <v>4970</v>
      </c>
      <c r="M1511" s="16" t="s">
        <v>4968</v>
      </c>
      <c r="N1511" s="16">
        <v>268</v>
      </c>
      <c r="O1511" s="16" t="s">
        <v>4971</v>
      </c>
    </row>
    <row r="1512" spans="1:15" ht="15.75" customHeight="1" x14ac:dyDescent="0.25">
      <c r="A1512" s="16" t="s">
        <v>30</v>
      </c>
      <c r="B1512" s="16">
        <v>1486096</v>
      </c>
      <c r="C1512" s="16">
        <v>1487289</v>
      </c>
      <c r="E1512" s="16" t="s">
        <v>57</v>
      </c>
      <c r="F1512" s="16" t="s">
        <v>4972</v>
      </c>
      <c r="G1512" s="16" t="s">
        <v>4973</v>
      </c>
      <c r="I1512" s="16" t="s">
        <v>50</v>
      </c>
      <c r="L1512" s="16" t="s">
        <v>4974</v>
      </c>
      <c r="M1512" s="16" t="s">
        <v>4972</v>
      </c>
      <c r="N1512" s="16">
        <v>397</v>
      </c>
      <c r="O1512" s="16" t="s">
        <v>4975</v>
      </c>
    </row>
    <row r="1513" spans="1:15" ht="15.75" customHeight="1" x14ac:dyDescent="0.25">
      <c r="A1513" s="16" t="s">
        <v>30</v>
      </c>
      <c r="B1513" s="16">
        <v>1487306</v>
      </c>
      <c r="C1513" s="16">
        <v>1488064</v>
      </c>
      <c r="E1513" s="16" t="s">
        <v>57</v>
      </c>
      <c r="F1513" s="16" t="s">
        <v>4976</v>
      </c>
      <c r="I1513" s="16" t="s">
        <v>50</v>
      </c>
      <c r="L1513" s="16" t="s">
        <v>4977</v>
      </c>
      <c r="M1513" s="16" t="s">
        <v>4976</v>
      </c>
      <c r="N1513" s="16">
        <v>252</v>
      </c>
      <c r="O1513" s="16" t="s">
        <v>4978</v>
      </c>
    </row>
    <row r="1514" spans="1:15" ht="15.75" customHeight="1" x14ac:dyDescent="0.25">
      <c r="A1514" s="16" t="s">
        <v>30</v>
      </c>
      <c r="B1514" s="16">
        <v>1488244</v>
      </c>
      <c r="C1514" s="16">
        <v>1489278</v>
      </c>
      <c r="E1514" s="16" t="s">
        <v>48</v>
      </c>
      <c r="F1514" s="16" t="s">
        <v>4979</v>
      </c>
      <c r="G1514" s="16" t="s">
        <v>4980</v>
      </c>
      <c r="I1514" s="16" t="s">
        <v>50</v>
      </c>
      <c r="L1514" s="16" t="s">
        <v>4981</v>
      </c>
      <c r="M1514" s="16" t="s">
        <v>4979</v>
      </c>
      <c r="N1514" s="16">
        <v>344</v>
      </c>
      <c r="O1514" s="16" t="s">
        <v>4982</v>
      </c>
    </row>
    <row r="1515" spans="1:15" ht="15.75" customHeight="1" x14ac:dyDescent="0.25">
      <c r="A1515" s="16" t="s">
        <v>30</v>
      </c>
      <c r="B1515" s="16">
        <v>1489333</v>
      </c>
      <c r="C1515" s="16">
        <v>1489971</v>
      </c>
      <c r="E1515" s="16" t="s">
        <v>48</v>
      </c>
      <c r="F1515" s="16" t="s">
        <v>4983</v>
      </c>
      <c r="G1515" s="16" t="s">
        <v>4984</v>
      </c>
      <c r="I1515" s="16" t="s">
        <v>50</v>
      </c>
      <c r="L1515" s="16" t="s">
        <v>4985</v>
      </c>
      <c r="M1515" s="16" t="s">
        <v>4983</v>
      </c>
      <c r="N1515" s="16">
        <v>212</v>
      </c>
      <c r="O1515" s="16" t="s">
        <v>4986</v>
      </c>
    </row>
    <row r="1516" spans="1:15" ht="15.75" customHeight="1" x14ac:dyDescent="0.25">
      <c r="A1516" s="16" t="s">
        <v>30</v>
      </c>
      <c r="B1516" s="16">
        <v>1490055</v>
      </c>
      <c r="C1516" s="16">
        <v>1490891</v>
      </c>
      <c r="E1516" s="16" t="s">
        <v>57</v>
      </c>
      <c r="F1516" s="16" t="s">
        <v>4385</v>
      </c>
      <c r="I1516" s="16" t="s">
        <v>50</v>
      </c>
      <c r="L1516" s="16" t="s">
        <v>4987</v>
      </c>
      <c r="M1516" s="16" t="s">
        <v>4385</v>
      </c>
      <c r="N1516" s="16">
        <v>278</v>
      </c>
      <c r="O1516" s="16" t="s">
        <v>4988</v>
      </c>
    </row>
    <row r="1517" spans="1:15" ht="15.75" customHeight="1" x14ac:dyDescent="0.25">
      <c r="A1517" s="16" t="s">
        <v>30</v>
      </c>
      <c r="B1517" s="16">
        <v>1491089</v>
      </c>
      <c r="C1517" s="16">
        <v>1492018</v>
      </c>
      <c r="E1517" s="16" t="s">
        <v>57</v>
      </c>
      <c r="F1517" s="16" t="s">
        <v>4989</v>
      </c>
      <c r="G1517" s="16" t="s">
        <v>4990</v>
      </c>
      <c r="I1517" s="16" t="s">
        <v>50</v>
      </c>
      <c r="L1517" s="16" t="s">
        <v>4991</v>
      </c>
      <c r="M1517" s="16" t="s">
        <v>4989</v>
      </c>
      <c r="N1517" s="16">
        <v>309</v>
      </c>
      <c r="O1517" s="16" t="s">
        <v>4992</v>
      </c>
    </row>
    <row r="1518" spans="1:15" ht="15.75" customHeight="1" x14ac:dyDescent="0.25">
      <c r="A1518" s="16" t="s">
        <v>30</v>
      </c>
      <c r="B1518" s="16">
        <v>1492140</v>
      </c>
      <c r="C1518" s="16">
        <v>1492913</v>
      </c>
      <c r="E1518" s="16" t="s">
        <v>57</v>
      </c>
      <c r="F1518" s="16" t="s">
        <v>4993</v>
      </c>
      <c r="G1518" s="16" t="s">
        <v>4994</v>
      </c>
      <c r="I1518" s="16" t="s">
        <v>50</v>
      </c>
      <c r="L1518" s="16" t="s">
        <v>4995</v>
      </c>
      <c r="M1518" s="16" t="s">
        <v>4993</v>
      </c>
      <c r="N1518" s="16">
        <v>257</v>
      </c>
      <c r="O1518" s="16" t="s">
        <v>4996</v>
      </c>
    </row>
    <row r="1519" spans="1:15" ht="15.75" customHeight="1" x14ac:dyDescent="0.25">
      <c r="A1519" s="16" t="s">
        <v>30</v>
      </c>
      <c r="B1519" s="16">
        <v>1493197</v>
      </c>
      <c r="C1519" s="16">
        <v>1493282</v>
      </c>
      <c r="E1519" s="16" t="s">
        <v>48</v>
      </c>
      <c r="F1519" s="16" t="s">
        <v>294</v>
      </c>
      <c r="I1519" s="16" t="s">
        <v>290</v>
      </c>
      <c r="O1519" s="16" t="s">
        <v>4997</v>
      </c>
    </row>
    <row r="1520" spans="1:15" ht="15.75" customHeight="1" x14ac:dyDescent="0.25">
      <c r="A1520" s="16" t="s">
        <v>30</v>
      </c>
      <c r="B1520" s="16">
        <v>1493679</v>
      </c>
      <c r="C1520" s="16">
        <v>1493888</v>
      </c>
      <c r="E1520" s="16" t="s">
        <v>48</v>
      </c>
      <c r="F1520" s="16" t="s">
        <v>4998</v>
      </c>
      <c r="I1520" s="16" t="s">
        <v>50</v>
      </c>
      <c r="L1520" s="16" t="s">
        <v>4999</v>
      </c>
      <c r="M1520" s="16" t="s">
        <v>4998</v>
      </c>
      <c r="N1520" s="16">
        <v>69</v>
      </c>
      <c r="O1520" s="16" t="s">
        <v>5000</v>
      </c>
    </row>
    <row r="1521" spans="1:15" ht="15.75" customHeight="1" x14ac:dyDescent="0.25">
      <c r="A1521" s="16" t="s">
        <v>30</v>
      </c>
      <c r="B1521" s="16">
        <v>1494467</v>
      </c>
      <c r="C1521" s="16">
        <v>1494718</v>
      </c>
      <c r="E1521" s="16" t="s">
        <v>57</v>
      </c>
      <c r="F1521" s="16" t="s">
        <v>5001</v>
      </c>
      <c r="I1521" s="16" t="s">
        <v>50</v>
      </c>
      <c r="L1521" s="16" t="s">
        <v>5002</v>
      </c>
      <c r="M1521" s="16" t="s">
        <v>5001</v>
      </c>
      <c r="N1521" s="16">
        <v>83</v>
      </c>
      <c r="O1521" s="16" t="s">
        <v>5003</v>
      </c>
    </row>
    <row r="1522" spans="1:15" ht="15.75" customHeight="1" x14ac:dyDescent="0.25">
      <c r="A1522" s="16" t="s">
        <v>30</v>
      </c>
      <c r="B1522" s="16">
        <v>1495056</v>
      </c>
      <c r="C1522" s="16">
        <v>1496327</v>
      </c>
      <c r="E1522" s="16" t="s">
        <v>57</v>
      </c>
      <c r="F1522" s="16" t="s">
        <v>135</v>
      </c>
      <c r="I1522" s="16" t="s">
        <v>50</v>
      </c>
      <c r="L1522" s="16" t="s">
        <v>5004</v>
      </c>
      <c r="M1522" s="16" t="s">
        <v>135</v>
      </c>
      <c r="N1522" s="16">
        <v>423</v>
      </c>
      <c r="O1522" s="16" t="s">
        <v>5005</v>
      </c>
    </row>
    <row r="1523" spans="1:15" ht="15.75" customHeight="1" x14ac:dyDescent="0.25">
      <c r="A1523" s="16" t="s">
        <v>30</v>
      </c>
      <c r="B1523" s="16">
        <v>1496928</v>
      </c>
      <c r="C1523" s="16">
        <v>1497131</v>
      </c>
      <c r="E1523" s="16" t="s">
        <v>48</v>
      </c>
      <c r="F1523" s="16" t="s">
        <v>135</v>
      </c>
      <c r="I1523" s="16" t="s">
        <v>50</v>
      </c>
      <c r="L1523" s="16" t="s">
        <v>5006</v>
      </c>
      <c r="M1523" s="16" t="s">
        <v>135</v>
      </c>
      <c r="N1523" s="16">
        <v>67</v>
      </c>
      <c r="O1523" s="16" t="s">
        <v>5007</v>
      </c>
    </row>
    <row r="1524" spans="1:15" ht="15.75" customHeight="1" x14ac:dyDescent="0.25">
      <c r="A1524" s="16" t="s">
        <v>30</v>
      </c>
      <c r="B1524" s="16">
        <v>1497109</v>
      </c>
      <c r="C1524" s="16">
        <v>1497267</v>
      </c>
      <c r="E1524" s="16" t="s">
        <v>57</v>
      </c>
      <c r="F1524" s="16" t="s">
        <v>135</v>
      </c>
      <c r="I1524" s="16" t="s">
        <v>50</v>
      </c>
      <c r="L1524" s="16" t="s">
        <v>5008</v>
      </c>
      <c r="M1524" s="16" t="s">
        <v>135</v>
      </c>
      <c r="N1524" s="16">
        <v>52</v>
      </c>
      <c r="O1524" s="16" t="s">
        <v>5009</v>
      </c>
    </row>
    <row r="1525" spans="1:15" ht="15.75" customHeight="1" x14ac:dyDescent="0.25">
      <c r="A1525" s="16" t="s">
        <v>30</v>
      </c>
      <c r="B1525" s="16">
        <v>1497595</v>
      </c>
      <c r="C1525" s="16">
        <v>1497816</v>
      </c>
      <c r="E1525" s="16" t="s">
        <v>57</v>
      </c>
      <c r="F1525" s="16" t="s">
        <v>135</v>
      </c>
      <c r="I1525" s="16" t="s">
        <v>50</v>
      </c>
      <c r="L1525" s="16" t="s">
        <v>5010</v>
      </c>
      <c r="M1525" s="16" t="s">
        <v>135</v>
      </c>
      <c r="N1525" s="16">
        <v>73</v>
      </c>
      <c r="O1525" s="16" t="s">
        <v>5011</v>
      </c>
    </row>
    <row r="1526" spans="1:15" ht="15.75" customHeight="1" x14ac:dyDescent="0.25">
      <c r="A1526" s="16" t="s">
        <v>30</v>
      </c>
      <c r="B1526" s="16">
        <v>1497831</v>
      </c>
      <c r="C1526" s="16">
        <v>1498001</v>
      </c>
      <c r="E1526" s="16" t="s">
        <v>48</v>
      </c>
      <c r="F1526" s="16" t="s">
        <v>1435</v>
      </c>
      <c r="I1526" s="16" t="s">
        <v>50</v>
      </c>
      <c r="L1526" s="16" t="s">
        <v>5012</v>
      </c>
      <c r="M1526" s="16" t="s">
        <v>1435</v>
      </c>
      <c r="N1526" s="16">
        <v>56</v>
      </c>
      <c r="O1526" s="16" t="s">
        <v>5013</v>
      </c>
    </row>
    <row r="1527" spans="1:15" ht="15.75" customHeight="1" x14ac:dyDescent="0.25">
      <c r="A1527" s="16" t="s">
        <v>30</v>
      </c>
      <c r="B1527" s="16">
        <v>1498315</v>
      </c>
      <c r="C1527" s="16">
        <v>1498746</v>
      </c>
      <c r="E1527" s="16" t="s">
        <v>57</v>
      </c>
      <c r="F1527" s="16" t="s">
        <v>135</v>
      </c>
      <c r="I1527" s="16" t="s">
        <v>50</v>
      </c>
      <c r="L1527" s="16" t="s">
        <v>5014</v>
      </c>
      <c r="M1527" s="16" t="s">
        <v>135</v>
      </c>
      <c r="N1527" s="16">
        <v>143</v>
      </c>
      <c r="O1527" s="16" t="s">
        <v>5015</v>
      </c>
    </row>
    <row r="1528" spans="1:15" ht="15.75" customHeight="1" x14ac:dyDescent="0.25">
      <c r="A1528" s="16" t="s">
        <v>30</v>
      </c>
      <c r="B1528" s="16">
        <v>1498743</v>
      </c>
      <c r="C1528" s="16">
        <v>1499078</v>
      </c>
      <c r="E1528" s="16" t="s">
        <v>57</v>
      </c>
      <c r="F1528" s="16" t="s">
        <v>5016</v>
      </c>
      <c r="I1528" s="16" t="s">
        <v>50</v>
      </c>
      <c r="L1528" s="16" t="s">
        <v>5017</v>
      </c>
      <c r="M1528" s="16" t="s">
        <v>5016</v>
      </c>
      <c r="N1528" s="16">
        <v>111</v>
      </c>
      <c r="O1528" s="16" t="s">
        <v>5018</v>
      </c>
    </row>
    <row r="1529" spans="1:15" ht="15.75" customHeight="1" x14ac:dyDescent="0.25">
      <c r="A1529" s="16" t="s">
        <v>30</v>
      </c>
      <c r="B1529" s="16">
        <v>1499081</v>
      </c>
      <c r="C1529" s="16">
        <v>1500160</v>
      </c>
      <c r="E1529" s="16" t="s">
        <v>57</v>
      </c>
      <c r="F1529" s="16" t="s">
        <v>135</v>
      </c>
      <c r="I1529" s="16" t="s">
        <v>50</v>
      </c>
      <c r="L1529" s="16" t="s">
        <v>5019</v>
      </c>
      <c r="M1529" s="16" t="s">
        <v>135</v>
      </c>
      <c r="N1529" s="16">
        <v>359</v>
      </c>
      <c r="O1529" s="16" t="s">
        <v>5020</v>
      </c>
    </row>
    <row r="1530" spans="1:15" ht="15.75" customHeight="1" x14ac:dyDescent="0.25">
      <c r="A1530" s="16" t="s">
        <v>30</v>
      </c>
      <c r="B1530" s="16">
        <v>1500212</v>
      </c>
      <c r="C1530" s="16">
        <v>1500910</v>
      </c>
      <c r="E1530" s="16" t="s">
        <v>57</v>
      </c>
      <c r="F1530" s="16" t="s">
        <v>2389</v>
      </c>
      <c r="I1530" s="16" t="s">
        <v>50</v>
      </c>
      <c r="L1530" s="16" t="s">
        <v>5021</v>
      </c>
      <c r="M1530" s="16" t="s">
        <v>2389</v>
      </c>
      <c r="N1530" s="16">
        <v>232</v>
      </c>
      <c r="O1530" s="16" t="s">
        <v>5022</v>
      </c>
    </row>
    <row r="1531" spans="1:15" ht="15.75" customHeight="1" x14ac:dyDescent="0.25">
      <c r="A1531" s="16" t="s">
        <v>30</v>
      </c>
      <c r="B1531" s="16">
        <v>1501021</v>
      </c>
      <c r="C1531" s="16">
        <v>1501209</v>
      </c>
      <c r="E1531" s="16" t="s">
        <v>48</v>
      </c>
      <c r="F1531" s="16" t="s">
        <v>260</v>
      </c>
      <c r="I1531" s="16" t="s">
        <v>50</v>
      </c>
      <c r="L1531" s="16" t="s">
        <v>5023</v>
      </c>
      <c r="M1531" s="16" t="s">
        <v>260</v>
      </c>
      <c r="N1531" s="16">
        <v>62</v>
      </c>
      <c r="O1531" s="16" t="s">
        <v>5024</v>
      </c>
    </row>
    <row r="1532" spans="1:15" ht="15.75" customHeight="1" x14ac:dyDescent="0.25">
      <c r="A1532" s="16" t="s">
        <v>30</v>
      </c>
      <c r="B1532" s="16">
        <v>1501258</v>
      </c>
      <c r="C1532" s="16">
        <v>1501698</v>
      </c>
      <c r="E1532" s="16" t="s">
        <v>48</v>
      </c>
      <c r="F1532" s="16" t="s">
        <v>135</v>
      </c>
      <c r="I1532" s="16" t="s">
        <v>50</v>
      </c>
      <c r="L1532" s="16" t="s">
        <v>5025</v>
      </c>
      <c r="M1532" s="16" t="s">
        <v>135</v>
      </c>
      <c r="N1532" s="16">
        <v>146</v>
      </c>
      <c r="O1532" s="16" t="s">
        <v>5026</v>
      </c>
    </row>
    <row r="1533" spans="1:15" ht="15.75" customHeight="1" x14ac:dyDescent="0.25">
      <c r="A1533" s="16" t="s">
        <v>30</v>
      </c>
      <c r="B1533" s="16">
        <v>1501747</v>
      </c>
      <c r="C1533" s="16">
        <v>1502421</v>
      </c>
      <c r="E1533" s="16" t="s">
        <v>48</v>
      </c>
      <c r="F1533" s="16" t="s">
        <v>5027</v>
      </c>
      <c r="I1533" s="16" t="s">
        <v>50</v>
      </c>
      <c r="L1533" s="16" t="s">
        <v>5028</v>
      </c>
      <c r="M1533" s="16" t="s">
        <v>5027</v>
      </c>
      <c r="N1533" s="16">
        <v>224</v>
      </c>
      <c r="O1533" s="16" t="s">
        <v>5029</v>
      </c>
    </row>
    <row r="1534" spans="1:15" ht="15.75" customHeight="1" x14ac:dyDescent="0.25">
      <c r="A1534" s="16" t="s">
        <v>30</v>
      </c>
      <c r="B1534" s="16">
        <v>1502418</v>
      </c>
      <c r="C1534" s="16">
        <v>1503176</v>
      </c>
      <c r="E1534" s="16" t="s">
        <v>48</v>
      </c>
      <c r="F1534" s="16" t="s">
        <v>260</v>
      </c>
      <c r="I1534" s="16" t="s">
        <v>50</v>
      </c>
      <c r="L1534" s="16" t="s">
        <v>5030</v>
      </c>
      <c r="M1534" s="16" t="s">
        <v>260</v>
      </c>
      <c r="N1534" s="16">
        <v>252</v>
      </c>
      <c r="O1534" s="16" t="s">
        <v>5031</v>
      </c>
    </row>
    <row r="1535" spans="1:15" ht="15.75" customHeight="1" x14ac:dyDescent="0.25">
      <c r="A1535" s="16" t="s">
        <v>30</v>
      </c>
      <c r="B1535" s="16">
        <v>1503161</v>
      </c>
      <c r="C1535" s="16">
        <v>1503796</v>
      </c>
      <c r="E1535" s="16" t="s">
        <v>48</v>
      </c>
      <c r="F1535" s="16" t="s">
        <v>1418</v>
      </c>
      <c r="I1535" s="16" t="s">
        <v>50</v>
      </c>
      <c r="L1535" s="16" t="s">
        <v>5032</v>
      </c>
      <c r="M1535" s="16" t="s">
        <v>1418</v>
      </c>
      <c r="N1535" s="16">
        <v>211</v>
      </c>
      <c r="O1535" s="16" t="s">
        <v>5033</v>
      </c>
    </row>
    <row r="1536" spans="1:15" ht="15.75" customHeight="1" x14ac:dyDescent="0.25">
      <c r="A1536" s="16" t="s">
        <v>30</v>
      </c>
      <c r="B1536" s="16">
        <v>1503793</v>
      </c>
      <c r="C1536" s="16">
        <v>1504017</v>
      </c>
      <c r="E1536" s="16" t="s">
        <v>48</v>
      </c>
      <c r="F1536" s="16" t="s">
        <v>135</v>
      </c>
      <c r="I1536" s="16" t="s">
        <v>50</v>
      </c>
      <c r="L1536" s="16" t="s">
        <v>5034</v>
      </c>
      <c r="M1536" s="16" t="s">
        <v>135</v>
      </c>
      <c r="N1536" s="16">
        <v>74</v>
      </c>
      <c r="O1536" s="16" t="s">
        <v>5035</v>
      </c>
    </row>
    <row r="1537" spans="1:15" ht="15.75" customHeight="1" x14ac:dyDescent="0.25">
      <c r="A1537" s="16" t="s">
        <v>30</v>
      </c>
      <c r="B1537" s="16">
        <v>1504054</v>
      </c>
      <c r="C1537" s="16">
        <v>1504470</v>
      </c>
      <c r="E1537" s="16" t="s">
        <v>48</v>
      </c>
      <c r="F1537" s="16" t="s">
        <v>1413</v>
      </c>
      <c r="I1537" s="16" t="s">
        <v>50</v>
      </c>
      <c r="L1537" s="16" t="s">
        <v>5036</v>
      </c>
      <c r="M1537" s="16" t="s">
        <v>1413</v>
      </c>
      <c r="N1537" s="16">
        <v>138</v>
      </c>
      <c r="O1537" s="16" t="s">
        <v>5037</v>
      </c>
    </row>
    <row r="1538" spans="1:15" ht="15.75" customHeight="1" x14ac:dyDescent="0.25">
      <c r="A1538" s="16" t="s">
        <v>30</v>
      </c>
      <c r="B1538" s="16">
        <v>1504563</v>
      </c>
      <c r="C1538" s="16">
        <v>1505116</v>
      </c>
      <c r="E1538" s="16" t="s">
        <v>48</v>
      </c>
      <c r="F1538" s="16" t="s">
        <v>132</v>
      </c>
      <c r="I1538" s="16" t="s">
        <v>133</v>
      </c>
      <c r="O1538" s="16" t="s">
        <v>5038</v>
      </c>
    </row>
    <row r="1539" spans="1:15" ht="15.75" customHeight="1" x14ac:dyDescent="0.25">
      <c r="A1539" s="16" t="s">
        <v>30</v>
      </c>
      <c r="B1539" s="16">
        <v>1505100</v>
      </c>
      <c r="C1539" s="16">
        <v>1505765</v>
      </c>
      <c r="E1539" s="16" t="s">
        <v>48</v>
      </c>
      <c r="F1539" s="16" t="s">
        <v>1444</v>
      </c>
      <c r="I1539" s="16" t="s">
        <v>50</v>
      </c>
      <c r="L1539" s="16" t="s">
        <v>5039</v>
      </c>
      <c r="M1539" s="16" t="s">
        <v>1444</v>
      </c>
      <c r="N1539" s="16">
        <v>221</v>
      </c>
      <c r="O1539" s="16" t="s">
        <v>5040</v>
      </c>
    </row>
    <row r="1540" spans="1:15" ht="15.75" customHeight="1" x14ac:dyDescent="0.25">
      <c r="A1540" s="16" t="s">
        <v>30</v>
      </c>
      <c r="B1540" s="16">
        <v>1505796</v>
      </c>
      <c r="C1540" s="16">
        <v>1506167</v>
      </c>
      <c r="E1540" s="16" t="s">
        <v>48</v>
      </c>
      <c r="F1540" s="16" t="s">
        <v>135</v>
      </c>
      <c r="I1540" s="16" t="s">
        <v>50</v>
      </c>
      <c r="L1540" s="16" t="s">
        <v>5041</v>
      </c>
      <c r="M1540" s="16" t="s">
        <v>135</v>
      </c>
      <c r="N1540" s="16">
        <v>123</v>
      </c>
      <c r="O1540" s="16" t="s">
        <v>5042</v>
      </c>
    </row>
    <row r="1541" spans="1:15" ht="15.75" customHeight="1" x14ac:dyDescent="0.25">
      <c r="A1541" s="16" t="s">
        <v>30</v>
      </c>
      <c r="B1541" s="16">
        <v>1506217</v>
      </c>
      <c r="C1541" s="16">
        <v>1507182</v>
      </c>
      <c r="E1541" s="16" t="s">
        <v>57</v>
      </c>
      <c r="F1541" s="16" t="s">
        <v>5043</v>
      </c>
      <c r="I1541" s="16" t="s">
        <v>50</v>
      </c>
      <c r="L1541" s="16" t="s">
        <v>5044</v>
      </c>
      <c r="M1541" s="16" t="s">
        <v>5043</v>
      </c>
      <c r="N1541" s="16">
        <v>321</v>
      </c>
      <c r="O1541" s="16" t="s">
        <v>5045</v>
      </c>
    </row>
    <row r="1542" spans="1:15" ht="15.75" customHeight="1" x14ac:dyDescent="0.25">
      <c r="A1542" s="16" t="s">
        <v>30</v>
      </c>
      <c r="B1542" s="16">
        <v>1507540</v>
      </c>
      <c r="C1542" s="16">
        <v>1508208</v>
      </c>
      <c r="E1542" s="16" t="s">
        <v>48</v>
      </c>
      <c r="F1542" s="16" t="s">
        <v>5046</v>
      </c>
      <c r="I1542" s="16" t="s">
        <v>50</v>
      </c>
      <c r="L1542" s="16" t="s">
        <v>5047</v>
      </c>
      <c r="M1542" s="16" t="s">
        <v>5046</v>
      </c>
      <c r="N1542" s="16">
        <v>222</v>
      </c>
      <c r="O1542" s="16" t="s">
        <v>5048</v>
      </c>
    </row>
    <row r="1543" spans="1:15" ht="15.75" customHeight="1" x14ac:dyDescent="0.25">
      <c r="A1543" s="16" t="s">
        <v>30</v>
      </c>
      <c r="B1543" s="16">
        <v>1508284</v>
      </c>
      <c r="C1543" s="16">
        <v>1508421</v>
      </c>
      <c r="E1543" s="16" t="s">
        <v>48</v>
      </c>
      <c r="F1543" s="16" t="s">
        <v>135</v>
      </c>
      <c r="I1543" s="16" t="s">
        <v>50</v>
      </c>
      <c r="L1543" s="16" t="s">
        <v>5049</v>
      </c>
      <c r="M1543" s="16" t="s">
        <v>135</v>
      </c>
      <c r="N1543" s="16">
        <v>45</v>
      </c>
      <c r="O1543" s="16" t="s">
        <v>5050</v>
      </c>
    </row>
    <row r="1544" spans="1:15" ht="15.75" customHeight="1" x14ac:dyDescent="0.25">
      <c r="A1544" s="16" t="s">
        <v>30</v>
      </c>
      <c r="B1544" s="16">
        <v>1508545</v>
      </c>
      <c r="C1544" s="16">
        <v>1508901</v>
      </c>
      <c r="E1544" s="16" t="s">
        <v>48</v>
      </c>
      <c r="F1544" s="16" t="s">
        <v>5051</v>
      </c>
      <c r="I1544" s="16" t="s">
        <v>50</v>
      </c>
      <c r="L1544" s="16" t="s">
        <v>5052</v>
      </c>
      <c r="M1544" s="16" t="s">
        <v>5051</v>
      </c>
      <c r="N1544" s="16">
        <v>118</v>
      </c>
      <c r="O1544" s="16" t="s">
        <v>5053</v>
      </c>
    </row>
    <row r="1545" spans="1:15" ht="15.75" customHeight="1" x14ac:dyDescent="0.25">
      <c r="A1545" s="16" t="s">
        <v>30</v>
      </c>
      <c r="B1545" s="16">
        <v>1508870</v>
      </c>
      <c r="C1545" s="16">
        <v>1509472</v>
      </c>
      <c r="E1545" s="16" t="s">
        <v>48</v>
      </c>
      <c r="F1545" s="16" t="s">
        <v>5054</v>
      </c>
      <c r="I1545" s="16" t="s">
        <v>50</v>
      </c>
      <c r="L1545" s="16" t="s">
        <v>5055</v>
      </c>
      <c r="M1545" s="16" t="s">
        <v>5054</v>
      </c>
      <c r="N1545" s="16">
        <v>200</v>
      </c>
      <c r="O1545" s="16" t="s">
        <v>5056</v>
      </c>
    </row>
    <row r="1546" spans="1:15" ht="15.75" customHeight="1" x14ac:dyDescent="0.25">
      <c r="A1546" s="16" t="s">
        <v>30</v>
      </c>
      <c r="B1546" s="16">
        <v>1509465</v>
      </c>
      <c r="C1546" s="16">
        <v>1509788</v>
      </c>
      <c r="E1546" s="16" t="s">
        <v>48</v>
      </c>
      <c r="F1546" s="16" t="s">
        <v>1397</v>
      </c>
      <c r="I1546" s="16" t="s">
        <v>50</v>
      </c>
      <c r="L1546" s="16" t="s">
        <v>5057</v>
      </c>
      <c r="M1546" s="16" t="s">
        <v>1397</v>
      </c>
      <c r="N1546" s="16">
        <v>107</v>
      </c>
      <c r="O1546" s="16" t="s">
        <v>5058</v>
      </c>
    </row>
    <row r="1547" spans="1:15" ht="15.75" customHeight="1" x14ac:dyDescent="0.25">
      <c r="A1547" s="16" t="s">
        <v>30</v>
      </c>
      <c r="B1547" s="16">
        <v>1509700</v>
      </c>
      <c r="C1547" s="16">
        <v>1509981</v>
      </c>
      <c r="E1547" s="16" t="s">
        <v>48</v>
      </c>
      <c r="F1547" s="16" t="s">
        <v>135</v>
      </c>
      <c r="I1547" s="16" t="s">
        <v>50</v>
      </c>
      <c r="L1547" s="16" t="s">
        <v>5059</v>
      </c>
      <c r="M1547" s="16" t="s">
        <v>135</v>
      </c>
      <c r="N1547" s="16">
        <v>93</v>
      </c>
      <c r="O1547" s="16" t="s">
        <v>5060</v>
      </c>
    </row>
    <row r="1548" spans="1:15" ht="15.75" customHeight="1" x14ac:dyDescent="0.25">
      <c r="A1548" s="16" t="s">
        <v>30</v>
      </c>
      <c r="B1548" s="16">
        <v>1509983</v>
      </c>
      <c r="C1548" s="16">
        <v>1510261</v>
      </c>
      <c r="E1548" s="16" t="s">
        <v>57</v>
      </c>
      <c r="F1548" s="16" t="s">
        <v>260</v>
      </c>
      <c r="I1548" s="16" t="s">
        <v>50</v>
      </c>
      <c r="L1548" s="16" t="s">
        <v>5061</v>
      </c>
      <c r="M1548" s="16" t="s">
        <v>260</v>
      </c>
      <c r="N1548" s="16">
        <v>92</v>
      </c>
      <c r="O1548" s="16" t="s">
        <v>5062</v>
      </c>
    </row>
    <row r="1549" spans="1:15" ht="15.75" customHeight="1" x14ac:dyDescent="0.25">
      <c r="A1549" s="16" t="s">
        <v>30</v>
      </c>
      <c r="B1549" s="16">
        <v>1510306</v>
      </c>
      <c r="C1549" s="16">
        <v>1510818</v>
      </c>
      <c r="E1549" s="16" t="s">
        <v>48</v>
      </c>
      <c r="F1549" s="16" t="s">
        <v>5063</v>
      </c>
      <c r="I1549" s="16" t="s">
        <v>50</v>
      </c>
      <c r="L1549" s="16" t="s">
        <v>5064</v>
      </c>
      <c r="M1549" s="16" t="s">
        <v>5063</v>
      </c>
      <c r="N1549" s="16">
        <v>170</v>
      </c>
      <c r="O1549" s="16" t="s">
        <v>5065</v>
      </c>
    </row>
    <row r="1550" spans="1:15" ht="15.75" customHeight="1" x14ac:dyDescent="0.25">
      <c r="A1550" s="16" t="s">
        <v>30</v>
      </c>
      <c r="B1550" s="16">
        <v>1510805</v>
      </c>
      <c r="C1550" s="16">
        <v>1512148</v>
      </c>
      <c r="E1550" s="16" t="s">
        <v>48</v>
      </c>
      <c r="F1550" s="16" t="s">
        <v>5066</v>
      </c>
      <c r="I1550" s="16" t="s">
        <v>50</v>
      </c>
      <c r="L1550" s="16" t="s">
        <v>5067</v>
      </c>
      <c r="M1550" s="16" t="s">
        <v>5066</v>
      </c>
      <c r="N1550" s="16">
        <v>447</v>
      </c>
      <c r="O1550" s="16" t="s">
        <v>5068</v>
      </c>
    </row>
    <row r="1551" spans="1:15" ht="15.75" customHeight="1" x14ac:dyDescent="0.25">
      <c r="A1551" s="16" t="s">
        <v>30</v>
      </c>
      <c r="B1551" s="16">
        <v>1512150</v>
      </c>
      <c r="C1551" s="16">
        <v>1513484</v>
      </c>
      <c r="E1551" s="16" t="s">
        <v>48</v>
      </c>
      <c r="F1551" s="16" t="s">
        <v>5069</v>
      </c>
      <c r="I1551" s="16" t="s">
        <v>50</v>
      </c>
      <c r="L1551" s="16" t="s">
        <v>5070</v>
      </c>
      <c r="M1551" s="16" t="s">
        <v>5069</v>
      </c>
      <c r="N1551" s="16">
        <v>444</v>
      </c>
      <c r="O1551" s="16" t="s">
        <v>5071</v>
      </c>
    </row>
    <row r="1552" spans="1:15" ht="15.75" customHeight="1" x14ac:dyDescent="0.25">
      <c r="A1552" s="16" t="s">
        <v>30</v>
      </c>
      <c r="B1552" s="16">
        <v>1513384</v>
      </c>
      <c r="C1552" s="16">
        <v>1514694</v>
      </c>
      <c r="E1552" s="16" t="s">
        <v>48</v>
      </c>
      <c r="F1552" s="16" t="s">
        <v>201</v>
      </c>
      <c r="I1552" s="16" t="s">
        <v>50</v>
      </c>
      <c r="L1552" s="16" t="s">
        <v>5072</v>
      </c>
      <c r="M1552" s="16" t="s">
        <v>201</v>
      </c>
      <c r="N1552" s="16">
        <v>436</v>
      </c>
      <c r="O1552" s="16" t="s">
        <v>5073</v>
      </c>
    </row>
    <row r="1553" spans="1:15" ht="15.75" customHeight="1" x14ac:dyDescent="0.25">
      <c r="A1553" s="16" t="s">
        <v>30</v>
      </c>
      <c r="B1553" s="16">
        <v>1514835</v>
      </c>
      <c r="C1553" s="16">
        <v>1515011</v>
      </c>
      <c r="E1553" s="16" t="s">
        <v>48</v>
      </c>
      <c r="F1553" s="16" t="s">
        <v>5074</v>
      </c>
      <c r="I1553" s="16" t="s">
        <v>50</v>
      </c>
      <c r="L1553" s="16" t="s">
        <v>5075</v>
      </c>
      <c r="M1553" s="16" t="s">
        <v>5074</v>
      </c>
      <c r="N1553" s="16">
        <v>58</v>
      </c>
      <c r="O1553" s="16" t="s">
        <v>5076</v>
      </c>
    </row>
    <row r="1554" spans="1:15" ht="15.75" customHeight="1" x14ac:dyDescent="0.25">
      <c r="A1554" s="16" t="s">
        <v>30</v>
      </c>
      <c r="B1554" s="16">
        <v>1515175</v>
      </c>
      <c r="C1554" s="16">
        <v>1516194</v>
      </c>
      <c r="E1554" s="16" t="s">
        <v>48</v>
      </c>
      <c r="F1554" s="16" t="s">
        <v>5077</v>
      </c>
      <c r="G1554" s="16" t="s">
        <v>5078</v>
      </c>
      <c r="I1554" s="16" t="s">
        <v>50</v>
      </c>
      <c r="L1554" s="16" t="s">
        <v>5079</v>
      </c>
      <c r="M1554" s="16" t="s">
        <v>5077</v>
      </c>
      <c r="N1554" s="16">
        <v>339</v>
      </c>
      <c r="O1554" s="16" t="s">
        <v>5080</v>
      </c>
    </row>
    <row r="1555" spans="1:15" ht="15.75" customHeight="1" x14ac:dyDescent="0.25">
      <c r="A1555" s="16" t="s">
        <v>30</v>
      </c>
      <c r="B1555" s="16">
        <v>1516194</v>
      </c>
      <c r="C1555" s="16">
        <v>1517018</v>
      </c>
      <c r="E1555" s="16" t="s">
        <v>48</v>
      </c>
      <c r="F1555" s="16" t="s">
        <v>5081</v>
      </c>
      <c r="I1555" s="16" t="s">
        <v>50</v>
      </c>
      <c r="L1555" s="16" t="s">
        <v>5082</v>
      </c>
      <c r="M1555" s="16" t="s">
        <v>5081</v>
      </c>
      <c r="N1555" s="16">
        <v>274</v>
      </c>
      <c r="O1555" s="16" t="s">
        <v>5083</v>
      </c>
    </row>
    <row r="1556" spans="1:15" ht="15.75" customHeight="1" x14ac:dyDescent="0.25">
      <c r="A1556" s="16" t="s">
        <v>30</v>
      </c>
      <c r="B1556" s="16">
        <v>1517117</v>
      </c>
      <c r="C1556" s="16">
        <v>1517725</v>
      </c>
      <c r="E1556" s="16" t="s">
        <v>57</v>
      </c>
      <c r="F1556" s="16" t="s">
        <v>5084</v>
      </c>
      <c r="I1556" s="16" t="s">
        <v>50</v>
      </c>
      <c r="L1556" s="16" t="s">
        <v>5085</v>
      </c>
      <c r="M1556" s="16" t="s">
        <v>5084</v>
      </c>
      <c r="N1556" s="16">
        <v>202</v>
      </c>
      <c r="O1556" s="16" t="s">
        <v>5086</v>
      </c>
    </row>
    <row r="1557" spans="1:15" ht="15.75" customHeight="1" x14ac:dyDescent="0.25">
      <c r="A1557" s="16" t="s">
        <v>30</v>
      </c>
      <c r="B1557" s="16">
        <v>1517853</v>
      </c>
      <c r="C1557" s="16">
        <v>1519247</v>
      </c>
      <c r="E1557" s="16" t="s">
        <v>57</v>
      </c>
      <c r="F1557" s="16" t="s">
        <v>5087</v>
      </c>
      <c r="G1557" s="16" t="s">
        <v>5088</v>
      </c>
      <c r="I1557" s="16" t="s">
        <v>50</v>
      </c>
      <c r="L1557" s="16" t="s">
        <v>5089</v>
      </c>
      <c r="M1557" s="16" t="s">
        <v>5087</v>
      </c>
      <c r="N1557" s="16">
        <v>464</v>
      </c>
      <c r="O1557" s="16" t="s">
        <v>5090</v>
      </c>
    </row>
    <row r="1558" spans="1:15" ht="15.75" customHeight="1" x14ac:dyDescent="0.25">
      <c r="A1558" s="16" t="s">
        <v>30</v>
      </c>
      <c r="B1558" s="16">
        <v>1519438</v>
      </c>
      <c r="C1558" s="16">
        <v>1520343</v>
      </c>
      <c r="E1558" s="16" t="s">
        <v>57</v>
      </c>
      <c r="F1558" s="16" t="s">
        <v>907</v>
      </c>
      <c r="I1558" s="16" t="s">
        <v>50</v>
      </c>
      <c r="L1558" s="16" t="s">
        <v>5091</v>
      </c>
      <c r="M1558" s="16" t="s">
        <v>907</v>
      </c>
      <c r="N1558" s="16">
        <v>301</v>
      </c>
      <c r="O1558" s="16" t="s">
        <v>5092</v>
      </c>
    </row>
    <row r="1559" spans="1:15" ht="15.75" customHeight="1" x14ac:dyDescent="0.25">
      <c r="A1559" s="16" t="s">
        <v>30</v>
      </c>
      <c r="B1559" s="16">
        <v>1520540</v>
      </c>
      <c r="C1559" s="16">
        <v>1520893</v>
      </c>
      <c r="E1559" s="16" t="s">
        <v>48</v>
      </c>
      <c r="F1559" s="16" t="s">
        <v>132</v>
      </c>
      <c r="I1559" s="16" t="s">
        <v>133</v>
      </c>
      <c r="O1559" s="16" t="s">
        <v>5093</v>
      </c>
    </row>
    <row r="1560" spans="1:15" ht="15.75" customHeight="1" x14ac:dyDescent="0.25">
      <c r="A1560" s="16" t="s">
        <v>30</v>
      </c>
      <c r="B1560" s="16">
        <v>1520999</v>
      </c>
      <c r="C1560" s="16">
        <v>1521433</v>
      </c>
      <c r="E1560" s="16" t="s">
        <v>48</v>
      </c>
      <c r="F1560" s="16" t="s">
        <v>5094</v>
      </c>
      <c r="I1560" s="16" t="s">
        <v>50</v>
      </c>
      <c r="L1560" s="16" t="s">
        <v>5095</v>
      </c>
      <c r="M1560" s="16" t="s">
        <v>5094</v>
      </c>
      <c r="N1560" s="16">
        <v>144</v>
      </c>
      <c r="O1560" s="16" t="s">
        <v>5096</v>
      </c>
    </row>
    <row r="1561" spans="1:15" ht="15.75" customHeight="1" x14ac:dyDescent="0.25">
      <c r="A1561" s="16" t="s">
        <v>30</v>
      </c>
      <c r="B1561" s="16">
        <v>1521518</v>
      </c>
      <c r="C1561" s="16">
        <v>1521688</v>
      </c>
      <c r="E1561" s="16" t="s">
        <v>48</v>
      </c>
      <c r="F1561" s="16" t="s">
        <v>135</v>
      </c>
      <c r="I1561" s="16" t="s">
        <v>50</v>
      </c>
      <c r="L1561" s="16" t="s">
        <v>5097</v>
      </c>
      <c r="M1561" s="16" t="s">
        <v>135</v>
      </c>
      <c r="N1561" s="16">
        <v>56</v>
      </c>
      <c r="O1561" s="16" t="s">
        <v>5098</v>
      </c>
    </row>
    <row r="1562" spans="1:15" ht="15.75" customHeight="1" x14ac:dyDescent="0.25">
      <c r="A1562" s="16" t="s">
        <v>30</v>
      </c>
      <c r="B1562" s="16">
        <v>1521678</v>
      </c>
      <c r="C1562" s="16">
        <v>1521917</v>
      </c>
      <c r="E1562" s="16" t="s">
        <v>48</v>
      </c>
      <c r="F1562" s="16" t="s">
        <v>135</v>
      </c>
      <c r="I1562" s="16" t="s">
        <v>50</v>
      </c>
      <c r="L1562" s="16" t="s">
        <v>5099</v>
      </c>
      <c r="M1562" s="16" t="s">
        <v>135</v>
      </c>
      <c r="N1562" s="16">
        <v>79</v>
      </c>
      <c r="O1562" s="16" t="s">
        <v>5100</v>
      </c>
    </row>
    <row r="1563" spans="1:15" ht="15.75" customHeight="1" x14ac:dyDescent="0.25">
      <c r="A1563" s="16" t="s">
        <v>30</v>
      </c>
      <c r="B1563" s="16">
        <v>1521960</v>
      </c>
      <c r="C1563" s="16">
        <v>1522250</v>
      </c>
      <c r="E1563" s="16" t="s">
        <v>48</v>
      </c>
      <c r="F1563" s="16" t="s">
        <v>135</v>
      </c>
      <c r="I1563" s="16" t="s">
        <v>50</v>
      </c>
      <c r="L1563" s="16" t="s">
        <v>5101</v>
      </c>
      <c r="M1563" s="16" t="s">
        <v>135</v>
      </c>
      <c r="N1563" s="16">
        <v>96</v>
      </c>
      <c r="O1563" s="16" t="s">
        <v>5102</v>
      </c>
    </row>
    <row r="1564" spans="1:15" ht="15.75" customHeight="1" x14ac:dyDescent="0.25">
      <c r="A1564" s="16" t="s">
        <v>30</v>
      </c>
      <c r="B1564" s="16">
        <v>1522457</v>
      </c>
      <c r="C1564" s="16">
        <v>1523425</v>
      </c>
      <c r="E1564" s="16" t="s">
        <v>48</v>
      </c>
      <c r="F1564" s="16" t="s">
        <v>5103</v>
      </c>
      <c r="G1564" s="16" t="s">
        <v>5104</v>
      </c>
      <c r="I1564" s="16" t="s">
        <v>50</v>
      </c>
      <c r="L1564" s="16" t="s">
        <v>5105</v>
      </c>
      <c r="M1564" s="16" t="s">
        <v>5103</v>
      </c>
      <c r="N1564" s="16">
        <v>322</v>
      </c>
      <c r="O1564" s="16" t="s">
        <v>5106</v>
      </c>
    </row>
    <row r="1565" spans="1:15" ht="15.75" customHeight="1" x14ac:dyDescent="0.25">
      <c r="A1565" s="16" t="s">
        <v>30</v>
      </c>
      <c r="B1565" s="16">
        <v>1523427</v>
      </c>
      <c r="C1565" s="16">
        <v>1524170</v>
      </c>
      <c r="E1565" s="16" t="s">
        <v>48</v>
      </c>
      <c r="F1565" s="16" t="s">
        <v>5107</v>
      </c>
      <c r="I1565" s="16" t="s">
        <v>50</v>
      </c>
      <c r="L1565" s="16" t="s">
        <v>5108</v>
      </c>
      <c r="M1565" s="16" t="s">
        <v>5107</v>
      </c>
      <c r="N1565" s="16">
        <v>247</v>
      </c>
      <c r="O1565" s="16" t="s">
        <v>5109</v>
      </c>
    </row>
    <row r="1566" spans="1:15" ht="15.75" customHeight="1" x14ac:dyDescent="0.25">
      <c r="A1566" s="16" t="s">
        <v>30</v>
      </c>
      <c r="B1566" s="16">
        <v>1524201</v>
      </c>
      <c r="C1566" s="16">
        <v>1527065</v>
      </c>
      <c r="E1566" s="16" t="s">
        <v>48</v>
      </c>
      <c r="F1566" s="16" t="s">
        <v>5110</v>
      </c>
      <c r="G1566" s="16" t="s">
        <v>5111</v>
      </c>
      <c r="I1566" s="16" t="s">
        <v>50</v>
      </c>
      <c r="L1566" s="16" t="s">
        <v>5112</v>
      </c>
      <c r="M1566" s="16" t="s">
        <v>5110</v>
      </c>
      <c r="N1566" s="16">
        <v>954</v>
      </c>
      <c r="O1566" s="16" t="s">
        <v>5113</v>
      </c>
    </row>
    <row r="1567" spans="1:15" ht="15.75" customHeight="1" x14ac:dyDescent="0.25">
      <c r="A1567" s="16" t="s">
        <v>30</v>
      </c>
      <c r="B1567" s="16">
        <v>1527100</v>
      </c>
      <c r="C1567" s="16">
        <v>1527364</v>
      </c>
      <c r="E1567" s="16" t="s">
        <v>57</v>
      </c>
      <c r="F1567" s="16" t="s">
        <v>132</v>
      </c>
      <c r="G1567" s="16" t="s">
        <v>5114</v>
      </c>
      <c r="I1567" s="16" t="s">
        <v>133</v>
      </c>
      <c r="O1567" s="16" t="s">
        <v>5115</v>
      </c>
    </row>
    <row r="1568" spans="1:15" ht="15.75" customHeight="1" x14ac:dyDescent="0.25">
      <c r="A1568" s="16" t="s">
        <v>30</v>
      </c>
      <c r="B1568" s="16">
        <v>1527495</v>
      </c>
      <c r="C1568" s="16">
        <v>1528925</v>
      </c>
      <c r="E1568" s="16" t="s">
        <v>57</v>
      </c>
      <c r="F1568" s="16" t="s">
        <v>5116</v>
      </c>
      <c r="G1568" s="16" t="s">
        <v>5117</v>
      </c>
      <c r="I1568" s="16" t="s">
        <v>50</v>
      </c>
      <c r="L1568" s="16" t="s">
        <v>5118</v>
      </c>
      <c r="M1568" s="16" t="s">
        <v>5116</v>
      </c>
      <c r="N1568" s="16">
        <v>476</v>
      </c>
      <c r="O1568" s="16" t="s">
        <v>5119</v>
      </c>
    </row>
    <row r="1569" spans="1:15" ht="15.75" customHeight="1" x14ac:dyDescent="0.25">
      <c r="A1569" s="16" t="s">
        <v>30</v>
      </c>
      <c r="B1569" s="16">
        <v>1528966</v>
      </c>
      <c r="C1569" s="16">
        <v>1529967</v>
      </c>
      <c r="E1569" s="16" t="s">
        <v>57</v>
      </c>
      <c r="F1569" s="16" t="s">
        <v>5120</v>
      </c>
      <c r="G1569" s="16" t="s">
        <v>5121</v>
      </c>
      <c r="I1569" s="16" t="s">
        <v>50</v>
      </c>
      <c r="L1569" s="16" t="s">
        <v>5122</v>
      </c>
      <c r="M1569" s="16" t="s">
        <v>5120</v>
      </c>
      <c r="N1569" s="16">
        <v>333</v>
      </c>
      <c r="O1569" s="16" t="s">
        <v>5123</v>
      </c>
    </row>
    <row r="1570" spans="1:15" ht="15.75" customHeight="1" x14ac:dyDescent="0.25">
      <c r="A1570" s="16" t="s">
        <v>30</v>
      </c>
      <c r="B1570" s="16">
        <v>1530020</v>
      </c>
      <c r="C1570" s="16">
        <v>1530406</v>
      </c>
      <c r="E1570" s="16" t="s">
        <v>57</v>
      </c>
      <c r="F1570" s="16" t="s">
        <v>5124</v>
      </c>
      <c r="I1570" s="16" t="s">
        <v>50</v>
      </c>
      <c r="L1570" s="16" t="s">
        <v>5125</v>
      </c>
      <c r="M1570" s="16" t="s">
        <v>5124</v>
      </c>
      <c r="N1570" s="16">
        <v>128</v>
      </c>
      <c r="O1570" s="16" t="s">
        <v>5126</v>
      </c>
    </row>
    <row r="1571" spans="1:15" ht="15.75" customHeight="1" x14ac:dyDescent="0.25">
      <c r="A1571" s="16" t="s">
        <v>30</v>
      </c>
      <c r="B1571" s="16">
        <v>1530455</v>
      </c>
      <c r="C1571" s="16">
        <v>1531042</v>
      </c>
      <c r="E1571" s="16" t="s">
        <v>57</v>
      </c>
      <c r="F1571" s="16" t="s">
        <v>5127</v>
      </c>
      <c r="I1571" s="16" t="s">
        <v>50</v>
      </c>
      <c r="L1571" s="16" t="s">
        <v>5128</v>
      </c>
      <c r="M1571" s="16" t="s">
        <v>5127</v>
      </c>
      <c r="N1571" s="16">
        <v>195</v>
      </c>
      <c r="O1571" s="16" t="s">
        <v>5129</v>
      </c>
    </row>
    <row r="1572" spans="1:15" ht="15.75" customHeight="1" x14ac:dyDescent="0.25">
      <c r="A1572" s="16" t="s">
        <v>30</v>
      </c>
      <c r="B1572" s="16">
        <v>1531055</v>
      </c>
      <c r="C1572" s="16">
        <v>1532611</v>
      </c>
      <c r="E1572" s="16" t="s">
        <v>57</v>
      </c>
      <c r="F1572" s="16" t="s">
        <v>5130</v>
      </c>
      <c r="G1572" s="16" t="s">
        <v>5131</v>
      </c>
      <c r="I1572" s="16" t="s">
        <v>50</v>
      </c>
      <c r="L1572" s="16" t="s">
        <v>5132</v>
      </c>
      <c r="M1572" s="16" t="s">
        <v>5130</v>
      </c>
      <c r="N1572" s="16">
        <v>518</v>
      </c>
      <c r="O1572" s="16" t="s">
        <v>5133</v>
      </c>
    </row>
    <row r="1573" spans="1:15" ht="15.75" customHeight="1" x14ac:dyDescent="0.25">
      <c r="A1573" s="16" t="s">
        <v>30</v>
      </c>
      <c r="B1573" s="16">
        <v>1532713</v>
      </c>
      <c r="C1573" s="16">
        <v>1533477</v>
      </c>
      <c r="E1573" s="16" t="s">
        <v>57</v>
      </c>
      <c r="F1573" s="16" t="s">
        <v>5134</v>
      </c>
      <c r="I1573" s="16" t="s">
        <v>50</v>
      </c>
      <c r="L1573" s="16" t="s">
        <v>5135</v>
      </c>
      <c r="M1573" s="16" t="s">
        <v>5134</v>
      </c>
      <c r="N1573" s="16">
        <v>254</v>
      </c>
      <c r="O1573" s="16" t="s">
        <v>5136</v>
      </c>
    </row>
    <row r="1574" spans="1:15" ht="15.75" customHeight="1" x14ac:dyDescent="0.25">
      <c r="A1574" s="16" t="s">
        <v>30</v>
      </c>
      <c r="B1574" s="16">
        <v>1533527</v>
      </c>
      <c r="C1574" s="16">
        <v>1533577</v>
      </c>
      <c r="E1574" s="16" t="s">
        <v>57</v>
      </c>
      <c r="F1574" s="16" t="s">
        <v>132</v>
      </c>
      <c r="I1574" s="16" t="s">
        <v>133</v>
      </c>
      <c r="O1574" s="16" t="s">
        <v>5137</v>
      </c>
    </row>
    <row r="1575" spans="1:15" ht="15.75" customHeight="1" x14ac:dyDescent="0.25">
      <c r="A1575" s="16" t="s">
        <v>30</v>
      </c>
      <c r="B1575" s="16">
        <v>1533573</v>
      </c>
      <c r="C1575" s="16">
        <v>1533635</v>
      </c>
      <c r="E1575" s="16" t="s">
        <v>57</v>
      </c>
      <c r="F1575" s="16" t="s">
        <v>132</v>
      </c>
      <c r="I1575" s="16" t="s">
        <v>133</v>
      </c>
      <c r="O1575" s="16" t="s">
        <v>5138</v>
      </c>
    </row>
    <row r="1576" spans="1:15" ht="15.75" customHeight="1" x14ac:dyDescent="0.25">
      <c r="A1576" s="16" t="s">
        <v>30</v>
      </c>
      <c r="B1576" s="16">
        <v>1533758</v>
      </c>
      <c r="C1576" s="16">
        <v>1534255</v>
      </c>
      <c r="E1576" s="16" t="s">
        <v>57</v>
      </c>
      <c r="F1576" s="16" t="s">
        <v>5139</v>
      </c>
      <c r="G1576" s="16" t="s">
        <v>5140</v>
      </c>
      <c r="I1576" s="16" t="s">
        <v>50</v>
      </c>
      <c r="L1576" s="16" t="s">
        <v>5141</v>
      </c>
      <c r="M1576" s="16" t="s">
        <v>5139</v>
      </c>
      <c r="N1576" s="16">
        <v>165</v>
      </c>
      <c r="O1576" s="16" t="s">
        <v>5142</v>
      </c>
    </row>
    <row r="1577" spans="1:15" ht="15.75" customHeight="1" x14ac:dyDescent="0.25">
      <c r="A1577" s="16" t="s">
        <v>30</v>
      </c>
      <c r="B1577" s="16">
        <v>1534271</v>
      </c>
      <c r="C1577" s="16">
        <v>1534759</v>
      </c>
      <c r="E1577" s="16" t="s">
        <v>57</v>
      </c>
      <c r="F1577" s="16" t="s">
        <v>5139</v>
      </c>
      <c r="G1577" s="16" t="s">
        <v>5140</v>
      </c>
      <c r="I1577" s="16" t="s">
        <v>50</v>
      </c>
      <c r="L1577" s="16" t="s">
        <v>5143</v>
      </c>
      <c r="M1577" s="16" t="s">
        <v>5139</v>
      </c>
      <c r="N1577" s="16">
        <v>162</v>
      </c>
      <c r="O1577" s="16" t="s">
        <v>5144</v>
      </c>
    </row>
    <row r="1578" spans="1:15" ht="15.75" customHeight="1" x14ac:dyDescent="0.25">
      <c r="A1578" s="16" t="s">
        <v>30</v>
      </c>
      <c r="B1578" s="16">
        <v>1535277</v>
      </c>
      <c r="C1578" s="16">
        <v>1536281</v>
      </c>
      <c r="E1578" s="16" t="s">
        <v>48</v>
      </c>
      <c r="F1578" s="16" t="s">
        <v>5145</v>
      </c>
      <c r="G1578" s="16" t="s">
        <v>5146</v>
      </c>
      <c r="I1578" s="16" t="s">
        <v>50</v>
      </c>
      <c r="L1578" s="16" t="s">
        <v>5147</v>
      </c>
      <c r="M1578" s="16" t="s">
        <v>5145</v>
      </c>
      <c r="N1578" s="16">
        <v>334</v>
      </c>
      <c r="O1578" s="16" t="s">
        <v>5148</v>
      </c>
    </row>
    <row r="1579" spans="1:15" ht="15.75" customHeight="1" x14ac:dyDescent="0.25">
      <c r="A1579" s="16" t="s">
        <v>30</v>
      </c>
      <c r="B1579" s="16">
        <v>1536373</v>
      </c>
      <c r="C1579" s="16">
        <v>1537320</v>
      </c>
      <c r="E1579" s="16" t="s">
        <v>48</v>
      </c>
      <c r="F1579" s="16" t="s">
        <v>5149</v>
      </c>
      <c r="G1579" s="16" t="s">
        <v>5150</v>
      </c>
      <c r="I1579" s="16" t="s">
        <v>50</v>
      </c>
      <c r="L1579" s="16" t="s">
        <v>5151</v>
      </c>
      <c r="M1579" s="16" t="s">
        <v>5149</v>
      </c>
      <c r="N1579" s="16">
        <v>315</v>
      </c>
      <c r="O1579" s="16" t="s">
        <v>5152</v>
      </c>
    </row>
    <row r="1580" spans="1:15" ht="15.75" customHeight="1" x14ac:dyDescent="0.25">
      <c r="A1580" s="16" t="s">
        <v>30</v>
      </c>
      <c r="B1580" s="16">
        <v>1537322</v>
      </c>
      <c r="C1580" s="16">
        <v>1538170</v>
      </c>
      <c r="E1580" s="16" t="s">
        <v>48</v>
      </c>
      <c r="F1580" s="16" t="s">
        <v>5153</v>
      </c>
      <c r="G1580" s="16" t="s">
        <v>5154</v>
      </c>
      <c r="I1580" s="16" t="s">
        <v>50</v>
      </c>
      <c r="L1580" s="16" t="s">
        <v>5155</v>
      </c>
      <c r="M1580" s="16" t="s">
        <v>5153</v>
      </c>
      <c r="N1580" s="16">
        <v>282</v>
      </c>
      <c r="O1580" s="16" t="s">
        <v>5156</v>
      </c>
    </row>
    <row r="1581" spans="1:15" ht="15.75" customHeight="1" x14ac:dyDescent="0.25">
      <c r="A1581" s="16" t="s">
        <v>30</v>
      </c>
      <c r="B1581" s="16">
        <v>1538180</v>
      </c>
      <c r="C1581" s="16">
        <v>1538947</v>
      </c>
      <c r="E1581" s="16" t="s">
        <v>48</v>
      </c>
      <c r="F1581" s="16" t="s">
        <v>5157</v>
      </c>
      <c r="G1581" s="16" t="s">
        <v>5158</v>
      </c>
      <c r="I1581" s="16" t="s">
        <v>50</v>
      </c>
      <c r="L1581" s="16" t="s">
        <v>5159</v>
      </c>
      <c r="M1581" s="16" t="s">
        <v>5157</v>
      </c>
      <c r="N1581" s="16">
        <v>255</v>
      </c>
      <c r="O1581" s="16" t="s">
        <v>5160</v>
      </c>
    </row>
    <row r="1582" spans="1:15" ht="15.75" customHeight="1" x14ac:dyDescent="0.25">
      <c r="A1582" s="16" t="s">
        <v>30</v>
      </c>
      <c r="B1582" s="16">
        <v>1539044</v>
      </c>
      <c r="C1582" s="16">
        <v>1539739</v>
      </c>
      <c r="E1582" s="16" t="s">
        <v>48</v>
      </c>
      <c r="F1582" s="16" t="s">
        <v>5161</v>
      </c>
      <c r="G1582" s="16" t="s">
        <v>5162</v>
      </c>
      <c r="I1582" s="16" t="s">
        <v>50</v>
      </c>
      <c r="L1582" s="16" t="s">
        <v>5163</v>
      </c>
      <c r="M1582" s="16" t="s">
        <v>5161</v>
      </c>
      <c r="N1582" s="16">
        <v>231</v>
      </c>
      <c r="O1582" s="16" t="s">
        <v>5164</v>
      </c>
    </row>
    <row r="1583" spans="1:15" ht="15.75" customHeight="1" x14ac:dyDescent="0.25">
      <c r="A1583" s="16" t="s">
        <v>30</v>
      </c>
      <c r="B1583" s="16">
        <v>1539736</v>
      </c>
      <c r="C1583" s="16">
        <v>1541013</v>
      </c>
      <c r="E1583" s="16" t="s">
        <v>48</v>
      </c>
      <c r="F1583" s="16" t="s">
        <v>5165</v>
      </c>
      <c r="G1583" s="16" t="s">
        <v>5166</v>
      </c>
      <c r="I1583" s="16" t="s">
        <v>50</v>
      </c>
      <c r="L1583" s="16" t="s">
        <v>5167</v>
      </c>
      <c r="M1583" s="16" t="s">
        <v>5165</v>
      </c>
      <c r="N1583" s="16">
        <v>425</v>
      </c>
      <c r="O1583" s="16" t="s">
        <v>5168</v>
      </c>
    </row>
    <row r="1584" spans="1:15" ht="15.75" customHeight="1" x14ac:dyDescent="0.25">
      <c r="A1584" s="16" t="s">
        <v>30</v>
      </c>
      <c r="B1584" s="16">
        <v>1541671</v>
      </c>
      <c r="C1584" s="16">
        <v>1543092</v>
      </c>
      <c r="E1584" s="16" t="s">
        <v>57</v>
      </c>
      <c r="F1584" s="16" t="s">
        <v>5169</v>
      </c>
      <c r="G1584" s="16" t="s">
        <v>5170</v>
      </c>
      <c r="I1584" s="16" t="s">
        <v>50</v>
      </c>
      <c r="L1584" s="16" t="s">
        <v>5171</v>
      </c>
      <c r="M1584" s="16" t="s">
        <v>5169</v>
      </c>
      <c r="N1584" s="16">
        <v>473</v>
      </c>
      <c r="O1584" s="16" t="s">
        <v>5172</v>
      </c>
    </row>
    <row r="1585" spans="1:15" ht="15.75" customHeight="1" x14ac:dyDescent="0.25">
      <c r="A1585" s="16" t="s">
        <v>30</v>
      </c>
      <c r="B1585" s="16">
        <v>1543105</v>
      </c>
      <c r="C1585" s="16">
        <v>1543980</v>
      </c>
      <c r="E1585" s="16" t="s">
        <v>57</v>
      </c>
      <c r="F1585" s="16" t="s">
        <v>5173</v>
      </c>
      <c r="I1585" s="16" t="s">
        <v>50</v>
      </c>
      <c r="L1585" s="16" t="s">
        <v>5174</v>
      </c>
      <c r="M1585" s="16" t="s">
        <v>5173</v>
      </c>
      <c r="N1585" s="16">
        <v>291</v>
      </c>
      <c r="O1585" s="16" t="s">
        <v>5175</v>
      </c>
    </row>
    <row r="1586" spans="1:15" ht="15.75" customHeight="1" x14ac:dyDescent="0.25">
      <c r="A1586" s="16" t="s">
        <v>30</v>
      </c>
      <c r="B1586" s="16">
        <v>1543984</v>
      </c>
      <c r="C1586" s="16">
        <v>1544892</v>
      </c>
      <c r="E1586" s="16" t="s">
        <v>57</v>
      </c>
      <c r="F1586" s="16" t="s">
        <v>5176</v>
      </c>
      <c r="I1586" s="16" t="s">
        <v>50</v>
      </c>
      <c r="L1586" s="16" t="s">
        <v>5177</v>
      </c>
      <c r="M1586" s="16" t="s">
        <v>5176</v>
      </c>
      <c r="N1586" s="16">
        <v>302</v>
      </c>
      <c r="O1586" s="16" t="s">
        <v>5178</v>
      </c>
    </row>
    <row r="1587" spans="1:15" ht="15.75" customHeight="1" x14ac:dyDescent="0.25">
      <c r="A1587" s="16" t="s">
        <v>30</v>
      </c>
      <c r="B1587" s="16">
        <v>1544962</v>
      </c>
      <c r="C1587" s="16">
        <v>1549494</v>
      </c>
      <c r="E1587" s="16" t="s">
        <v>57</v>
      </c>
      <c r="F1587" s="16" t="s">
        <v>5179</v>
      </c>
      <c r="G1587" s="16" t="s">
        <v>5180</v>
      </c>
      <c r="I1587" s="16" t="s">
        <v>50</v>
      </c>
      <c r="L1587" s="16" t="s">
        <v>5181</v>
      </c>
      <c r="M1587" s="16" t="s">
        <v>5179</v>
      </c>
      <c r="N1587" s="16">
        <v>1510</v>
      </c>
      <c r="O1587" s="16" t="s">
        <v>5182</v>
      </c>
    </row>
    <row r="1588" spans="1:15" ht="15.75" customHeight="1" x14ac:dyDescent="0.25">
      <c r="A1588" s="16" t="s">
        <v>30</v>
      </c>
      <c r="B1588" s="16">
        <v>1549494</v>
      </c>
      <c r="C1588" s="16">
        <v>1550228</v>
      </c>
      <c r="E1588" s="16" t="s">
        <v>57</v>
      </c>
      <c r="F1588" s="16" t="s">
        <v>5183</v>
      </c>
      <c r="G1588" s="16" t="s">
        <v>5184</v>
      </c>
      <c r="I1588" s="16" t="s">
        <v>50</v>
      </c>
      <c r="L1588" s="16" t="s">
        <v>5185</v>
      </c>
      <c r="M1588" s="16" t="s">
        <v>5183</v>
      </c>
      <c r="N1588" s="16">
        <v>244</v>
      </c>
      <c r="O1588" s="16" t="s">
        <v>5186</v>
      </c>
    </row>
    <row r="1589" spans="1:15" ht="15.75" customHeight="1" x14ac:dyDescent="0.25">
      <c r="A1589" s="16" t="s">
        <v>30</v>
      </c>
      <c r="B1589" s="16">
        <v>1550232</v>
      </c>
      <c r="C1589" s="16">
        <v>1551290</v>
      </c>
      <c r="E1589" s="16" t="s">
        <v>57</v>
      </c>
      <c r="F1589" s="16" t="s">
        <v>5187</v>
      </c>
      <c r="I1589" s="16" t="s">
        <v>50</v>
      </c>
      <c r="L1589" s="16" t="s">
        <v>5188</v>
      </c>
      <c r="M1589" s="16" t="s">
        <v>5187</v>
      </c>
      <c r="N1589" s="16">
        <v>352</v>
      </c>
      <c r="O1589" s="16" t="s">
        <v>5189</v>
      </c>
    </row>
    <row r="1590" spans="1:15" ht="15.75" customHeight="1" x14ac:dyDescent="0.25">
      <c r="A1590" s="16" t="s">
        <v>30</v>
      </c>
      <c r="B1590" s="16">
        <v>1551293</v>
      </c>
      <c r="C1590" s="16">
        <v>1552249</v>
      </c>
      <c r="E1590" s="16" t="s">
        <v>57</v>
      </c>
      <c r="F1590" s="16" t="s">
        <v>1469</v>
      </c>
      <c r="I1590" s="16" t="s">
        <v>50</v>
      </c>
      <c r="L1590" s="16" t="s">
        <v>5190</v>
      </c>
      <c r="M1590" s="16" t="s">
        <v>1469</v>
      </c>
      <c r="N1590" s="16">
        <v>318</v>
      </c>
      <c r="O1590" s="16" t="s">
        <v>5191</v>
      </c>
    </row>
    <row r="1591" spans="1:15" ht="15.75" customHeight="1" x14ac:dyDescent="0.25">
      <c r="A1591" s="16" t="s">
        <v>30</v>
      </c>
      <c r="B1591" s="16">
        <v>1552262</v>
      </c>
      <c r="C1591" s="16">
        <v>1553596</v>
      </c>
      <c r="E1591" s="16" t="s">
        <v>57</v>
      </c>
      <c r="F1591" s="16" t="s">
        <v>5192</v>
      </c>
      <c r="G1591" s="16" t="s">
        <v>5193</v>
      </c>
      <c r="I1591" s="16" t="s">
        <v>50</v>
      </c>
      <c r="L1591" s="16" t="s">
        <v>5194</v>
      </c>
      <c r="M1591" s="16" t="s">
        <v>5192</v>
      </c>
      <c r="N1591" s="16">
        <v>444</v>
      </c>
      <c r="O1591" s="16" t="s">
        <v>5195</v>
      </c>
    </row>
    <row r="1592" spans="1:15" ht="15.75" customHeight="1" x14ac:dyDescent="0.25">
      <c r="A1592" s="16" t="s">
        <v>30</v>
      </c>
      <c r="B1592" s="16">
        <v>1553746</v>
      </c>
      <c r="C1592" s="16">
        <v>1554687</v>
      </c>
      <c r="E1592" s="16" t="s">
        <v>48</v>
      </c>
      <c r="F1592" s="16" t="s">
        <v>5196</v>
      </c>
      <c r="G1592" s="16" t="s">
        <v>5197</v>
      </c>
      <c r="I1592" s="16" t="s">
        <v>50</v>
      </c>
      <c r="L1592" s="16" t="s">
        <v>5198</v>
      </c>
      <c r="M1592" s="16" t="s">
        <v>5196</v>
      </c>
      <c r="N1592" s="16">
        <v>313</v>
      </c>
      <c r="O1592" s="16" t="s">
        <v>5199</v>
      </c>
    </row>
    <row r="1593" spans="1:15" ht="15.75" customHeight="1" x14ac:dyDescent="0.25">
      <c r="A1593" s="16" t="s">
        <v>30</v>
      </c>
      <c r="B1593" s="16">
        <v>1554689</v>
      </c>
      <c r="C1593" s="16">
        <v>1555018</v>
      </c>
      <c r="E1593" s="16" t="s">
        <v>48</v>
      </c>
      <c r="F1593" s="16" t="s">
        <v>5200</v>
      </c>
      <c r="I1593" s="16" t="s">
        <v>50</v>
      </c>
      <c r="L1593" s="16" t="s">
        <v>5201</v>
      </c>
      <c r="M1593" s="16" t="s">
        <v>5200</v>
      </c>
      <c r="N1593" s="16">
        <v>109</v>
      </c>
      <c r="O1593" s="16" t="s">
        <v>5202</v>
      </c>
    </row>
    <row r="1594" spans="1:15" ht="15.75" customHeight="1" x14ac:dyDescent="0.25">
      <c r="A1594" s="16" t="s">
        <v>30</v>
      </c>
      <c r="B1594" s="16">
        <v>1555126</v>
      </c>
      <c r="C1594" s="16">
        <v>1555335</v>
      </c>
      <c r="E1594" s="16" t="s">
        <v>48</v>
      </c>
      <c r="F1594" s="16" t="s">
        <v>5203</v>
      </c>
      <c r="I1594" s="16" t="s">
        <v>50</v>
      </c>
      <c r="L1594" s="16" t="s">
        <v>5204</v>
      </c>
      <c r="M1594" s="16" t="s">
        <v>5203</v>
      </c>
      <c r="N1594" s="16">
        <v>69</v>
      </c>
      <c r="O1594" s="16" t="s">
        <v>5205</v>
      </c>
    </row>
    <row r="1595" spans="1:15" ht="15.75" customHeight="1" x14ac:dyDescent="0.25">
      <c r="A1595" s="16" t="s">
        <v>30</v>
      </c>
      <c r="B1595" s="16">
        <v>1555498</v>
      </c>
      <c r="C1595" s="16">
        <v>1557987</v>
      </c>
      <c r="E1595" s="16" t="s">
        <v>48</v>
      </c>
      <c r="F1595" s="16" t="s">
        <v>5206</v>
      </c>
      <c r="I1595" s="16" t="s">
        <v>50</v>
      </c>
      <c r="L1595" s="16" t="s">
        <v>5207</v>
      </c>
      <c r="M1595" s="16" t="s">
        <v>5206</v>
      </c>
      <c r="N1595" s="16">
        <v>829</v>
      </c>
      <c r="O1595" s="16" t="s">
        <v>5208</v>
      </c>
    </row>
    <row r="1596" spans="1:15" ht="15.75" customHeight="1" x14ac:dyDescent="0.25">
      <c r="A1596" s="16" t="s">
        <v>30</v>
      </c>
      <c r="B1596" s="16">
        <v>1558091</v>
      </c>
      <c r="C1596" s="16">
        <v>1560871</v>
      </c>
      <c r="E1596" s="16" t="s">
        <v>48</v>
      </c>
      <c r="F1596" s="16" t="s">
        <v>5209</v>
      </c>
      <c r="I1596" s="16" t="s">
        <v>50</v>
      </c>
      <c r="L1596" s="16" t="s">
        <v>5210</v>
      </c>
      <c r="M1596" s="16" t="s">
        <v>5209</v>
      </c>
      <c r="N1596" s="16">
        <v>926</v>
      </c>
      <c r="O1596" s="16" t="s">
        <v>5211</v>
      </c>
    </row>
    <row r="1597" spans="1:15" ht="15.75" customHeight="1" x14ac:dyDescent="0.25">
      <c r="A1597" s="16" t="s">
        <v>30</v>
      </c>
      <c r="B1597" s="16">
        <v>1560990</v>
      </c>
      <c r="C1597" s="16">
        <v>1562921</v>
      </c>
      <c r="E1597" s="16" t="s">
        <v>57</v>
      </c>
      <c r="F1597" s="16" t="s">
        <v>5212</v>
      </c>
      <c r="G1597" s="16" t="s">
        <v>5213</v>
      </c>
      <c r="I1597" s="16" t="s">
        <v>50</v>
      </c>
      <c r="L1597" s="16" t="s">
        <v>5214</v>
      </c>
      <c r="M1597" s="16" t="s">
        <v>5212</v>
      </c>
      <c r="N1597" s="16">
        <v>643</v>
      </c>
      <c r="O1597" s="16" t="s">
        <v>5215</v>
      </c>
    </row>
    <row r="1598" spans="1:15" ht="15.75" customHeight="1" x14ac:dyDescent="0.25">
      <c r="A1598" s="16" t="s">
        <v>30</v>
      </c>
      <c r="B1598" s="16">
        <v>1563205</v>
      </c>
      <c r="C1598" s="16">
        <v>1563789</v>
      </c>
      <c r="E1598" s="16" t="s">
        <v>48</v>
      </c>
      <c r="F1598" s="16" t="s">
        <v>5216</v>
      </c>
      <c r="I1598" s="16" t="s">
        <v>50</v>
      </c>
      <c r="L1598" s="16" t="s">
        <v>5217</v>
      </c>
      <c r="M1598" s="16" t="s">
        <v>5216</v>
      </c>
      <c r="N1598" s="16">
        <v>194</v>
      </c>
      <c r="O1598" s="16" t="s">
        <v>5218</v>
      </c>
    </row>
    <row r="1599" spans="1:15" ht="15.75" customHeight="1" x14ac:dyDescent="0.25">
      <c r="A1599" s="16" t="s">
        <v>30</v>
      </c>
      <c r="B1599" s="16">
        <v>1563866</v>
      </c>
      <c r="C1599" s="16">
        <v>1566472</v>
      </c>
      <c r="E1599" s="16" t="s">
        <v>57</v>
      </c>
      <c r="F1599" s="16" t="s">
        <v>5219</v>
      </c>
      <c r="G1599" s="16" t="s">
        <v>5220</v>
      </c>
      <c r="I1599" s="16" t="s">
        <v>50</v>
      </c>
      <c r="L1599" s="16" t="s">
        <v>5221</v>
      </c>
      <c r="M1599" s="16" t="s">
        <v>5219</v>
      </c>
      <c r="N1599" s="16">
        <v>868</v>
      </c>
      <c r="O1599" s="16" t="s">
        <v>5222</v>
      </c>
    </row>
    <row r="1600" spans="1:15" ht="15.75" customHeight="1" x14ac:dyDescent="0.25">
      <c r="A1600" s="16" t="s">
        <v>30</v>
      </c>
      <c r="B1600" s="16">
        <v>1566568</v>
      </c>
      <c r="C1600" s="16">
        <v>1567485</v>
      </c>
      <c r="E1600" s="16" t="s">
        <v>48</v>
      </c>
      <c r="F1600" s="16" t="s">
        <v>2351</v>
      </c>
      <c r="I1600" s="16" t="s">
        <v>50</v>
      </c>
      <c r="L1600" s="16" t="s">
        <v>5223</v>
      </c>
      <c r="M1600" s="16" t="s">
        <v>2351</v>
      </c>
      <c r="N1600" s="16">
        <v>305</v>
      </c>
      <c r="O1600" s="16" t="s">
        <v>5224</v>
      </c>
    </row>
    <row r="1601" spans="1:15" ht="15.75" customHeight="1" x14ac:dyDescent="0.25">
      <c r="A1601" s="16" t="s">
        <v>30</v>
      </c>
      <c r="B1601" s="16">
        <v>1567549</v>
      </c>
      <c r="C1601" s="16">
        <v>1568973</v>
      </c>
      <c r="E1601" s="16" t="s">
        <v>57</v>
      </c>
      <c r="F1601" s="16" t="s">
        <v>5225</v>
      </c>
      <c r="G1601" s="16" t="s">
        <v>5226</v>
      </c>
      <c r="I1601" s="16" t="s">
        <v>50</v>
      </c>
      <c r="L1601" s="16" t="s">
        <v>5227</v>
      </c>
      <c r="M1601" s="16" t="s">
        <v>5225</v>
      </c>
      <c r="N1601" s="16">
        <v>474</v>
      </c>
      <c r="O1601" s="16" t="s">
        <v>5228</v>
      </c>
    </row>
    <row r="1602" spans="1:15" ht="15.75" customHeight="1" x14ac:dyDescent="0.25">
      <c r="A1602" s="16" t="s">
        <v>30</v>
      </c>
      <c r="B1602" s="16">
        <v>1568984</v>
      </c>
      <c r="C1602" s="16">
        <v>1570522</v>
      </c>
      <c r="E1602" s="16" t="s">
        <v>57</v>
      </c>
      <c r="F1602" s="16" t="s">
        <v>5229</v>
      </c>
      <c r="G1602" s="16" t="s">
        <v>5230</v>
      </c>
      <c r="I1602" s="16" t="s">
        <v>50</v>
      </c>
      <c r="L1602" s="16" t="s">
        <v>5231</v>
      </c>
      <c r="M1602" s="16" t="s">
        <v>5229</v>
      </c>
      <c r="N1602" s="16">
        <v>512</v>
      </c>
      <c r="O1602" s="16" t="s">
        <v>5232</v>
      </c>
    </row>
    <row r="1603" spans="1:15" ht="15.75" customHeight="1" x14ac:dyDescent="0.25">
      <c r="A1603" s="16" t="s">
        <v>30</v>
      </c>
      <c r="B1603" s="16">
        <v>1570783</v>
      </c>
      <c r="C1603" s="16">
        <v>1573248</v>
      </c>
      <c r="E1603" s="16" t="s">
        <v>57</v>
      </c>
      <c r="F1603" s="16" t="s">
        <v>5233</v>
      </c>
      <c r="I1603" s="16" t="s">
        <v>50</v>
      </c>
      <c r="L1603" s="16" t="s">
        <v>5234</v>
      </c>
      <c r="M1603" s="16" t="s">
        <v>5233</v>
      </c>
      <c r="N1603" s="16">
        <v>821</v>
      </c>
      <c r="O1603" s="16" t="s">
        <v>5235</v>
      </c>
    </row>
    <row r="1604" spans="1:15" ht="15.75" customHeight="1" x14ac:dyDescent="0.25">
      <c r="A1604" s="16" t="s">
        <v>30</v>
      </c>
      <c r="B1604" s="16">
        <v>1573495</v>
      </c>
      <c r="C1604" s="16">
        <v>1574925</v>
      </c>
      <c r="E1604" s="16" t="s">
        <v>57</v>
      </c>
      <c r="F1604" s="16" t="s">
        <v>5236</v>
      </c>
      <c r="G1604" s="16" t="s">
        <v>5237</v>
      </c>
      <c r="I1604" s="16" t="s">
        <v>50</v>
      </c>
      <c r="L1604" s="16" t="s">
        <v>5238</v>
      </c>
      <c r="M1604" s="16" t="s">
        <v>5236</v>
      </c>
      <c r="N1604" s="16">
        <v>476</v>
      </c>
      <c r="O1604" s="16" t="s">
        <v>5239</v>
      </c>
    </row>
    <row r="1605" spans="1:15" ht="15.75" customHeight="1" x14ac:dyDescent="0.25">
      <c r="A1605" s="16" t="s">
        <v>30</v>
      </c>
      <c r="B1605" s="16">
        <v>1575033</v>
      </c>
      <c r="C1605" s="16">
        <v>1576334</v>
      </c>
      <c r="E1605" s="16" t="s">
        <v>57</v>
      </c>
      <c r="F1605" s="16" t="s">
        <v>5240</v>
      </c>
      <c r="G1605" s="16" t="s">
        <v>5241</v>
      </c>
      <c r="I1605" s="16" t="s">
        <v>50</v>
      </c>
      <c r="L1605" s="16" t="s">
        <v>5242</v>
      </c>
      <c r="M1605" s="16" t="s">
        <v>5240</v>
      </c>
      <c r="N1605" s="16">
        <v>433</v>
      </c>
      <c r="O1605" s="16" t="s">
        <v>5243</v>
      </c>
    </row>
    <row r="1606" spans="1:15" ht="15.75" customHeight="1" x14ac:dyDescent="0.25">
      <c r="A1606" s="16" t="s">
        <v>30</v>
      </c>
      <c r="B1606" s="16">
        <v>1576357</v>
      </c>
      <c r="C1606" s="16">
        <v>1578333</v>
      </c>
      <c r="E1606" s="16" t="s">
        <v>57</v>
      </c>
      <c r="F1606" s="16" t="s">
        <v>5244</v>
      </c>
      <c r="G1606" s="16" t="s">
        <v>5245</v>
      </c>
      <c r="I1606" s="16" t="s">
        <v>50</v>
      </c>
      <c r="L1606" s="16" t="s">
        <v>5246</v>
      </c>
      <c r="M1606" s="16" t="s">
        <v>5244</v>
      </c>
      <c r="N1606" s="16">
        <v>658</v>
      </c>
      <c r="O1606" s="16" t="s">
        <v>5247</v>
      </c>
    </row>
    <row r="1607" spans="1:15" ht="15.75" customHeight="1" x14ac:dyDescent="0.25">
      <c r="A1607" s="16" t="s">
        <v>30</v>
      </c>
      <c r="B1607" s="16">
        <v>1578432</v>
      </c>
      <c r="C1607" s="16">
        <v>1580624</v>
      </c>
      <c r="E1607" s="16" t="s">
        <v>57</v>
      </c>
      <c r="F1607" s="16" t="s">
        <v>5248</v>
      </c>
      <c r="G1607" s="16" t="s">
        <v>5249</v>
      </c>
      <c r="I1607" s="16" t="s">
        <v>50</v>
      </c>
      <c r="L1607" s="16" t="s">
        <v>5250</v>
      </c>
      <c r="M1607" s="16" t="s">
        <v>5248</v>
      </c>
      <c r="N1607" s="16">
        <v>730</v>
      </c>
      <c r="O1607" s="16" t="s">
        <v>5251</v>
      </c>
    </row>
    <row r="1608" spans="1:15" ht="15.75" customHeight="1" x14ac:dyDescent="0.25">
      <c r="A1608" s="16" t="s">
        <v>30</v>
      </c>
      <c r="B1608" s="16">
        <v>1580634</v>
      </c>
      <c r="C1608" s="16">
        <v>1582724</v>
      </c>
      <c r="E1608" s="16" t="s">
        <v>57</v>
      </c>
      <c r="F1608" s="16" t="s">
        <v>5252</v>
      </c>
      <c r="G1608" s="16" t="s">
        <v>5253</v>
      </c>
      <c r="I1608" s="16" t="s">
        <v>50</v>
      </c>
      <c r="L1608" s="16" t="s">
        <v>5254</v>
      </c>
      <c r="M1608" s="16" t="s">
        <v>5252</v>
      </c>
      <c r="N1608" s="16">
        <v>696</v>
      </c>
      <c r="O1608" s="16" t="s">
        <v>5255</v>
      </c>
    </row>
    <row r="1609" spans="1:15" ht="15.75" customHeight="1" x14ac:dyDescent="0.25">
      <c r="A1609" s="16" t="s">
        <v>30</v>
      </c>
      <c r="B1609" s="16">
        <v>1582795</v>
      </c>
      <c r="C1609" s="16">
        <v>1583247</v>
      </c>
      <c r="E1609" s="16" t="s">
        <v>57</v>
      </c>
      <c r="F1609" s="16" t="s">
        <v>5256</v>
      </c>
      <c r="I1609" s="16" t="s">
        <v>50</v>
      </c>
      <c r="L1609" s="16" t="s">
        <v>5257</v>
      </c>
      <c r="M1609" s="16" t="s">
        <v>5256</v>
      </c>
      <c r="N1609" s="16">
        <v>150</v>
      </c>
      <c r="O1609" s="16" t="s">
        <v>5258</v>
      </c>
    </row>
    <row r="1610" spans="1:15" ht="15.75" customHeight="1" x14ac:dyDescent="0.25">
      <c r="A1610" s="16" t="s">
        <v>30</v>
      </c>
      <c r="B1610" s="16">
        <v>1583325</v>
      </c>
      <c r="C1610" s="16">
        <v>1584992</v>
      </c>
      <c r="E1610" s="16" t="s">
        <v>57</v>
      </c>
      <c r="F1610" s="16" t="s">
        <v>5259</v>
      </c>
      <c r="G1610" s="16" t="s">
        <v>5260</v>
      </c>
      <c r="I1610" s="16" t="s">
        <v>50</v>
      </c>
      <c r="L1610" s="16" t="s">
        <v>5261</v>
      </c>
      <c r="M1610" s="16" t="s">
        <v>5259</v>
      </c>
      <c r="N1610" s="16">
        <v>555</v>
      </c>
      <c r="O1610" s="16" t="s">
        <v>5262</v>
      </c>
    </row>
    <row r="1611" spans="1:15" ht="15.75" customHeight="1" x14ac:dyDescent="0.25">
      <c r="A1611" s="16" t="s">
        <v>30</v>
      </c>
      <c r="B1611" s="16">
        <v>1585412</v>
      </c>
      <c r="C1611" s="16">
        <v>1586887</v>
      </c>
      <c r="E1611" s="16" t="s">
        <v>57</v>
      </c>
      <c r="F1611" s="16" t="s">
        <v>5263</v>
      </c>
      <c r="G1611" s="16" t="s">
        <v>5264</v>
      </c>
      <c r="I1611" s="16" t="s">
        <v>50</v>
      </c>
      <c r="L1611" s="16" t="s">
        <v>5265</v>
      </c>
      <c r="M1611" s="16" t="s">
        <v>5263</v>
      </c>
      <c r="N1611" s="16">
        <v>491</v>
      </c>
      <c r="O1611" s="16" t="s">
        <v>5266</v>
      </c>
    </row>
    <row r="1612" spans="1:15" ht="15.75" customHeight="1" x14ac:dyDescent="0.25">
      <c r="A1612" s="16" t="s">
        <v>30</v>
      </c>
      <c r="B1612" s="16">
        <v>1587003</v>
      </c>
      <c r="C1612" s="16">
        <v>1588517</v>
      </c>
      <c r="E1612" s="16" t="s">
        <v>48</v>
      </c>
      <c r="F1612" s="16" t="s">
        <v>5267</v>
      </c>
      <c r="G1612" s="16" t="s">
        <v>5268</v>
      </c>
      <c r="I1612" s="16" t="s">
        <v>50</v>
      </c>
      <c r="L1612" s="16" t="s">
        <v>5269</v>
      </c>
      <c r="M1612" s="16" t="s">
        <v>5267</v>
      </c>
      <c r="N1612" s="16">
        <v>504</v>
      </c>
      <c r="O1612" s="16" t="s">
        <v>5270</v>
      </c>
    </row>
    <row r="1613" spans="1:15" ht="15.75" customHeight="1" x14ac:dyDescent="0.25">
      <c r="A1613" s="16" t="s">
        <v>30</v>
      </c>
      <c r="B1613" s="16">
        <v>1588514</v>
      </c>
      <c r="C1613" s="16">
        <v>1589479</v>
      </c>
      <c r="E1613" s="16" t="s">
        <v>48</v>
      </c>
      <c r="F1613" s="16" t="s">
        <v>5271</v>
      </c>
      <c r="G1613" s="16" t="s">
        <v>5272</v>
      </c>
      <c r="I1613" s="16" t="s">
        <v>50</v>
      </c>
      <c r="L1613" s="16" t="s">
        <v>5273</v>
      </c>
      <c r="M1613" s="16" t="s">
        <v>5271</v>
      </c>
      <c r="N1613" s="16">
        <v>321</v>
      </c>
      <c r="O1613" s="16" t="s">
        <v>5274</v>
      </c>
    </row>
    <row r="1614" spans="1:15" ht="15.75" customHeight="1" x14ac:dyDescent="0.25">
      <c r="A1614" s="16" t="s">
        <v>30</v>
      </c>
      <c r="B1614" s="16">
        <v>1589522</v>
      </c>
      <c r="C1614" s="16">
        <v>1590400</v>
      </c>
      <c r="E1614" s="16" t="s">
        <v>57</v>
      </c>
      <c r="F1614" s="16" t="s">
        <v>5275</v>
      </c>
      <c r="G1614" s="16" t="s">
        <v>5276</v>
      </c>
      <c r="I1614" s="16" t="s">
        <v>50</v>
      </c>
      <c r="L1614" s="16" t="s">
        <v>5277</v>
      </c>
      <c r="M1614" s="16" t="s">
        <v>5275</v>
      </c>
      <c r="N1614" s="16">
        <v>292</v>
      </c>
      <c r="O1614" s="16" t="s">
        <v>5278</v>
      </c>
    </row>
    <row r="1615" spans="1:15" ht="15.75" customHeight="1" x14ac:dyDescent="0.25">
      <c r="A1615" s="16" t="s">
        <v>30</v>
      </c>
      <c r="B1615" s="16">
        <v>1590674</v>
      </c>
      <c r="C1615" s="16">
        <v>1591156</v>
      </c>
      <c r="E1615" s="16" t="s">
        <v>48</v>
      </c>
      <c r="F1615" s="16" t="s">
        <v>5279</v>
      </c>
      <c r="I1615" s="16" t="s">
        <v>50</v>
      </c>
      <c r="L1615" s="16" t="s">
        <v>5280</v>
      </c>
      <c r="M1615" s="16" t="s">
        <v>5279</v>
      </c>
      <c r="N1615" s="16">
        <v>160</v>
      </c>
      <c r="O1615" s="16" t="s">
        <v>5281</v>
      </c>
    </row>
    <row r="1616" spans="1:15" ht="15.75" customHeight="1" x14ac:dyDescent="0.25">
      <c r="A1616" s="16" t="s">
        <v>30</v>
      </c>
      <c r="B1616" s="16">
        <v>1591728</v>
      </c>
      <c r="C1616" s="16">
        <v>1592966</v>
      </c>
      <c r="E1616" s="16" t="s">
        <v>57</v>
      </c>
      <c r="F1616" s="16" t="s">
        <v>5282</v>
      </c>
      <c r="G1616" s="16" t="s">
        <v>5283</v>
      </c>
      <c r="I1616" s="16" t="s">
        <v>50</v>
      </c>
      <c r="L1616" s="16" t="s">
        <v>5284</v>
      </c>
      <c r="M1616" s="16" t="s">
        <v>5282</v>
      </c>
      <c r="N1616" s="16">
        <v>412</v>
      </c>
      <c r="O1616" s="16" t="s">
        <v>5285</v>
      </c>
    </row>
    <row r="1617" spans="1:15" ht="15.75" customHeight="1" x14ac:dyDescent="0.25">
      <c r="A1617" s="16" t="s">
        <v>30</v>
      </c>
      <c r="B1617" s="16">
        <v>1593263</v>
      </c>
      <c r="C1617" s="16">
        <v>1594381</v>
      </c>
      <c r="E1617" s="16" t="s">
        <v>48</v>
      </c>
      <c r="F1617" s="16" t="s">
        <v>5286</v>
      </c>
      <c r="G1617" s="16" t="s">
        <v>5287</v>
      </c>
      <c r="I1617" s="16" t="s">
        <v>50</v>
      </c>
      <c r="L1617" s="16" t="s">
        <v>5288</v>
      </c>
      <c r="M1617" s="16" t="s">
        <v>5286</v>
      </c>
      <c r="N1617" s="16">
        <v>372</v>
      </c>
      <c r="O1617" s="16" t="s">
        <v>5289</v>
      </c>
    </row>
    <row r="1618" spans="1:15" ht="15.75" customHeight="1" x14ac:dyDescent="0.25">
      <c r="A1618" s="16" t="s">
        <v>30</v>
      </c>
      <c r="B1618" s="16">
        <v>1594365</v>
      </c>
      <c r="C1618" s="16">
        <v>1595225</v>
      </c>
      <c r="E1618" s="16" t="s">
        <v>48</v>
      </c>
      <c r="F1618" s="16" t="s">
        <v>5290</v>
      </c>
      <c r="G1618" s="16" t="s">
        <v>5291</v>
      </c>
      <c r="I1618" s="16" t="s">
        <v>50</v>
      </c>
      <c r="L1618" s="16" t="s">
        <v>5292</v>
      </c>
      <c r="M1618" s="16" t="s">
        <v>5290</v>
      </c>
      <c r="N1618" s="16">
        <v>286</v>
      </c>
      <c r="O1618" s="16" t="s">
        <v>5293</v>
      </c>
    </row>
    <row r="1619" spans="1:15" ht="15.75" customHeight="1" x14ac:dyDescent="0.25">
      <c r="A1619" s="16" t="s">
        <v>30</v>
      </c>
      <c r="B1619" s="16">
        <v>1595225</v>
      </c>
      <c r="C1619" s="16">
        <v>1595995</v>
      </c>
      <c r="E1619" s="16" t="s">
        <v>48</v>
      </c>
      <c r="F1619" s="16" t="s">
        <v>5294</v>
      </c>
      <c r="G1619" s="16" t="s">
        <v>5295</v>
      </c>
      <c r="I1619" s="16" t="s">
        <v>50</v>
      </c>
      <c r="L1619" s="16" t="s">
        <v>5296</v>
      </c>
      <c r="M1619" s="16" t="s">
        <v>5294</v>
      </c>
      <c r="N1619" s="16">
        <v>256</v>
      </c>
      <c r="O1619" s="16" t="s">
        <v>5297</v>
      </c>
    </row>
    <row r="1620" spans="1:15" ht="15.75" customHeight="1" x14ac:dyDescent="0.25">
      <c r="A1620" s="16" t="s">
        <v>30</v>
      </c>
      <c r="B1620" s="16">
        <v>1596126</v>
      </c>
      <c r="C1620" s="16">
        <v>1597208</v>
      </c>
      <c r="E1620" s="16" t="s">
        <v>48</v>
      </c>
      <c r="F1620" s="16" t="s">
        <v>1889</v>
      </c>
      <c r="I1620" s="16" t="s">
        <v>50</v>
      </c>
      <c r="L1620" s="16" t="s">
        <v>5298</v>
      </c>
      <c r="M1620" s="16" t="s">
        <v>1889</v>
      </c>
      <c r="N1620" s="16">
        <v>360</v>
      </c>
      <c r="O1620" s="16" t="s">
        <v>5299</v>
      </c>
    </row>
    <row r="1621" spans="1:15" ht="15.75" customHeight="1" x14ac:dyDescent="0.25">
      <c r="A1621" s="16" t="s">
        <v>30</v>
      </c>
      <c r="B1621" s="16">
        <v>1597289</v>
      </c>
      <c r="C1621" s="16">
        <v>1599232</v>
      </c>
      <c r="E1621" s="16" t="s">
        <v>57</v>
      </c>
      <c r="F1621" s="16" t="s">
        <v>1243</v>
      </c>
      <c r="I1621" s="16" t="s">
        <v>50</v>
      </c>
      <c r="L1621" s="16" t="s">
        <v>5300</v>
      </c>
      <c r="M1621" s="16" t="s">
        <v>1243</v>
      </c>
      <c r="N1621" s="16">
        <v>647</v>
      </c>
      <c r="O1621" s="16" t="s">
        <v>5301</v>
      </c>
    </row>
    <row r="1622" spans="1:15" ht="15.75" customHeight="1" x14ac:dyDescent="0.25">
      <c r="A1622" s="16" t="s">
        <v>30</v>
      </c>
      <c r="B1622" s="16">
        <v>1599326</v>
      </c>
      <c r="C1622" s="16">
        <v>1600681</v>
      </c>
      <c r="E1622" s="16" t="s">
        <v>57</v>
      </c>
      <c r="F1622" s="16" t="s">
        <v>5302</v>
      </c>
      <c r="I1622" s="16" t="s">
        <v>50</v>
      </c>
      <c r="L1622" s="16" t="s">
        <v>5303</v>
      </c>
      <c r="M1622" s="16" t="s">
        <v>5302</v>
      </c>
      <c r="N1622" s="16">
        <v>451</v>
      </c>
      <c r="O1622" s="16" t="s">
        <v>5304</v>
      </c>
    </row>
    <row r="1623" spans="1:15" ht="15.75" customHeight="1" x14ac:dyDescent="0.25">
      <c r="A1623" s="16" t="s">
        <v>30</v>
      </c>
      <c r="B1623" s="16">
        <v>1600804</v>
      </c>
      <c r="C1623" s="16">
        <v>1601499</v>
      </c>
      <c r="E1623" s="16" t="s">
        <v>57</v>
      </c>
      <c r="F1623" s="16" t="s">
        <v>5305</v>
      </c>
      <c r="I1623" s="16" t="s">
        <v>50</v>
      </c>
      <c r="L1623" s="16" t="s">
        <v>5306</v>
      </c>
      <c r="M1623" s="16" t="s">
        <v>5305</v>
      </c>
      <c r="N1623" s="16">
        <v>231</v>
      </c>
      <c r="O1623" s="16" t="s">
        <v>5307</v>
      </c>
    </row>
    <row r="1624" spans="1:15" ht="15.75" customHeight="1" x14ac:dyDescent="0.25">
      <c r="A1624" s="16" t="s">
        <v>30</v>
      </c>
      <c r="B1624" s="16">
        <v>1601518</v>
      </c>
      <c r="C1624" s="16">
        <v>1601940</v>
      </c>
      <c r="E1624" s="16" t="s">
        <v>57</v>
      </c>
      <c r="F1624" s="16" t="s">
        <v>5308</v>
      </c>
      <c r="I1624" s="16" t="s">
        <v>50</v>
      </c>
      <c r="L1624" s="16" t="s">
        <v>5309</v>
      </c>
      <c r="M1624" s="16" t="s">
        <v>5308</v>
      </c>
      <c r="N1624" s="16">
        <v>140</v>
      </c>
      <c r="O1624" s="16" t="s">
        <v>5310</v>
      </c>
    </row>
    <row r="1625" spans="1:15" ht="15.75" customHeight="1" x14ac:dyDescent="0.25">
      <c r="A1625" s="16" t="s">
        <v>30</v>
      </c>
      <c r="B1625" s="16">
        <v>1602055</v>
      </c>
      <c r="C1625" s="16">
        <v>1602537</v>
      </c>
      <c r="E1625" s="16" t="s">
        <v>48</v>
      </c>
      <c r="F1625" s="16" t="s">
        <v>5311</v>
      </c>
      <c r="I1625" s="16" t="s">
        <v>50</v>
      </c>
      <c r="L1625" s="16" t="s">
        <v>5312</v>
      </c>
      <c r="M1625" s="16" t="s">
        <v>5311</v>
      </c>
      <c r="N1625" s="16">
        <v>160</v>
      </c>
      <c r="O1625" s="16" t="s">
        <v>5313</v>
      </c>
    </row>
    <row r="1626" spans="1:15" ht="15.75" customHeight="1" x14ac:dyDescent="0.25">
      <c r="A1626" s="16" t="s">
        <v>30</v>
      </c>
      <c r="B1626" s="16">
        <v>1602539</v>
      </c>
      <c r="C1626" s="16">
        <v>1603738</v>
      </c>
      <c r="E1626" s="16" t="s">
        <v>48</v>
      </c>
      <c r="F1626" s="16" t="s">
        <v>5314</v>
      </c>
      <c r="I1626" s="16" t="s">
        <v>50</v>
      </c>
      <c r="L1626" s="16" t="s">
        <v>5315</v>
      </c>
      <c r="M1626" s="16" t="s">
        <v>5314</v>
      </c>
      <c r="N1626" s="16">
        <v>399</v>
      </c>
      <c r="O1626" s="16" t="s">
        <v>5316</v>
      </c>
    </row>
    <row r="1627" spans="1:15" ht="15.75" customHeight="1" x14ac:dyDescent="0.25">
      <c r="A1627" s="16" t="s">
        <v>30</v>
      </c>
      <c r="B1627" s="16">
        <v>1603735</v>
      </c>
      <c r="C1627" s="16">
        <v>1604115</v>
      </c>
      <c r="E1627" s="16" t="s">
        <v>48</v>
      </c>
      <c r="F1627" s="16" t="s">
        <v>5317</v>
      </c>
      <c r="I1627" s="16" t="s">
        <v>50</v>
      </c>
      <c r="L1627" s="16" t="s">
        <v>5318</v>
      </c>
      <c r="M1627" s="16" t="s">
        <v>5317</v>
      </c>
      <c r="N1627" s="16">
        <v>126</v>
      </c>
      <c r="O1627" s="16" t="s">
        <v>5319</v>
      </c>
    </row>
    <row r="1628" spans="1:15" ht="15.75" customHeight="1" x14ac:dyDescent="0.25">
      <c r="A1628" s="16" t="s">
        <v>30</v>
      </c>
      <c r="B1628" s="16">
        <v>1604106</v>
      </c>
      <c r="C1628" s="16">
        <v>1604891</v>
      </c>
      <c r="E1628" s="16" t="s">
        <v>48</v>
      </c>
      <c r="F1628" s="16" t="s">
        <v>5320</v>
      </c>
      <c r="I1628" s="16" t="s">
        <v>50</v>
      </c>
      <c r="L1628" s="16" t="s">
        <v>5321</v>
      </c>
      <c r="M1628" s="16" t="s">
        <v>5320</v>
      </c>
      <c r="N1628" s="16">
        <v>261</v>
      </c>
      <c r="O1628" s="16" t="s">
        <v>5322</v>
      </c>
    </row>
    <row r="1629" spans="1:15" ht="15.75" customHeight="1" x14ac:dyDescent="0.25">
      <c r="A1629" s="16" t="s">
        <v>30</v>
      </c>
      <c r="B1629" s="16">
        <v>1605018</v>
      </c>
      <c r="C1629" s="16">
        <v>1605857</v>
      </c>
      <c r="E1629" s="16" t="s">
        <v>48</v>
      </c>
      <c r="F1629" s="16" t="s">
        <v>5323</v>
      </c>
      <c r="G1629" s="16" t="s">
        <v>5324</v>
      </c>
      <c r="I1629" s="16" t="s">
        <v>50</v>
      </c>
      <c r="L1629" s="16" t="s">
        <v>5325</v>
      </c>
      <c r="M1629" s="16" t="s">
        <v>5323</v>
      </c>
      <c r="N1629" s="16">
        <v>279</v>
      </c>
      <c r="O1629" s="16" t="s">
        <v>5326</v>
      </c>
    </row>
    <row r="1630" spans="1:15" ht="15.75" customHeight="1" x14ac:dyDescent="0.25">
      <c r="A1630" s="16" t="s">
        <v>30</v>
      </c>
      <c r="B1630" s="16">
        <v>1605890</v>
      </c>
      <c r="C1630" s="16">
        <v>1607014</v>
      </c>
      <c r="E1630" s="16" t="s">
        <v>57</v>
      </c>
      <c r="F1630" s="16" t="s">
        <v>5327</v>
      </c>
      <c r="G1630" s="16" t="s">
        <v>5328</v>
      </c>
      <c r="I1630" s="16" t="s">
        <v>50</v>
      </c>
      <c r="L1630" s="16" t="s">
        <v>5329</v>
      </c>
      <c r="M1630" s="16" t="s">
        <v>5327</v>
      </c>
      <c r="N1630" s="16">
        <v>374</v>
      </c>
      <c r="O1630" s="16" t="s">
        <v>5330</v>
      </c>
    </row>
    <row r="1631" spans="1:15" ht="15.75" customHeight="1" x14ac:dyDescent="0.25">
      <c r="A1631" s="16" t="s">
        <v>30</v>
      </c>
      <c r="B1631" s="16">
        <v>1607104</v>
      </c>
      <c r="C1631" s="16">
        <v>1608024</v>
      </c>
      <c r="E1631" s="16" t="s">
        <v>57</v>
      </c>
      <c r="F1631" s="16" t="s">
        <v>5331</v>
      </c>
      <c r="G1631" s="16" t="s">
        <v>5332</v>
      </c>
      <c r="I1631" s="16" t="s">
        <v>50</v>
      </c>
      <c r="L1631" s="16" t="s">
        <v>5333</v>
      </c>
      <c r="M1631" s="16" t="s">
        <v>5331</v>
      </c>
      <c r="N1631" s="16">
        <v>306</v>
      </c>
      <c r="O1631" s="16" t="s">
        <v>5334</v>
      </c>
    </row>
    <row r="1632" spans="1:15" ht="15.75" customHeight="1" x14ac:dyDescent="0.25">
      <c r="A1632" s="16" t="s">
        <v>30</v>
      </c>
      <c r="B1632" s="16">
        <v>1608024</v>
      </c>
      <c r="C1632" s="16">
        <v>1608410</v>
      </c>
      <c r="E1632" s="16" t="s">
        <v>57</v>
      </c>
      <c r="F1632" s="16" t="s">
        <v>5335</v>
      </c>
      <c r="G1632" s="16" t="s">
        <v>5336</v>
      </c>
      <c r="I1632" s="16" t="s">
        <v>50</v>
      </c>
      <c r="L1632" s="16" t="s">
        <v>5337</v>
      </c>
      <c r="M1632" s="16" t="s">
        <v>5335</v>
      </c>
      <c r="N1632" s="16">
        <v>128</v>
      </c>
      <c r="O1632" s="16" t="s">
        <v>5338</v>
      </c>
    </row>
    <row r="1633" spans="1:15" ht="15.75" customHeight="1" x14ac:dyDescent="0.25">
      <c r="A1633" s="16" t="s">
        <v>30</v>
      </c>
      <c r="B1633" s="16">
        <v>1608575</v>
      </c>
      <c r="C1633" s="16">
        <v>1610245</v>
      </c>
      <c r="E1633" s="16" t="s">
        <v>48</v>
      </c>
      <c r="F1633" s="16" t="s">
        <v>355</v>
      </c>
      <c r="I1633" s="16" t="s">
        <v>50</v>
      </c>
      <c r="L1633" s="16" t="s">
        <v>5339</v>
      </c>
      <c r="M1633" s="16" t="s">
        <v>355</v>
      </c>
      <c r="N1633" s="16">
        <v>556</v>
      </c>
      <c r="O1633" s="16" t="s">
        <v>5340</v>
      </c>
    </row>
    <row r="1634" spans="1:15" ht="15.75" customHeight="1" x14ac:dyDescent="0.25">
      <c r="A1634" s="16" t="s">
        <v>30</v>
      </c>
      <c r="B1634" s="16">
        <v>1610238</v>
      </c>
      <c r="C1634" s="16">
        <v>1611503</v>
      </c>
      <c r="E1634" s="16" t="s">
        <v>48</v>
      </c>
      <c r="F1634" s="16" t="s">
        <v>361</v>
      </c>
      <c r="I1634" s="16" t="s">
        <v>50</v>
      </c>
      <c r="L1634" s="16" t="s">
        <v>5341</v>
      </c>
      <c r="M1634" s="16" t="s">
        <v>361</v>
      </c>
      <c r="N1634" s="16">
        <v>421</v>
      </c>
      <c r="O1634" s="16" t="s">
        <v>5342</v>
      </c>
    </row>
    <row r="1635" spans="1:15" ht="15.75" customHeight="1" x14ac:dyDescent="0.25">
      <c r="A1635" s="16" t="s">
        <v>30</v>
      </c>
      <c r="B1635" s="16">
        <v>1611496</v>
      </c>
      <c r="C1635" s="16">
        <v>1612542</v>
      </c>
      <c r="E1635" s="16" t="s">
        <v>48</v>
      </c>
      <c r="F1635" s="16" t="s">
        <v>5343</v>
      </c>
      <c r="I1635" s="16" t="s">
        <v>50</v>
      </c>
      <c r="L1635" s="16" t="s">
        <v>5344</v>
      </c>
      <c r="M1635" s="16" t="s">
        <v>5343</v>
      </c>
      <c r="N1635" s="16">
        <v>348</v>
      </c>
      <c r="O1635" s="16" t="s">
        <v>5345</v>
      </c>
    </row>
    <row r="1636" spans="1:15" ht="15.75" customHeight="1" x14ac:dyDescent="0.25">
      <c r="A1636" s="16" t="s">
        <v>30</v>
      </c>
      <c r="B1636" s="16">
        <v>1612544</v>
      </c>
      <c r="C1636" s="16">
        <v>1615711</v>
      </c>
      <c r="E1636" s="16" t="s">
        <v>48</v>
      </c>
      <c r="F1636" s="16" t="s">
        <v>761</v>
      </c>
      <c r="I1636" s="16" t="s">
        <v>50</v>
      </c>
      <c r="L1636" s="16" t="s">
        <v>5346</v>
      </c>
      <c r="M1636" s="16" t="s">
        <v>761</v>
      </c>
      <c r="N1636" s="16">
        <v>1055</v>
      </c>
      <c r="O1636" s="16" t="s">
        <v>5347</v>
      </c>
    </row>
    <row r="1637" spans="1:15" ht="15.75" customHeight="1" x14ac:dyDescent="0.25">
      <c r="A1637" s="16" t="s">
        <v>30</v>
      </c>
      <c r="B1637" s="16">
        <v>1615790</v>
      </c>
      <c r="C1637" s="16">
        <v>1618324</v>
      </c>
      <c r="E1637" s="16" t="s">
        <v>57</v>
      </c>
      <c r="F1637" s="16" t="s">
        <v>5348</v>
      </c>
      <c r="G1637" s="16" t="s">
        <v>5349</v>
      </c>
      <c r="I1637" s="16" t="s">
        <v>50</v>
      </c>
      <c r="L1637" s="16" t="s">
        <v>5350</v>
      </c>
      <c r="M1637" s="16" t="s">
        <v>5348</v>
      </c>
      <c r="N1637" s="16">
        <v>844</v>
      </c>
      <c r="O1637" s="16" t="s">
        <v>5351</v>
      </c>
    </row>
    <row r="1638" spans="1:15" ht="15.75" customHeight="1" x14ac:dyDescent="0.25">
      <c r="A1638" s="16" t="s">
        <v>30</v>
      </c>
      <c r="B1638" s="16">
        <v>1618336</v>
      </c>
      <c r="C1638" s="16">
        <v>1619823</v>
      </c>
      <c r="E1638" s="16" t="s">
        <v>57</v>
      </c>
      <c r="F1638" s="16" t="s">
        <v>5352</v>
      </c>
      <c r="G1638" s="16" t="s">
        <v>5353</v>
      </c>
      <c r="I1638" s="16" t="s">
        <v>50</v>
      </c>
      <c r="L1638" s="16" t="s">
        <v>5354</v>
      </c>
      <c r="M1638" s="16" t="s">
        <v>5352</v>
      </c>
      <c r="N1638" s="16">
        <v>495</v>
      </c>
      <c r="O1638" s="16" t="s">
        <v>5355</v>
      </c>
    </row>
    <row r="1639" spans="1:15" ht="15.75" customHeight="1" x14ac:dyDescent="0.25">
      <c r="A1639" s="16" t="s">
        <v>30</v>
      </c>
      <c r="B1639" s="16">
        <v>1619840</v>
      </c>
      <c r="C1639" s="16">
        <v>1620295</v>
      </c>
      <c r="E1639" s="16" t="s">
        <v>57</v>
      </c>
      <c r="F1639" s="16" t="s">
        <v>5356</v>
      </c>
      <c r="G1639" s="16" t="s">
        <v>5357</v>
      </c>
      <c r="I1639" s="16" t="s">
        <v>50</v>
      </c>
      <c r="L1639" s="16" t="s">
        <v>5358</v>
      </c>
      <c r="M1639" s="16" t="s">
        <v>5356</v>
      </c>
      <c r="N1639" s="16">
        <v>151</v>
      </c>
      <c r="O1639" s="16" t="s">
        <v>5359</v>
      </c>
    </row>
    <row r="1640" spans="1:15" ht="15.75" customHeight="1" x14ac:dyDescent="0.25">
      <c r="A1640" s="16" t="s">
        <v>30</v>
      </c>
      <c r="B1640" s="16">
        <v>1620518</v>
      </c>
      <c r="C1640" s="16">
        <v>1620594</v>
      </c>
      <c r="E1640" s="16" t="s">
        <v>57</v>
      </c>
      <c r="F1640" s="16" t="s">
        <v>413</v>
      </c>
      <c r="I1640" s="16" t="s">
        <v>290</v>
      </c>
      <c r="O1640" s="16" t="s">
        <v>5360</v>
      </c>
    </row>
    <row r="1641" spans="1:15" ht="15.75" customHeight="1" x14ac:dyDescent="0.25">
      <c r="A1641" s="16" t="s">
        <v>30</v>
      </c>
      <c r="B1641" s="16">
        <v>1621023</v>
      </c>
      <c r="C1641" s="16">
        <v>1621388</v>
      </c>
      <c r="E1641" s="16" t="s">
        <v>48</v>
      </c>
      <c r="F1641" s="16" t="s">
        <v>5361</v>
      </c>
      <c r="G1641" s="16" t="s">
        <v>5362</v>
      </c>
      <c r="I1641" s="16" t="s">
        <v>4108</v>
      </c>
      <c r="O1641" s="16" t="s">
        <v>5363</v>
      </c>
    </row>
    <row r="1642" spans="1:15" ht="15.75" customHeight="1" x14ac:dyDescent="0.25">
      <c r="A1642" s="16" t="s">
        <v>30</v>
      </c>
      <c r="B1642" s="16">
        <v>1621957</v>
      </c>
      <c r="C1642" s="16">
        <v>1622721</v>
      </c>
      <c r="E1642" s="16" t="s">
        <v>57</v>
      </c>
      <c r="F1642" s="16" t="s">
        <v>135</v>
      </c>
      <c r="I1642" s="16" t="s">
        <v>50</v>
      </c>
      <c r="L1642" s="16" t="s">
        <v>5364</v>
      </c>
      <c r="M1642" s="16" t="s">
        <v>135</v>
      </c>
      <c r="N1642" s="16">
        <v>254</v>
      </c>
      <c r="O1642" s="16" t="s">
        <v>5365</v>
      </c>
    </row>
    <row r="1643" spans="1:15" ht="15.75" customHeight="1" x14ac:dyDescent="0.25">
      <c r="A1643" s="16" t="s">
        <v>30</v>
      </c>
      <c r="B1643" s="16">
        <v>1622725</v>
      </c>
      <c r="C1643" s="16">
        <v>1623252</v>
      </c>
      <c r="E1643" s="16" t="s">
        <v>57</v>
      </c>
      <c r="F1643" s="16" t="s">
        <v>135</v>
      </c>
      <c r="I1643" s="16" t="s">
        <v>50</v>
      </c>
      <c r="L1643" s="16" t="s">
        <v>5366</v>
      </c>
      <c r="M1643" s="16" t="s">
        <v>135</v>
      </c>
      <c r="N1643" s="16">
        <v>175</v>
      </c>
      <c r="O1643" s="16" t="s">
        <v>5367</v>
      </c>
    </row>
    <row r="1644" spans="1:15" ht="15.75" customHeight="1" x14ac:dyDescent="0.25">
      <c r="A1644" s="16" t="s">
        <v>30</v>
      </c>
      <c r="B1644" s="16">
        <v>1623262</v>
      </c>
      <c r="C1644" s="16">
        <v>1624434</v>
      </c>
      <c r="E1644" s="16" t="s">
        <v>57</v>
      </c>
      <c r="F1644" s="16" t="s">
        <v>135</v>
      </c>
      <c r="I1644" s="16" t="s">
        <v>50</v>
      </c>
      <c r="L1644" s="16" t="s">
        <v>5368</v>
      </c>
      <c r="M1644" s="16" t="s">
        <v>135</v>
      </c>
      <c r="N1644" s="16">
        <v>390</v>
      </c>
      <c r="O1644" s="16" t="s">
        <v>5369</v>
      </c>
    </row>
    <row r="1645" spans="1:15" ht="15.75" customHeight="1" x14ac:dyDescent="0.25">
      <c r="A1645" s="16" t="s">
        <v>30</v>
      </c>
      <c r="B1645" s="16">
        <v>1624418</v>
      </c>
      <c r="C1645" s="16">
        <v>1624786</v>
      </c>
      <c r="E1645" s="16" t="s">
        <v>57</v>
      </c>
      <c r="F1645" s="16" t="s">
        <v>135</v>
      </c>
      <c r="I1645" s="16" t="s">
        <v>50</v>
      </c>
      <c r="L1645" s="16" t="s">
        <v>5370</v>
      </c>
      <c r="M1645" s="16" t="s">
        <v>135</v>
      </c>
      <c r="N1645" s="16">
        <v>122</v>
      </c>
      <c r="O1645" s="16" t="s">
        <v>5371</v>
      </c>
    </row>
    <row r="1646" spans="1:15" ht="15.75" customHeight="1" x14ac:dyDescent="0.25">
      <c r="A1646" s="16" t="s">
        <v>30</v>
      </c>
      <c r="B1646" s="16">
        <v>1624800</v>
      </c>
      <c r="C1646" s="16">
        <v>1625621</v>
      </c>
      <c r="E1646" s="16" t="s">
        <v>57</v>
      </c>
      <c r="F1646" s="16" t="s">
        <v>135</v>
      </c>
      <c r="I1646" s="16" t="s">
        <v>50</v>
      </c>
      <c r="L1646" s="16" t="s">
        <v>5372</v>
      </c>
      <c r="M1646" s="16" t="s">
        <v>135</v>
      </c>
      <c r="N1646" s="16">
        <v>273</v>
      </c>
      <c r="O1646" s="16" t="s">
        <v>5373</v>
      </c>
    </row>
    <row r="1647" spans="1:15" ht="15.75" customHeight="1" x14ac:dyDescent="0.25">
      <c r="A1647" s="16" t="s">
        <v>30</v>
      </c>
      <c r="B1647" s="16">
        <v>1625678</v>
      </c>
      <c r="C1647" s="16">
        <v>1626181</v>
      </c>
      <c r="E1647" s="16" t="s">
        <v>57</v>
      </c>
      <c r="F1647" s="16" t="s">
        <v>143</v>
      </c>
      <c r="I1647" s="16" t="s">
        <v>50</v>
      </c>
      <c r="L1647" s="16" t="s">
        <v>5374</v>
      </c>
      <c r="M1647" s="16" t="s">
        <v>143</v>
      </c>
      <c r="N1647" s="16">
        <v>167</v>
      </c>
      <c r="O1647" s="16" t="s">
        <v>5375</v>
      </c>
    </row>
    <row r="1648" spans="1:15" ht="15.75" customHeight="1" x14ac:dyDescent="0.25">
      <c r="A1648" s="16" t="s">
        <v>30</v>
      </c>
      <c r="B1648" s="16">
        <v>1626178</v>
      </c>
      <c r="C1648" s="16">
        <v>1626780</v>
      </c>
      <c r="E1648" s="16" t="s">
        <v>57</v>
      </c>
      <c r="F1648" s="16" t="s">
        <v>135</v>
      </c>
      <c r="I1648" s="16" t="s">
        <v>50</v>
      </c>
      <c r="L1648" s="16" t="s">
        <v>5376</v>
      </c>
      <c r="M1648" s="16" t="s">
        <v>135</v>
      </c>
      <c r="N1648" s="16">
        <v>200</v>
      </c>
      <c r="O1648" s="16" t="s">
        <v>5377</v>
      </c>
    </row>
    <row r="1649" spans="1:15" ht="15.75" customHeight="1" x14ac:dyDescent="0.25">
      <c r="A1649" s="16" t="s">
        <v>30</v>
      </c>
      <c r="B1649" s="16">
        <v>1626792</v>
      </c>
      <c r="C1649" s="16">
        <v>1629314</v>
      </c>
      <c r="E1649" s="16" t="s">
        <v>57</v>
      </c>
      <c r="F1649" s="16" t="s">
        <v>163</v>
      </c>
      <c r="I1649" s="16" t="s">
        <v>50</v>
      </c>
      <c r="L1649" s="16" t="s">
        <v>5378</v>
      </c>
      <c r="M1649" s="16" t="s">
        <v>163</v>
      </c>
      <c r="N1649" s="16">
        <v>840</v>
      </c>
      <c r="O1649" s="16" t="s">
        <v>5379</v>
      </c>
    </row>
    <row r="1650" spans="1:15" ht="15.75" customHeight="1" x14ac:dyDescent="0.25">
      <c r="A1650" s="16" t="s">
        <v>30</v>
      </c>
      <c r="B1650" s="16">
        <v>1629323</v>
      </c>
      <c r="C1650" s="16">
        <v>1629859</v>
      </c>
      <c r="E1650" s="16" t="s">
        <v>57</v>
      </c>
      <c r="F1650" s="16" t="s">
        <v>5380</v>
      </c>
      <c r="I1650" s="16" t="s">
        <v>50</v>
      </c>
      <c r="L1650" s="16" t="s">
        <v>5381</v>
      </c>
      <c r="M1650" s="16" t="s">
        <v>5380</v>
      </c>
      <c r="N1650" s="16">
        <v>178</v>
      </c>
      <c r="O1650" s="16" t="s">
        <v>5382</v>
      </c>
    </row>
    <row r="1651" spans="1:15" ht="15.75" customHeight="1" x14ac:dyDescent="0.25">
      <c r="A1651" s="16" t="s">
        <v>30</v>
      </c>
      <c r="B1651" s="16">
        <v>1629849</v>
      </c>
      <c r="C1651" s="16">
        <v>1630763</v>
      </c>
      <c r="E1651" s="16" t="s">
        <v>57</v>
      </c>
      <c r="F1651" s="16" t="s">
        <v>154</v>
      </c>
      <c r="I1651" s="16" t="s">
        <v>50</v>
      </c>
      <c r="L1651" s="16" t="s">
        <v>5383</v>
      </c>
      <c r="M1651" s="16" t="s">
        <v>154</v>
      </c>
      <c r="N1651" s="16">
        <v>304</v>
      </c>
      <c r="O1651" s="16" t="s">
        <v>5384</v>
      </c>
    </row>
    <row r="1652" spans="1:15" ht="15.75" customHeight="1" x14ac:dyDescent="0.25">
      <c r="A1652" s="16" t="s">
        <v>30</v>
      </c>
      <c r="B1652" s="16">
        <v>1630760</v>
      </c>
      <c r="C1652" s="16">
        <v>1631098</v>
      </c>
      <c r="E1652" s="16" t="s">
        <v>57</v>
      </c>
      <c r="F1652" s="16" t="s">
        <v>5385</v>
      </c>
      <c r="I1652" s="16" t="s">
        <v>50</v>
      </c>
      <c r="L1652" s="16" t="s">
        <v>5386</v>
      </c>
      <c r="M1652" s="16" t="s">
        <v>5385</v>
      </c>
      <c r="N1652" s="16">
        <v>112</v>
      </c>
      <c r="O1652" s="16" t="s">
        <v>5387</v>
      </c>
    </row>
    <row r="1653" spans="1:15" ht="15.75" customHeight="1" x14ac:dyDescent="0.25">
      <c r="A1653" s="16" t="s">
        <v>30</v>
      </c>
      <c r="B1653" s="16">
        <v>1631100</v>
      </c>
      <c r="C1653" s="16">
        <v>1631699</v>
      </c>
      <c r="E1653" s="16" t="s">
        <v>57</v>
      </c>
      <c r="F1653" s="16" t="s">
        <v>160</v>
      </c>
      <c r="I1653" s="16" t="s">
        <v>50</v>
      </c>
      <c r="L1653" s="16" t="s">
        <v>5388</v>
      </c>
      <c r="M1653" s="16" t="s">
        <v>160</v>
      </c>
      <c r="N1653" s="16">
        <v>199</v>
      </c>
      <c r="O1653" s="16" t="s">
        <v>5389</v>
      </c>
    </row>
    <row r="1654" spans="1:15" ht="15.75" customHeight="1" x14ac:dyDescent="0.25">
      <c r="A1654" s="16" t="s">
        <v>30</v>
      </c>
      <c r="B1654" s="16">
        <v>1631803</v>
      </c>
      <c r="C1654" s="16">
        <v>1632231</v>
      </c>
      <c r="E1654" s="16" t="s">
        <v>57</v>
      </c>
      <c r="F1654" s="16" t="s">
        <v>135</v>
      </c>
      <c r="I1654" s="16" t="s">
        <v>50</v>
      </c>
      <c r="L1654" s="16" t="s">
        <v>5390</v>
      </c>
      <c r="M1654" s="16" t="s">
        <v>135</v>
      </c>
      <c r="N1654" s="16">
        <v>142</v>
      </c>
      <c r="O1654" s="16" t="s">
        <v>5391</v>
      </c>
    </row>
    <row r="1655" spans="1:15" ht="15.75" customHeight="1" x14ac:dyDescent="0.25">
      <c r="A1655" s="16" t="s">
        <v>30</v>
      </c>
      <c r="B1655" s="16">
        <v>1632240</v>
      </c>
      <c r="C1655" s="16">
        <v>1632797</v>
      </c>
      <c r="E1655" s="16" t="s">
        <v>57</v>
      </c>
      <c r="F1655" s="16" t="s">
        <v>135</v>
      </c>
      <c r="I1655" s="16" t="s">
        <v>50</v>
      </c>
      <c r="L1655" s="16" t="s">
        <v>5392</v>
      </c>
      <c r="M1655" s="16" t="s">
        <v>135</v>
      </c>
      <c r="N1655" s="16">
        <v>185</v>
      </c>
      <c r="O1655" s="16" t="s">
        <v>5393</v>
      </c>
    </row>
    <row r="1656" spans="1:15" ht="15.75" customHeight="1" x14ac:dyDescent="0.25">
      <c r="A1656" s="16" t="s">
        <v>30</v>
      </c>
      <c r="B1656" s="16">
        <v>1632895</v>
      </c>
      <c r="C1656" s="16">
        <v>1633347</v>
      </c>
      <c r="E1656" s="16" t="s">
        <v>57</v>
      </c>
      <c r="F1656" s="16" t="s">
        <v>135</v>
      </c>
      <c r="I1656" s="16" t="s">
        <v>50</v>
      </c>
      <c r="L1656" s="16" t="s">
        <v>5394</v>
      </c>
      <c r="M1656" s="16" t="s">
        <v>135</v>
      </c>
      <c r="N1656" s="16">
        <v>150</v>
      </c>
      <c r="O1656" s="16" t="s">
        <v>5395</v>
      </c>
    </row>
    <row r="1657" spans="1:15" ht="15.75" customHeight="1" x14ac:dyDescent="0.25">
      <c r="A1657" s="16" t="s">
        <v>30</v>
      </c>
      <c r="B1657" s="16">
        <v>1633325</v>
      </c>
      <c r="C1657" s="16">
        <v>1633492</v>
      </c>
      <c r="E1657" s="16" t="s">
        <v>57</v>
      </c>
      <c r="F1657" s="16" t="s">
        <v>135</v>
      </c>
      <c r="I1657" s="16" t="s">
        <v>50</v>
      </c>
      <c r="L1657" s="16" t="s">
        <v>5396</v>
      </c>
      <c r="M1657" s="16" t="s">
        <v>135</v>
      </c>
      <c r="N1657" s="16">
        <v>55</v>
      </c>
      <c r="O1657" s="16" t="s">
        <v>5397</v>
      </c>
    </row>
    <row r="1658" spans="1:15" ht="15.75" customHeight="1" x14ac:dyDescent="0.25">
      <c r="A1658" s="16" t="s">
        <v>30</v>
      </c>
      <c r="B1658" s="16">
        <v>1633569</v>
      </c>
      <c r="C1658" s="16">
        <v>1635575</v>
      </c>
      <c r="E1658" s="16" t="s">
        <v>57</v>
      </c>
      <c r="F1658" s="16" t="s">
        <v>169</v>
      </c>
      <c r="I1658" s="16" t="s">
        <v>50</v>
      </c>
      <c r="L1658" s="16" t="s">
        <v>5398</v>
      </c>
      <c r="M1658" s="16" t="s">
        <v>169</v>
      </c>
      <c r="N1658" s="16">
        <v>668</v>
      </c>
      <c r="O1658" s="16" t="s">
        <v>5399</v>
      </c>
    </row>
    <row r="1659" spans="1:15" ht="15.75" customHeight="1" x14ac:dyDescent="0.25">
      <c r="A1659" s="16" t="s">
        <v>30</v>
      </c>
      <c r="B1659" s="16">
        <v>1635609</v>
      </c>
      <c r="C1659" s="16">
        <v>1636376</v>
      </c>
      <c r="E1659" s="16" t="s">
        <v>57</v>
      </c>
      <c r="F1659" s="16" t="s">
        <v>135</v>
      </c>
      <c r="I1659" s="16" t="s">
        <v>50</v>
      </c>
      <c r="L1659" s="16" t="s">
        <v>5400</v>
      </c>
      <c r="M1659" s="16" t="s">
        <v>135</v>
      </c>
      <c r="N1659" s="16">
        <v>255</v>
      </c>
      <c r="O1659" s="16" t="s">
        <v>5401</v>
      </c>
    </row>
    <row r="1660" spans="1:15" ht="15.75" customHeight="1" x14ac:dyDescent="0.25">
      <c r="A1660" s="16" t="s">
        <v>30</v>
      </c>
      <c r="B1660" s="16">
        <v>1636445</v>
      </c>
      <c r="C1660" s="16">
        <v>1636705</v>
      </c>
      <c r="E1660" s="16" t="s">
        <v>48</v>
      </c>
      <c r="F1660" s="16" t="s">
        <v>135</v>
      </c>
      <c r="I1660" s="16" t="s">
        <v>50</v>
      </c>
      <c r="L1660" s="16" t="s">
        <v>5402</v>
      </c>
      <c r="M1660" s="16" t="s">
        <v>135</v>
      </c>
      <c r="N1660" s="16">
        <v>86</v>
      </c>
      <c r="O1660" s="16" t="s">
        <v>5403</v>
      </c>
    </row>
    <row r="1661" spans="1:15" ht="15.75" customHeight="1" x14ac:dyDescent="0.25">
      <c r="A1661" s="16" t="s">
        <v>30</v>
      </c>
      <c r="B1661" s="16">
        <v>1636683</v>
      </c>
      <c r="C1661" s="16">
        <v>1636856</v>
      </c>
      <c r="E1661" s="16" t="s">
        <v>57</v>
      </c>
      <c r="F1661" s="16" t="s">
        <v>198</v>
      </c>
      <c r="I1661" s="16" t="s">
        <v>50</v>
      </c>
      <c r="L1661" s="16" t="s">
        <v>5404</v>
      </c>
      <c r="M1661" s="16" t="s">
        <v>198</v>
      </c>
      <c r="N1661" s="16">
        <v>57</v>
      </c>
      <c r="O1661" s="16" t="s">
        <v>5405</v>
      </c>
    </row>
    <row r="1662" spans="1:15" ht="15.75" customHeight="1" x14ac:dyDescent="0.25">
      <c r="A1662" s="16" t="s">
        <v>30</v>
      </c>
      <c r="B1662" s="16">
        <v>1636932</v>
      </c>
      <c r="C1662" s="16">
        <v>1637270</v>
      </c>
      <c r="E1662" s="16" t="s">
        <v>48</v>
      </c>
      <c r="F1662" s="16" t="s">
        <v>135</v>
      </c>
      <c r="I1662" s="16" t="s">
        <v>50</v>
      </c>
      <c r="L1662" s="16" t="s">
        <v>5406</v>
      </c>
      <c r="M1662" s="16" t="s">
        <v>135</v>
      </c>
      <c r="N1662" s="16">
        <v>112</v>
      </c>
      <c r="O1662" s="16" t="s">
        <v>5407</v>
      </c>
    </row>
    <row r="1663" spans="1:15" ht="15.75" customHeight="1" x14ac:dyDescent="0.25">
      <c r="A1663" s="16" t="s">
        <v>30</v>
      </c>
      <c r="B1663" s="16">
        <v>1637281</v>
      </c>
      <c r="C1663" s="16">
        <v>1637463</v>
      </c>
      <c r="E1663" s="16" t="s">
        <v>57</v>
      </c>
      <c r="F1663" s="16" t="s">
        <v>198</v>
      </c>
      <c r="I1663" s="16" t="s">
        <v>50</v>
      </c>
      <c r="L1663" s="16" t="s">
        <v>5408</v>
      </c>
      <c r="M1663" s="16" t="s">
        <v>198</v>
      </c>
      <c r="N1663" s="16">
        <v>60</v>
      </c>
      <c r="O1663" s="16" t="s">
        <v>5409</v>
      </c>
    </row>
    <row r="1664" spans="1:15" ht="15.75" customHeight="1" x14ac:dyDescent="0.25">
      <c r="A1664" s="16" t="s">
        <v>30</v>
      </c>
      <c r="B1664" s="16">
        <v>1637567</v>
      </c>
      <c r="C1664" s="16">
        <v>1637914</v>
      </c>
      <c r="E1664" s="16" t="s">
        <v>48</v>
      </c>
      <c r="F1664" s="16" t="s">
        <v>135</v>
      </c>
      <c r="I1664" s="16" t="s">
        <v>50</v>
      </c>
      <c r="L1664" s="16" t="s">
        <v>5410</v>
      </c>
      <c r="M1664" s="16" t="s">
        <v>135</v>
      </c>
      <c r="N1664" s="16">
        <v>115</v>
      </c>
      <c r="O1664" s="16" t="s">
        <v>5411</v>
      </c>
    </row>
    <row r="1665" spans="1:15" ht="15.75" customHeight="1" x14ac:dyDescent="0.25">
      <c r="A1665" s="16" t="s">
        <v>30</v>
      </c>
      <c r="B1665" s="16">
        <v>1637915</v>
      </c>
      <c r="C1665" s="16">
        <v>1638376</v>
      </c>
      <c r="E1665" s="16" t="s">
        <v>57</v>
      </c>
      <c r="F1665" s="16" t="s">
        <v>198</v>
      </c>
      <c r="I1665" s="16" t="s">
        <v>50</v>
      </c>
      <c r="L1665" s="16" t="s">
        <v>5412</v>
      </c>
      <c r="M1665" s="16" t="s">
        <v>198</v>
      </c>
      <c r="N1665" s="16">
        <v>153</v>
      </c>
      <c r="O1665" s="16" t="s">
        <v>5413</v>
      </c>
    </row>
    <row r="1666" spans="1:15" ht="15.75" customHeight="1" x14ac:dyDescent="0.25">
      <c r="A1666" s="16" t="s">
        <v>30</v>
      </c>
      <c r="B1666" s="16">
        <v>1638376</v>
      </c>
      <c r="C1666" s="16">
        <v>1638846</v>
      </c>
      <c r="E1666" s="16" t="s">
        <v>57</v>
      </c>
      <c r="F1666" s="16" t="s">
        <v>163</v>
      </c>
      <c r="I1666" s="16" t="s">
        <v>50</v>
      </c>
      <c r="L1666" s="16" t="s">
        <v>5414</v>
      </c>
      <c r="M1666" s="16" t="s">
        <v>163</v>
      </c>
      <c r="N1666" s="16">
        <v>156</v>
      </c>
      <c r="O1666" s="16" t="s">
        <v>5415</v>
      </c>
    </row>
    <row r="1667" spans="1:15" ht="15.75" customHeight="1" x14ac:dyDescent="0.25">
      <c r="A1667" s="16" t="s">
        <v>30</v>
      </c>
      <c r="B1667" s="16">
        <v>1638812</v>
      </c>
      <c r="C1667" s="16">
        <v>1639075</v>
      </c>
      <c r="E1667" s="16" t="s">
        <v>57</v>
      </c>
      <c r="F1667" s="16" t="s">
        <v>135</v>
      </c>
      <c r="I1667" s="16" t="s">
        <v>50</v>
      </c>
      <c r="L1667" s="16" t="s">
        <v>5416</v>
      </c>
      <c r="M1667" s="16" t="s">
        <v>135</v>
      </c>
      <c r="N1667" s="16">
        <v>87</v>
      </c>
      <c r="O1667" s="16" t="s">
        <v>5417</v>
      </c>
    </row>
    <row r="1668" spans="1:15" ht="15.75" customHeight="1" x14ac:dyDescent="0.25">
      <c r="A1668" s="16" t="s">
        <v>30</v>
      </c>
      <c r="B1668" s="16">
        <v>1639072</v>
      </c>
      <c r="C1668" s="16">
        <v>1639287</v>
      </c>
      <c r="E1668" s="16" t="s">
        <v>57</v>
      </c>
      <c r="F1668" s="16" t="s">
        <v>5418</v>
      </c>
      <c r="I1668" s="16" t="s">
        <v>50</v>
      </c>
      <c r="L1668" s="16" t="s">
        <v>5419</v>
      </c>
      <c r="M1668" s="16" t="s">
        <v>5418</v>
      </c>
      <c r="N1668" s="16">
        <v>71</v>
      </c>
      <c r="O1668" s="16" t="s">
        <v>5420</v>
      </c>
    </row>
    <row r="1669" spans="1:15" ht="15.75" customHeight="1" x14ac:dyDescent="0.25">
      <c r="A1669" s="16" t="s">
        <v>30</v>
      </c>
      <c r="B1669" s="16">
        <v>1639284</v>
      </c>
      <c r="C1669" s="16">
        <v>1639547</v>
      </c>
      <c r="E1669" s="16" t="s">
        <v>57</v>
      </c>
      <c r="F1669" s="16" t="s">
        <v>5421</v>
      </c>
      <c r="G1669" s="16" t="s">
        <v>5422</v>
      </c>
      <c r="I1669" s="16" t="s">
        <v>50</v>
      </c>
      <c r="L1669" s="16" t="s">
        <v>5423</v>
      </c>
      <c r="M1669" s="16" t="s">
        <v>5421</v>
      </c>
      <c r="N1669" s="16">
        <v>87</v>
      </c>
      <c r="O1669" s="16" t="s">
        <v>5424</v>
      </c>
    </row>
    <row r="1670" spans="1:15" ht="15.75" customHeight="1" x14ac:dyDescent="0.25">
      <c r="A1670" s="16" t="s">
        <v>30</v>
      </c>
      <c r="B1670" s="16">
        <v>1639462</v>
      </c>
      <c r="C1670" s="16">
        <v>1639812</v>
      </c>
      <c r="E1670" s="16" t="s">
        <v>57</v>
      </c>
      <c r="F1670" s="16" t="s">
        <v>5425</v>
      </c>
      <c r="I1670" s="16" t="s">
        <v>50</v>
      </c>
      <c r="L1670" s="16" t="s">
        <v>5426</v>
      </c>
      <c r="M1670" s="16" t="s">
        <v>5425</v>
      </c>
      <c r="N1670" s="16">
        <v>116</v>
      </c>
      <c r="O1670" s="16" t="s">
        <v>5427</v>
      </c>
    </row>
    <row r="1671" spans="1:15" ht="15.75" customHeight="1" x14ac:dyDescent="0.25">
      <c r="A1671" s="16" t="s">
        <v>30</v>
      </c>
      <c r="B1671" s="16">
        <v>1639797</v>
      </c>
      <c r="C1671" s="16">
        <v>1640315</v>
      </c>
      <c r="E1671" s="16" t="s">
        <v>57</v>
      </c>
      <c r="F1671" s="16" t="s">
        <v>1400</v>
      </c>
      <c r="I1671" s="16" t="s">
        <v>50</v>
      </c>
      <c r="L1671" s="16" t="s">
        <v>5428</v>
      </c>
      <c r="M1671" s="16" t="s">
        <v>1400</v>
      </c>
      <c r="N1671" s="16">
        <v>172</v>
      </c>
      <c r="O1671" s="16" t="s">
        <v>5429</v>
      </c>
    </row>
    <row r="1672" spans="1:15" ht="15.75" customHeight="1" x14ac:dyDescent="0.25">
      <c r="A1672" s="16" t="s">
        <v>30</v>
      </c>
      <c r="B1672" s="16">
        <v>1640308</v>
      </c>
      <c r="C1672" s="16">
        <v>1640529</v>
      </c>
      <c r="E1672" s="16" t="s">
        <v>57</v>
      </c>
      <c r="F1672" s="16" t="s">
        <v>5430</v>
      </c>
      <c r="I1672" s="16" t="s">
        <v>50</v>
      </c>
      <c r="L1672" s="16" t="s">
        <v>5431</v>
      </c>
      <c r="M1672" s="16" t="s">
        <v>5430</v>
      </c>
      <c r="N1672" s="16">
        <v>73</v>
      </c>
      <c r="O1672" s="16" t="s">
        <v>5432</v>
      </c>
    </row>
    <row r="1673" spans="1:15" ht="15.75" customHeight="1" x14ac:dyDescent="0.25">
      <c r="A1673" s="16" t="s">
        <v>30</v>
      </c>
      <c r="B1673" s="16">
        <v>1640531</v>
      </c>
      <c r="C1673" s="16">
        <v>1640740</v>
      </c>
      <c r="E1673" s="16" t="s">
        <v>57</v>
      </c>
      <c r="F1673" s="16" t="s">
        <v>5433</v>
      </c>
      <c r="I1673" s="16" t="s">
        <v>50</v>
      </c>
      <c r="L1673" s="16" t="s">
        <v>5434</v>
      </c>
      <c r="M1673" s="16" t="s">
        <v>5433</v>
      </c>
      <c r="N1673" s="16">
        <v>69</v>
      </c>
      <c r="O1673" s="16" t="s">
        <v>5435</v>
      </c>
    </row>
    <row r="1674" spans="1:15" ht="15.75" customHeight="1" x14ac:dyDescent="0.25">
      <c r="A1674" s="16" t="s">
        <v>30</v>
      </c>
      <c r="B1674" s="16">
        <v>1640740</v>
      </c>
      <c r="C1674" s="16">
        <v>1641246</v>
      </c>
      <c r="E1674" s="16" t="s">
        <v>57</v>
      </c>
      <c r="F1674" s="16" t="s">
        <v>5436</v>
      </c>
      <c r="I1674" s="16" t="s">
        <v>50</v>
      </c>
      <c r="L1674" s="16" t="s">
        <v>5437</v>
      </c>
      <c r="M1674" s="16" t="s">
        <v>5436</v>
      </c>
      <c r="N1674" s="16">
        <v>168</v>
      </c>
      <c r="O1674" s="16" t="s">
        <v>5438</v>
      </c>
    </row>
    <row r="1675" spans="1:15" ht="15.75" customHeight="1" x14ac:dyDescent="0.25">
      <c r="A1675" s="16" t="s">
        <v>30</v>
      </c>
      <c r="B1675" s="16">
        <v>1641540</v>
      </c>
      <c r="C1675" s="16">
        <v>1642190</v>
      </c>
      <c r="E1675" s="16" t="s">
        <v>57</v>
      </c>
      <c r="F1675" s="16" t="s">
        <v>5439</v>
      </c>
      <c r="I1675" s="16" t="s">
        <v>50</v>
      </c>
      <c r="L1675" s="16" t="s">
        <v>5440</v>
      </c>
      <c r="M1675" s="16" t="s">
        <v>5439</v>
      </c>
      <c r="N1675" s="16">
        <v>216</v>
      </c>
      <c r="O1675" s="16" t="s">
        <v>5441</v>
      </c>
    </row>
    <row r="1676" spans="1:15" ht="15.75" customHeight="1" x14ac:dyDescent="0.25">
      <c r="A1676" s="16" t="s">
        <v>30</v>
      </c>
      <c r="B1676" s="16">
        <v>1642202</v>
      </c>
      <c r="C1676" s="16">
        <v>1643251</v>
      </c>
      <c r="E1676" s="16" t="s">
        <v>57</v>
      </c>
      <c r="F1676" s="16" t="s">
        <v>5442</v>
      </c>
      <c r="I1676" s="16" t="s">
        <v>50</v>
      </c>
      <c r="L1676" s="16" t="s">
        <v>5443</v>
      </c>
      <c r="M1676" s="16" t="s">
        <v>5442</v>
      </c>
      <c r="N1676" s="16">
        <v>349</v>
      </c>
      <c r="O1676" s="16" t="s">
        <v>5444</v>
      </c>
    </row>
    <row r="1677" spans="1:15" ht="15.75" customHeight="1" x14ac:dyDescent="0.25">
      <c r="A1677" s="16" t="s">
        <v>30</v>
      </c>
      <c r="B1677" s="16">
        <v>1643273</v>
      </c>
      <c r="C1677" s="16">
        <v>1644088</v>
      </c>
      <c r="E1677" s="16" t="s">
        <v>57</v>
      </c>
      <c r="F1677" s="16" t="s">
        <v>5445</v>
      </c>
      <c r="I1677" s="16" t="s">
        <v>50</v>
      </c>
      <c r="L1677" s="16" t="s">
        <v>5446</v>
      </c>
      <c r="M1677" s="16" t="s">
        <v>5445</v>
      </c>
      <c r="N1677" s="16">
        <v>271</v>
      </c>
      <c r="O1677" s="16" t="s">
        <v>5447</v>
      </c>
    </row>
    <row r="1678" spans="1:15" ht="15.75" customHeight="1" x14ac:dyDescent="0.25">
      <c r="A1678" s="16" t="s">
        <v>30</v>
      </c>
      <c r="B1678" s="16">
        <v>1644253</v>
      </c>
      <c r="C1678" s="16">
        <v>1646034</v>
      </c>
      <c r="E1678" s="16" t="s">
        <v>48</v>
      </c>
      <c r="F1678" s="16" t="s">
        <v>5448</v>
      </c>
      <c r="I1678" s="16" t="s">
        <v>50</v>
      </c>
      <c r="L1678" s="16" t="s">
        <v>5449</v>
      </c>
      <c r="M1678" s="16" t="s">
        <v>5448</v>
      </c>
      <c r="N1678" s="16">
        <v>593</v>
      </c>
      <c r="O1678" s="16" t="s">
        <v>5450</v>
      </c>
    </row>
    <row r="1679" spans="1:15" ht="15.75" customHeight="1" x14ac:dyDescent="0.25">
      <c r="A1679" s="16" t="s">
        <v>30</v>
      </c>
      <c r="B1679" s="16">
        <v>1646044</v>
      </c>
      <c r="C1679" s="16">
        <v>1647054</v>
      </c>
      <c r="E1679" s="16" t="s">
        <v>48</v>
      </c>
      <c r="F1679" s="16" t="s">
        <v>1386</v>
      </c>
      <c r="I1679" s="16" t="s">
        <v>50</v>
      </c>
      <c r="L1679" s="16" t="s">
        <v>5451</v>
      </c>
      <c r="M1679" s="16" t="s">
        <v>1386</v>
      </c>
      <c r="N1679" s="16">
        <v>336</v>
      </c>
      <c r="O1679" s="16" t="s">
        <v>5452</v>
      </c>
    </row>
    <row r="1680" spans="1:15" ht="15.75" customHeight="1" x14ac:dyDescent="0.25">
      <c r="A1680" s="16" t="s">
        <v>30</v>
      </c>
      <c r="B1680" s="16">
        <v>1647536</v>
      </c>
      <c r="C1680" s="16">
        <v>1647691</v>
      </c>
      <c r="E1680" s="16" t="s">
        <v>57</v>
      </c>
      <c r="F1680" s="16" t="s">
        <v>135</v>
      </c>
      <c r="I1680" s="16" t="s">
        <v>50</v>
      </c>
      <c r="L1680" s="16" t="s">
        <v>5453</v>
      </c>
      <c r="M1680" s="16" t="s">
        <v>135</v>
      </c>
      <c r="N1680" s="16">
        <v>51</v>
      </c>
      <c r="O1680" s="16" t="s">
        <v>5454</v>
      </c>
    </row>
    <row r="1681" spans="1:15" ht="15.75" customHeight="1" x14ac:dyDescent="0.25">
      <c r="A1681" s="16" t="s">
        <v>30</v>
      </c>
      <c r="B1681" s="16">
        <v>1647763</v>
      </c>
      <c r="C1681" s="16">
        <v>1648437</v>
      </c>
      <c r="E1681" s="16" t="s">
        <v>57</v>
      </c>
      <c r="F1681" s="16" t="s">
        <v>5455</v>
      </c>
      <c r="I1681" s="16" t="s">
        <v>50</v>
      </c>
      <c r="L1681" s="16" t="s">
        <v>5456</v>
      </c>
      <c r="M1681" s="16" t="s">
        <v>5455</v>
      </c>
      <c r="N1681" s="16">
        <v>224</v>
      </c>
      <c r="O1681" s="16" t="s">
        <v>5457</v>
      </c>
    </row>
    <row r="1682" spans="1:15" ht="15.75" customHeight="1" x14ac:dyDescent="0.25">
      <c r="A1682" s="16" t="s">
        <v>30</v>
      </c>
      <c r="B1682" s="16">
        <v>1648551</v>
      </c>
      <c r="C1682" s="16">
        <v>1649213</v>
      </c>
      <c r="E1682" s="16" t="s">
        <v>48</v>
      </c>
      <c r="F1682" s="16" t="s">
        <v>2348</v>
      </c>
      <c r="I1682" s="16" t="s">
        <v>50</v>
      </c>
      <c r="L1682" s="16" t="s">
        <v>5458</v>
      </c>
      <c r="M1682" s="16" t="s">
        <v>2348</v>
      </c>
      <c r="N1682" s="16">
        <v>220</v>
      </c>
      <c r="O1682" s="16" t="s">
        <v>5459</v>
      </c>
    </row>
    <row r="1683" spans="1:15" ht="15.75" customHeight="1" x14ac:dyDescent="0.25">
      <c r="A1683" s="16" t="s">
        <v>30</v>
      </c>
      <c r="B1683" s="16">
        <v>1649260</v>
      </c>
      <c r="C1683" s="16">
        <v>1650372</v>
      </c>
      <c r="E1683" s="16" t="s">
        <v>57</v>
      </c>
      <c r="F1683" s="16" t="s">
        <v>5460</v>
      </c>
      <c r="G1683" s="16" t="s">
        <v>5461</v>
      </c>
      <c r="I1683" s="16" t="s">
        <v>50</v>
      </c>
      <c r="L1683" s="16" t="s">
        <v>5462</v>
      </c>
      <c r="M1683" s="16" t="s">
        <v>5460</v>
      </c>
      <c r="N1683" s="16">
        <v>370</v>
      </c>
      <c r="O1683" s="16" t="s">
        <v>5463</v>
      </c>
    </row>
    <row r="1684" spans="1:15" ht="15.75" customHeight="1" x14ac:dyDescent="0.25">
      <c r="A1684" s="16" t="s">
        <v>30</v>
      </c>
      <c r="B1684" s="16">
        <v>1650523</v>
      </c>
      <c r="C1684" s="16">
        <v>1652571</v>
      </c>
      <c r="E1684" s="16" t="s">
        <v>48</v>
      </c>
      <c r="F1684" s="16" t="s">
        <v>5464</v>
      </c>
      <c r="G1684" s="16" t="s">
        <v>5465</v>
      </c>
      <c r="I1684" s="16" t="s">
        <v>50</v>
      </c>
      <c r="L1684" s="16" t="s">
        <v>5466</v>
      </c>
      <c r="M1684" s="16" t="s">
        <v>5464</v>
      </c>
      <c r="N1684" s="16">
        <v>682</v>
      </c>
      <c r="O1684" s="16" t="s">
        <v>5467</v>
      </c>
    </row>
    <row r="1685" spans="1:15" ht="15.75" customHeight="1" x14ac:dyDescent="0.25">
      <c r="A1685" s="16" t="s">
        <v>30</v>
      </c>
      <c r="B1685" s="16">
        <v>1652682</v>
      </c>
      <c r="C1685" s="16">
        <v>1653542</v>
      </c>
      <c r="E1685" s="16" t="s">
        <v>48</v>
      </c>
      <c r="F1685" s="16" t="s">
        <v>5468</v>
      </c>
      <c r="G1685" s="16" t="s">
        <v>5469</v>
      </c>
      <c r="I1685" s="16" t="s">
        <v>50</v>
      </c>
      <c r="L1685" s="16" t="s">
        <v>5470</v>
      </c>
      <c r="M1685" s="16" t="s">
        <v>5468</v>
      </c>
      <c r="N1685" s="16">
        <v>286</v>
      </c>
      <c r="O1685" s="16" t="s">
        <v>5471</v>
      </c>
    </row>
    <row r="1686" spans="1:15" ht="15.75" customHeight="1" x14ac:dyDescent="0.25">
      <c r="A1686" s="16" t="s">
        <v>30</v>
      </c>
      <c r="B1686" s="16">
        <v>1653586</v>
      </c>
      <c r="C1686" s="16">
        <v>1654287</v>
      </c>
      <c r="E1686" s="16" t="s">
        <v>57</v>
      </c>
      <c r="F1686" s="16" t="s">
        <v>5472</v>
      </c>
      <c r="G1686" s="16" t="s">
        <v>5473</v>
      </c>
      <c r="I1686" s="16" t="s">
        <v>50</v>
      </c>
      <c r="L1686" s="16" t="s">
        <v>5474</v>
      </c>
      <c r="M1686" s="16" t="s">
        <v>5472</v>
      </c>
      <c r="N1686" s="16">
        <v>233</v>
      </c>
      <c r="O1686" s="16" t="s">
        <v>5475</v>
      </c>
    </row>
    <row r="1687" spans="1:15" ht="15.75" customHeight="1" x14ac:dyDescent="0.25">
      <c r="A1687" s="16" t="s">
        <v>30</v>
      </c>
      <c r="B1687" s="16">
        <v>1654339</v>
      </c>
      <c r="C1687" s="16">
        <v>1655145</v>
      </c>
      <c r="E1687" s="16" t="s">
        <v>57</v>
      </c>
      <c r="F1687" s="16" t="s">
        <v>323</v>
      </c>
      <c r="I1687" s="16" t="s">
        <v>50</v>
      </c>
      <c r="L1687" s="16" t="s">
        <v>5476</v>
      </c>
      <c r="M1687" s="16" t="s">
        <v>323</v>
      </c>
      <c r="N1687" s="16">
        <v>268</v>
      </c>
      <c r="O1687" s="16" t="s">
        <v>5477</v>
      </c>
    </row>
    <row r="1688" spans="1:15" ht="15.75" customHeight="1" x14ac:dyDescent="0.25">
      <c r="A1688" s="16" t="s">
        <v>30</v>
      </c>
      <c r="B1688" s="16">
        <v>1655381</v>
      </c>
      <c r="C1688" s="16">
        <v>1655857</v>
      </c>
      <c r="E1688" s="16" t="s">
        <v>48</v>
      </c>
      <c r="F1688" s="16" t="s">
        <v>135</v>
      </c>
      <c r="I1688" s="16" t="s">
        <v>50</v>
      </c>
      <c r="L1688" s="16" t="s">
        <v>5478</v>
      </c>
      <c r="M1688" s="16" t="s">
        <v>135</v>
      </c>
      <c r="N1688" s="16">
        <v>158</v>
      </c>
      <c r="O1688" s="16" t="s">
        <v>5479</v>
      </c>
    </row>
    <row r="1689" spans="1:15" ht="15.75" customHeight="1" x14ac:dyDescent="0.25">
      <c r="A1689" s="16" t="s">
        <v>30</v>
      </c>
      <c r="B1689" s="16">
        <v>1655994</v>
      </c>
      <c r="C1689" s="16">
        <v>1657757</v>
      </c>
      <c r="E1689" s="16" t="s">
        <v>48</v>
      </c>
      <c r="F1689" s="16" t="s">
        <v>5480</v>
      </c>
      <c r="I1689" s="16" t="s">
        <v>50</v>
      </c>
      <c r="L1689" s="16" t="s">
        <v>5481</v>
      </c>
      <c r="M1689" s="16" t="s">
        <v>5480</v>
      </c>
      <c r="N1689" s="16">
        <v>587</v>
      </c>
      <c r="O1689" s="16" t="s">
        <v>5482</v>
      </c>
    </row>
    <row r="1690" spans="1:15" ht="15.75" customHeight="1" x14ac:dyDescent="0.25">
      <c r="A1690" s="16" t="s">
        <v>30</v>
      </c>
      <c r="B1690" s="16">
        <v>1658357</v>
      </c>
      <c r="C1690" s="16">
        <v>1660999</v>
      </c>
      <c r="E1690" s="16" t="s">
        <v>48</v>
      </c>
      <c r="F1690" s="16" t="s">
        <v>5483</v>
      </c>
      <c r="G1690" s="16" t="s">
        <v>5484</v>
      </c>
      <c r="I1690" s="16" t="s">
        <v>50</v>
      </c>
      <c r="L1690" s="16" t="s">
        <v>5485</v>
      </c>
      <c r="M1690" s="16" t="s">
        <v>5483</v>
      </c>
      <c r="N1690" s="16">
        <v>880</v>
      </c>
      <c r="O1690" s="16" t="s">
        <v>5486</v>
      </c>
    </row>
    <row r="1691" spans="1:15" ht="15.75" customHeight="1" x14ac:dyDescent="0.25">
      <c r="A1691" s="16" t="s">
        <v>30</v>
      </c>
      <c r="B1691" s="16">
        <v>1661054</v>
      </c>
      <c r="C1691" s="16">
        <v>1662130</v>
      </c>
      <c r="E1691" s="16" t="s">
        <v>57</v>
      </c>
      <c r="F1691" s="16" t="s">
        <v>5487</v>
      </c>
      <c r="I1691" s="16" t="s">
        <v>50</v>
      </c>
      <c r="L1691" s="16" t="s">
        <v>5488</v>
      </c>
      <c r="M1691" s="16" t="s">
        <v>5487</v>
      </c>
      <c r="N1691" s="16">
        <v>358</v>
      </c>
      <c r="O1691" s="16" t="s">
        <v>5489</v>
      </c>
    </row>
    <row r="1692" spans="1:15" ht="15.75" customHeight="1" x14ac:dyDescent="0.25">
      <c r="A1692" s="16" t="s">
        <v>30</v>
      </c>
      <c r="B1692" s="16">
        <v>1662288</v>
      </c>
      <c r="C1692" s="16">
        <v>1662968</v>
      </c>
      <c r="E1692" s="16" t="s">
        <v>48</v>
      </c>
      <c r="F1692" s="16" t="s">
        <v>5490</v>
      </c>
      <c r="I1692" s="16" t="s">
        <v>50</v>
      </c>
      <c r="L1692" s="16" t="s">
        <v>5491</v>
      </c>
      <c r="M1692" s="16" t="s">
        <v>5490</v>
      </c>
      <c r="N1692" s="16">
        <v>226</v>
      </c>
      <c r="O1692" s="16" t="s">
        <v>5492</v>
      </c>
    </row>
    <row r="1693" spans="1:15" ht="15.75" customHeight="1" x14ac:dyDescent="0.25">
      <c r="A1693" s="16" t="s">
        <v>30</v>
      </c>
      <c r="B1693" s="16">
        <v>1663256</v>
      </c>
      <c r="C1693" s="16">
        <v>1664560</v>
      </c>
      <c r="E1693" s="16" t="s">
        <v>57</v>
      </c>
      <c r="F1693" s="16" t="s">
        <v>5493</v>
      </c>
      <c r="G1693" s="16" t="s">
        <v>5494</v>
      </c>
      <c r="I1693" s="16" t="s">
        <v>50</v>
      </c>
      <c r="L1693" s="16" t="s">
        <v>5495</v>
      </c>
      <c r="M1693" s="16" t="s">
        <v>5493</v>
      </c>
      <c r="N1693" s="16">
        <v>434</v>
      </c>
      <c r="O1693" s="16" t="s">
        <v>5496</v>
      </c>
    </row>
    <row r="1694" spans="1:15" ht="15.75" customHeight="1" x14ac:dyDescent="0.25">
      <c r="A1694" s="16" t="s">
        <v>30</v>
      </c>
      <c r="B1694" s="16">
        <v>1664562</v>
      </c>
      <c r="C1694" s="16">
        <v>1665452</v>
      </c>
      <c r="E1694" s="16" t="s">
        <v>57</v>
      </c>
      <c r="F1694" s="16" t="s">
        <v>5497</v>
      </c>
      <c r="G1694" s="16" t="s">
        <v>5498</v>
      </c>
      <c r="I1694" s="16" t="s">
        <v>50</v>
      </c>
      <c r="L1694" s="16" t="s">
        <v>5499</v>
      </c>
      <c r="M1694" s="16" t="s">
        <v>5497</v>
      </c>
      <c r="N1694" s="16">
        <v>296</v>
      </c>
      <c r="O1694" s="16" t="s">
        <v>5500</v>
      </c>
    </row>
    <row r="1695" spans="1:15" ht="15.75" customHeight="1" x14ac:dyDescent="0.25">
      <c r="A1695" s="16" t="s">
        <v>30</v>
      </c>
      <c r="B1695" s="16">
        <v>1665646</v>
      </c>
      <c r="C1695" s="16">
        <v>1667037</v>
      </c>
      <c r="E1695" s="16" t="s">
        <v>48</v>
      </c>
      <c r="F1695" s="16" t="s">
        <v>5501</v>
      </c>
      <c r="I1695" s="16" t="s">
        <v>50</v>
      </c>
      <c r="L1695" s="16" t="s">
        <v>5502</v>
      </c>
      <c r="M1695" s="16" t="s">
        <v>5501</v>
      </c>
      <c r="N1695" s="16">
        <v>463</v>
      </c>
      <c r="O1695" s="16" t="s">
        <v>5503</v>
      </c>
    </row>
    <row r="1696" spans="1:15" ht="15.75" customHeight="1" x14ac:dyDescent="0.25">
      <c r="A1696" s="16" t="s">
        <v>30</v>
      </c>
      <c r="B1696" s="16">
        <v>1667090</v>
      </c>
      <c r="C1696" s="16">
        <v>1670530</v>
      </c>
      <c r="E1696" s="16" t="s">
        <v>57</v>
      </c>
      <c r="F1696" s="16" t="s">
        <v>5504</v>
      </c>
      <c r="G1696" s="16" t="s">
        <v>5505</v>
      </c>
      <c r="I1696" s="16" t="s">
        <v>50</v>
      </c>
      <c r="L1696" s="16" t="s">
        <v>5506</v>
      </c>
      <c r="M1696" s="16" t="s">
        <v>5504</v>
      </c>
      <c r="N1696" s="16">
        <v>1146</v>
      </c>
      <c r="O1696" s="16" t="s">
        <v>5507</v>
      </c>
    </row>
    <row r="1697" spans="1:15" ht="15.75" customHeight="1" x14ac:dyDescent="0.25">
      <c r="A1697" s="16" t="s">
        <v>30</v>
      </c>
      <c r="B1697" s="16">
        <v>1670632</v>
      </c>
      <c r="C1697" s="16">
        <v>1670805</v>
      </c>
      <c r="E1697" s="16" t="s">
        <v>57</v>
      </c>
      <c r="F1697" s="16" t="s">
        <v>5508</v>
      </c>
      <c r="I1697" s="16" t="s">
        <v>50</v>
      </c>
      <c r="L1697" s="16" t="s">
        <v>5509</v>
      </c>
      <c r="M1697" s="16" t="s">
        <v>5508</v>
      </c>
      <c r="N1697" s="16">
        <v>57</v>
      </c>
      <c r="O1697" s="16" t="s">
        <v>5510</v>
      </c>
    </row>
    <row r="1698" spans="1:15" ht="15.75" customHeight="1" x14ac:dyDescent="0.25">
      <c r="A1698" s="16" t="s">
        <v>30</v>
      </c>
      <c r="B1698" s="16">
        <v>1670802</v>
      </c>
      <c r="C1698" s="16">
        <v>1672772</v>
      </c>
      <c r="E1698" s="16" t="s">
        <v>57</v>
      </c>
      <c r="F1698" s="16" t="s">
        <v>2444</v>
      </c>
      <c r="I1698" s="16" t="s">
        <v>50</v>
      </c>
      <c r="L1698" s="16" t="s">
        <v>5511</v>
      </c>
      <c r="M1698" s="16" t="s">
        <v>2444</v>
      </c>
      <c r="N1698" s="16">
        <v>656</v>
      </c>
      <c r="O1698" s="16" t="s">
        <v>5512</v>
      </c>
    </row>
    <row r="1699" spans="1:15" ht="15.75" customHeight="1" x14ac:dyDescent="0.25">
      <c r="A1699" s="16" t="s">
        <v>30</v>
      </c>
      <c r="B1699" s="16">
        <v>1672777</v>
      </c>
      <c r="C1699" s="16">
        <v>1673118</v>
      </c>
      <c r="E1699" s="16" t="s">
        <v>57</v>
      </c>
      <c r="F1699" s="16" t="s">
        <v>5513</v>
      </c>
      <c r="I1699" s="16" t="s">
        <v>50</v>
      </c>
      <c r="L1699" s="16" t="s">
        <v>5514</v>
      </c>
      <c r="M1699" s="16" t="s">
        <v>5513</v>
      </c>
      <c r="N1699" s="16">
        <v>113</v>
      </c>
      <c r="O1699" s="16" t="s">
        <v>5515</v>
      </c>
    </row>
    <row r="1700" spans="1:15" ht="15.75" customHeight="1" x14ac:dyDescent="0.25">
      <c r="A1700" s="16" t="s">
        <v>30</v>
      </c>
      <c r="B1700" s="16">
        <v>1673180</v>
      </c>
      <c r="C1700" s="16">
        <v>1674850</v>
      </c>
      <c r="E1700" s="16" t="s">
        <v>57</v>
      </c>
      <c r="F1700" s="16" t="s">
        <v>5516</v>
      </c>
      <c r="G1700" s="16" t="s">
        <v>5517</v>
      </c>
      <c r="I1700" s="16" t="s">
        <v>50</v>
      </c>
      <c r="L1700" s="16" t="s">
        <v>5518</v>
      </c>
      <c r="M1700" s="16" t="s">
        <v>5516</v>
      </c>
      <c r="N1700" s="16">
        <v>556</v>
      </c>
      <c r="O1700" s="16" t="s">
        <v>5519</v>
      </c>
    </row>
    <row r="1701" spans="1:15" ht="15.75" customHeight="1" x14ac:dyDescent="0.25">
      <c r="A1701" s="16" t="s">
        <v>30</v>
      </c>
      <c r="B1701" s="16">
        <v>1675013</v>
      </c>
      <c r="C1701" s="16">
        <v>1675336</v>
      </c>
      <c r="E1701" s="16" t="s">
        <v>57</v>
      </c>
      <c r="F1701" s="16" t="s">
        <v>5520</v>
      </c>
      <c r="I1701" s="16" t="s">
        <v>50</v>
      </c>
      <c r="L1701" s="16" t="s">
        <v>5521</v>
      </c>
      <c r="M1701" s="16" t="s">
        <v>5520</v>
      </c>
      <c r="N1701" s="16">
        <v>107</v>
      </c>
      <c r="O1701" s="16" t="s">
        <v>5522</v>
      </c>
    </row>
    <row r="1702" spans="1:15" ht="15.75" customHeight="1" x14ac:dyDescent="0.25">
      <c r="A1702" s="16" t="s">
        <v>30</v>
      </c>
      <c r="B1702" s="16">
        <v>1675347</v>
      </c>
      <c r="C1702" s="16">
        <v>1675652</v>
      </c>
      <c r="E1702" s="16" t="s">
        <v>57</v>
      </c>
      <c r="F1702" s="16" t="s">
        <v>1363</v>
      </c>
      <c r="I1702" s="16" t="s">
        <v>50</v>
      </c>
      <c r="L1702" s="16" t="s">
        <v>5523</v>
      </c>
      <c r="M1702" s="16" t="s">
        <v>1363</v>
      </c>
      <c r="N1702" s="16">
        <v>101</v>
      </c>
      <c r="O1702" s="16" t="s">
        <v>5524</v>
      </c>
    </row>
    <row r="1703" spans="1:15" ht="15.75" customHeight="1" x14ac:dyDescent="0.25">
      <c r="A1703" s="16" t="s">
        <v>30</v>
      </c>
      <c r="B1703" s="16">
        <v>1675977</v>
      </c>
      <c r="C1703" s="16">
        <v>1676597</v>
      </c>
      <c r="E1703" s="16" t="s">
        <v>48</v>
      </c>
      <c r="F1703" s="16" t="s">
        <v>5525</v>
      </c>
      <c r="G1703" s="16" t="s">
        <v>5526</v>
      </c>
      <c r="I1703" s="16" t="s">
        <v>50</v>
      </c>
      <c r="L1703" s="16" t="s">
        <v>5527</v>
      </c>
      <c r="M1703" s="16" t="s">
        <v>5525</v>
      </c>
      <c r="N1703" s="16">
        <v>206</v>
      </c>
      <c r="O1703" s="16" t="s">
        <v>5528</v>
      </c>
    </row>
    <row r="1704" spans="1:15" ht="15.75" customHeight="1" x14ac:dyDescent="0.25">
      <c r="A1704" s="16" t="s">
        <v>30</v>
      </c>
      <c r="B1704" s="16">
        <v>1676600</v>
      </c>
      <c r="C1704" s="16">
        <v>1677568</v>
      </c>
      <c r="E1704" s="16" t="s">
        <v>48</v>
      </c>
      <c r="F1704" s="16" t="s">
        <v>5529</v>
      </c>
      <c r="G1704" s="16" t="s">
        <v>5530</v>
      </c>
      <c r="I1704" s="16" t="s">
        <v>50</v>
      </c>
      <c r="L1704" s="16" t="s">
        <v>5531</v>
      </c>
      <c r="M1704" s="16" t="s">
        <v>5529</v>
      </c>
      <c r="N1704" s="16">
        <v>322</v>
      </c>
      <c r="O1704" s="16" t="s">
        <v>5532</v>
      </c>
    </row>
    <row r="1705" spans="1:15" ht="15.75" customHeight="1" x14ac:dyDescent="0.25">
      <c r="A1705" s="16" t="s">
        <v>30</v>
      </c>
      <c r="B1705" s="16">
        <v>1677671</v>
      </c>
      <c r="C1705" s="16">
        <v>1677746</v>
      </c>
      <c r="E1705" s="16" t="s">
        <v>57</v>
      </c>
      <c r="F1705" s="16" t="s">
        <v>2837</v>
      </c>
      <c r="I1705" s="16" t="s">
        <v>290</v>
      </c>
      <c r="O1705" s="16" t="s">
        <v>5533</v>
      </c>
    </row>
    <row r="1706" spans="1:15" ht="15.75" customHeight="1" x14ac:dyDescent="0.25">
      <c r="A1706" s="16" t="s">
        <v>30</v>
      </c>
      <c r="B1706" s="16">
        <v>1678183</v>
      </c>
      <c r="C1706" s="16">
        <v>1680222</v>
      </c>
      <c r="E1706" s="16" t="s">
        <v>48</v>
      </c>
      <c r="F1706" s="16" t="s">
        <v>5534</v>
      </c>
      <c r="G1706" s="16" t="s">
        <v>5535</v>
      </c>
      <c r="I1706" s="16" t="s">
        <v>50</v>
      </c>
      <c r="L1706" s="16" t="s">
        <v>5536</v>
      </c>
      <c r="M1706" s="16" t="s">
        <v>5534</v>
      </c>
      <c r="N1706" s="16">
        <v>679</v>
      </c>
      <c r="O1706" s="16" t="s">
        <v>5537</v>
      </c>
    </row>
    <row r="1707" spans="1:15" ht="15.75" customHeight="1" x14ac:dyDescent="0.25">
      <c r="A1707" s="16" t="s">
        <v>30</v>
      </c>
      <c r="B1707" s="16">
        <v>1680253</v>
      </c>
      <c r="C1707" s="16">
        <v>1682178</v>
      </c>
      <c r="E1707" s="16" t="s">
        <v>57</v>
      </c>
      <c r="F1707" s="16" t="s">
        <v>5538</v>
      </c>
      <c r="I1707" s="16" t="s">
        <v>50</v>
      </c>
      <c r="L1707" s="16" t="s">
        <v>5539</v>
      </c>
      <c r="M1707" s="16" t="s">
        <v>5538</v>
      </c>
      <c r="N1707" s="16">
        <v>641</v>
      </c>
      <c r="O1707" s="16" t="s">
        <v>5540</v>
      </c>
    </row>
    <row r="1708" spans="1:15" ht="15.75" customHeight="1" x14ac:dyDescent="0.25">
      <c r="A1708" s="16" t="s">
        <v>30</v>
      </c>
      <c r="B1708" s="16">
        <v>1682403</v>
      </c>
      <c r="C1708" s="16">
        <v>1684673</v>
      </c>
      <c r="E1708" s="16" t="s">
        <v>57</v>
      </c>
      <c r="F1708" s="16" t="s">
        <v>5541</v>
      </c>
      <c r="I1708" s="16" t="s">
        <v>50</v>
      </c>
      <c r="L1708" s="16" t="s">
        <v>5542</v>
      </c>
      <c r="M1708" s="16" t="s">
        <v>5541</v>
      </c>
      <c r="N1708" s="16">
        <v>756</v>
      </c>
      <c r="O1708" s="16" t="s">
        <v>5543</v>
      </c>
    </row>
    <row r="1709" spans="1:15" ht="15.75" customHeight="1" x14ac:dyDescent="0.25">
      <c r="A1709" s="16" t="s">
        <v>30</v>
      </c>
      <c r="B1709" s="16">
        <v>1684871</v>
      </c>
      <c r="C1709" s="16">
        <v>1685491</v>
      </c>
      <c r="E1709" s="16" t="s">
        <v>48</v>
      </c>
      <c r="F1709" s="16" t="s">
        <v>5544</v>
      </c>
      <c r="I1709" s="16" t="s">
        <v>50</v>
      </c>
      <c r="L1709" s="16" t="s">
        <v>5545</v>
      </c>
      <c r="M1709" s="16" t="s">
        <v>5544</v>
      </c>
      <c r="N1709" s="16">
        <v>206</v>
      </c>
      <c r="O1709" s="16" t="s">
        <v>5546</v>
      </c>
    </row>
    <row r="1710" spans="1:15" ht="15.75" customHeight="1" x14ac:dyDescent="0.25">
      <c r="A1710" s="16" t="s">
        <v>30</v>
      </c>
      <c r="B1710" s="16">
        <v>1685587</v>
      </c>
      <c r="C1710" s="16">
        <v>1686285</v>
      </c>
      <c r="E1710" s="16" t="s">
        <v>48</v>
      </c>
      <c r="F1710" s="16" t="s">
        <v>5547</v>
      </c>
      <c r="G1710" s="16" t="s">
        <v>5548</v>
      </c>
      <c r="I1710" s="16" t="s">
        <v>50</v>
      </c>
      <c r="L1710" s="16" t="s">
        <v>5549</v>
      </c>
      <c r="M1710" s="16" t="s">
        <v>5547</v>
      </c>
      <c r="N1710" s="16">
        <v>232</v>
      </c>
      <c r="O1710" s="16" t="s">
        <v>5550</v>
      </c>
    </row>
    <row r="1711" spans="1:15" ht="15.75" customHeight="1" x14ac:dyDescent="0.25">
      <c r="A1711" s="16" t="s">
        <v>30</v>
      </c>
      <c r="B1711" s="16">
        <v>1686287</v>
      </c>
      <c r="C1711" s="16">
        <v>1687483</v>
      </c>
      <c r="E1711" s="16" t="s">
        <v>48</v>
      </c>
      <c r="F1711" s="16" t="s">
        <v>5551</v>
      </c>
      <c r="I1711" s="16" t="s">
        <v>50</v>
      </c>
      <c r="L1711" s="16" t="s">
        <v>5552</v>
      </c>
      <c r="M1711" s="16" t="s">
        <v>5551</v>
      </c>
      <c r="N1711" s="16">
        <v>398</v>
      </c>
      <c r="O1711" s="16" t="s">
        <v>5553</v>
      </c>
    </row>
    <row r="1712" spans="1:15" ht="15.75" customHeight="1" x14ac:dyDescent="0.25">
      <c r="A1712" s="16" t="s">
        <v>30</v>
      </c>
      <c r="B1712" s="16">
        <v>1687516</v>
      </c>
      <c r="C1712" s="16">
        <v>1688316</v>
      </c>
      <c r="E1712" s="16" t="s">
        <v>57</v>
      </c>
      <c r="F1712" s="16" t="s">
        <v>135</v>
      </c>
      <c r="I1712" s="16" t="s">
        <v>50</v>
      </c>
      <c r="L1712" s="16" t="s">
        <v>5554</v>
      </c>
      <c r="M1712" s="16" t="s">
        <v>135</v>
      </c>
      <c r="N1712" s="16">
        <v>266</v>
      </c>
      <c r="O1712" s="16" t="s">
        <v>5555</v>
      </c>
    </row>
    <row r="1713" spans="1:15" ht="15.75" customHeight="1" x14ac:dyDescent="0.25">
      <c r="A1713" s="16" t="s">
        <v>30</v>
      </c>
      <c r="B1713" s="16">
        <v>1688415</v>
      </c>
      <c r="C1713" s="16">
        <v>1689077</v>
      </c>
      <c r="E1713" s="16" t="s">
        <v>48</v>
      </c>
      <c r="F1713" s="16" t="s">
        <v>5556</v>
      </c>
      <c r="I1713" s="16" t="s">
        <v>50</v>
      </c>
      <c r="L1713" s="16" t="s">
        <v>5557</v>
      </c>
      <c r="M1713" s="16" t="s">
        <v>5556</v>
      </c>
      <c r="N1713" s="16">
        <v>220</v>
      </c>
      <c r="O1713" s="16" t="s">
        <v>5558</v>
      </c>
    </row>
    <row r="1714" spans="1:15" ht="15.75" customHeight="1" x14ac:dyDescent="0.25">
      <c r="A1714" s="16" t="s">
        <v>30</v>
      </c>
      <c r="B1714" s="16">
        <v>1689098</v>
      </c>
      <c r="C1714" s="16">
        <v>1690351</v>
      </c>
      <c r="E1714" s="16" t="s">
        <v>48</v>
      </c>
      <c r="F1714" s="16" t="s">
        <v>5559</v>
      </c>
      <c r="G1714" s="16" t="s">
        <v>5560</v>
      </c>
      <c r="I1714" s="16" t="s">
        <v>50</v>
      </c>
      <c r="L1714" s="16" t="s">
        <v>5561</v>
      </c>
      <c r="M1714" s="16" t="s">
        <v>5559</v>
      </c>
      <c r="N1714" s="16">
        <v>417</v>
      </c>
      <c r="O1714" s="16" t="s">
        <v>5562</v>
      </c>
    </row>
    <row r="1715" spans="1:15" ht="15.75" customHeight="1" x14ac:dyDescent="0.25">
      <c r="A1715" s="16" t="s">
        <v>30</v>
      </c>
      <c r="B1715" s="16">
        <v>1690446</v>
      </c>
      <c r="C1715" s="16">
        <v>1691594</v>
      </c>
      <c r="E1715" s="16" t="s">
        <v>57</v>
      </c>
      <c r="F1715" s="16" t="s">
        <v>5563</v>
      </c>
      <c r="G1715" s="16" t="s">
        <v>5564</v>
      </c>
      <c r="I1715" s="16" t="s">
        <v>50</v>
      </c>
      <c r="L1715" s="16" t="s">
        <v>5565</v>
      </c>
      <c r="M1715" s="16" t="s">
        <v>5563</v>
      </c>
      <c r="N1715" s="16">
        <v>382</v>
      </c>
      <c r="O1715" s="16" t="s">
        <v>5566</v>
      </c>
    </row>
    <row r="1716" spans="1:15" ht="15.75" customHeight="1" x14ac:dyDescent="0.25">
      <c r="A1716" s="16" t="s">
        <v>30</v>
      </c>
      <c r="B1716" s="16">
        <v>1691681</v>
      </c>
      <c r="C1716" s="16">
        <v>1693588</v>
      </c>
      <c r="E1716" s="16" t="s">
        <v>57</v>
      </c>
      <c r="F1716" s="16" t="s">
        <v>5567</v>
      </c>
      <c r="G1716" s="16" t="s">
        <v>5568</v>
      </c>
      <c r="I1716" s="16" t="s">
        <v>50</v>
      </c>
      <c r="L1716" s="16" t="s">
        <v>5569</v>
      </c>
      <c r="M1716" s="16" t="s">
        <v>5567</v>
      </c>
      <c r="N1716" s="16">
        <v>635</v>
      </c>
      <c r="O1716" s="16" t="s">
        <v>5570</v>
      </c>
    </row>
    <row r="1717" spans="1:15" ht="15.75" customHeight="1" x14ac:dyDescent="0.25">
      <c r="A1717" s="16" t="s">
        <v>30</v>
      </c>
      <c r="B1717" s="16">
        <v>1693855</v>
      </c>
      <c r="C1717" s="16">
        <v>1695297</v>
      </c>
      <c r="E1717" s="16" t="s">
        <v>48</v>
      </c>
      <c r="F1717" s="16" t="s">
        <v>5571</v>
      </c>
      <c r="I1717" s="16" t="s">
        <v>50</v>
      </c>
      <c r="L1717" s="16" t="s">
        <v>5572</v>
      </c>
      <c r="M1717" s="16" t="s">
        <v>5571</v>
      </c>
      <c r="N1717" s="16">
        <v>480</v>
      </c>
      <c r="O1717" s="16" t="s">
        <v>5573</v>
      </c>
    </row>
    <row r="1718" spans="1:15" ht="15.75" customHeight="1" x14ac:dyDescent="0.25">
      <c r="A1718" s="16" t="s">
        <v>30</v>
      </c>
      <c r="B1718" s="16">
        <v>1695454</v>
      </c>
      <c r="C1718" s="16">
        <v>1695912</v>
      </c>
      <c r="E1718" s="16" t="s">
        <v>57</v>
      </c>
      <c r="F1718" s="16" t="s">
        <v>5574</v>
      </c>
      <c r="G1718" s="16" t="s">
        <v>5575</v>
      </c>
      <c r="I1718" s="16" t="s">
        <v>50</v>
      </c>
      <c r="L1718" s="16" t="s">
        <v>5576</v>
      </c>
      <c r="M1718" s="16" t="s">
        <v>5574</v>
      </c>
      <c r="N1718" s="16">
        <v>152</v>
      </c>
      <c r="O1718" s="16" t="s">
        <v>5577</v>
      </c>
    </row>
    <row r="1719" spans="1:15" ht="15.75" customHeight="1" x14ac:dyDescent="0.25">
      <c r="A1719" s="16" t="s">
        <v>30</v>
      </c>
      <c r="B1719" s="16">
        <v>1696212</v>
      </c>
      <c r="C1719" s="16">
        <v>1698872</v>
      </c>
      <c r="E1719" s="16" t="s">
        <v>48</v>
      </c>
      <c r="F1719" s="16" t="s">
        <v>5578</v>
      </c>
      <c r="G1719" s="16" t="s">
        <v>5579</v>
      </c>
      <c r="I1719" s="16" t="s">
        <v>50</v>
      </c>
      <c r="L1719" s="16" t="s">
        <v>5580</v>
      </c>
      <c r="M1719" s="16" t="s">
        <v>5578</v>
      </c>
      <c r="N1719" s="16">
        <v>886</v>
      </c>
      <c r="O1719" s="16" t="s">
        <v>5581</v>
      </c>
    </row>
    <row r="1720" spans="1:15" ht="15.75" customHeight="1" x14ac:dyDescent="0.25">
      <c r="A1720" s="16" t="s">
        <v>30</v>
      </c>
      <c r="B1720" s="16">
        <v>1698935</v>
      </c>
      <c r="C1720" s="16">
        <v>1700596</v>
      </c>
      <c r="E1720" s="16" t="s">
        <v>48</v>
      </c>
      <c r="F1720" s="16" t="s">
        <v>5582</v>
      </c>
      <c r="G1720" s="16" t="s">
        <v>5583</v>
      </c>
      <c r="I1720" s="16" t="s">
        <v>50</v>
      </c>
      <c r="L1720" s="16" t="s">
        <v>5584</v>
      </c>
      <c r="M1720" s="16" t="s">
        <v>5582</v>
      </c>
      <c r="N1720" s="16">
        <v>553</v>
      </c>
      <c r="O1720" s="16" t="s">
        <v>5585</v>
      </c>
    </row>
    <row r="1721" spans="1:15" ht="15.75" customHeight="1" x14ac:dyDescent="0.25">
      <c r="A1721" s="16" t="s">
        <v>30</v>
      </c>
      <c r="B1721" s="16">
        <v>1700710</v>
      </c>
      <c r="C1721" s="16">
        <v>1702134</v>
      </c>
      <c r="E1721" s="16" t="s">
        <v>48</v>
      </c>
      <c r="F1721" s="16" t="s">
        <v>5586</v>
      </c>
      <c r="G1721" s="16" t="s">
        <v>5587</v>
      </c>
      <c r="I1721" s="16" t="s">
        <v>50</v>
      </c>
      <c r="L1721" s="16" t="s">
        <v>5588</v>
      </c>
      <c r="M1721" s="16" t="s">
        <v>5586</v>
      </c>
      <c r="N1721" s="16">
        <v>474</v>
      </c>
      <c r="O1721" s="16" t="s">
        <v>5589</v>
      </c>
    </row>
    <row r="1722" spans="1:15" ht="15.75" customHeight="1" x14ac:dyDescent="0.25">
      <c r="A1722" s="16" t="s">
        <v>30</v>
      </c>
      <c r="B1722" s="16">
        <v>1702294</v>
      </c>
      <c r="C1722" s="16">
        <v>1702836</v>
      </c>
      <c r="E1722" s="16" t="s">
        <v>48</v>
      </c>
      <c r="F1722" s="16" t="s">
        <v>5590</v>
      </c>
      <c r="G1722" s="16" t="s">
        <v>5591</v>
      </c>
      <c r="I1722" s="16" t="s">
        <v>50</v>
      </c>
      <c r="L1722" s="16" t="s">
        <v>5592</v>
      </c>
      <c r="M1722" s="16" t="s">
        <v>5590</v>
      </c>
      <c r="N1722" s="16">
        <v>180</v>
      </c>
      <c r="O1722" s="16" t="s">
        <v>5593</v>
      </c>
    </row>
    <row r="1723" spans="1:15" ht="15.75" customHeight="1" x14ac:dyDescent="0.25">
      <c r="A1723" s="16" t="s">
        <v>30</v>
      </c>
      <c r="B1723" s="16">
        <v>1702848</v>
      </c>
      <c r="C1723" s="16">
        <v>1704914</v>
      </c>
      <c r="E1723" s="16" t="s">
        <v>48</v>
      </c>
      <c r="F1723" s="16" t="s">
        <v>5594</v>
      </c>
      <c r="G1723" s="16" t="s">
        <v>5595</v>
      </c>
      <c r="I1723" s="16" t="s">
        <v>50</v>
      </c>
      <c r="L1723" s="16" t="s">
        <v>5596</v>
      </c>
      <c r="M1723" s="16" t="s">
        <v>5594</v>
      </c>
      <c r="N1723" s="16">
        <v>688</v>
      </c>
      <c r="O1723" s="16" t="s">
        <v>5597</v>
      </c>
    </row>
    <row r="1724" spans="1:15" ht="15.75" customHeight="1" x14ac:dyDescent="0.25">
      <c r="A1724" s="16" t="s">
        <v>30</v>
      </c>
      <c r="B1724" s="16">
        <v>1705054</v>
      </c>
      <c r="C1724" s="16">
        <v>1705680</v>
      </c>
      <c r="E1724" s="16" t="s">
        <v>48</v>
      </c>
      <c r="F1724" s="16" t="s">
        <v>5598</v>
      </c>
      <c r="G1724" s="16" t="s">
        <v>5599</v>
      </c>
      <c r="I1724" s="16" t="s">
        <v>50</v>
      </c>
      <c r="L1724" s="16" t="s">
        <v>5600</v>
      </c>
      <c r="M1724" s="16" t="s">
        <v>5598</v>
      </c>
      <c r="N1724" s="16">
        <v>208</v>
      </c>
      <c r="O1724" s="16" t="s">
        <v>5601</v>
      </c>
    </row>
    <row r="1725" spans="1:15" ht="15.75" customHeight="1" x14ac:dyDescent="0.25">
      <c r="A1725" s="16" t="s">
        <v>30</v>
      </c>
      <c r="B1725" s="16">
        <v>1705784</v>
      </c>
      <c r="C1725" s="16">
        <v>1707028</v>
      </c>
      <c r="E1725" s="16" t="s">
        <v>48</v>
      </c>
      <c r="F1725" s="16" t="s">
        <v>5602</v>
      </c>
      <c r="I1725" s="16" t="s">
        <v>50</v>
      </c>
      <c r="L1725" s="16" t="s">
        <v>5603</v>
      </c>
      <c r="M1725" s="16" t="s">
        <v>5602</v>
      </c>
      <c r="N1725" s="16">
        <v>414</v>
      </c>
      <c r="O1725" s="16" t="s">
        <v>5604</v>
      </c>
    </row>
    <row r="1726" spans="1:15" ht="15.75" customHeight="1" x14ac:dyDescent="0.25">
      <c r="A1726" s="16" t="s">
        <v>30</v>
      </c>
      <c r="B1726" s="16">
        <v>1707094</v>
      </c>
      <c r="C1726" s="16">
        <v>1707789</v>
      </c>
      <c r="E1726" s="16" t="s">
        <v>48</v>
      </c>
      <c r="F1726" s="16" t="s">
        <v>5605</v>
      </c>
      <c r="G1726" s="16" t="s">
        <v>5606</v>
      </c>
      <c r="I1726" s="16" t="s">
        <v>50</v>
      </c>
      <c r="L1726" s="16" t="s">
        <v>5607</v>
      </c>
      <c r="M1726" s="16" t="s">
        <v>5605</v>
      </c>
      <c r="N1726" s="16">
        <v>231</v>
      </c>
      <c r="O1726" s="16" t="s">
        <v>5608</v>
      </c>
    </row>
    <row r="1727" spans="1:15" ht="15.75" customHeight="1" x14ac:dyDescent="0.25">
      <c r="A1727" s="16" t="s">
        <v>30</v>
      </c>
      <c r="B1727" s="16">
        <v>1707818</v>
      </c>
      <c r="C1727" s="16">
        <v>1708138</v>
      </c>
      <c r="E1727" s="16" t="s">
        <v>57</v>
      </c>
      <c r="F1727" s="16" t="s">
        <v>5609</v>
      </c>
      <c r="G1727" s="16" t="s">
        <v>5610</v>
      </c>
      <c r="I1727" s="16" t="s">
        <v>50</v>
      </c>
      <c r="L1727" s="16" t="s">
        <v>5611</v>
      </c>
      <c r="M1727" s="16" t="s">
        <v>5609</v>
      </c>
      <c r="N1727" s="16">
        <v>106</v>
      </c>
      <c r="O1727" s="16" t="s">
        <v>5612</v>
      </c>
    </row>
    <row r="1728" spans="1:15" ht="15.75" customHeight="1" x14ac:dyDescent="0.25">
      <c r="A1728" s="16" t="s">
        <v>30</v>
      </c>
      <c r="B1728" s="16">
        <v>1708145</v>
      </c>
      <c r="C1728" s="16">
        <v>1708837</v>
      </c>
      <c r="E1728" s="16" t="s">
        <v>57</v>
      </c>
      <c r="F1728" s="16" t="s">
        <v>5613</v>
      </c>
      <c r="G1728" s="16" t="s">
        <v>5614</v>
      </c>
      <c r="I1728" s="16" t="s">
        <v>50</v>
      </c>
      <c r="L1728" s="16" t="s">
        <v>5615</v>
      </c>
      <c r="M1728" s="16" t="s">
        <v>5613</v>
      </c>
      <c r="N1728" s="16">
        <v>230</v>
      </c>
      <c r="O1728" s="16" t="s">
        <v>5616</v>
      </c>
    </row>
    <row r="1729" spans="1:15" ht="15.75" customHeight="1" x14ac:dyDescent="0.25">
      <c r="A1729" s="16" t="s">
        <v>30</v>
      </c>
      <c r="B1729" s="16">
        <v>1708861</v>
      </c>
      <c r="C1729" s="16">
        <v>1710051</v>
      </c>
      <c r="E1729" s="16" t="s">
        <v>57</v>
      </c>
      <c r="F1729" s="16" t="s">
        <v>5617</v>
      </c>
      <c r="G1729" s="16" t="s">
        <v>5618</v>
      </c>
      <c r="I1729" s="16" t="s">
        <v>50</v>
      </c>
      <c r="L1729" s="16" t="s">
        <v>5619</v>
      </c>
      <c r="M1729" s="16" t="s">
        <v>5617</v>
      </c>
      <c r="N1729" s="16">
        <v>396</v>
      </c>
      <c r="O1729" s="16" t="s">
        <v>5620</v>
      </c>
    </row>
    <row r="1730" spans="1:15" ht="15.75" customHeight="1" x14ac:dyDescent="0.25">
      <c r="A1730" s="16" t="s">
        <v>30</v>
      </c>
      <c r="B1730" s="16">
        <v>1710051</v>
      </c>
      <c r="C1730" s="16">
        <v>1710344</v>
      </c>
      <c r="E1730" s="16" t="s">
        <v>57</v>
      </c>
      <c r="F1730" s="16" t="s">
        <v>5621</v>
      </c>
      <c r="I1730" s="16" t="s">
        <v>50</v>
      </c>
      <c r="L1730" s="16" t="s">
        <v>5622</v>
      </c>
      <c r="M1730" s="16" t="s">
        <v>5621</v>
      </c>
      <c r="N1730" s="16">
        <v>97</v>
      </c>
      <c r="O1730" s="16" t="s">
        <v>5623</v>
      </c>
    </row>
    <row r="1731" spans="1:15" ht="15.75" customHeight="1" x14ac:dyDescent="0.25">
      <c r="A1731" s="16" t="s">
        <v>30</v>
      </c>
      <c r="B1731" s="16">
        <v>1710419</v>
      </c>
      <c r="C1731" s="16">
        <v>1710703</v>
      </c>
      <c r="E1731" s="16" t="s">
        <v>57</v>
      </c>
      <c r="F1731" s="16" t="s">
        <v>5624</v>
      </c>
      <c r="I1731" s="16" t="s">
        <v>50</v>
      </c>
      <c r="L1731" s="16" t="s">
        <v>5625</v>
      </c>
      <c r="M1731" s="16" t="s">
        <v>5624</v>
      </c>
      <c r="N1731" s="16">
        <v>94</v>
      </c>
      <c r="O1731" s="16" t="s">
        <v>5626</v>
      </c>
    </row>
    <row r="1732" spans="1:15" ht="15.75" customHeight="1" x14ac:dyDescent="0.25">
      <c r="A1732" s="16" t="s">
        <v>30</v>
      </c>
      <c r="B1732" s="16">
        <v>1710826</v>
      </c>
      <c r="C1732" s="16">
        <v>1712475</v>
      </c>
      <c r="E1732" s="16" t="s">
        <v>57</v>
      </c>
      <c r="F1732" s="16" t="s">
        <v>5627</v>
      </c>
      <c r="G1732" s="16" t="s">
        <v>5628</v>
      </c>
      <c r="I1732" s="16" t="s">
        <v>50</v>
      </c>
      <c r="L1732" s="16" t="s">
        <v>5629</v>
      </c>
      <c r="M1732" s="16" t="s">
        <v>5627</v>
      </c>
      <c r="N1732" s="16">
        <v>549</v>
      </c>
      <c r="O1732" s="16" t="s">
        <v>5630</v>
      </c>
    </row>
    <row r="1733" spans="1:15" ht="15.75" customHeight="1" x14ac:dyDescent="0.25">
      <c r="A1733" s="16" t="s">
        <v>30</v>
      </c>
      <c r="B1733" s="16">
        <v>1712578</v>
      </c>
      <c r="C1733" s="16">
        <v>1713249</v>
      </c>
      <c r="E1733" s="16" t="s">
        <v>57</v>
      </c>
      <c r="F1733" s="16" t="s">
        <v>5631</v>
      </c>
      <c r="G1733" s="16" t="s">
        <v>5632</v>
      </c>
      <c r="I1733" s="16" t="s">
        <v>50</v>
      </c>
      <c r="L1733" s="16" t="s">
        <v>5633</v>
      </c>
      <c r="M1733" s="16" t="s">
        <v>5631</v>
      </c>
      <c r="N1733" s="16">
        <v>223</v>
      </c>
      <c r="O1733" s="16" t="s">
        <v>5634</v>
      </c>
    </row>
    <row r="1734" spans="1:15" ht="15.75" customHeight="1" x14ac:dyDescent="0.25">
      <c r="A1734" s="16" t="s">
        <v>30</v>
      </c>
      <c r="B1734" s="16">
        <v>1713718</v>
      </c>
      <c r="C1734" s="16">
        <v>1714593</v>
      </c>
      <c r="E1734" s="16" t="s">
        <v>48</v>
      </c>
      <c r="F1734" s="16" t="s">
        <v>5635</v>
      </c>
      <c r="G1734" s="16" t="s">
        <v>5636</v>
      </c>
      <c r="I1734" s="16" t="s">
        <v>50</v>
      </c>
      <c r="L1734" s="16" t="s">
        <v>5637</v>
      </c>
      <c r="M1734" s="16" t="s">
        <v>5635</v>
      </c>
      <c r="N1734" s="16">
        <v>291</v>
      </c>
      <c r="O1734" s="16" t="s">
        <v>5638</v>
      </c>
    </row>
    <row r="1735" spans="1:15" ht="15.75" customHeight="1" x14ac:dyDescent="0.25">
      <c r="A1735" s="16" t="s">
        <v>30</v>
      </c>
      <c r="B1735" s="16">
        <v>1714594</v>
      </c>
      <c r="C1735" s="16">
        <v>1715172</v>
      </c>
      <c r="E1735" s="16" t="s">
        <v>48</v>
      </c>
      <c r="F1735" s="16" t="s">
        <v>5639</v>
      </c>
      <c r="G1735" s="16" t="s">
        <v>5640</v>
      </c>
      <c r="I1735" s="16" t="s">
        <v>50</v>
      </c>
      <c r="L1735" s="16" t="s">
        <v>5641</v>
      </c>
      <c r="M1735" s="16" t="s">
        <v>5639</v>
      </c>
      <c r="N1735" s="16">
        <v>192</v>
      </c>
      <c r="O1735" s="16" t="s">
        <v>5642</v>
      </c>
    </row>
    <row r="1736" spans="1:15" ht="15.75" customHeight="1" x14ac:dyDescent="0.25">
      <c r="A1736" s="16" t="s">
        <v>30</v>
      </c>
      <c r="B1736" s="16">
        <v>1715721</v>
      </c>
      <c r="C1736" s="16">
        <v>1717415</v>
      </c>
      <c r="E1736" s="16" t="s">
        <v>57</v>
      </c>
      <c r="F1736" s="16" t="s">
        <v>5643</v>
      </c>
      <c r="G1736" s="16" t="s">
        <v>5644</v>
      </c>
      <c r="I1736" s="16" t="s">
        <v>50</v>
      </c>
      <c r="L1736" s="16" t="s">
        <v>5645</v>
      </c>
      <c r="M1736" s="16" t="s">
        <v>5643</v>
      </c>
      <c r="N1736" s="16">
        <v>564</v>
      </c>
      <c r="O1736" s="16" t="s">
        <v>5646</v>
      </c>
    </row>
    <row r="1737" spans="1:15" ht="15.75" customHeight="1" x14ac:dyDescent="0.25">
      <c r="A1737" s="16" t="s">
        <v>30</v>
      </c>
      <c r="B1737" s="16">
        <v>1717585</v>
      </c>
      <c r="C1737" s="16">
        <v>1717785</v>
      </c>
      <c r="E1737" s="16" t="s">
        <v>48</v>
      </c>
      <c r="F1737" s="16" t="s">
        <v>135</v>
      </c>
      <c r="I1737" s="16" t="s">
        <v>50</v>
      </c>
      <c r="L1737" s="16" t="s">
        <v>5647</v>
      </c>
      <c r="M1737" s="16" t="s">
        <v>135</v>
      </c>
      <c r="N1737" s="16">
        <v>66</v>
      </c>
      <c r="O1737" s="16" t="s">
        <v>5648</v>
      </c>
    </row>
    <row r="1738" spans="1:15" ht="15.75" customHeight="1" x14ac:dyDescent="0.25">
      <c r="A1738" s="16" t="s">
        <v>30</v>
      </c>
      <c r="B1738" s="16">
        <v>1717831</v>
      </c>
      <c r="C1738" s="16">
        <v>1718019</v>
      </c>
      <c r="E1738" s="16" t="s">
        <v>57</v>
      </c>
      <c r="F1738" s="16" t="s">
        <v>132</v>
      </c>
      <c r="I1738" s="16" t="s">
        <v>133</v>
      </c>
      <c r="O1738" s="16" t="s">
        <v>5649</v>
      </c>
    </row>
    <row r="1739" spans="1:15" ht="15.75" customHeight="1" x14ac:dyDescent="0.25">
      <c r="A1739" s="16" t="s">
        <v>30</v>
      </c>
      <c r="B1739" s="16">
        <v>1718020</v>
      </c>
      <c r="C1739" s="16">
        <v>1718195</v>
      </c>
      <c r="E1739" s="16" t="s">
        <v>48</v>
      </c>
      <c r="F1739" s="16" t="s">
        <v>132</v>
      </c>
      <c r="I1739" s="16" t="s">
        <v>133</v>
      </c>
      <c r="O1739" s="16" t="s">
        <v>5650</v>
      </c>
    </row>
    <row r="1740" spans="1:15" ht="15.75" customHeight="1" x14ac:dyDescent="0.25">
      <c r="A1740" s="16" t="s">
        <v>30</v>
      </c>
      <c r="B1740" s="16">
        <v>1718320</v>
      </c>
      <c r="C1740" s="16">
        <v>1718871</v>
      </c>
      <c r="E1740" s="16" t="s">
        <v>57</v>
      </c>
      <c r="F1740" s="16" t="s">
        <v>5651</v>
      </c>
      <c r="I1740" s="16" t="s">
        <v>50</v>
      </c>
      <c r="L1740" s="16" t="s">
        <v>5652</v>
      </c>
      <c r="M1740" s="16" t="s">
        <v>5651</v>
      </c>
      <c r="N1740" s="16">
        <v>183</v>
      </c>
      <c r="O1740" s="16" t="s">
        <v>5653</v>
      </c>
    </row>
    <row r="1741" spans="1:15" ht="15.75" customHeight="1" x14ac:dyDescent="0.25">
      <c r="A1741" s="16" t="s">
        <v>30</v>
      </c>
      <c r="B1741" s="16">
        <v>1718984</v>
      </c>
      <c r="C1741" s="16">
        <v>1720432</v>
      </c>
      <c r="E1741" s="16" t="s">
        <v>57</v>
      </c>
      <c r="F1741" s="16" t="s">
        <v>5654</v>
      </c>
      <c r="G1741" s="16" t="s">
        <v>5655</v>
      </c>
      <c r="I1741" s="16" t="s">
        <v>50</v>
      </c>
      <c r="L1741" s="16" t="s">
        <v>5656</v>
      </c>
      <c r="M1741" s="16" t="s">
        <v>5654</v>
      </c>
      <c r="N1741" s="16">
        <v>482</v>
      </c>
      <c r="O1741" s="16" t="s">
        <v>5657</v>
      </c>
    </row>
    <row r="1742" spans="1:15" ht="15.75" customHeight="1" x14ac:dyDescent="0.25">
      <c r="A1742" s="16" t="s">
        <v>30</v>
      </c>
      <c r="B1742" s="16">
        <v>1720534</v>
      </c>
      <c r="C1742" s="16">
        <v>1721385</v>
      </c>
      <c r="E1742" s="16" t="s">
        <v>57</v>
      </c>
      <c r="F1742" s="16" t="s">
        <v>5658</v>
      </c>
      <c r="G1742" s="16" t="s">
        <v>5659</v>
      </c>
      <c r="I1742" s="16" t="s">
        <v>50</v>
      </c>
      <c r="L1742" s="16" t="s">
        <v>5660</v>
      </c>
      <c r="M1742" s="16" t="s">
        <v>5658</v>
      </c>
      <c r="N1742" s="16">
        <v>283</v>
      </c>
      <c r="O1742" s="16" t="s">
        <v>5661</v>
      </c>
    </row>
    <row r="1743" spans="1:15" ht="15.75" customHeight="1" x14ac:dyDescent="0.25">
      <c r="A1743" s="16" t="s">
        <v>30</v>
      </c>
      <c r="B1743" s="16">
        <v>1721457</v>
      </c>
      <c r="C1743" s="16">
        <v>1723184</v>
      </c>
      <c r="E1743" s="16" t="s">
        <v>48</v>
      </c>
      <c r="F1743" s="16" t="s">
        <v>5662</v>
      </c>
      <c r="I1743" s="16" t="s">
        <v>50</v>
      </c>
      <c r="L1743" s="16" t="s">
        <v>5663</v>
      </c>
      <c r="M1743" s="16" t="s">
        <v>5662</v>
      </c>
      <c r="N1743" s="16">
        <v>575</v>
      </c>
      <c r="O1743" s="16" t="s">
        <v>5664</v>
      </c>
    </row>
    <row r="1744" spans="1:15" ht="15.75" customHeight="1" x14ac:dyDescent="0.25">
      <c r="A1744" s="16" t="s">
        <v>30</v>
      </c>
      <c r="B1744" s="16">
        <v>1723184</v>
      </c>
      <c r="C1744" s="16">
        <v>1723543</v>
      </c>
      <c r="E1744" s="16" t="s">
        <v>48</v>
      </c>
      <c r="F1744" s="16" t="s">
        <v>5665</v>
      </c>
      <c r="I1744" s="16" t="s">
        <v>50</v>
      </c>
      <c r="L1744" s="16" t="s">
        <v>5666</v>
      </c>
      <c r="M1744" s="16" t="s">
        <v>5665</v>
      </c>
      <c r="N1744" s="16">
        <v>119</v>
      </c>
      <c r="O1744" s="16" t="s">
        <v>5667</v>
      </c>
    </row>
    <row r="1745" spans="1:15" ht="15.75" customHeight="1" x14ac:dyDescent="0.25">
      <c r="A1745" s="16" t="s">
        <v>30</v>
      </c>
      <c r="B1745" s="16">
        <v>1723556</v>
      </c>
      <c r="C1745" s="16">
        <v>1724140</v>
      </c>
      <c r="E1745" s="16" t="s">
        <v>48</v>
      </c>
      <c r="F1745" s="16" t="s">
        <v>5668</v>
      </c>
      <c r="I1745" s="16" t="s">
        <v>50</v>
      </c>
      <c r="L1745" s="16" t="s">
        <v>5669</v>
      </c>
      <c r="M1745" s="16" t="s">
        <v>5668</v>
      </c>
      <c r="N1745" s="16">
        <v>194</v>
      </c>
      <c r="O1745" s="16" t="s">
        <v>5670</v>
      </c>
    </row>
    <row r="1746" spans="1:15" ht="15.75" customHeight="1" x14ac:dyDescent="0.25">
      <c r="A1746" s="16" t="s">
        <v>30</v>
      </c>
      <c r="B1746" s="16">
        <v>1724197</v>
      </c>
      <c r="C1746" s="16">
        <v>1724778</v>
      </c>
      <c r="E1746" s="16" t="s">
        <v>48</v>
      </c>
      <c r="F1746" s="16" t="s">
        <v>5671</v>
      </c>
      <c r="G1746" s="16" t="s">
        <v>5672</v>
      </c>
      <c r="I1746" s="16" t="s">
        <v>50</v>
      </c>
      <c r="L1746" s="16" t="s">
        <v>5673</v>
      </c>
      <c r="M1746" s="16" t="s">
        <v>5671</v>
      </c>
      <c r="N1746" s="16">
        <v>193</v>
      </c>
      <c r="O1746" s="16" t="s">
        <v>5674</v>
      </c>
    </row>
    <row r="1747" spans="1:15" ht="15.75" customHeight="1" x14ac:dyDescent="0.25">
      <c r="A1747" s="16" t="s">
        <v>30</v>
      </c>
      <c r="B1747" s="16">
        <v>1725033</v>
      </c>
      <c r="C1747" s="16">
        <v>1727303</v>
      </c>
      <c r="E1747" s="16" t="s">
        <v>48</v>
      </c>
      <c r="F1747" s="16" t="s">
        <v>5675</v>
      </c>
      <c r="G1747" s="16" t="s">
        <v>5676</v>
      </c>
      <c r="I1747" s="16" t="s">
        <v>50</v>
      </c>
      <c r="L1747" s="16" t="s">
        <v>5677</v>
      </c>
      <c r="M1747" s="16" t="s">
        <v>5675</v>
      </c>
      <c r="N1747" s="16">
        <v>756</v>
      </c>
      <c r="O1747" s="16" t="s">
        <v>5678</v>
      </c>
    </row>
    <row r="1748" spans="1:15" ht="15.75" customHeight="1" x14ac:dyDescent="0.25">
      <c r="A1748" s="16" t="s">
        <v>30</v>
      </c>
      <c r="B1748" s="16">
        <v>1727446</v>
      </c>
      <c r="C1748" s="16">
        <v>1728576</v>
      </c>
      <c r="E1748" s="16" t="s">
        <v>48</v>
      </c>
      <c r="F1748" s="16" t="s">
        <v>5679</v>
      </c>
      <c r="G1748" s="16" t="s">
        <v>5680</v>
      </c>
      <c r="I1748" s="16" t="s">
        <v>50</v>
      </c>
      <c r="L1748" s="16" t="s">
        <v>5681</v>
      </c>
      <c r="M1748" s="16" t="s">
        <v>5679</v>
      </c>
      <c r="N1748" s="16">
        <v>376</v>
      </c>
      <c r="O1748" s="16" t="s">
        <v>5682</v>
      </c>
    </row>
    <row r="1749" spans="1:15" ht="15.75" customHeight="1" x14ac:dyDescent="0.25">
      <c r="A1749" s="16" t="s">
        <v>30</v>
      </c>
      <c r="B1749" s="16">
        <v>1728693</v>
      </c>
      <c r="C1749" s="16">
        <v>1729922</v>
      </c>
      <c r="E1749" s="16" t="s">
        <v>57</v>
      </c>
      <c r="F1749" s="16" t="s">
        <v>5683</v>
      </c>
      <c r="G1749" s="16" t="s">
        <v>5684</v>
      </c>
      <c r="I1749" s="16" t="s">
        <v>50</v>
      </c>
      <c r="L1749" s="16" t="s">
        <v>5685</v>
      </c>
      <c r="M1749" s="16" t="s">
        <v>5683</v>
      </c>
      <c r="N1749" s="16">
        <v>409</v>
      </c>
      <c r="O1749" s="16" t="s">
        <v>5686</v>
      </c>
    </row>
    <row r="1750" spans="1:15" ht="15.75" customHeight="1" x14ac:dyDescent="0.25">
      <c r="A1750" s="16" t="s">
        <v>30</v>
      </c>
      <c r="B1750" s="16">
        <v>1730027</v>
      </c>
      <c r="C1750" s="16">
        <v>1732834</v>
      </c>
      <c r="E1750" s="16" t="s">
        <v>57</v>
      </c>
      <c r="F1750" s="16" t="s">
        <v>5687</v>
      </c>
      <c r="G1750" s="16" t="s">
        <v>5688</v>
      </c>
      <c r="I1750" s="16" t="s">
        <v>50</v>
      </c>
      <c r="L1750" s="16" t="s">
        <v>5689</v>
      </c>
      <c r="M1750" s="16" t="s">
        <v>5687</v>
      </c>
      <c r="N1750" s="16">
        <v>935</v>
      </c>
      <c r="O1750" s="16" t="s">
        <v>5690</v>
      </c>
    </row>
    <row r="1751" spans="1:15" ht="15.75" customHeight="1" x14ac:dyDescent="0.25">
      <c r="A1751" s="16" t="s">
        <v>30</v>
      </c>
      <c r="B1751" s="16">
        <v>1733465</v>
      </c>
      <c r="C1751" s="16">
        <v>1734103</v>
      </c>
      <c r="E1751" s="16" t="s">
        <v>57</v>
      </c>
      <c r="F1751" s="16" t="s">
        <v>5691</v>
      </c>
      <c r="I1751" s="16" t="s">
        <v>50</v>
      </c>
      <c r="L1751" s="16" t="s">
        <v>5692</v>
      </c>
      <c r="M1751" s="16" t="s">
        <v>5691</v>
      </c>
      <c r="N1751" s="16">
        <v>212</v>
      </c>
      <c r="O1751" s="16" t="s">
        <v>5693</v>
      </c>
    </row>
    <row r="1752" spans="1:15" ht="15.75" customHeight="1" x14ac:dyDescent="0.25">
      <c r="A1752" s="16" t="s">
        <v>30</v>
      </c>
      <c r="B1752" s="16">
        <v>1734113</v>
      </c>
      <c r="C1752" s="16">
        <v>1734868</v>
      </c>
      <c r="E1752" s="16" t="s">
        <v>57</v>
      </c>
      <c r="F1752" s="16" t="s">
        <v>276</v>
      </c>
      <c r="I1752" s="16" t="s">
        <v>50</v>
      </c>
      <c r="L1752" s="16" t="s">
        <v>5694</v>
      </c>
      <c r="M1752" s="16" t="s">
        <v>276</v>
      </c>
      <c r="N1752" s="16">
        <v>251</v>
      </c>
      <c r="O1752" s="16" t="s">
        <v>5695</v>
      </c>
    </row>
    <row r="1753" spans="1:15" ht="15.75" customHeight="1" x14ac:dyDescent="0.25">
      <c r="A1753" s="16" t="s">
        <v>30</v>
      </c>
      <c r="B1753" s="16">
        <v>1734920</v>
      </c>
      <c r="C1753" s="16">
        <v>1735480</v>
      </c>
      <c r="E1753" s="16" t="s">
        <v>57</v>
      </c>
      <c r="F1753" s="16" t="s">
        <v>5696</v>
      </c>
      <c r="I1753" s="16" t="s">
        <v>50</v>
      </c>
      <c r="L1753" s="16" t="s">
        <v>5697</v>
      </c>
      <c r="M1753" s="16" t="s">
        <v>5696</v>
      </c>
      <c r="N1753" s="16">
        <v>186</v>
      </c>
      <c r="O1753" s="16" t="s">
        <v>5698</v>
      </c>
    </row>
    <row r="1754" spans="1:15" ht="15.75" customHeight="1" x14ac:dyDescent="0.25">
      <c r="A1754" s="16" t="s">
        <v>30</v>
      </c>
      <c r="B1754" s="16">
        <v>1735496</v>
      </c>
      <c r="C1754" s="16">
        <v>1736965</v>
      </c>
      <c r="E1754" s="16" t="s">
        <v>57</v>
      </c>
      <c r="F1754" s="16" t="s">
        <v>5699</v>
      </c>
      <c r="I1754" s="16" t="s">
        <v>50</v>
      </c>
      <c r="L1754" s="16" t="s">
        <v>5700</v>
      </c>
      <c r="M1754" s="16" t="s">
        <v>5699</v>
      </c>
      <c r="N1754" s="16">
        <v>489</v>
      </c>
      <c r="O1754" s="16" t="s">
        <v>5701</v>
      </c>
    </row>
    <row r="1755" spans="1:15" ht="15.75" customHeight="1" x14ac:dyDescent="0.25">
      <c r="A1755" s="16" t="s">
        <v>30</v>
      </c>
      <c r="B1755" s="16">
        <v>1737039</v>
      </c>
      <c r="C1755" s="16">
        <v>1739120</v>
      </c>
      <c r="E1755" s="16" t="s">
        <v>57</v>
      </c>
      <c r="F1755" s="16" t="s">
        <v>5702</v>
      </c>
      <c r="G1755" s="16" t="s">
        <v>5703</v>
      </c>
      <c r="I1755" s="16" t="s">
        <v>50</v>
      </c>
      <c r="L1755" s="16" t="s">
        <v>5704</v>
      </c>
      <c r="M1755" s="16" t="s">
        <v>5702</v>
      </c>
      <c r="N1755" s="16">
        <v>693</v>
      </c>
      <c r="O1755" s="16" t="s">
        <v>5705</v>
      </c>
    </row>
    <row r="1756" spans="1:15" ht="15.75" customHeight="1" x14ac:dyDescent="0.25">
      <c r="A1756" s="16" t="s">
        <v>30</v>
      </c>
      <c r="B1756" s="16">
        <v>1739148</v>
      </c>
      <c r="C1756" s="16">
        <v>1739786</v>
      </c>
      <c r="E1756" s="16" t="s">
        <v>57</v>
      </c>
      <c r="F1756" s="16" t="s">
        <v>5706</v>
      </c>
      <c r="G1756" s="16" t="s">
        <v>5707</v>
      </c>
      <c r="I1756" s="16" t="s">
        <v>50</v>
      </c>
      <c r="L1756" s="16" t="s">
        <v>5708</v>
      </c>
      <c r="M1756" s="16" t="s">
        <v>5706</v>
      </c>
      <c r="N1756" s="16">
        <v>212</v>
      </c>
      <c r="O1756" s="16" t="s">
        <v>5709</v>
      </c>
    </row>
    <row r="1757" spans="1:15" ht="15.75" customHeight="1" x14ac:dyDescent="0.25">
      <c r="A1757" s="16" t="s">
        <v>30</v>
      </c>
      <c r="B1757" s="16">
        <v>1739971</v>
      </c>
      <c r="C1757" s="16">
        <v>1741221</v>
      </c>
      <c r="E1757" s="16" t="s">
        <v>48</v>
      </c>
      <c r="F1757" s="16" t="s">
        <v>5710</v>
      </c>
      <c r="I1757" s="16" t="s">
        <v>50</v>
      </c>
      <c r="L1757" s="16" t="s">
        <v>5711</v>
      </c>
      <c r="M1757" s="16" t="s">
        <v>5710</v>
      </c>
      <c r="N1757" s="16">
        <v>416</v>
      </c>
      <c r="O1757" s="16" t="s">
        <v>5712</v>
      </c>
    </row>
    <row r="1758" spans="1:15" ht="15.75" customHeight="1" x14ac:dyDescent="0.25">
      <c r="A1758" s="16" t="s">
        <v>30</v>
      </c>
      <c r="B1758" s="16">
        <v>1741205</v>
      </c>
      <c r="C1758" s="16">
        <v>1743850</v>
      </c>
      <c r="E1758" s="16" t="s">
        <v>48</v>
      </c>
      <c r="F1758" s="16" t="s">
        <v>5713</v>
      </c>
      <c r="I1758" s="16" t="s">
        <v>50</v>
      </c>
      <c r="L1758" s="16" t="s">
        <v>5714</v>
      </c>
      <c r="M1758" s="16" t="s">
        <v>5713</v>
      </c>
      <c r="N1758" s="16">
        <v>881</v>
      </c>
      <c r="O1758" s="16" t="s">
        <v>5715</v>
      </c>
    </row>
    <row r="1759" spans="1:15" ht="15.75" customHeight="1" x14ac:dyDescent="0.25">
      <c r="A1759" s="16" t="s">
        <v>30</v>
      </c>
      <c r="B1759" s="16">
        <v>1743905</v>
      </c>
      <c r="C1759" s="16">
        <v>1744357</v>
      </c>
      <c r="E1759" s="16" t="s">
        <v>57</v>
      </c>
      <c r="F1759" s="16" t="s">
        <v>5716</v>
      </c>
      <c r="G1759" s="16" t="s">
        <v>5717</v>
      </c>
      <c r="I1759" s="16" t="s">
        <v>50</v>
      </c>
      <c r="L1759" s="16" t="s">
        <v>5718</v>
      </c>
      <c r="M1759" s="16" t="s">
        <v>5716</v>
      </c>
      <c r="N1759" s="16">
        <v>150</v>
      </c>
      <c r="O1759" s="16" t="s">
        <v>5719</v>
      </c>
    </row>
    <row r="1760" spans="1:15" ht="15.75" customHeight="1" x14ac:dyDescent="0.25">
      <c r="A1760" s="16" t="s">
        <v>30</v>
      </c>
      <c r="B1760" s="16">
        <v>1744358</v>
      </c>
      <c r="C1760" s="16">
        <v>1744603</v>
      </c>
      <c r="E1760" s="16" t="s">
        <v>57</v>
      </c>
      <c r="F1760" s="16" t="s">
        <v>5720</v>
      </c>
      <c r="G1760" s="16" t="s">
        <v>5721</v>
      </c>
      <c r="I1760" s="16" t="s">
        <v>50</v>
      </c>
      <c r="L1760" s="16" t="s">
        <v>5722</v>
      </c>
      <c r="M1760" s="16" t="s">
        <v>5720</v>
      </c>
      <c r="N1760" s="16">
        <v>81</v>
      </c>
      <c r="O1760" s="16" t="s">
        <v>5723</v>
      </c>
    </row>
    <row r="1761" spans="1:15" ht="15.75" customHeight="1" x14ac:dyDescent="0.25">
      <c r="A1761" s="16" t="s">
        <v>30</v>
      </c>
      <c r="B1761" s="16">
        <v>1744605</v>
      </c>
      <c r="C1761" s="16">
        <v>1745087</v>
      </c>
      <c r="E1761" s="16" t="s">
        <v>57</v>
      </c>
      <c r="F1761" s="16" t="s">
        <v>5724</v>
      </c>
      <c r="G1761" s="16" t="s">
        <v>5725</v>
      </c>
      <c r="I1761" s="16" t="s">
        <v>50</v>
      </c>
      <c r="L1761" s="16" t="s">
        <v>5726</v>
      </c>
      <c r="M1761" s="16" t="s">
        <v>5724</v>
      </c>
      <c r="N1761" s="16">
        <v>160</v>
      </c>
      <c r="O1761" s="16" t="s">
        <v>5727</v>
      </c>
    </row>
    <row r="1762" spans="1:15" ht="15.75" customHeight="1" x14ac:dyDescent="0.25">
      <c r="A1762" s="16" t="s">
        <v>30</v>
      </c>
      <c r="B1762" s="16">
        <v>1745179</v>
      </c>
      <c r="C1762" s="16">
        <v>1746192</v>
      </c>
      <c r="E1762" s="16" t="s">
        <v>57</v>
      </c>
      <c r="F1762" s="16" t="s">
        <v>5728</v>
      </c>
      <c r="G1762" s="16" t="s">
        <v>5729</v>
      </c>
      <c r="I1762" s="16" t="s">
        <v>50</v>
      </c>
      <c r="L1762" s="16" t="s">
        <v>5730</v>
      </c>
      <c r="M1762" s="16" t="s">
        <v>5728</v>
      </c>
      <c r="N1762" s="16">
        <v>337</v>
      </c>
      <c r="O1762" s="16" t="s">
        <v>5731</v>
      </c>
    </row>
    <row r="1763" spans="1:15" ht="15.75" customHeight="1" x14ac:dyDescent="0.25">
      <c r="A1763" s="16" t="s">
        <v>30</v>
      </c>
      <c r="B1763" s="16">
        <v>1746637</v>
      </c>
      <c r="C1763" s="16">
        <v>1747308</v>
      </c>
      <c r="E1763" s="16" t="s">
        <v>48</v>
      </c>
      <c r="F1763" s="16" t="s">
        <v>5732</v>
      </c>
      <c r="G1763" s="16" t="s">
        <v>5733</v>
      </c>
      <c r="I1763" s="16" t="s">
        <v>50</v>
      </c>
      <c r="L1763" s="16" t="s">
        <v>5734</v>
      </c>
      <c r="M1763" s="16" t="s">
        <v>5732</v>
      </c>
      <c r="N1763" s="16">
        <v>223</v>
      </c>
      <c r="O1763" s="16" t="s">
        <v>5735</v>
      </c>
    </row>
    <row r="1764" spans="1:15" ht="15.75" customHeight="1" x14ac:dyDescent="0.25">
      <c r="A1764" s="16" t="s">
        <v>30</v>
      </c>
      <c r="B1764" s="16">
        <v>1747385</v>
      </c>
      <c r="C1764" s="16">
        <v>1747761</v>
      </c>
      <c r="E1764" s="16" t="s">
        <v>57</v>
      </c>
      <c r="F1764" s="16" t="s">
        <v>5736</v>
      </c>
      <c r="G1764" s="16" t="s">
        <v>5737</v>
      </c>
      <c r="I1764" s="16" t="s">
        <v>5738</v>
      </c>
      <c r="O1764" s="16" t="s">
        <v>5739</v>
      </c>
    </row>
    <row r="1765" spans="1:15" ht="15.75" customHeight="1" x14ac:dyDescent="0.25">
      <c r="A1765" s="16" t="s">
        <v>30</v>
      </c>
      <c r="B1765" s="16">
        <v>1747922</v>
      </c>
      <c r="C1765" s="16">
        <v>1748857</v>
      </c>
      <c r="E1765" s="16" t="s">
        <v>48</v>
      </c>
      <c r="F1765" s="16" t="s">
        <v>5740</v>
      </c>
      <c r="I1765" s="16" t="s">
        <v>50</v>
      </c>
      <c r="L1765" s="16" t="s">
        <v>5741</v>
      </c>
      <c r="M1765" s="16" t="s">
        <v>5740</v>
      </c>
      <c r="N1765" s="16">
        <v>311</v>
      </c>
      <c r="O1765" s="16" t="s">
        <v>5742</v>
      </c>
    </row>
    <row r="1766" spans="1:15" ht="15.75" customHeight="1" x14ac:dyDescent="0.25">
      <c r="A1766" s="16" t="s">
        <v>30</v>
      </c>
      <c r="B1766" s="16">
        <v>1748867</v>
      </c>
      <c r="C1766" s="16">
        <v>1749409</v>
      </c>
      <c r="E1766" s="16" t="s">
        <v>48</v>
      </c>
      <c r="F1766" s="16" t="s">
        <v>5743</v>
      </c>
      <c r="I1766" s="16" t="s">
        <v>50</v>
      </c>
      <c r="L1766" s="16" t="s">
        <v>5744</v>
      </c>
      <c r="M1766" s="16" t="s">
        <v>5743</v>
      </c>
      <c r="N1766" s="16">
        <v>180</v>
      </c>
      <c r="O1766" s="16" t="s">
        <v>5745</v>
      </c>
    </row>
    <row r="1767" spans="1:15" ht="15.75" customHeight="1" x14ac:dyDescent="0.25">
      <c r="A1767" s="16" t="s">
        <v>30</v>
      </c>
      <c r="B1767" s="16">
        <v>1749679</v>
      </c>
      <c r="C1767" s="16">
        <v>1749786</v>
      </c>
      <c r="E1767" s="16" t="s">
        <v>57</v>
      </c>
      <c r="F1767" s="16" t="s">
        <v>2082</v>
      </c>
      <c r="I1767" s="16" t="s">
        <v>50</v>
      </c>
      <c r="L1767" s="16" t="s">
        <v>5746</v>
      </c>
      <c r="M1767" s="16" t="s">
        <v>2082</v>
      </c>
      <c r="N1767" s="16">
        <v>35</v>
      </c>
      <c r="O1767" s="16" t="s">
        <v>5747</v>
      </c>
    </row>
    <row r="1768" spans="1:15" ht="15.75" customHeight="1" x14ac:dyDescent="0.25">
      <c r="A1768" s="16" t="s">
        <v>30</v>
      </c>
      <c r="B1768" s="16">
        <v>1749741</v>
      </c>
      <c r="C1768" s="16">
        <v>1749926</v>
      </c>
      <c r="E1768" s="16" t="s">
        <v>57</v>
      </c>
      <c r="F1768" s="16" t="s">
        <v>2082</v>
      </c>
      <c r="I1768" s="16" t="s">
        <v>50</v>
      </c>
      <c r="L1768" s="16" t="s">
        <v>5748</v>
      </c>
      <c r="M1768" s="16" t="s">
        <v>2082</v>
      </c>
      <c r="N1768" s="16">
        <v>61</v>
      </c>
      <c r="O1768" s="16" t="s">
        <v>5749</v>
      </c>
    </row>
    <row r="1769" spans="1:15" ht="15.75" customHeight="1" x14ac:dyDescent="0.25">
      <c r="A1769" s="16" t="s">
        <v>30</v>
      </c>
      <c r="B1769" s="16">
        <v>1749948</v>
      </c>
      <c r="C1769" s="16">
        <v>1750124</v>
      </c>
      <c r="E1769" s="16" t="s">
        <v>57</v>
      </c>
      <c r="F1769" s="16" t="s">
        <v>135</v>
      </c>
      <c r="I1769" s="16" t="s">
        <v>50</v>
      </c>
      <c r="L1769" s="16" t="s">
        <v>5750</v>
      </c>
      <c r="M1769" s="16" t="s">
        <v>135</v>
      </c>
      <c r="N1769" s="16">
        <v>58</v>
      </c>
      <c r="O1769" s="16" t="s">
        <v>5751</v>
      </c>
    </row>
    <row r="1770" spans="1:15" ht="15.75" customHeight="1" x14ac:dyDescent="0.25">
      <c r="A1770" s="16" t="s">
        <v>30</v>
      </c>
      <c r="B1770" s="16">
        <v>1750081</v>
      </c>
      <c r="C1770" s="16">
        <v>1750440</v>
      </c>
      <c r="E1770" s="16" t="s">
        <v>48</v>
      </c>
      <c r="F1770" s="16" t="s">
        <v>132</v>
      </c>
      <c r="G1770" s="16" t="s">
        <v>5752</v>
      </c>
      <c r="I1770" s="16" t="s">
        <v>133</v>
      </c>
      <c r="O1770" s="16" t="s">
        <v>5753</v>
      </c>
    </row>
    <row r="1771" spans="1:15" ht="15.75" customHeight="1" x14ac:dyDescent="0.25">
      <c r="A1771" s="16" t="s">
        <v>30</v>
      </c>
      <c r="B1771" s="16">
        <v>1750341</v>
      </c>
      <c r="C1771" s="16">
        <v>1750586</v>
      </c>
      <c r="E1771" s="16" t="s">
        <v>57</v>
      </c>
      <c r="F1771" s="16" t="s">
        <v>135</v>
      </c>
      <c r="I1771" s="16" t="s">
        <v>50</v>
      </c>
      <c r="L1771" s="16" t="s">
        <v>5754</v>
      </c>
      <c r="M1771" s="16" t="s">
        <v>135</v>
      </c>
      <c r="N1771" s="16">
        <v>81</v>
      </c>
      <c r="O1771" s="16" t="s">
        <v>5755</v>
      </c>
    </row>
    <row r="1772" spans="1:15" ht="15.75" customHeight="1" x14ac:dyDescent="0.25">
      <c r="A1772" s="16" t="s">
        <v>30</v>
      </c>
      <c r="B1772" s="16">
        <v>1750807</v>
      </c>
      <c r="C1772" s="16">
        <v>1755858</v>
      </c>
      <c r="E1772" s="16" t="s">
        <v>48</v>
      </c>
      <c r="F1772" s="16" t="s">
        <v>926</v>
      </c>
      <c r="I1772" s="16" t="s">
        <v>50</v>
      </c>
      <c r="L1772" s="16" t="s">
        <v>5756</v>
      </c>
      <c r="M1772" s="16" t="s">
        <v>926</v>
      </c>
      <c r="N1772" s="16">
        <v>1683</v>
      </c>
      <c r="O1772" s="16" t="s">
        <v>5757</v>
      </c>
    </row>
    <row r="1773" spans="1:15" ht="15.75" customHeight="1" x14ac:dyDescent="0.25">
      <c r="A1773" s="16" t="s">
        <v>30</v>
      </c>
      <c r="B1773" s="16">
        <v>1756012</v>
      </c>
      <c r="C1773" s="16">
        <v>1757649</v>
      </c>
      <c r="E1773" s="16" t="s">
        <v>48</v>
      </c>
      <c r="F1773" s="16" t="s">
        <v>4482</v>
      </c>
      <c r="G1773" s="16" t="s">
        <v>4483</v>
      </c>
      <c r="I1773" s="16" t="s">
        <v>50</v>
      </c>
      <c r="L1773" s="16" t="s">
        <v>5758</v>
      </c>
      <c r="M1773" s="16" t="s">
        <v>4482</v>
      </c>
      <c r="N1773" s="16">
        <v>545</v>
      </c>
      <c r="O1773" s="16" t="s">
        <v>5759</v>
      </c>
    </row>
    <row r="1774" spans="1:15" ht="15.75" customHeight="1" x14ac:dyDescent="0.25">
      <c r="A1774" s="16" t="s">
        <v>30</v>
      </c>
      <c r="B1774" s="16">
        <v>1757865</v>
      </c>
      <c r="C1774" s="16">
        <v>1759817</v>
      </c>
      <c r="E1774" s="16" t="s">
        <v>48</v>
      </c>
      <c r="F1774" s="16" t="s">
        <v>4479</v>
      </c>
      <c r="I1774" s="16" t="s">
        <v>50</v>
      </c>
      <c r="L1774" s="16" t="s">
        <v>5760</v>
      </c>
      <c r="M1774" s="16" t="s">
        <v>4479</v>
      </c>
      <c r="N1774" s="16">
        <v>650</v>
      </c>
      <c r="O1774" s="16" t="s">
        <v>5761</v>
      </c>
    </row>
    <row r="1775" spans="1:15" ht="15.75" customHeight="1" x14ac:dyDescent="0.25">
      <c r="A1775" s="16" t="s">
        <v>30</v>
      </c>
      <c r="B1775" s="16">
        <v>1759894</v>
      </c>
      <c r="C1775" s="16">
        <v>1762050</v>
      </c>
      <c r="E1775" s="16" t="s">
        <v>57</v>
      </c>
      <c r="F1775" s="16" t="s">
        <v>5762</v>
      </c>
      <c r="G1775" s="16" t="s">
        <v>5763</v>
      </c>
      <c r="I1775" s="16" t="s">
        <v>50</v>
      </c>
      <c r="L1775" s="16" t="s">
        <v>5764</v>
      </c>
      <c r="M1775" s="16" t="s">
        <v>5762</v>
      </c>
      <c r="N1775" s="16">
        <v>718</v>
      </c>
      <c r="O1775" s="16" t="s">
        <v>5765</v>
      </c>
    </row>
    <row r="1776" spans="1:15" ht="15.75" customHeight="1" x14ac:dyDescent="0.25">
      <c r="A1776" s="16" t="s">
        <v>30</v>
      </c>
      <c r="B1776" s="16">
        <v>1762118</v>
      </c>
      <c r="C1776" s="16">
        <v>1762783</v>
      </c>
      <c r="E1776" s="16" t="s">
        <v>57</v>
      </c>
      <c r="F1776" s="16" t="s">
        <v>5766</v>
      </c>
      <c r="I1776" s="16" t="s">
        <v>50</v>
      </c>
      <c r="L1776" s="16" t="s">
        <v>5767</v>
      </c>
      <c r="M1776" s="16" t="s">
        <v>5766</v>
      </c>
      <c r="N1776" s="16">
        <v>221</v>
      </c>
      <c r="O1776" s="16" t="s">
        <v>5768</v>
      </c>
    </row>
    <row r="1777" spans="1:15" ht="15.75" customHeight="1" x14ac:dyDescent="0.25">
      <c r="A1777" s="16" t="s">
        <v>30</v>
      </c>
      <c r="B1777" s="16">
        <v>1762983</v>
      </c>
      <c r="C1777" s="16">
        <v>1764044</v>
      </c>
      <c r="E1777" s="16" t="s">
        <v>48</v>
      </c>
      <c r="F1777" s="16" t="s">
        <v>5769</v>
      </c>
      <c r="G1777" s="16" t="s">
        <v>5770</v>
      </c>
      <c r="I1777" s="16" t="s">
        <v>50</v>
      </c>
      <c r="L1777" s="16" t="s">
        <v>5771</v>
      </c>
      <c r="M1777" s="16" t="s">
        <v>5769</v>
      </c>
      <c r="N1777" s="16">
        <v>353</v>
      </c>
      <c r="O1777" s="16" t="s">
        <v>5772</v>
      </c>
    </row>
    <row r="1778" spans="1:15" ht="15.75" customHeight="1" x14ac:dyDescent="0.25">
      <c r="A1778" s="16" t="s">
        <v>30</v>
      </c>
      <c r="B1778" s="16">
        <v>1764326</v>
      </c>
      <c r="C1778" s="16">
        <v>1764904</v>
      </c>
      <c r="E1778" s="16" t="s">
        <v>48</v>
      </c>
      <c r="F1778" s="16" t="s">
        <v>5773</v>
      </c>
      <c r="G1778" s="16" t="s">
        <v>5774</v>
      </c>
      <c r="I1778" s="16" t="s">
        <v>50</v>
      </c>
      <c r="L1778" s="16" t="s">
        <v>5775</v>
      </c>
      <c r="M1778" s="16" t="s">
        <v>5773</v>
      </c>
      <c r="N1778" s="16">
        <v>192</v>
      </c>
      <c r="O1778" s="16" t="s">
        <v>5776</v>
      </c>
    </row>
    <row r="1779" spans="1:15" ht="15.75" customHeight="1" x14ac:dyDescent="0.25">
      <c r="A1779" s="16" t="s">
        <v>30</v>
      </c>
      <c r="B1779" s="16">
        <v>1764992</v>
      </c>
      <c r="C1779" s="16">
        <v>1765573</v>
      </c>
      <c r="E1779" s="16" t="s">
        <v>48</v>
      </c>
      <c r="F1779" s="16" t="s">
        <v>5777</v>
      </c>
      <c r="G1779" s="16" t="s">
        <v>5778</v>
      </c>
      <c r="I1779" s="16" t="s">
        <v>50</v>
      </c>
      <c r="L1779" s="16" t="s">
        <v>5779</v>
      </c>
      <c r="M1779" s="16" t="s">
        <v>5777</v>
      </c>
      <c r="N1779" s="16">
        <v>193</v>
      </c>
      <c r="O1779" s="16" t="s">
        <v>5780</v>
      </c>
    </row>
    <row r="1780" spans="1:15" ht="15.75" customHeight="1" x14ac:dyDescent="0.25">
      <c r="A1780" s="16" t="s">
        <v>30</v>
      </c>
      <c r="B1780" s="16">
        <v>1765574</v>
      </c>
      <c r="C1780" s="16">
        <v>1767718</v>
      </c>
      <c r="E1780" s="16" t="s">
        <v>48</v>
      </c>
      <c r="F1780" s="16" t="s">
        <v>5781</v>
      </c>
      <c r="G1780" s="16" t="s">
        <v>5782</v>
      </c>
      <c r="I1780" s="16" t="s">
        <v>50</v>
      </c>
      <c r="L1780" s="16" t="s">
        <v>5783</v>
      </c>
      <c r="M1780" s="16" t="s">
        <v>5781</v>
      </c>
      <c r="N1780" s="16">
        <v>714</v>
      </c>
      <c r="O1780" s="16" t="s">
        <v>5784</v>
      </c>
    </row>
    <row r="1781" spans="1:15" ht="15.75" customHeight="1" x14ac:dyDescent="0.25">
      <c r="A1781" s="16" t="s">
        <v>30</v>
      </c>
      <c r="B1781" s="16">
        <v>1767869</v>
      </c>
      <c r="C1781" s="16">
        <v>1768945</v>
      </c>
      <c r="E1781" s="16" t="s">
        <v>48</v>
      </c>
      <c r="F1781" s="16" t="s">
        <v>5785</v>
      </c>
      <c r="G1781" s="16" t="s">
        <v>5786</v>
      </c>
      <c r="I1781" s="16" t="s">
        <v>50</v>
      </c>
      <c r="L1781" s="16" t="s">
        <v>5787</v>
      </c>
      <c r="M1781" s="16" t="s">
        <v>5785</v>
      </c>
      <c r="N1781" s="16">
        <v>358</v>
      </c>
      <c r="O1781" s="16" t="s">
        <v>5788</v>
      </c>
    </row>
    <row r="1782" spans="1:15" ht="15.75" customHeight="1" x14ac:dyDescent="0.25">
      <c r="A1782" s="16" t="s">
        <v>30</v>
      </c>
      <c r="B1782" s="16">
        <v>1768945</v>
      </c>
      <c r="C1782" s="16">
        <v>1769568</v>
      </c>
      <c r="E1782" s="16" t="s">
        <v>48</v>
      </c>
      <c r="F1782" s="16" t="s">
        <v>5789</v>
      </c>
      <c r="G1782" s="16" t="s">
        <v>5790</v>
      </c>
      <c r="I1782" s="16" t="s">
        <v>50</v>
      </c>
      <c r="L1782" s="16" t="s">
        <v>5791</v>
      </c>
      <c r="M1782" s="16" t="s">
        <v>5789</v>
      </c>
      <c r="N1782" s="16">
        <v>207</v>
      </c>
      <c r="O1782" s="16" t="s">
        <v>5792</v>
      </c>
    </row>
    <row r="1783" spans="1:15" ht="15.75" customHeight="1" x14ac:dyDescent="0.25">
      <c r="A1783" s="16" t="s">
        <v>30</v>
      </c>
      <c r="B1783" s="16">
        <v>1769570</v>
      </c>
      <c r="C1783" s="16">
        <v>1770277</v>
      </c>
      <c r="E1783" s="16" t="s">
        <v>48</v>
      </c>
      <c r="F1783" s="16" t="s">
        <v>5793</v>
      </c>
      <c r="I1783" s="16" t="s">
        <v>50</v>
      </c>
      <c r="L1783" s="16" t="s">
        <v>5794</v>
      </c>
      <c r="M1783" s="16" t="s">
        <v>5793</v>
      </c>
      <c r="N1783" s="16">
        <v>235</v>
      </c>
      <c r="O1783" s="16" t="s">
        <v>5795</v>
      </c>
    </row>
    <row r="1784" spans="1:15" ht="15.75" customHeight="1" x14ac:dyDescent="0.25">
      <c r="A1784" s="16" t="s">
        <v>30</v>
      </c>
      <c r="B1784" s="16">
        <v>1770399</v>
      </c>
      <c r="C1784" s="16">
        <v>1771034</v>
      </c>
      <c r="E1784" s="16" t="s">
        <v>48</v>
      </c>
      <c r="F1784" s="16" t="s">
        <v>5796</v>
      </c>
      <c r="G1784" s="16" t="s">
        <v>5797</v>
      </c>
      <c r="I1784" s="16" t="s">
        <v>50</v>
      </c>
      <c r="L1784" s="16" t="s">
        <v>5798</v>
      </c>
      <c r="M1784" s="16" t="s">
        <v>5796</v>
      </c>
      <c r="N1784" s="16">
        <v>211</v>
      </c>
      <c r="O1784" s="16" t="s">
        <v>5799</v>
      </c>
    </row>
    <row r="1785" spans="1:15" ht="15.75" customHeight="1" x14ac:dyDescent="0.25">
      <c r="A1785" s="16" t="s">
        <v>30</v>
      </c>
      <c r="B1785" s="16">
        <v>1771093</v>
      </c>
      <c r="C1785" s="16">
        <v>1772466</v>
      </c>
      <c r="E1785" s="16" t="s">
        <v>48</v>
      </c>
      <c r="F1785" s="16" t="s">
        <v>2753</v>
      </c>
      <c r="I1785" s="16" t="s">
        <v>50</v>
      </c>
      <c r="L1785" s="16" t="s">
        <v>5800</v>
      </c>
      <c r="M1785" s="16" t="s">
        <v>2753</v>
      </c>
      <c r="N1785" s="16">
        <v>457</v>
      </c>
      <c r="O1785" s="16" t="s">
        <v>5801</v>
      </c>
    </row>
    <row r="1786" spans="1:15" ht="15.75" customHeight="1" x14ac:dyDescent="0.25">
      <c r="A1786" s="16" t="s">
        <v>30</v>
      </c>
      <c r="B1786" s="16">
        <v>1772490</v>
      </c>
      <c r="C1786" s="16">
        <v>1773545</v>
      </c>
      <c r="E1786" s="16" t="s">
        <v>57</v>
      </c>
      <c r="F1786" s="16" t="s">
        <v>5802</v>
      </c>
      <c r="G1786" s="16" t="s">
        <v>5803</v>
      </c>
      <c r="I1786" s="16" t="s">
        <v>50</v>
      </c>
      <c r="L1786" s="16" t="s">
        <v>5804</v>
      </c>
      <c r="M1786" s="16" t="s">
        <v>5802</v>
      </c>
      <c r="N1786" s="16">
        <v>351</v>
      </c>
      <c r="O1786" s="16" t="s">
        <v>5805</v>
      </c>
    </row>
    <row r="1787" spans="1:15" ht="15.75" customHeight="1" x14ac:dyDescent="0.25">
      <c r="A1787" s="16" t="s">
        <v>30</v>
      </c>
      <c r="B1787" s="16">
        <v>1773532</v>
      </c>
      <c r="C1787" s="16">
        <v>1774260</v>
      </c>
      <c r="E1787" s="16" t="s">
        <v>57</v>
      </c>
      <c r="F1787" s="16" t="s">
        <v>5806</v>
      </c>
      <c r="G1787" s="16" t="s">
        <v>5807</v>
      </c>
      <c r="I1787" s="16" t="s">
        <v>50</v>
      </c>
      <c r="L1787" s="16" t="s">
        <v>5808</v>
      </c>
      <c r="M1787" s="16" t="s">
        <v>5806</v>
      </c>
      <c r="N1787" s="16">
        <v>242</v>
      </c>
      <c r="O1787" s="16" t="s">
        <v>5809</v>
      </c>
    </row>
    <row r="1788" spans="1:15" ht="15.75" customHeight="1" x14ac:dyDescent="0.25">
      <c r="A1788" s="16" t="s">
        <v>30</v>
      </c>
      <c r="B1788" s="16">
        <v>1774395</v>
      </c>
      <c r="C1788" s="16">
        <v>1775159</v>
      </c>
      <c r="E1788" s="16" t="s">
        <v>57</v>
      </c>
      <c r="F1788" s="16" t="s">
        <v>5810</v>
      </c>
      <c r="G1788" s="16" t="s">
        <v>5811</v>
      </c>
      <c r="I1788" s="16" t="s">
        <v>50</v>
      </c>
      <c r="L1788" s="16" t="s">
        <v>5812</v>
      </c>
      <c r="M1788" s="16" t="s">
        <v>5810</v>
      </c>
      <c r="N1788" s="16">
        <v>254</v>
      </c>
      <c r="O1788" s="16" t="s">
        <v>5813</v>
      </c>
    </row>
    <row r="1789" spans="1:15" ht="15.75" customHeight="1" x14ac:dyDescent="0.25">
      <c r="A1789" s="16" t="s">
        <v>30</v>
      </c>
      <c r="B1789" s="16">
        <v>1775297</v>
      </c>
      <c r="C1789" s="16">
        <v>1776064</v>
      </c>
      <c r="E1789" s="16" t="s">
        <v>48</v>
      </c>
      <c r="F1789" s="16" t="s">
        <v>5203</v>
      </c>
      <c r="I1789" s="16" t="s">
        <v>50</v>
      </c>
      <c r="L1789" s="16" t="s">
        <v>5814</v>
      </c>
      <c r="M1789" s="16" t="s">
        <v>5203</v>
      </c>
      <c r="N1789" s="16">
        <v>255</v>
      </c>
      <c r="O1789" s="16" t="s">
        <v>5815</v>
      </c>
    </row>
    <row r="1790" spans="1:15" ht="15.75" customHeight="1" x14ac:dyDescent="0.25">
      <c r="A1790" s="16" t="s">
        <v>30</v>
      </c>
      <c r="B1790" s="16">
        <v>1776174</v>
      </c>
      <c r="C1790" s="16">
        <v>1776977</v>
      </c>
      <c r="E1790" s="16" t="s">
        <v>57</v>
      </c>
      <c r="F1790" s="16" t="s">
        <v>5816</v>
      </c>
      <c r="G1790" s="16" t="s">
        <v>5817</v>
      </c>
      <c r="I1790" s="16" t="s">
        <v>50</v>
      </c>
      <c r="L1790" s="16" t="s">
        <v>5818</v>
      </c>
      <c r="M1790" s="16" t="s">
        <v>5816</v>
      </c>
      <c r="N1790" s="16">
        <v>267</v>
      </c>
      <c r="O1790" s="16" t="s">
        <v>5819</v>
      </c>
    </row>
    <row r="1791" spans="1:15" ht="15.75" customHeight="1" x14ac:dyDescent="0.25">
      <c r="A1791" s="16" t="s">
        <v>30</v>
      </c>
      <c r="B1791" s="16">
        <v>1776979</v>
      </c>
      <c r="C1791" s="16">
        <v>1777863</v>
      </c>
      <c r="E1791" s="16" t="s">
        <v>57</v>
      </c>
      <c r="F1791" s="16" t="s">
        <v>5820</v>
      </c>
      <c r="G1791" s="16" t="s">
        <v>5821</v>
      </c>
      <c r="I1791" s="16" t="s">
        <v>50</v>
      </c>
      <c r="L1791" s="16" t="s">
        <v>5822</v>
      </c>
      <c r="M1791" s="16" t="s">
        <v>5820</v>
      </c>
      <c r="N1791" s="16">
        <v>294</v>
      </c>
      <c r="O1791" s="16" t="s">
        <v>5823</v>
      </c>
    </row>
    <row r="1792" spans="1:15" ht="15.75" customHeight="1" x14ac:dyDescent="0.25">
      <c r="A1792" s="16" t="s">
        <v>30</v>
      </c>
      <c r="B1792" s="16">
        <v>1777875</v>
      </c>
      <c r="C1792" s="16">
        <v>1778648</v>
      </c>
      <c r="E1792" s="16" t="s">
        <v>57</v>
      </c>
      <c r="F1792" s="16" t="s">
        <v>5824</v>
      </c>
      <c r="G1792" s="16" t="s">
        <v>5825</v>
      </c>
      <c r="I1792" s="16" t="s">
        <v>50</v>
      </c>
      <c r="L1792" s="16" t="s">
        <v>5826</v>
      </c>
      <c r="M1792" s="16" t="s">
        <v>5824</v>
      </c>
      <c r="N1792" s="16">
        <v>257</v>
      </c>
      <c r="O1792" s="16" t="s">
        <v>5827</v>
      </c>
    </row>
    <row r="1793" spans="1:15" ht="15.75" customHeight="1" x14ac:dyDescent="0.25">
      <c r="A1793" s="16" t="s">
        <v>30</v>
      </c>
      <c r="B1793" s="16">
        <v>1778660</v>
      </c>
      <c r="C1793" s="16">
        <v>1779721</v>
      </c>
      <c r="E1793" s="16" t="s">
        <v>57</v>
      </c>
      <c r="F1793" s="16" t="s">
        <v>5828</v>
      </c>
      <c r="G1793" s="16" t="s">
        <v>5829</v>
      </c>
      <c r="I1793" s="16" t="s">
        <v>50</v>
      </c>
      <c r="L1793" s="16" t="s">
        <v>5830</v>
      </c>
      <c r="M1793" s="16" t="s">
        <v>5828</v>
      </c>
      <c r="N1793" s="16">
        <v>353</v>
      </c>
      <c r="O1793" s="16" t="s">
        <v>5831</v>
      </c>
    </row>
    <row r="1794" spans="1:15" ht="15.75" customHeight="1" x14ac:dyDescent="0.25">
      <c r="A1794" s="16" t="s">
        <v>30</v>
      </c>
      <c r="B1794" s="16">
        <v>1779723</v>
      </c>
      <c r="C1794" s="16">
        <v>1780637</v>
      </c>
      <c r="E1794" s="16" t="s">
        <v>57</v>
      </c>
      <c r="F1794" s="16" t="s">
        <v>5832</v>
      </c>
      <c r="G1794" s="16" t="s">
        <v>5833</v>
      </c>
      <c r="I1794" s="16" t="s">
        <v>50</v>
      </c>
      <c r="L1794" s="16" t="s">
        <v>5834</v>
      </c>
      <c r="M1794" s="16" t="s">
        <v>5832</v>
      </c>
      <c r="N1794" s="16">
        <v>304</v>
      </c>
      <c r="O1794" s="16" t="s">
        <v>5835</v>
      </c>
    </row>
    <row r="1795" spans="1:15" ht="15.75" customHeight="1" x14ac:dyDescent="0.25">
      <c r="A1795" s="16" t="s">
        <v>30</v>
      </c>
      <c r="B1795" s="16">
        <v>1780634</v>
      </c>
      <c r="C1795" s="16">
        <v>1781839</v>
      </c>
      <c r="E1795" s="16" t="s">
        <v>57</v>
      </c>
      <c r="F1795" s="16" t="s">
        <v>5836</v>
      </c>
      <c r="G1795" s="16" t="s">
        <v>5837</v>
      </c>
      <c r="I1795" s="16" t="s">
        <v>50</v>
      </c>
      <c r="L1795" s="16" t="s">
        <v>5838</v>
      </c>
      <c r="M1795" s="16" t="s">
        <v>5836</v>
      </c>
      <c r="N1795" s="16">
        <v>401</v>
      </c>
      <c r="O1795" s="16" t="s">
        <v>5839</v>
      </c>
    </row>
    <row r="1796" spans="1:15" ht="15.75" customHeight="1" x14ac:dyDescent="0.25">
      <c r="A1796" s="16" t="s">
        <v>30</v>
      </c>
      <c r="B1796" s="16">
        <v>1781974</v>
      </c>
      <c r="C1796" s="16">
        <v>1782717</v>
      </c>
      <c r="E1796" s="16" t="s">
        <v>48</v>
      </c>
      <c r="F1796" s="16" t="s">
        <v>5840</v>
      </c>
      <c r="I1796" s="16" t="s">
        <v>50</v>
      </c>
      <c r="L1796" s="16" t="s">
        <v>5841</v>
      </c>
      <c r="M1796" s="16" t="s">
        <v>5840</v>
      </c>
      <c r="N1796" s="16">
        <v>247</v>
      </c>
      <c r="O1796" s="16" t="s">
        <v>5842</v>
      </c>
    </row>
    <row r="1797" spans="1:15" ht="15.75" customHeight="1" x14ac:dyDescent="0.25">
      <c r="A1797" s="16" t="s">
        <v>30</v>
      </c>
      <c r="B1797" s="16">
        <v>1782940</v>
      </c>
      <c r="C1797" s="16">
        <v>1785210</v>
      </c>
      <c r="E1797" s="16" t="s">
        <v>57</v>
      </c>
      <c r="F1797" s="16" t="s">
        <v>5843</v>
      </c>
      <c r="G1797" s="16" t="s">
        <v>5844</v>
      </c>
      <c r="I1797" s="16" t="s">
        <v>50</v>
      </c>
      <c r="L1797" s="16" t="s">
        <v>5845</v>
      </c>
      <c r="M1797" s="16" t="s">
        <v>5843</v>
      </c>
      <c r="N1797" s="16">
        <v>756</v>
      </c>
      <c r="O1797" s="16" t="s">
        <v>5846</v>
      </c>
    </row>
    <row r="1798" spans="1:15" ht="15.75" customHeight="1" x14ac:dyDescent="0.25">
      <c r="A1798" s="16" t="s">
        <v>30</v>
      </c>
      <c r="B1798" s="16">
        <v>1785404</v>
      </c>
      <c r="C1798" s="16">
        <v>1786480</v>
      </c>
      <c r="E1798" s="16" t="s">
        <v>57</v>
      </c>
      <c r="F1798" s="16" t="s">
        <v>5847</v>
      </c>
      <c r="G1798" s="16" t="s">
        <v>5848</v>
      </c>
      <c r="I1798" s="16" t="s">
        <v>50</v>
      </c>
      <c r="L1798" s="16" t="s">
        <v>5849</v>
      </c>
      <c r="M1798" s="16" t="s">
        <v>5847</v>
      </c>
      <c r="N1798" s="16">
        <v>358</v>
      </c>
      <c r="O1798" s="16" t="s">
        <v>5850</v>
      </c>
    </row>
    <row r="1799" spans="1:15" ht="15.75" customHeight="1" x14ac:dyDescent="0.25">
      <c r="A1799" s="16" t="s">
        <v>30</v>
      </c>
      <c r="B1799" s="16">
        <v>1786477</v>
      </c>
      <c r="C1799" s="16">
        <v>1787580</v>
      </c>
      <c r="E1799" s="16" t="s">
        <v>57</v>
      </c>
      <c r="F1799" s="16" t="s">
        <v>5851</v>
      </c>
      <c r="G1799" s="16" t="s">
        <v>5852</v>
      </c>
      <c r="I1799" s="16" t="s">
        <v>50</v>
      </c>
      <c r="L1799" s="16" t="s">
        <v>5853</v>
      </c>
      <c r="M1799" s="16" t="s">
        <v>5851</v>
      </c>
      <c r="N1799" s="16">
        <v>367</v>
      </c>
      <c r="O1799" s="16" t="s">
        <v>5854</v>
      </c>
    </row>
    <row r="1800" spans="1:15" ht="15.75" customHeight="1" x14ac:dyDescent="0.25">
      <c r="A1800" s="16" t="s">
        <v>30</v>
      </c>
      <c r="B1800" s="16">
        <v>1787688</v>
      </c>
      <c r="C1800" s="16">
        <v>1789163</v>
      </c>
      <c r="E1800" s="16" t="s">
        <v>48</v>
      </c>
      <c r="F1800" s="16" t="s">
        <v>5855</v>
      </c>
      <c r="I1800" s="16" t="s">
        <v>50</v>
      </c>
      <c r="L1800" s="16" t="s">
        <v>5856</v>
      </c>
      <c r="M1800" s="16" t="s">
        <v>5855</v>
      </c>
      <c r="N1800" s="16">
        <v>491</v>
      </c>
      <c r="O1800" s="16" t="s">
        <v>5857</v>
      </c>
    </row>
    <row r="1801" spans="1:15" ht="15.75" customHeight="1" x14ac:dyDescent="0.25">
      <c r="A1801" s="16" t="s">
        <v>30</v>
      </c>
      <c r="B1801" s="16">
        <v>1789199</v>
      </c>
      <c r="C1801" s="16">
        <v>1791226</v>
      </c>
      <c r="E1801" s="16" t="s">
        <v>57</v>
      </c>
      <c r="F1801" s="16" t="s">
        <v>5858</v>
      </c>
      <c r="I1801" s="16" t="s">
        <v>50</v>
      </c>
      <c r="L1801" s="16" t="s">
        <v>5859</v>
      </c>
      <c r="M1801" s="16" t="s">
        <v>5858</v>
      </c>
      <c r="N1801" s="16">
        <v>675</v>
      </c>
      <c r="O1801" s="16" t="s">
        <v>5860</v>
      </c>
    </row>
    <row r="1802" spans="1:15" ht="15.75" customHeight="1" x14ac:dyDescent="0.25">
      <c r="A1802" s="16" t="s">
        <v>30</v>
      </c>
      <c r="B1802" s="16">
        <v>1791503</v>
      </c>
      <c r="C1802" s="16">
        <v>1792858</v>
      </c>
      <c r="E1802" s="16" t="s">
        <v>57</v>
      </c>
      <c r="F1802" s="16" t="s">
        <v>5861</v>
      </c>
      <c r="G1802" s="16" t="s">
        <v>5862</v>
      </c>
      <c r="I1802" s="16" t="s">
        <v>50</v>
      </c>
      <c r="L1802" s="16" t="s">
        <v>5863</v>
      </c>
      <c r="M1802" s="16" t="s">
        <v>5861</v>
      </c>
      <c r="N1802" s="16">
        <v>451</v>
      </c>
      <c r="O1802" s="16" t="s">
        <v>5864</v>
      </c>
    </row>
    <row r="1803" spans="1:15" ht="15.75" customHeight="1" x14ac:dyDescent="0.25">
      <c r="A1803" s="16" t="s">
        <v>30</v>
      </c>
      <c r="B1803" s="16">
        <v>1792855</v>
      </c>
      <c r="C1803" s="16">
        <v>1793520</v>
      </c>
      <c r="E1803" s="16" t="s">
        <v>57</v>
      </c>
      <c r="F1803" s="16" t="s">
        <v>767</v>
      </c>
      <c r="I1803" s="16" t="s">
        <v>50</v>
      </c>
      <c r="L1803" s="16" t="s">
        <v>5865</v>
      </c>
      <c r="M1803" s="16" t="s">
        <v>767</v>
      </c>
      <c r="N1803" s="16">
        <v>221</v>
      </c>
      <c r="O1803" s="16" t="s">
        <v>5866</v>
      </c>
    </row>
    <row r="1804" spans="1:15" ht="15.75" customHeight="1" x14ac:dyDescent="0.25">
      <c r="A1804" s="16" t="s">
        <v>30</v>
      </c>
      <c r="B1804" s="16">
        <v>1793584</v>
      </c>
      <c r="C1804" s="16">
        <v>1793949</v>
      </c>
      <c r="E1804" s="16" t="s">
        <v>57</v>
      </c>
      <c r="F1804" s="16" t="s">
        <v>5867</v>
      </c>
      <c r="I1804" s="16" t="s">
        <v>50</v>
      </c>
      <c r="L1804" s="16" t="s">
        <v>5868</v>
      </c>
      <c r="M1804" s="16" t="s">
        <v>5867</v>
      </c>
      <c r="N1804" s="16">
        <v>121</v>
      </c>
      <c r="O1804" s="16" t="s">
        <v>5869</v>
      </c>
    </row>
    <row r="1805" spans="1:15" ht="15.75" customHeight="1" x14ac:dyDescent="0.25">
      <c r="A1805" s="16" t="s">
        <v>30</v>
      </c>
      <c r="B1805" s="16">
        <v>1794064</v>
      </c>
      <c r="C1805" s="16">
        <v>1795084</v>
      </c>
      <c r="E1805" s="16" t="s">
        <v>57</v>
      </c>
      <c r="F1805" s="16" t="s">
        <v>132</v>
      </c>
      <c r="G1805" s="16" t="s">
        <v>5870</v>
      </c>
      <c r="I1805" s="16" t="s">
        <v>133</v>
      </c>
      <c r="O1805" s="16" t="s">
        <v>5871</v>
      </c>
    </row>
    <row r="1806" spans="1:15" ht="15.75" customHeight="1" x14ac:dyDescent="0.25">
      <c r="A1806" s="16" t="s">
        <v>30</v>
      </c>
      <c r="B1806" s="16">
        <v>1795454</v>
      </c>
      <c r="C1806" s="16">
        <v>1795954</v>
      </c>
      <c r="E1806" s="16" t="s">
        <v>57</v>
      </c>
      <c r="F1806" s="16" t="s">
        <v>5872</v>
      </c>
      <c r="G1806" s="16" t="s">
        <v>5873</v>
      </c>
      <c r="I1806" s="16" t="s">
        <v>50</v>
      </c>
      <c r="L1806" s="16" t="s">
        <v>5874</v>
      </c>
      <c r="M1806" s="16" t="s">
        <v>5872</v>
      </c>
      <c r="N1806" s="16">
        <v>166</v>
      </c>
      <c r="O1806" s="16" t="s">
        <v>5875</v>
      </c>
    </row>
    <row r="1807" spans="1:15" ht="15.75" customHeight="1" x14ac:dyDescent="0.25">
      <c r="A1807" s="16" t="s">
        <v>30</v>
      </c>
      <c r="B1807" s="16">
        <v>1796014</v>
      </c>
      <c r="C1807" s="16">
        <v>1797741</v>
      </c>
      <c r="E1807" s="16" t="s">
        <v>57</v>
      </c>
      <c r="F1807" s="16" t="s">
        <v>5876</v>
      </c>
      <c r="G1807" s="16" t="s">
        <v>5877</v>
      </c>
      <c r="I1807" s="16" t="s">
        <v>50</v>
      </c>
      <c r="L1807" s="16" t="s">
        <v>5878</v>
      </c>
      <c r="M1807" s="16" t="s">
        <v>5876</v>
      </c>
      <c r="N1807" s="16">
        <v>575</v>
      </c>
      <c r="O1807" s="16" t="s">
        <v>5879</v>
      </c>
    </row>
    <row r="1808" spans="1:15" ht="15.75" customHeight="1" x14ac:dyDescent="0.25">
      <c r="A1808" s="16" t="s">
        <v>30</v>
      </c>
      <c r="B1808" s="16">
        <v>1797821</v>
      </c>
      <c r="C1808" s="16">
        <v>1798078</v>
      </c>
      <c r="E1808" s="16" t="s">
        <v>57</v>
      </c>
      <c r="F1808" s="16" t="s">
        <v>5880</v>
      </c>
      <c r="G1808" s="16" t="s">
        <v>5881</v>
      </c>
      <c r="I1808" s="16" t="s">
        <v>50</v>
      </c>
      <c r="L1808" s="16" t="s">
        <v>5882</v>
      </c>
      <c r="M1808" s="16" t="s">
        <v>5880</v>
      </c>
      <c r="N1808" s="16">
        <v>85</v>
      </c>
      <c r="O1808" s="16" t="s">
        <v>5883</v>
      </c>
    </row>
    <row r="1809" spans="1:15" ht="15.75" customHeight="1" x14ac:dyDescent="0.25">
      <c r="A1809" s="16" t="s">
        <v>30</v>
      </c>
      <c r="B1809" s="16">
        <v>1798237</v>
      </c>
      <c r="C1809" s="16">
        <v>1799277</v>
      </c>
      <c r="E1809" s="16" t="s">
        <v>57</v>
      </c>
      <c r="F1809" s="16" t="s">
        <v>5884</v>
      </c>
      <c r="G1809" s="16" t="s">
        <v>5885</v>
      </c>
      <c r="I1809" s="16" t="s">
        <v>50</v>
      </c>
      <c r="L1809" s="16" t="s">
        <v>5886</v>
      </c>
      <c r="M1809" s="16" t="s">
        <v>5884</v>
      </c>
      <c r="N1809" s="16">
        <v>346</v>
      </c>
      <c r="O1809" s="16" t="s">
        <v>5887</v>
      </c>
    </row>
    <row r="1810" spans="1:15" ht="15.75" customHeight="1" x14ac:dyDescent="0.25">
      <c r="A1810" s="16" t="s">
        <v>30</v>
      </c>
      <c r="B1810" s="16">
        <v>1799348</v>
      </c>
      <c r="C1810" s="16">
        <v>1799896</v>
      </c>
      <c r="E1810" s="16" t="s">
        <v>48</v>
      </c>
      <c r="F1810" s="16" t="s">
        <v>5888</v>
      </c>
      <c r="G1810" s="16" t="s">
        <v>5889</v>
      </c>
      <c r="I1810" s="16" t="s">
        <v>50</v>
      </c>
      <c r="L1810" s="16" t="s">
        <v>5890</v>
      </c>
      <c r="M1810" s="16" t="s">
        <v>5888</v>
      </c>
      <c r="N1810" s="16">
        <v>182</v>
      </c>
      <c r="O1810" s="16" t="s">
        <v>5891</v>
      </c>
    </row>
    <row r="1811" spans="1:15" ht="15.75" customHeight="1" x14ac:dyDescent="0.25">
      <c r="A1811" s="16" t="s">
        <v>30</v>
      </c>
      <c r="B1811" s="16">
        <v>1799990</v>
      </c>
      <c r="C1811" s="16">
        <v>1800065</v>
      </c>
      <c r="E1811" s="16" t="s">
        <v>48</v>
      </c>
      <c r="F1811" s="16" t="s">
        <v>289</v>
      </c>
      <c r="I1811" s="16" t="s">
        <v>290</v>
      </c>
      <c r="O1811" s="16" t="s">
        <v>5892</v>
      </c>
    </row>
    <row r="1812" spans="1:15" ht="15.75" customHeight="1" x14ac:dyDescent="0.25">
      <c r="A1812" s="16" t="s">
        <v>30</v>
      </c>
      <c r="B1812" s="16">
        <v>1800090</v>
      </c>
      <c r="C1812" s="16">
        <v>1800165</v>
      </c>
      <c r="E1812" s="16" t="s">
        <v>48</v>
      </c>
      <c r="F1812" s="16" t="s">
        <v>289</v>
      </c>
      <c r="I1812" s="16" t="s">
        <v>290</v>
      </c>
      <c r="O1812" s="16" t="s">
        <v>5893</v>
      </c>
    </row>
    <row r="1813" spans="1:15" ht="15.75" customHeight="1" x14ac:dyDescent="0.25">
      <c r="A1813" s="16" t="s">
        <v>30</v>
      </c>
      <c r="B1813" s="16">
        <v>1800296</v>
      </c>
      <c r="C1813" s="16">
        <v>1801363</v>
      </c>
      <c r="E1813" s="16" t="s">
        <v>57</v>
      </c>
      <c r="F1813" s="16" t="s">
        <v>5894</v>
      </c>
      <c r="G1813" s="16" t="s">
        <v>5895</v>
      </c>
      <c r="I1813" s="16" t="s">
        <v>50</v>
      </c>
      <c r="L1813" s="16" t="s">
        <v>5896</v>
      </c>
      <c r="M1813" s="16" t="s">
        <v>5894</v>
      </c>
      <c r="N1813" s="16">
        <v>355</v>
      </c>
      <c r="O1813" s="16" t="s">
        <v>5897</v>
      </c>
    </row>
    <row r="1814" spans="1:15" ht="15.75" customHeight="1" x14ac:dyDescent="0.25">
      <c r="A1814" s="16" t="s">
        <v>30</v>
      </c>
      <c r="B1814" s="16">
        <v>1801438</v>
      </c>
      <c r="C1814" s="16">
        <v>1804029</v>
      </c>
      <c r="E1814" s="16" t="s">
        <v>57</v>
      </c>
      <c r="F1814" s="16" t="s">
        <v>5898</v>
      </c>
      <c r="G1814" s="16" t="s">
        <v>5899</v>
      </c>
      <c r="I1814" s="16" t="s">
        <v>50</v>
      </c>
      <c r="L1814" s="16" t="s">
        <v>5900</v>
      </c>
      <c r="M1814" s="16" t="s">
        <v>5898</v>
      </c>
      <c r="N1814" s="16">
        <v>863</v>
      </c>
      <c r="O1814" s="16" t="s">
        <v>5901</v>
      </c>
    </row>
    <row r="1815" spans="1:15" ht="15.75" customHeight="1" x14ac:dyDescent="0.25">
      <c r="A1815" s="16" t="s">
        <v>30</v>
      </c>
      <c r="B1815" s="16">
        <v>1804123</v>
      </c>
      <c r="C1815" s="16">
        <v>1804929</v>
      </c>
      <c r="E1815" s="16" t="s">
        <v>57</v>
      </c>
      <c r="F1815" s="16" t="s">
        <v>5902</v>
      </c>
      <c r="G1815" s="16" t="s">
        <v>5903</v>
      </c>
      <c r="I1815" s="16" t="s">
        <v>50</v>
      </c>
      <c r="L1815" s="16" t="s">
        <v>5904</v>
      </c>
      <c r="M1815" s="16" t="s">
        <v>5902</v>
      </c>
      <c r="N1815" s="16">
        <v>268</v>
      </c>
      <c r="O1815" s="16" t="s">
        <v>5905</v>
      </c>
    </row>
    <row r="1816" spans="1:15" ht="15.75" customHeight="1" x14ac:dyDescent="0.25">
      <c r="A1816" s="16" t="s">
        <v>30</v>
      </c>
      <c r="B1816" s="16">
        <v>1805065</v>
      </c>
      <c r="C1816" s="16">
        <v>1805409</v>
      </c>
      <c r="E1816" s="16" t="s">
        <v>48</v>
      </c>
      <c r="F1816" s="16" t="s">
        <v>5906</v>
      </c>
      <c r="G1816" s="16" t="s">
        <v>5907</v>
      </c>
      <c r="I1816" s="16" t="s">
        <v>50</v>
      </c>
      <c r="L1816" s="16" t="s">
        <v>5908</v>
      </c>
      <c r="M1816" s="16" t="s">
        <v>5906</v>
      </c>
      <c r="N1816" s="16">
        <v>114</v>
      </c>
      <c r="O1816" s="16" t="s">
        <v>5909</v>
      </c>
    </row>
    <row r="1817" spans="1:15" ht="15.75" customHeight="1" x14ac:dyDescent="0.25">
      <c r="A1817" s="16" t="s">
        <v>30</v>
      </c>
      <c r="B1817" s="16">
        <v>1805411</v>
      </c>
      <c r="C1817" s="16">
        <v>1805764</v>
      </c>
      <c r="E1817" s="16" t="s">
        <v>48</v>
      </c>
      <c r="F1817" s="16" t="s">
        <v>5910</v>
      </c>
      <c r="I1817" s="16" t="s">
        <v>50</v>
      </c>
      <c r="L1817" s="16" t="s">
        <v>5911</v>
      </c>
      <c r="M1817" s="16" t="s">
        <v>5910</v>
      </c>
      <c r="N1817" s="16">
        <v>117</v>
      </c>
      <c r="O1817" s="16" t="s">
        <v>5912</v>
      </c>
    </row>
    <row r="1818" spans="1:15" ht="15.75" customHeight="1" x14ac:dyDescent="0.25">
      <c r="A1818" s="16" t="s">
        <v>30</v>
      </c>
      <c r="B1818" s="16">
        <v>1805771</v>
      </c>
      <c r="C1818" s="16">
        <v>1808116</v>
      </c>
      <c r="E1818" s="16" t="s">
        <v>48</v>
      </c>
      <c r="F1818" s="16" t="s">
        <v>5913</v>
      </c>
      <c r="G1818" s="16" t="s">
        <v>5914</v>
      </c>
      <c r="I1818" s="16" t="s">
        <v>50</v>
      </c>
      <c r="L1818" s="16" t="s">
        <v>5915</v>
      </c>
      <c r="M1818" s="16" t="s">
        <v>5913</v>
      </c>
      <c r="N1818" s="16">
        <v>781</v>
      </c>
      <c r="O1818" s="16" t="s">
        <v>5916</v>
      </c>
    </row>
    <row r="1819" spans="1:15" ht="15.75" customHeight="1" x14ac:dyDescent="0.25">
      <c r="A1819" s="16" t="s">
        <v>30</v>
      </c>
      <c r="B1819" s="16">
        <v>1808289</v>
      </c>
      <c r="C1819" s="16">
        <v>1809161</v>
      </c>
      <c r="E1819" s="16" t="s">
        <v>48</v>
      </c>
      <c r="F1819" s="16" t="s">
        <v>5917</v>
      </c>
      <c r="I1819" s="16" t="s">
        <v>50</v>
      </c>
      <c r="L1819" s="16" t="s">
        <v>5918</v>
      </c>
      <c r="M1819" s="16" t="s">
        <v>5917</v>
      </c>
      <c r="N1819" s="16">
        <v>290</v>
      </c>
      <c r="O1819" s="16" t="s">
        <v>5919</v>
      </c>
    </row>
    <row r="1820" spans="1:15" ht="15.75" customHeight="1" x14ac:dyDescent="0.25">
      <c r="A1820" s="16" t="s">
        <v>30</v>
      </c>
      <c r="B1820" s="16">
        <v>1809317</v>
      </c>
      <c r="C1820" s="16">
        <v>1810651</v>
      </c>
      <c r="E1820" s="16" t="s">
        <v>48</v>
      </c>
      <c r="F1820" s="16" t="s">
        <v>5920</v>
      </c>
      <c r="G1820" s="16" t="s">
        <v>5921</v>
      </c>
      <c r="I1820" s="16" t="s">
        <v>50</v>
      </c>
      <c r="L1820" s="16" t="s">
        <v>5922</v>
      </c>
      <c r="M1820" s="16" t="s">
        <v>5920</v>
      </c>
      <c r="N1820" s="16">
        <v>444</v>
      </c>
      <c r="O1820" s="16" t="s">
        <v>5923</v>
      </c>
    </row>
    <row r="1821" spans="1:15" ht="15.75" customHeight="1" x14ac:dyDescent="0.25">
      <c r="A1821" s="16" t="s">
        <v>30</v>
      </c>
      <c r="B1821" s="16">
        <v>1810722</v>
      </c>
      <c r="C1821" s="16">
        <v>1811915</v>
      </c>
      <c r="E1821" s="16" t="s">
        <v>57</v>
      </c>
      <c r="F1821" s="16" t="s">
        <v>5924</v>
      </c>
      <c r="I1821" s="16" t="s">
        <v>50</v>
      </c>
      <c r="L1821" s="16" t="s">
        <v>5925</v>
      </c>
      <c r="M1821" s="16" t="s">
        <v>5924</v>
      </c>
      <c r="N1821" s="16">
        <v>397</v>
      </c>
      <c r="O1821" s="16" t="s">
        <v>5926</v>
      </c>
    </row>
    <row r="1822" spans="1:15" ht="15.75" customHeight="1" x14ac:dyDescent="0.25">
      <c r="A1822" s="16" t="s">
        <v>30</v>
      </c>
      <c r="B1822" s="16">
        <v>1811959</v>
      </c>
      <c r="C1822" s="16">
        <v>1812696</v>
      </c>
      <c r="E1822" s="16" t="s">
        <v>57</v>
      </c>
      <c r="F1822" s="16" t="s">
        <v>5927</v>
      </c>
      <c r="G1822" s="16" t="s">
        <v>5928</v>
      </c>
      <c r="I1822" s="16" t="s">
        <v>50</v>
      </c>
      <c r="L1822" s="16" t="s">
        <v>5929</v>
      </c>
      <c r="M1822" s="16" t="s">
        <v>5927</v>
      </c>
      <c r="N1822" s="16">
        <v>245</v>
      </c>
      <c r="O1822" s="16" t="s">
        <v>5930</v>
      </c>
    </row>
    <row r="1823" spans="1:15" ht="15.75" customHeight="1" x14ac:dyDescent="0.25">
      <c r="A1823" s="16" t="s">
        <v>30</v>
      </c>
      <c r="B1823" s="16">
        <v>1812683</v>
      </c>
      <c r="C1823" s="16">
        <v>1813612</v>
      </c>
      <c r="E1823" s="16" t="s">
        <v>57</v>
      </c>
      <c r="F1823" s="16" t="s">
        <v>5931</v>
      </c>
      <c r="I1823" s="16" t="s">
        <v>50</v>
      </c>
      <c r="L1823" s="16" t="s">
        <v>5932</v>
      </c>
      <c r="M1823" s="16" t="s">
        <v>5931</v>
      </c>
      <c r="N1823" s="16">
        <v>309</v>
      </c>
      <c r="O1823" s="16" t="s">
        <v>5933</v>
      </c>
    </row>
    <row r="1824" spans="1:15" ht="15.75" customHeight="1" x14ac:dyDescent="0.25">
      <c r="A1824" s="16" t="s">
        <v>30</v>
      </c>
      <c r="B1824" s="16">
        <v>1813609</v>
      </c>
      <c r="C1824" s="16">
        <v>1814250</v>
      </c>
      <c r="E1824" s="16" t="s">
        <v>57</v>
      </c>
      <c r="F1824" s="16" t="s">
        <v>5934</v>
      </c>
      <c r="G1824" s="16" t="s">
        <v>5935</v>
      </c>
      <c r="I1824" s="16" t="s">
        <v>50</v>
      </c>
      <c r="L1824" s="16" t="s">
        <v>5936</v>
      </c>
      <c r="M1824" s="16" t="s">
        <v>5934</v>
      </c>
      <c r="N1824" s="16">
        <v>213</v>
      </c>
      <c r="O1824" s="16" t="s">
        <v>5937</v>
      </c>
    </row>
    <row r="1825" spans="1:15" ht="15.75" customHeight="1" x14ac:dyDescent="0.25">
      <c r="A1825" s="16" t="s">
        <v>30</v>
      </c>
      <c r="B1825" s="16">
        <v>1814512</v>
      </c>
      <c r="C1825" s="16">
        <v>1816491</v>
      </c>
      <c r="E1825" s="16" t="s">
        <v>57</v>
      </c>
      <c r="F1825" s="16" t="s">
        <v>5938</v>
      </c>
      <c r="G1825" s="16" t="s">
        <v>5939</v>
      </c>
      <c r="I1825" s="16" t="s">
        <v>50</v>
      </c>
      <c r="L1825" s="16" t="s">
        <v>5940</v>
      </c>
      <c r="M1825" s="16" t="s">
        <v>5938</v>
      </c>
      <c r="N1825" s="16">
        <v>659</v>
      </c>
      <c r="O1825" s="16" t="s">
        <v>5941</v>
      </c>
    </row>
    <row r="1826" spans="1:15" ht="15.75" customHeight="1" x14ac:dyDescent="0.25">
      <c r="A1826" s="16" t="s">
        <v>30</v>
      </c>
      <c r="B1826" s="16">
        <v>1816589</v>
      </c>
      <c r="C1826" s="16">
        <v>1817377</v>
      </c>
      <c r="E1826" s="16" t="s">
        <v>57</v>
      </c>
      <c r="F1826" s="16" t="s">
        <v>4976</v>
      </c>
      <c r="I1826" s="16" t="s">
        <v>50</v>
      </c>
      <c r="L1826" s="16" t="s">
        <v>5942</v>
      </c>
      <c r="M1826" s="16" t="s">
        <v>4976</v>
      </c>
      <c r="N1826" s="16">
        <v>262</v>
      </c>
      <c r="O1826" s="16" t="s">
        <v>5943</v>
      </c>
    </row>
    <row r="1827" spans="1:15" ht="15.75" customHeight="1" x14ac:dyDescent="0.25">
      <c r="A1827" s="16" t="s">
        <v>30</v>
      </c>
      <c r="B1827" s="16">
        <v>1817556</v>
      </c>
      <c r="C1827" s="16">
        <v>1819139</v>
      </c>
      <c r="E1827" s="16" t="s">
        <v>48</v>
      </c>
      <c r="F1827" s="16" t="s">
        <v>5944</v>
      </c>
      <c r="G1827" s="16" t="s">
        <v>5945</v>
      </c>
      <c r="I1827" s="16" t="s">
        <v>50</v>
      </c>
      <c r="L1827" s="16" t="s">
        <v>5946</v>
      </c>
      <c r="M1827" s="16" t="s">
        <v>5944</v>
      </c>
      <c r="N1827" s="16">
        <v>527</v>
      </c>
      <c r="O1827" s="16" t="s">
        <v>5947</v>
      </c>
    </row>
    <row r="1828" spans="1:15" ht="15.75" customHeight="1" x14ac:dyDescent="0.25">
      <c r="A1828" s="16" t="s">
        <v>30</v>
      </c>
      <c r="B1828" s="16">
        <v>1819215</v>
      </c>
      <c r="C1828" s="16">
        <v>1819448</v>
      </c>
      <c r="E1828" s="16" t="s">
        <v>57</v>
      </c>
      <c r="F1828" s="16" t="s">
        <v>5948</v>
      </c>
      <c r="I1828" s="16" t="s">
        <v>50</v>
      </c>
      <c r="L1828" s="16" t="s">
        <v>5949</v>
      </c>
      <c r="M1828" s="16" t="s">
        <v>5948</v>
      </c>
      <c r="N1828" s="16">
        <v>77</v>
      </c>
      <c r="O1828" s="16" t="s">
        <v>5950</v>
      </c>
    </row>
    <row r="1829" spans="1:15" ht="15.75" customHeight="1" x14ac:dyDescent="0.25">
      <c r="A1829" s="16" t="s">
        <v>30</v>
      </c>
      <c r="B1829" s="16">
        <v>1819551</v>
      </c>
      <c r="C1829" s="16">
        <v>1819880</v>
      </c>
      <c r="E1829" s="16" t="s">
        <v>57</v>
      </c>
      <c r="F1829" s="16" t="s">
        <v>5951</v>
      </c>
      <c r="I1829" s="16" t="s">
        <v>50</v>
      </c>
      <c r="L1829" s="16" t="s">
        <v>5952</v>
      </c>
      <c r="M1829" s="16" t="s">
        <v>5951</v>
      </c>
      <c r="N1829" s="16">
        <v>109</v>
      </c>
      <c r="O1829" s="16" t="s">
        <v>5953</v>
      </c>
    </row>
    <row r="1830" spans="1:15" ht="15.75" customHeight="1" x14ac:dyDescent="0.25">
      <c r="A1830" s="16" t="s">
        <v>30</v>
      </c>
      <c r="B1830" s="16">
        <v>1819877</v>
      </c>
      <c r="C1830" s="16">
        <v>1820611</v>
      </c>
      <c r="E1830" s="16" t="s">
        <v>57</v>
      </c>
      <c r="F1830" s="16" t="s">
        <v>5954</v>
      </c>
      <c r="G1830" s="16" t="s">
        <v>5955</v>
      </c>
      <c r="I1830" s="16" t="s">
        <v>50</v>
      </c>
      <c r="L1830" s="16" t="s">
        <v>5956</v>
      </c>
      <c r="M1830" s="16" t="s">
        <v>5954</v>
      </c>
      <c r="N1830" s="16">
        <v>244</v>
      </c>
      <c r="O1830" s="16" t="s">
        <v>5957</v>
      </c>
    </row>
    <row r="1831" spans="1:15" ht="15.75" customHeight="1" x14ac:dyDescent="0.25">
      <c r="A1831" s="16" t="s">
        <v>30</v>
      </c>
      <c r="B1831" s="16">
        <v>1820621</v>
      </c>
      <c r="C1831" s="16">
        <v>1821550</v>
      </c>
      <c r="E1831" s="16" t="s">
        <v>57</v>
      </c>
      <c r="F1831" s="16" t="s">
        <v>2351</v>
      </c>
      <c r="I1831" s="16" t="s">
        <v>50</v>
      </c>
      <c r="L1831" s="16" t="s">
        <v>5958</v>
      </c>
      <c r="M1831" s="16" t="s">
        <v>2351</v>
      </c>
      <c r="N1831" s="16">
        <v>309</v>
      </c>
      <c r="O1831" s="16" t="s">
        <v>5959</v>
      </c>
    </row>
    <row r="1832" spans="1:15" ht="15.75" customHeight="1" x14ac:dyDescent="0.25">
      <c r="A1832" s="16" t="s">
        <v>30</v>
      </c>
      <c r="B1832" s="16">
        <v>1821785</v>
      </c>
      <c r="C1832" s="16">
        <v>1821900</v>
      </c>
      <c r="E1832" s="16" t="s">
        <v>57</v>
      </c>
      <c r="F1832" s="16" t="s">
        <v>393</v>
      </c>
      <c r="G1832" s="16" t="s">
        <v>394</v>
      </c>
      <c r="I1832" s="16" t="s">
        <v>395</v>
      </c>
      <c r="O1832" s="16" t="s">
        <v>5960</v>
      </c>
    </row>
    <row r="1833" spans="1:15" ht="15.75" customHeight="1" x14ac:dyDescent="0.25">
      <c r="A1833" s="16" t="s">
        <v>30</v>
      </c>
      <c r="B1833" s="16">
        <v>1822143</v>
      </c>
      <c r="C1833" s="16">
        <v>1825258</v>
      </c>
      <c r="E1833" s="16" t="s">
        <v>57</v>
      </c>
      <c r="F1833" s="16" t="s">
        <v>397</v>
      </c>
      <c r="I1833" s="16" t="s">
        <v>395</v>
      </c>
      <c r="O1833" s="16" t="s">
        <v>5961</v>
      </c>
    </row>
    <row r="1834" spans="1:15" ht="15.75" customHeight="1" x14ac:dyDescent="0.25">
      <c r="A1834" s="16" t="s">
        <v>30</v>
      </c>
      <c r="B1834" s="16">
        <v>1825658</v>
      </c>
      <c r="C1834" s="16">
        <v>1825733</v>
      </c>
      <c r="E1834" s="16" t="s">
        <v>57</v>
      </c>
      <c r="F1834" s="16" t="s">
        <v>962</v>
      </c>
      <c r="I1834" s="16" t="s">
        <v>290</v>
      </c>
      <c r="O1834" s="16" t="s">
        <v>5962</v>
      </c>
    </row>
    <row r="1835" spans="1:15" ht="15.75" customHeight="1" x14ac:dyDescent="0.25">
      <c r="A1835" s="16" t="s">
        <v>30</v>
      </c>
      <c r="B1835" s="16">
        <v>1825819</v>
      </c>
      <c r="C1835" s="16">
        <v>1825895</v>
      </c>
      <c r="E1835" s="16" t="s">
        <v>57</v>
      </c>
      <c r="F1835" s="16" t="s">
        <v>2612</v>
      </c>
      <c r="I1835" s="16" t="s">
        <v>290</v>
      </c>
      <c r="O1835" s="16" t="s">
        <v>5963</v>
      </c>
    </row>
    <row r="1836" spans="1:15" ht="15.75" customHeight="1" x14ac:dyDescent="0.25">
      <c r="A1836" s="16" t="s">
        <v>30</v>
      </c>
      <c r="B1836" s="16">
        <v>1825975</v>
      </c>
      <c r="C1836" s="16">
        <v>1827514</v>
      </c>
      <c r="E1836" s="16" t="s">
        <v>57</v>
      </c>
      <c r="F1836" s="16" t="s">
        <v>401</v>
      </c>
      <c r="I1836" s="16" t="s">
        <v>395</v>
      </c>
      <c r="O1836" s="16" t="s">
        <v>5964</v>
      </c>
    </row>
    <row r="1837" spans="1:15" ht="15.75" customHeight="1" x14ac:dyDescent="0.25">
      <c r="A1837" s="16" t="s">
        <v>30</v>
      </c>
      <c r="B1837" s="16">
        <v>1827880</v>
      </c>
      <c r="C1837" s="16">
        <v>1829025</v>
      </c>
      <c r="E1837" s="16" t="s">
        <v>57</v>
      </c>
      <c r="F1837" s="16" t="s">
        <v>5965</v>
      </c>
      <c r="G1837" s="16" t="s">
        <v>5966</v>
      </c>
      <c r="I1837" s="16" t="s">
        <v>50</v>
      </c>
      <c r="L1837" s="16" t="s">
        <v>5967</v>
      </c>
      <c r="M1837" s="16" t="s">
        <v>5965</v>
      </c>
      <c r="N1837" s="16">
        <v>381</v>
      </c>
      <c r="O1837" s="16" t="s">
        <v>5968</v>
      </c>
    </row>
    <row r="1838" spans="1:15" ht="15.75" customHeight="1" x14ac:dyDescent="0.25">
      <c r="A1838" s="16" t="s">
        <v>30</v>
      </c>
      <c r="B1838" s="16">
        <v>1829237</v>
      </c>
      <c r="C1838" s="16">
        <v>1830046</v>
      </c>
      <c r="E1838" s="16" t="s">
        <v>57</v>
      </c>
      <c r="F1838" s="16" t="s">
        <v>5969</v>
      </c>
      <c r="G1838" s="16" t="s">
        <v>5970</v>
      </c>
      <c r="I1838" s="16" t="s">
        <v>50</v>
      </c>
      <c r="L1838" s="16" t="s">
        <v>5971</v>
      </c>
      <c r="M1838" s="16" t="s">
        <v>5969</v>
      </c>
      <c r="N1838" s="16">
        <v>269</v>
      </c>
      <c r="O1838" s="16" t="s">
        <v>5972</v>
      </c>
    </row>
    <row r="1839" spans="1:15" ht="15.75" customHeight="1" x14ac:dyDescent="0.25">
      <c r="A1839" s="16" t="s">
        <v>30</v>
      </c>
      <c r="B1839" s="16">
        <v>1830076</v>
      </c>
      <c r="C1839" s="16">
        <v>1832157</v>
      </c>
      <c r="E1839" s="16" t="s">
        <v>57</v>
      </c>
      <c r="F1839" s="16" t="s">
        <v>5973</v>
      </c>
      <c r="G1839" s="16" t="s">
        <v>5974</v>
      </c>
      <c r="I1839" s="16" t="s">
        <v>50</v>
      </c>
      <c r="L1839" s="16" t="s">
        <v>5975</v>
      </c>
      <c r="M1839" s="16" t="s">
        <v>5973</v>
      </c>
      <c r="N1839" s="16">
        <v>693</v>
      </c>
      <c r="O1839" s="16" t="s">
        <v>5976</v>
      </c>
    </row>
    <row r="1840" spans="1:15" ht="15.75" customHeight="1" x14ac:dyDescent="0.25">
      <c r="A1840" s="16" t="s">
        <v>30</v>
      </c>
      <c r="B1840" s="16">
        <v>1832154</v>
      </c>
      <c r="C1840" s="16">
        <v>1834268</v>
      </c>
      <c r="E1840" s="16" t="s">
        <v>57</v>
      </c>
      <c r="F1840" s="16" t="s">
        <v>5977</v>
      </c>
      <c r="G1840" s="16" t="s">
        <v>5978</v>
      </c>
      <c r="I1840" s="16" t="s">
        <v>50</v>
      </c>
      <c r="L1840" s="16" t="s">
        <v>5979</v>
      </c>
      <c r="M1840" s="16" t="s">
        <v>5977</v>
      </c>
      <c r="N1840" s="16">
        <v>704</v>
      </c>
      <c r="O1840" s="16" t="s">
        <v>5980</v>
      </c>
    </row>
    <row r="1841" spans="1:15" ht="15.75" customHeight="1" x14ac:dyDescent="0.25">
      <c r="A1841" s="16" t="s">
        <v>30</v>
      </c>
      <c r="B1841" s="16">
        <v>1834341</v>
      </c>
      <c r="C1841" s="16">
        <v>1834607</v>
      </c>
      <c r="E1841" s="16" t="s">
        <v>57</v>
      </c>
      <c r="F1841" s="16" t="s">
        <v>5981</v>
      </c>
      <c r="G1841" s="16" t="s">
        <v>5982</v>
      </c>
      <c r="I1841" s="16" t="s">
        <v>50</v>
      </c>
      <c r="L1841" s="16" t="s">
        <v>5983</v>
      </c>
      <c r="M1841" s="16" t="s">
        <v>5981</v>
      </c>
      <c r="N1841" s="16">
        <v>88</v>
      </c>
      <c r="O1841" s="16" t="s">
        <v>5984</v>
      </c>
    </row>
    <row r="1842" spans="1:15" ht="15.75" customHeight="1" x14ac:dyDescent="0.25">
      <c r="A1842" s="16" t="s">
        <v>30</v>
      </c>
      <c r="B1842" s="16">
        <v>1834670</v>
      </c>
      <c r="C1842" s="16">
        <v>1835296</v>
      </c>
      <c r="E1842" s="16" t="s">
        <v>57</v>
      </c>
      <c r="F1842" s="16" t="s">
        <v>5985</v>
      </c>
      <c r="G1842" s="16" t="s">
        <v>5986</v>
      </c>
      <c r="I1842" s="16" t="s">
        <v>50</v>
      </c>
      <c r="L1842" s="16" t="s">
        <v>5987</v>
      </c>
      <c r="M1842" s="16" t="s">
        <v>5985</v>
      </c>
      <c r="N1842" s="16">
        <v>208</v>
      </c>
      <c r="O1842" s="16" t="s">
        <v>5988</v>
      </c>
    </row>
    <row r="1843" spans="1:15" ht="15.75" customHeight="1" x14ac:dyDescent="0.25">
      <c r="A1843" s="16" t="s">
        <v>30</v>
      </c>
      <c r="B1843" s="16">
        <v>1835547</v>
      </c>
      <c r="C1843" s="16">
        <v>1836566</v>
      </c>
      <c r="E1843" s="16" t="s">
        <v>48</v>
      </c>
      <c r="F1843" s="16" t="s">
        <v>5989</v>
      </c>
      <c r="G1843" s="16" t="s">
        <v>5990</v>
      </c>
      <c r="I1843" s="16" t="s">
        <v>50</v>
      </c>
      <c r="L1843" s="16" t="s">
        <v>5991</v>
      </c>
      <c r="M1843" s="16" t="s">
        <v>5989</v>
      </c>
      <c r="N1843" s="16">
        <v>339</v>
      </c>
      <c r="O1843" s="16" t="s">
        <v>5992</v>
      </c>
    </row>
    <row r="1844" spans="1:15" ht="15.75" customHeight="1" x14ac:dyDescent="0.25">
      <c r="A1844" s="16" t="s">
        <v>30</v>
      </c>
      <c r="B1844" s="16">
        <v>1836760</v>
      </c>
      <c r="C1844" s="16">
        <v>1838559</v>
      </c>
      <c r="E1844" s="16" t="s">
        <v>48</v>
      </c>
      <c r="F1844" s="16" t="s">
        <v>5993</v>
      </c>
      <c r="I1844" s="16" t="s">
        <v>50</v>
      </c>
      <c r="L1844" s="16" t="s">
        <v>5994</v>
      </c>
      <c r="M1844" s="16" t="s">
        <v>5993</v>
      </c>
      <c r="N1844" s="16">
        <v>599</v>
      </c>
      <c r="O1844" s="16" t="s">
        <v>5995</v>
      </c>
    </row>
    <row r="1845" spans="1:15" ht="15.75" customHeight="1" x14ac:dyDescent="0.25">
      <c r="A1845" s="16" t="s">
        <v>30</v>
      </c>
      <c r="B1845" s="16">
        <v>1838596</v>
      </c>
      <c r="C1845" s="16">
        <v>1839381</v>
      </c>
      <c r="E1845" s="16" t="s">
        <v>57</v>
      </c>
      <c r="F1845" s="16" t="s">
        <v>2237</v>
      </c>
      <c r="I1845" s="16" t="s">
        <v>50</v>
      </c>
      <c r="L1845" s="16" t="s">
        <v>5996</v>
      </c>
      <c r="M1845" s="16" t="s">
        <v>2237</v>
      </c>
      <c r="N1845" s="16">
        <v>261</v>
      </c>
      <c r="O1845" s="16" t="s">
        <v>5997</v>
      </c>
    </row>
    <row r="1846" spans="1:15" ht="15.75" customHeight="1" x14ac:dyDescent="0.25">
      <c r="A1846" s="16" t="s">
        <v>30</v>
      </c>
      <c r="B1846" s="16">
        <v>1839400</v>
      </c>
      <c r="C1846" s="16">
        <v>1839864</v>
      </c>
      <c r="E1846" s="16" t="s">
        <v>57</v>
      </c>
      <c r="F1846" s="16" t="s">
        <v>5998</v>
      </c>
      <c r="G1846" s="16" t="s">
        <v>5999</v>
      </c>
      <c r="I1846" s="16" t="s">
        <v>50</v>
      </c>
      <c r="L1846" s="16" t="s">
        <v>6000</v>
      </c>
      <c r="M1846" s="16" t="s">
        <v>5998</v>
      </c>
      <c r="N1846" s="16">
        <v>154</v>
      </c>
      <c r="O1846" s="16" t="s">
        <v>6001</v>
      </c>
    </row>
    <row r="1847" spans="1:15" ht="15.75" customHeight="1" x14ac:dyDescent="0.25">
      <c r="A1847" s="16" t="s">
        <v>30</v>
      </c>
      <c r="B1847" s="16">
        <v>1840126</v>
      </c>
      <c r="C1847" s="16">
        <v>1840938</v>
      </c>
      <c r="E1847" s="16" t="s">
        <v>57</v>
      </c>
      <c r="F1847" s="16" t="s">
        <v>6002</v>
      </c>
      <c r="G1847" s="16" t="s">
        <v>6003</v>
      </c>
      <c r="I1847" s="16" t="s">
        <v>50</v>
      </c>
      <c r="L1847" s="16" t="s">
        <v>6004</v>
      </c>
      <c r="M1847" s="16" t="s">
        <v>6002</v>
      </c>
      <c r="N1847" s="16">
        <v>270</v>
      </c>
      <c r="O1847" s="16" t="s">
        <v>6005</v>
      </c>
    </row>
    <row r="1848" spans="1:15" ht="15.75" customHeight="1" x14ac:dyDescent="0.25">
      <c r="A1848" s="16" t="s">
        <v>30</v>
      </c>
      <c r="B1848" s="16">
        <v>1841209</v>
      </c>
      <c r="C1848" s="16">
        <v>1844295</v>
      </c>
      <c r="E1848" s="16" t="s">
        <v>48</v>
      </c>
      <c r="F1848" s="16" t="s">
        <v>6006</v>
      </c>
      <c r="G1848" s="16" t="s">
        <v>6007</v>
      </c>
      <c r="I1848" s="16" t="s">
        <v>50</v>
      </c>
      <c r="L1848" s="16" t="s">
        <v>6008</v>
      </c>
      <c r="M1848" s="16" t="s">
        <v>6006</v>
      </c>
      <c r="N1848" s="16">
        <v>1028</v>
      </c>
      <c r="O1848" s="16" t="s">
        <v>6009</v>
      </c>
    </row>
    <row r="1849" spans="1:15" ht="15.75" customHeight="1" x14ac:dyDescent="0.25">
      <c r="A1849" s="16" t="s">
        <v>30</v>
      </c>
      <c r="B1849" s="16">
        <v>1844297</v>
      </c>
      <c r="C1849" s="16">
        <v>1845235</v>
      </c>
      <c r="E1849" s="16" t="s">
        <v>48</v>
      </c>
      <c r="F1849" s="16" t="s">
        <v>6010</v>
      </c>
      <c r="G1849" s="16" t="s">
        <v>6011</v>
      </c>
      <c r="I1849" s="16" t="s">
        <v>50</v>
      </c>
      <c r="L1849" s="16" t="s">
        <v>6012</v>
      </c>
      <c r="M1849" s="16" t="s">
        <v>6010</v>
      </c>
      <c r="N1849" s="16">
        <v>312</v>
      </c>
      <c r="O1849" s="16" t="s">
        <v>6013</v>
      </c>
    </row>
    <row r="1850" spans="1:15" ht="15.75" customHeight="1" x14ac:dyDescent="0.25">
      <c r="A1850" s="16" t="s">
        <v>30</v>
      </c>
      <c r="B1850" s="16">
        <v>1845228</v>
      </c>
      <c r="C1850" s="16">
        <v>1845944</v>
      </c>
      <c r="E1850" s="16" t="s">
        <v>48</v>
      </c>
      <c r="F1850" s="16" t="s">
        <v>6014</v>
      </c>
      <c r="I1850" s="16" t="s">
        <v>50</v>
      </c>
      <c r="L1850" s="16" t="s">
        <v>6015</v>
      </c>
      <c r="M1850" s="16" t="s">
        <v>6014</v>
      </c>
      <c r="N1850" s="16">
        <v>238</v>
      </c>
      <c r="O1850" s="16" t="s">
        <v>6016</v>
      </c>
    </row>
    <row r="1851" spans="1:15" ht="15.75" customHeight="1" x14ac:dyDescent="0.25">
      <c r="A1851" s="16" t="s">
        <v>30</v>
      </c>
      <c r="B1851" s="16">
        <v>1846014</v>
      </c>
      <c r="C1851" s="16">
        <v>1846922</v>
      </c>
      <c r="E1851" s="16" t="s">
        <v>48</v>
      </c>
      <c r="F1851" s="16" t="s">
        <v>6017</v>
      </c>
      <c r="G1851" s="16" t="s">
        <v>6018</v>
      </c>
      <c r="I1851" s="16" t="s">
        <v>50</v>
      </c>
      <c r="L1851" s="16" t="s">
        <v>6019</v>
      </c>
      <c r="M1851" s="16" t="s">
        <v>6017</v>
      </c>
      <c r="N1851" s="16">
        <v>302</v>
      </c>
      <c r="O1851" s="16" t="s">
        <v>6020</v>
      </c>
    </row>
    <row r="1852" spans="1:15" ht="15.75" customHeight="1" x14ac:dyDescent="0.25">
      <c r="A1852" s="16" t="s">
        <v>30</v>
      </c>
      <c r="B1852" s="16">
        <v>1846966</v>
      </c>
      <c r="C1852" s="16">
        <v>1847406</v>
      </c>
      <c r="E1852" s="16" t="s">
        <v>57</v>
      </c>
      <c r="F1852" s="16" t="s">
        <v>6021</v>
      </c>
      <c r="G1852" s="16" t="s">
        <v>6022</v>
      </c>
      <c r="I1852" s="16" t="s">
        <v>50</v>
      </c>
      <c r="L1852" s="16" t="s">
        <v>6023</v>
      </c>
      <c r="M1852" s="16" t="s">
        <v>6021</v>
      </c>
      <c r="N1852" s="16">
        <v>146</v>
      </c>
      <c r="O1852" s="16" t="s">
        <v>6024</v>
      </c>
    </row>
    <row r="1853" spans="1:15" ht="15.75" customHeight="1" x14ac:dyDescent="0.25">
      <c r="A1853" s="16" t="s">
        <v>30</v>
      </c>
      <c r="B1853" s="16">
        <v>1847409</v>
      </c>
      <c r="C1853" s="16">
        <v>1847813</v>
      </c>
      <c r="E1853" s="16" t="s">
        <v>57</v>
      </c>
      <c r="F1853" s="16" t="s">
        <v>6025</v>
      </c>
      <c r="G1853" s="16" t="s">
        <v>6026</v>
      </c>
      <c r="I1853" s="16" t="s">
        <v>50</v>
      </c>
      <c r="L1853" s="16" t="s">
        <v>6027</v>
      </c>
      <c r="M1853" s="16" t="s">
        <v>6025</v>
      </c>
      <c r="N1853" s="16">
        <v>134</v>
      </c>
      <c r="O1853" s="16" t="s">
        <v>6028</v>
      </c>
    </row>
    <row r="1854" spans="1:15" ht="15.75" customHeight="1" x14ac:dyDescent="0.25">
      <c r="A1854" s="16" t="s">
        <v>30</v>
      </c>
      <c r="B1854" s="16">
        <v>1847919</v>
      </c>
      <c r="C1854" s="16">
        <v>1848911</v>
      </c>
      <c r="E1854" s="16" t="s">
        <v>48</v>
      </c>
      <c r="F1854" s="16" t="s">
        <v>6029</v>
      </c>
      <c r="G1854" s="16" t="s">
        <v>6030</v>
      </c>
      <c r="I1854" s="16" t="s">
        <v>50</v>
      </c>
      <c r="L1854" s="16" t="s">
        <v>6031</v>
      </c>
      <c r="M1854" s="16" t="s">
        <v>6029</v>
      </c>
      <c r="N1854" s="16">
        <v>330</v>
      </c>
      <c r="O1854" s="16" t="s">
        <v>6032</v>
      </c>
    </row>
    <row r="1855" spans="1:15" ht="15.75" customHeight="1" x14ac:dyDescent="0.25">
      <c r="A1855" s="16" t="s">
        <v>30</v>
      </c>
      <c r="B1855" s="16">
        <v>1848979</v>
      </c>
      <c r="C1855" s="16">
        <v>1849887</v>
      </c>
      <c r="E1855" s="16" t="s">
        <v>57</v>
      </c>
      <c r="F1855" s="16" t="s">
        <v>6033</v>
      </c>
      <c r="G1855" s="16" t="s">
        <v>6034</v>
      </c>
      <c r="I1855" s="16" t="s">
        <v>50</v>
      </c>
      <c r="L1855" s="16" t="s">
        <v>6035</v>
      </c>
      <c r="M1855" s="16" t="s">
        <v>6033</v>
      </c>
      <c r="N1855" s="16">
        <v>302</v>
      </c>
      <c r="O1855" s="16" t="s">
        <v>6036</v>
      </c>
    </row>
    <row r="1856" spans="1:15" ht="15.75" customHeight="1" x14ac:dyDescent="0.25">
      <c r="A1856" s="16" t="s">
        <v>30</v>
      </c>
      <c r="B1856" s="16">
        <v>1849884</v>
      </c>
      <c r="C1856" s="16">
        <v>1850567</v>
      </c>
      <c r="E1856" s="16" t="s">
        <v>57</v>
      </c>
      <c r="F1856" s="16" t="s">
        <v>6037</v>
      </c>
      <c r="G1856" s="16" t="s">
        <v>6038</v>
      </c>
      <c r="I1856" s="16" t="s">
        <v>50</v>
      </c>
      <c r="L1856" s="16" t="s">
        <v>6039</v>
      </c>
      <c r="M1856" s="16" t="s">
        <v>6037</v>
      </c>
      <c r="N1856" s="16">
        <v>227</v>
      </c>
      <c r="O1856" s="16" t="s">
        <v>6040</v>
      </c>
    </row>
    <row r="1857" spans="1:15" ht="15.75" customHeight="1" x14ac:dyDescent="0.25">
      <c r="A1857" s="16" t="s">
        <v>30</v>
      </c>
      <c r="B1857" s="16">
        <v>1850569</v>
      </c>
      <c r="C1857" s="16">
        <v>1851618</v>
      </c>
      <c r="E1857" s="16" t="s">
        <v>57</v>
      </c>
      <c r="F1857" s="16" t="s">
        <v>6041</v>
      </c>
      <c r="G1857" s="16" t="s">
        <v>6042</v>
      </c>
      <c r="I1857" s="16" t="s">
        <v>50</v>
      </c>
      <c r="L1857" s="16" t="s">
        <v>6043</v>
      </c>
      <c r="M1857" s="16" t="s">
        <v>6041</v>
      </c>
      <c r="N1857" s="16">
        <v>349</v>
      </c>
      <c r="O1857" s="16" t="s">
        <v>6044</v>
      </c>
    </row>
    <row r="1858" spans="1:15" ht="15.75" customHeight="1" x14ac:dyDescent="0.25">
      <c r="A1858" s="16" t="s">
        <v>30</v>
      </c>
      <c r="B1858" s="16">
        <v>1851627</v>
      </c>
      <c r="C1858" s="16">
        <v>1853423</v>
      </c>
      <c r="E1858" s="16" t="s">
        <v>57</v>
      </c>
      <c r="F1858" s="16" t="s">
        <v>6045</v>
      </c>
      <c r="G1858" s="16" t="s">
        <v>6046</v>
      </c>
      <c r="I1858" s="16" t="s">
        <v>50</v>
      </c>
      <c r="L1858" s="16" t="s">
        <v>6047</v>
      </c>
      <c r="M1858" s="16" t="s">
        <v>6045</v>
      </c>
      <c r="N1858" s="16">
        <v>598</v>
      </c>
      <c r="O1858" s="16" t="s">
        <v>6048</v>
      </c>
    </row>
    <row r="1859" spans="1:15" ht="15.75" customHeight="1" x14ac:dyDescent="0.25">
      <c r="A1859" s="16" t="s">
        <v>30</v>
      </c>
      <c r="B1859" s="16">
        <v>1853591</v>
      </c>
      <c r="C1859" s="16">
        <v>1853974</v>
      </c>
      <c r="E1859" s="16" t="s">
        <v>57</v>
      </c>
      <c r="F1859" s="16" t="s">
        <v>6049</v>
      </c>
      <c r="G1859" s="16" t="s">
        <v>6050</v>
      </c>
      <c r="I1859" s="16" t="s">
        <v>50</v>
      </c>
      <c r="L1859" s="16" t="s">
        <v>6051</v>
      </c>
      <c r="M1859" s="16" t="s">
        <v>6049</v>
      </c>
      <c r="N1859" s="16">
        <v>127</v>
      </c>
      <c r="O1859" s="16" t="s">
        <v>6052</v>
      </c>
    </row>
    <row r="1860" spans="1:15" ht="15.75" customHeight="1" x14ac:dyDescent="0.25">
      <c r="A1860" s="16" t="s">
        <v>30</v>
      </c>
      <c r="B1860" s="16">
        <v>1854232</v>
      </c>
      <c r="C1860" s="16">
        <v>1854891</v>
      </c>
      <c r="E1860" s="16" t="s">
        <v>48</v>
      </c>
      <c r="F1860" s="16" t="s">
        <v>6053</v>
      </c>
      <c r="G1860" s="16" t="s">
        <v>6054</v>
      </c>
      <c r="I1860" s="16" t="s">
        <v>50</v>
      </c>
      <c r="L1860" s="16" t="s">
        <v>6055</v>
      </c>
      <c r="M1860" s="16" t="s">
        <v>6053</v>
      </c>
      <c r="N1860" s="16">
        <v>219</v>
      </c>
      <c r="O1860" s="16" t="s">
        <v>6056</v>
      </c>
    </row>
    <row r="1861" spans="1:15" ht="15.75" customHeight="1" x14ac:dyDescent="0.25">
      <c r="A1861" s="16" t="s">
        <v>30</v>
      </c>
      <c r="B1861" s="16">
        <v>1854961</v>
      </c>
      <c r="C1861" s="16">
        <v>1856385</v>
      </c>
      <c r="E1861" s="16" t="s">
        <v>57</v>
      </c>
      <c r="F1861" s="16" t="s">
        <v>6057</v>
      </c>
      <c r="G1861" s="16" t="s">
        <v>6058</v>
      </c>
      <c r="I1861" s="16" t="s">
        <v>50</v>
      </c>
      <c r="L1861" s="16" t="s">
        <v>6059</v>
      </c>
      <c r="M1861" s="16" t="s">
        <v>6057</v>
      </c>
      <c r="N1861" s="16">
        <v>474</v>
      </c>
      <c r="O1861" s="16" t="s">
        <v>6060</v>
      </c>
    </row>
    <row r="1862" spans="1:15" ht="15.75" customHeight="1" x14ac:dyDescent="0.25">
      <c r="A1862" s="16" t="s">
        <v>30</v>
      </c>
      <c r="B1862" s="16">
        <v>1856805</v>
      </c>
      <c r="C1862" s="16">
        <v>1858244</v>
      </c>
      <c r="E1862" s="16" t="s">
        <v>57</v>
      </c>
      <c r="F1862" s="16" t="s">
        <v>6061</v>
      </c>
      <c r="I1862" s="16" t="s">
        <v>50</v>
      </c>
      <c r="L1862" s="16" t="s">
        <v>6062</v>
      </c>
      <c r="M1862" s="16" t="s">
        <v>6061</v>
      </c>
      <c r="N1862" s="16">
        <v>479</v>
      </c>
      <c r="O1862" s="16" t="s">
        <v>6063</v>
      </c>
    </row>
    <row r="1863" spans="1:15" ht="15.75" customHeight="1" x14ac:dyDescent="0.25">
      <c r="A1863" s="16" t="s">
        <v>30</v>
      </c>
      <c r="B1863" s="16">
        <v>1858246</v>
      </c>
      <c r="C1863" s="16">
        <v>1859643</v>
      </c>
      <c r="E1863" s="16" t="s">
        <v>57</v>
      </c>
      <c r="F1863" s="16" t="s">
        <v>6064</v>
      </c>
      <c r="G1863" s="16" t="s">
        <v>6065</v>
      </c>
      <c r="I1863" s="16" t="s">
        <v>50</v>
      </c>
      <c r="L1863" s="16" t="s">
        <v>6066</v>
      </c>
      <c r="M1863" s="16" t="s">
        <v>6064</v>
      </c>
      <c r="N1863" s="16">
        <v>465</v>
      </c>
      <c r="O1863" s="16" t="s">
        <v>6067</v>
      </c>
    </row>
    <row r="1864" spans="1:15" ht="15.75" customHeight="1" x14ac:dyDescent="0.25">
      <c r="A1864" s="16" t="s">
        <v>30</v>
      </c>
      <c r="B1864" s="16">
        <v>1859824</v>
      </c>
      <c r="C1864" s="16">
        <v>1861326</v>
      </c>
      <c r="E1864" s="16" t="s">
        <v>57</v>
      </c>
      <c r="F1864" s="16" t="s">
        <v>6068</v>
      </c>
      <c r="G1864" s="16" t="s">
        <v>6069</v>
      </c>
      <c r="I1864" s="16" t="s">
        <v>50</v>
      </c>
      <c r="L1864" s="16" t="s">
        <v>6070</v>
      </c>
      <c r="M1864" s="16" t="s">
        <v>6068</v>
      </c>
      <c r="N1864" s="16">
        <v>500</v>
      </c>
      <c r="O1864" s="16" t="s">
        <v>6071</v>
      </c>
    </row>
    <row r="1865" spans="1:15" ht="15.75" customHeight="1" x14ac:dyDescent="0.25">
      <c r="A1865" s="16" t="s">
        <v>30</v>
      </c>
      <c r="B1865" s="16">
        <v>1861341</v>
      </c>
      <c r="C1865" s="16">
        <v>1862216</v>
      </c>
      <c r="E1865" s="16" t="s">
        <v>57</v>
      </c>
      <c r="F1865" s="16" t="s">
        <v>6072</v>
      </c>
      <c r="G1865" s="16" t="s">
        <v>6073</v>
      </c>
      <c r="I1865" s="16" t="s">
        <v>50</v>
      </c>
      <c r="L1865" s="16" t="s">
        <v>6074</v>
      </c>
      <c r="M1865" s="16" t="s">
        <v>6072</v>
      </c>
      <c r="N1865" s="16">
        <v>291</v>
      </c>
      <c r="O1865" s="16" t="s">
        <v>6075</v>
      </c>
    </row>
    <row r="1866" spans="1:15" ht="15.75" customHeight="1" x14ac:dyDescent="0.25">
      <c r="A1866" s="16" t="s">
        <v>30</v>
      </c>
      <c r="B1866" s="16">
        <v>1862213</v>
      </c>
      <c r="C1866" s="16">
        <v>1862500</v>
      </c>
      <c r="E1866" s="16" t="s">
        <v>57</v>
      </c>
      <c r="F1866" s="16" t="s">
        <v>6076</v>
      </c>
      <c r="G1866" s="16" t="s">
        <v>6077</v>
      </c>
      <c r="I1866" s="16" t="s">
        <v>50</v>
      </c>
      <c r="L1866" s="16" t="s">
        <v>6078</v>
      </c>
      <c r="M1866" s="16" t="s">
        <v>6076</v>
      </c>
      <c r="N1866" s="16">
        <v>95</v>
      </c>
      <c r="O1866" s="16" t="s">
        <v>6079</v>
      </c>
    </row>
    <row r="1867" spans="1:15" ht="15.75" customHeight="1" x14ac:dyDescent="0.25">
      <c r="A1867" s="16" t="s">
        <v>30</v>
      </c>
      <c r="B1867" s="16">
        <v>1862538</v>
      </c>
      <c r="C1867" s="16">
        <v>1863545</v>
      </c>
      <c r="E1867" s="16" t="s">
        <v>57</v>
      </c>
      <c r="F1867" s="16" t="s">
        <v>6080</v>
      </c>
      <c r="G1867" s="16" t="s">
        <v>6081</v>
      </c>
      <c r="I1867" s="16" t="s">
        <v>50</v>
      </c>
      <c r="L1867" s="16" t="s">
        <v>6082</v>
      </c>
      <c r="M1867" s="16" t="s">
        <v>6080</v>
      </c>
      <c r="N1867" s="16">
        <v>335</v>
      </c>
      <c r="O1867" s="16" t="s">
        <v>6083</v>
      </c>
    </row>
    <row r="1868" spans="1:15" ht="15.75" customHeight="1" x14ac:dyDescent="0.25">
      <c r="A1868" s="16" t="s">
        <v>30</v>
      </c>
      <c r="B1868" s="16">
        <v>1863796</v>
      </c>
      <c r="C1868" s="16">
        <v>1864758</v>
      </c>
      <c r="E1868" s="16" t="s">
        <v>57</v>
      </c>
      <c r="F1868" s="16" t="s">
        <v>6084</v>
      </c>
      <c r="G1868" s="16" t="s">
        <v>6085</v>
      </c>
      <c r="I1868" s="16" t="s">
        <v>50</v>
      </c>
      <c r="L1868" s="16" t="s">
        <v>6086</v>
      </c>
      <c r="M1868" s="16" t="s">
        <v>6084</v>
      </c>
      <c r="N1868" s="16">
        <v>320</v>
      </c>
      <c r="O1868" s="16" t="s">
        <v>6087</v>
      </c>
    </row>
    <row r="1869" spans="1:15" ht="15.75" customHeight="1" x14ac:dyDescent="0.25">
      <c r="A1869" s="16" t="s">
        <v>30</v>
      </c>
      <c r="B1869" s="16">
        <v>1864812</v>
      </c>
      <c r="C1869" s="16">
        <v>1865450</v>
      </c>
      <c r="E1869" s="16" t="s">
        <v>57</v>
      </c>
      <c r="F1869" s="16" t="s">
        <v>6088</v>
      </c>
      <c r="G1869" s="16" t="s">
        <v>6089</v>
      </c>
      <c r="I1869" s="16" t="s">
        <v>50</v>
      </c>
      <c r="L1869" s="16" t="s">
        <v>6090</v>
      </c>
      <c r="M1869" s="16" t="s">
        <v>6088</v>
      </c>
      <c r="N1869" s="16">
        <v>212</v>
      </c>
      <c r="O1869" s="16" t="s">
        <v>6091</v>
      </c>
    </row>
    <row r="1870" spans="1:15" ht="15.75" customHeight="1" x14ac:dyDescent="0.25">
      <c r="A1870" s="16" t="s">
        <v>30</v>
      </c>
      <c r="B1870" s="16">
        <v>1865452</v>
      </c>
      <c r="C1870" s="16">
        <v>1865730</v>
      </c>
      <c r="E1870" s="16" t="s">
        <v>57</v>
      </c>
      <c r="F1870" s="16" t="s">
        <v>6092</v>
      </c>
      <c r="G1870" s="16" t="s">
        <v>6093</v>
      </c>
      <c r="I1870" s="16" t="s">
        <v>50</v>
      </c>
      <c r="L1870" s="16" t="s">
        <v>6094</v>
      </c>
      <c r="M1870" s="16" t="s">
        <v>6092</v>
      </c>
      <c r="N1870" s="16">
        <v>92</v>
      </c>
      <c r="O1870" s="16" t="s">
        <v>6095</v>
      </c>
    </row>
    <row r="1871" spans="1:15" ht="15.75" customHeight="1" x14ac:dyDescent="0.25">
      <c r="A1871" s="16" t="s">
        <v>30</v>
      </c>
      <c r="B1871" s="16">
        <v>1865786</v>
      </c>
      <c r="C1871" s="16">
        <v>1866967</v>
      </c>
      <c r="E1871" s="16" t="s">
        <v>57</v>
      </c>
      <c r="F1871" s="16" t="s">
        <v>1267</v>
      </c>
      <c r="I1871" s="16" t="s">
        <v>50</v>
      </c>
      <c r="L1871" s="16" t="s">
        <v>6096</v>
      </c>
      <c r="M1871" s="16" t="s">
        <v>1267</v>
      </c>
      <c r="N1871" s="16">
        <v>393</v>
      </c>
      <c r="O1871" s="16" t="s">
        <v>6097</v>
      </c>
    </row>
    <row r="1872" spans="1:15" ht="15.75" customHeight="1" x14ac:dyDescent="0.25">
      <c r="A1872" s="16" t="s">
        <v>30</v>
      </c>
      <c r="B1872" s="16">
        <v>1866983</v>
      </c>
      <c r="C1872" s="16">
        <v>1867846</v>
      </c>
      <c r="E1872" s="16" t="s">
        <v>57</v>
      </c>
      <c r="F1872" s="16" t="s">
        <v>6098</v>
      </c>
      <c r="I1872" s="16" t="s">
        <v>50</v>
      </c>
      <c r="L1872" s="16" t="s">
        <v>6099</v>
      </c>
      <c r="M1872" s="16" t="s">
        <v>6098</v>
      </c>
      <c r="N1872" s="16">
        <v>287</v>
      </c>
      <c r="O1872" s="16" t="s">
        <v>6100</v>
      </c>
    </row>
    <row r="1873" spans="1:15" ht="15.75" customHeight="1" x14ac:dyDescent="0.25">
      <c r="A1873" s="16" t="s">
        <v>30</v>
      </c>
      <c r="B1873" s="16">
        <v>1867899</v>
      </c>
      <c r="C1873" s="16">
        <v>1869014</v>
      </c>
      <c r="E1873" s="16" t="s">
        <v>57</v>
      </c>
      <c r="F1873" s="16" t="s">
        <v>6101</v>
      </c>
      <c r="G1873" s="16" t="s">
        <v>6102</v>
      </c>
      <c r="I1873" s="16" t="s">
        <v>50</v>
      </c>
      <c r="L1873" s="16" t="s">
        <v>6103</v>
      </c>
      <c r="M1873" s="16" t="s">
        <v>6101</v>
      </c>
      <c r="N1873" s="16">
        <v>371</v>
      </c>
      <c r="O1873" s="16" t="s">
        <v>6104</v>
      </c>
    </row>
    <row r="1874" spans="1:15" ht="15.75" customHeight="1" x14ac:dyDescent="0.25">
      <c r="A1874" s="16" t="s">
        <v>30</v>
      </c>
      <c r="B1874" s="16">
        <v>1869004</v>
      </c>
      <c r="C1874" s="16">
        <v>1870959</v>
      </c>
      <c r="E1874" s="16" t="s">
        <v>57</v>
      </c>
      <c r="F1874" s="16" t="s">
        <v>6105</v>
      </c>
      <c r="G1874" s="16" t="s">
        <v>6106</v>
      </c>
      <c r="I1874" s="16" t="s">
        <v>50</v>
      </c>
      <c r="L1874" s="16" t="s">
        <v>6107</v>
      </c>
      <c r="M1874" s="16" t="s">
        <v>6105</v>
      </c>
      <c r="N1874" s="16">
        <v>651</v>
      </c>
      <c r="O1874" s="16" t="s">
        <v>6108</v>
      </c>
    </row>
    <row r="1875" spans="1:15" ht="15.75" customHeight="1" x14ac:dyDescent="0.25">
      <c r="A1875" s="16" t="s">
        <v>30</v>
      </c>
      <c r="B1875" s="16">
        <v>1870981</v>
      </c>
      <c r="C1875" s="16">
        <v>1871448</v>
      </c>
      <c r="E1875" s="16" t="s">
        <v>57</v>
      </c>
      <c r="F1875" s="16" t="s">
        <v>6109</v>
      </c>
      <c r="G1875" s="16" t="s">
        <v>6110</v>
      </c>
      <c r="I1875" s="16" t="s">
        <v>50</v>
      </c>
      <c r="L1875" s="16" t="s">
        <v>6111</v>
      </c>
      <c r="M1875" s="16" t="s">
        <v>6109</v>
      </c>
      <c r="N1875" s="16">
        <v>155</v>
      </c>
      <c r="O1875" s="16" t="s">
        <v>6112</v>
      </c>
    </row>
    <row r="1876" spans="1:15" ht="15.75" customHeight="1" x14ac:dyDescent="0.25">
      <c r="A1876" s="16" t="s">
        <v>30</v>
      </c>
      <c r="B1876" s="16">
        <v>1871502</v>
      </c>
      <c r="C1876" s="16">
        <v>1871810</v>
      </c>
      <c r="E1876" s="16" t="s">
        <v>57</v>
      </c>
      <c r="F1876" s="16" t="s">
        <v>6113</v>
      </c>
      <c r="G1876" s="16" t="s">
        <v>6114</v>
      </c>
      <c r="I1876" s="16" t="s">
        <v>50</v>
      </c>
      <c r="L1876" s="16" t="s">
        <v>6115</v>
      </c>
      <c r="M1876" s="16" t="s">
        <v>6113</v>
      </c>
      <c r="N1876" s="16">
        <v>102</v>
      </c>
      <c r="O1876" s="16" t="s">
        <v>6116</v>
      </c>
    </row>
    <row r="1877" spans="1:15" ht="15.75" customHeight="1" x14ac:dyDescent="0.25">
      <c r="A1877" s="16" t="s">
        <v>30</v>
      </c>
      <c r="B1877" s="16">
        <v>1871935</v>
      </c>
      <c r="C1877" s="16">
        <v>1873590</v>
      </c>
      <c r="E1877" s="16" t="s">
        <v>57</v>
      </c>
      <c r="F1877" s="16" t="s">
        <v>6117</v>
      </c>
      <c r="I1877" s="16" t="s">
        <v>50</v>
      </c>
      <c r="L1877" s="16" t="s">
        <v>6118</v>
      </c>
      <c r="M1877" s="16" t="s">
        <v>6117</v>
      </c>
      <c r="N1877" s="16">
        <v>551</v>
      </c>
      <c r="O1877" s="16" t="s">
        <v>6119</v>
      </c>
    </row>
    <row r="1878" spans="1:15" ht="15.75" customHeight="1" x14ac:dyDescent="0.25">
      <c r="A1878" s="16" t="s">
        <v>30</v>
      </c>
      <c r="B1878" s="16">
        <v>1873796</v>
      </c>
      <c r="C1878" s="16">
        <v>1875574</v>
      </c>
      <c r="E1878" s="16" t="s">
        <v>48</v>
      </c>
      <c r="F1878" s="16" t="s">
        <v>2398</v>
      </c>
      <c r="I1878" s="16" t="s">
        <v>50</v>
      </c>
      <c r="L1878" s="16" t="s">
        <v>6120</v>
      </c>
      <c r="M1878" s="16" t="s">
        <v>2398</v>
      </c>
      <c r="N1878" s="16">
        <v>592</v>
      </c>
      <c r="O1878" s="16" t="s">
        <v>6121</v>
      </c>
    </row>
    <row r="1879" spans="1:15" ht="15.75" customHeight="1" x14ac:dyDescent="0.25">
      <c r="A1879" s="16" t="s">
        <v>30</v>
      </c>
      <c r="B1879" s="16">
        <v>1875704</v>
      </c>
      <c r="C1879" s="16">
        <v>1876759</v>
      </c>
      <c r="E1879" s="16" t="s">
        <v>48</v>
      </c>
      <c r="F1879" s="16" t="s">
        <v>6122</v>
      </c>
      <c r="I1879" s="16" t="s">
        <v>50</v>
      </c>
      <c r="L1879" s="16" t="s">
        <v>6123</v>
      </c>
      <c r="M1879" s="16" t="s">
        <v>6122</v>
      </c>
      <c r="N1879" s="16">
        <v>351</v>
      </c>
      <c r="O1879" s="16" t="s">
        <v>6124</v>
      </c>
    </row>
    <row r="1880" spans="1:15" ht="15.75" customHeight="1" x14ac:dyDescent="0.25">
      <c r="A1880" s="16" t="s">
        <v>30</v>
      </c>
      <c r="B1880" s="16">
        <v>1876839</v>
      </c>
      <c r="C1880" s="16">
        <v>1877894</v>
      </c>
      <c r="E1880" s="16" t="s">
        <v>48</v>
      </c>
      <c r="F1880" s="16" t="s">
        <v>6125</v>
      </c>
      <c r="G1880" s="16" t="s">
        <v>6126</v>
      </c>
      <c r="I1880" s="16" t="s">
        <v>50</v>
      </c>
      <c r="L1880" s="16" t="s">
        <v>6127</v>
      </c>
      <c r="M1880" s="16" t="s">
        <v>6125</v>
      </c>
      <c r="N1880" s="16">
        <v>351</v>
      </c>
      <c r="O1880" s="16" t="s">
        <v>6128</v>
      </c>
    </row>
    <row r="1881" spans="1:15" ht="15.75" customHeight="1" x14ac:dyDescent="0.25">
      <c r="A1881" s="16" t="s">
        <v>30</v>
      </c>
      <c r="B1881" s="16">
        <v>1877894</v>
      </c>
      <c r="C1881" s="16">
        <v>1878382</v>
      </c>
      <c r="E1881" s="16" t="s">
        <v>48</v>
      </c>
      <c r="F1881" s="16" t="s">
        <v>6129</v>
      </c>
      <c r="G1881" s="16" t="s">
        <v>6130</v>
      </c>
      <c r="I1881" s="16" t="s">
        <v>50</v>
      </c>
      <c r="L1881" s="16" t="s">
        <v>6131</v>
      </c>
      <c r="M1881" s="16" t="s">
        <v>6129</v>
      </c>
      <c r="N1881" s="16">
        <v>162</v>
      </c>
      <c r="O1881" s="16" t="s">
        <v>6132</v>
      </c>
    </row>
    <row r="1882" spans="1:15" ht="15.75" customHeight="1" x14ac:dyDescent="0.25">
      <c r="A1882" s="16" t="s">
        <v>30</v>
      </c>
      <c r="B1882" s="16">
        <v>1878433</v>
      </c>
      <c r="C1882" s="16">
        <v>1879209</v>
      </c>
      <c r="E1882" s="16" t="s">
        <v>57</v>
      </c>
      <c r="F1882" s="16" t="s">
        <v>6133</v>
      </c>
      <c r="I1882" s="16" t="s">
        <v>50</v>
      </c>
      <c r="L1882" s="16" t="s">
        <v>6134</v>
      </c>
      <c r="M1882" s="16" t="s">
        <v>6133</v>
      </c>
      <c r="N1882" s="16">
        <v>258</v>
      </c>
      <c r="O1882" s="16" t="s">
        <v>6135</v>
      </c>
    </row>
    <row r="1883" spans="1:15" ht="15.75" customHeight="1" x14ac:dyDescent="0.25">
      <c r="A1883" s="16" t="s">
        <v>30</v>
      </c>
      <c r="B1883" s="16">
        <v>1879219</v>
      </c>
      <c r="C1883" s="16">
        <v>1880022</v>
      </c>
      <c r="E1883" s="16" t="s">
        <v>57</v>
      </c>
      <c r="F1883" s="16" t="s">
        <v>6136</v>
      </c>
      <c r="G1883" s="16" t="s">
        <v>6137</v>
      </c>
      <c r="I1883" s="16" t="s">
        <v>50</v>
      </c>
      <c r="L1883" s="16" t="s">
        <v>6138</v>
      </c>
      <c r="M1883" s="16" t="s">
        <v>6136</v>
      </c>
      <c r="N1883" s="16">
        <v>267</v>
      </c>
      <c r="O1883" s="16" t="s">
        <v>6139</v>
      </c>
    </row>
    <row r="1884" spans="1:15" ht="15.75" customHeight="1" x14ac:dyDescent="0.25">
      <c r="A1884" s="16" t="s">
        <v>30</v>
      </c>
      <c r="B1884" s="16">
        <v>1880070</v>
      </c>
      <c r="C1884" s="16">
        <v>1880744</v>
      </c>
      <c r="E1884" s="16" t="s">
        <v>57</v>
      </c>
      <c r="F1884" s="16" t="s">
        <v>6140</v>
      </c>
      <c r="I1884" s="16" t="s">
        <v>50</v>
      </c>
      <c r="L1884" s="16" t="s">
        <v>6141</v>
      </c>
      <c r="M1884" s="16" t="s">
        <v>6140</v>
      </c>
      <c r="N1884" s="16">
        <v>224</v>
      </c>
      <c r="O1884" s="16" t="s">
        <v>6142</v>
      </c>
    </row>
    <row r="1885" spans="1:15" ht="15.75" customHeight="1" x14ac:dyDescent="0.25">
      <c r="A1885" s="16" t="s">
        <v>30</v>
      </c>
      <c r="B1885" s="16">
        <v>1880744</v>
      </c>
      <c r="C1885" s="16">
        <v>1881808</v>
      </c>
      <c r="E1885" s="16" t="s">
        <v>57</v>
      </c>
      <c r="F1885" s="16" t="s">
        <v>6143</v>
      </c>
      <c r="I1885" s="16" t="s">
        <v>50</v>
      </c>
      <c r="L1885" s="16" t="s">
        <v>6144</v>
      </c>
      <c r="M1885" s="16" t="s">
        <v>6143</v>
      </c>
      <c r="N1885" s="16">
        <v>354</v>
      </c>
      <c r="O1885" s="16" t="s">
        <v>6145</v>
      </c>
    </row>
    <row r="1886" spans="1:15" ht="15.75" customHeight="1" x14ac:dyDescent="0.25">
      <c r="A1886" s="16" t="s">
        <v>30</v>
      </c>
      <c r="B1886" s="16">
        <v>1881868</v>
      </c>
      <c r="C1886" s="16">
        <v>1882530</v>
      </c>
      <c r="E1886" s="16" t="s">
        <v>57</v>
      </c>
      <c r="F1886" s="16" t="s">
        <v>6146</v>
      </c>
      <c r="I1886" s="16" t="s">
        <v>50</v>
      </c>
      <c r="L1886" s="16" t="s">
        <v>6147</v>
      </c>
      <c r="M1886" s="16" t="s">
        <v>6146</v>
      </c>
      <c r="N1886" s="16">
        <v>220</v>
      </c>
      <c r="O1886" s="16" t="s">
        <v>6148</v>
      </c>
    </row>
    <row r="1887" spans="1:15" ht="15.75" customHeight="1" x14ac:dyDescent="0.25">
      <c r="A1887" s="16" t="s">
        <v>30</v>
      </c>
      <c r="B1887" s="16">
        <v>1882711</v>
      </c>
      <c r="C1887" s="16">
        <v>1882800</v>
      </c>
      <c r="E1887" s="16" t="s">
        <v>48</v>
      </c>
      <c r="F1887" s="16" t="s">
        <v>905</v>
      </c>
      <c r="I1887" s="16" t="s">
        <v>290</v>
      </c>
      <c r="O1887" s="16" t="s">
        <v>6149</v>
      </c>
    </row>
    <row r="1888" spans="1:15" ht="15.75" customHeight="1" x14ac:dyDescent="0.25">
      <c r="A1888" s="16" t="s">
        <v>30</v>
      </c>
      <c r="B1888" s="16">
        <v>1882857</v>
      </c>
      <c r="C1888" s="16">
        <v>1883411</v>
      </c>
      <c r="E1888" s="16" t="s">
        <v>57</v>
      </c>
      <c r="F1888" s="16" t="s">
        <v>6150</v>
      </c>
      <c r="I1888" s="16" t="s">
        <v>50</v>
      </c>
      <c r="L1888" s="16" t="s">
        <v>6151</v>
      </c>
      <c r="M1888" s="16" t="s">
        <v>6150</v>
      </c>
      <c r="N1888" s="16">
        <v>184</v>
      </c>
      <c r="O1888" s="16" t="s">
        <v>6152</v>
      </c>
    </row>
    <row r="1889" spans="1:15" ht="15.75" customHeight="1" x14ac:dyDescent="0.25">
      <c r="A1889" s="16" t="s">
        <v>30</v>
      </c>
      <c r="B1889" s="16">
        <v>1883514</v>
      </c>
      <c r="C1889" s="16">
        <v>1883840</v>
      </c>
      <c r="E1889" s="16" t="s">
        <v>48</v>
      </c>
      <c r="F1889" s="16" t="s">
        <v>6153</v>
      </c>
      <c r="I1889" s="16" t="s">
        <v>50</v>
      </c>
      <c r="L1889" s="16" t="s">
        <v>6154</v>
      </c>
      <c r="M1889" s="16" t="s">
        <v>6153</v>
      </c>
      <c r="N1889" s="16">
        <v>108</v>
      </c>
      <c r="O1889" s="16" t="s">
        <v>6155</v>
      </c>
    </row>
    <row r="1890" spans="1:15" ht="15.75" customHeight="1" x14ac:dyDescent="0.25">
      <c r="A1890" s="16" t="s">
        <v>30</v>
      </c>
      <c r="B1890" s="16">
        <v>1883893</v>
      </c>
      <c r="C1890" s="16">
        <v>1884531</v>
      </c>
      <c r="E1890" s="16" t="s">
        <v>57</v>
      </c>
      <c r="F1890" s="16" t="s">
        <v>6156</v>
      </c>
      <c r="I1890" s="16" t="s">
        <v>50</v>
      </c>
      <c r="L1890" s="16" t="s">
        <v>6157</v>
      </c>
      <c r="M1890" s="16" t="s">
        <v>6156</v>
      </c>
      <c r="N1890" s="16">
        <v>212</v>
      </c>
      <c r="O1890" s="16" t="s">
        <v>6158</v>
      </c>
    </row>
    <row r="1891" spans="1:15" ht="15.75" customHeight="1" x14ac:dyDescent="0.25">
      <c r="A1891" s="16" t="s">
        <v>30</v>
      </c>
      <c r="B1891" s="16">
        <v>1884540</v>
      </c>
      <c r="C1891" s="16">
        <v>1885943</v>
      </c>
      <c r="E1891" s="16" t="s">
        <v>57</v>
      </c>
      <c r="F1891" s="16" t="s">
        <v>6159</v>
      </c>
      <c r="G1891" s="16" t="s">
        <v>6160</v>
      </c>
      <c r="I1891" s="16" t="s">
        <v>50</v>
      </c>
      <c r="L1891" s="16" t="s">
        <v>6161</v>
      </c>
      <c r="M1891" s="16" t="s">
        <v>6159</v>
      </c>
      <c r="N1891" s="16">
        <v>467</v>
      </c>
      <c r="O1891" s="16" t="s">
        <v>6162</v>
      </c>
    </row>
    <row r="1892" spans="1:15" ht="15.75" customHeight="1" x14ac:dyDescent="0.25">
      <c r="A1892" s="16" t="s">
        <v>30</v>
      </c>
      <c r="B1892" s="16">
        <v>1885953</v>
      </c>
      <c r="C1892" s="16">
        <v>1886798</v>
      </c>
      <c r="E1892" s="16" t="s">
        <v>57</v>
      </c>
      <c r="F1892" s="16" t="s">
        <v>4976</v>
      </c>
      <c r="I1892" s="16" t="s">
        <v>50</v>
      </c>
      <c r="L1892" s="16" t="s">
        <v>6163</v>
      </c>
      <c r="M1892" s="16" t="s">
        <v>4976</v>
      </c>
      <c r="N1892" s="16">
        <v>281</v>
      </c>
      <c r="O1892" s="16" t="s">
        <v>6164</v>
      </c>
    </row>
    <row r="1893" spans="1:15" ht="15.75" customHeight="1" x14ac:dyDescent="0.25">
      <c r="A1893" s="16" t="s">
        <v>30</v>
      </c>
      <c r="B1893" s="16">
        <v>1886810</v>
      </c>
      <c r="C1893" s="16">
        <v>1887754</v>
      </c>
      <c r="E1893" s="16" t="s">
        <v>57</v>
      </c>
      <c r="F1893" s="16" t="s">
        <v>6165</v>
      </c>
      <c r="I1893" s="16" t="s">
        <v>50</v>
      </c>
      <c r="L1893" s="16" t="s">
        <v>6166</v>
      </c>
      <c r="M1893" s="16" t="s">
        <v>6165</v>
      </c>
      <c r="N1893" s="16">
        <v>314</v>
      </c>
      <c r="O1893" s="16" t="s">
        <v>6167</v>
      </c>
    </row>
    <row r="1894" spans="1:15" ht="15.75" customHeight="1" x14ac:dyDescent="0.25">
      <c r="A1894" s="16" t="s">
        <v>30</v>
      </c>
      <c r="B1894" s="16">
        <v>1887774</v>
      </c>
      <c r="C1894" s="16">
        <v>1889045</v>
      </c>
      <c r="E1894" s="16" t="s">
        <v>57</v>
      </c>
      <c r="F1894" s="16" t="s">
        <v>6168</v>
      </c>
      <c r="I1894" s="16" t="s">
        <v>50</v>
      </c>
      <c r="L1894" s="16" t="s">
        <v>6169</v>
      </c>
      <c r="M1894" s="16" t="s">
        <v>6168</v>
      </c>
      <c r="N1894" s="16">
        <v>423</v>
      </c>
      <c r="O1894" s="16" t="s">
        <v>6170</v>
      </c>
    </row>
    <row r="1895" spans="1:15" ht="15.75" customHeight="1" x14ac:dyDescent="0.25">
      <c r="A1895" s="16" t="s">
        <v>30</v>
      </c>
      <c r="B1895" s="16">
        <v>1889055</v>
      </c>
      <c r="C1895" s="16">
        <v>1889552</v>
      </c>
      <c r="E1895" s="16" t="s">
        <v>57</v>
      </c>
      <c r="F1895" s="16" t="s">
        <v>6171</v>
      </c>
      <c r="I1895" s="16" t="s">
        <v>50</v>
      </c>
      <c r="L1895" s="16" t="s">
        <v>6172</v>
      </c>
      <c r="M1895" s="16" t="s">
        <v>6171</v>
      </c>
      <c r="N1895" s="16">
        <v>165</v>
      </c>
      <c r="O1895" s="16" t="s">
        <v>6173</v>
      </c>
    </row>
    <row r="1896" spans="1:15" ht="15.75" customHeight="1" x14ac:dyDescent="0.25">
      <c r="A1896" s="16" t="s">
        <v>30</v>
      </c>
      <c r="B1896" s="16">
        <v>1889591</v>
      </c>
      <c r="C1896" s="16">
        <v>1890577</v>
      </c>
      <c r="E1896" s="16" t="s">
        <v>57</v>
      </c>
      <c r="F1896" s="16" t="s">
        <v>6174</v>
      </c>
      <c r="I1896" s="16" t="s">
        <v>50</v>
      </c>
      <c r="L1896" s="16" t="s">
        <v>6175</v>
      </c>
      <c r="M1896" s="16" t="s">
        <v>6174</v>
      </c>
      <c r="N1896" s="16">
        <v>328</v>
      </c>
      <c r="O1896" s="16" t="s">
        <v>6176</v>
      </c>
    </row>
    <row r="1897" spans="1:15" ht="15.75" customHeight="1" x14ac:dyDescent="0.25">
      <c r="A1897" s="16" t="s">
        <v>30</v>
      </c>
      <c r="B1897" s="16">
        <v>1890604</v>
      </c>
      <c r="C1897" s="16">
        <v>970</v>
      </c>
      <c r="E1897" s="16" t="s">
        <v>57</v>
      </c>
      <c r="F1897" s="16" t="s">
        <v>6177</v>
      </c>
      <c r="I1897" s="16" t="s">
        <v>50</v>
      </c>
      <c r="L1897" s="16" t="s">
        <v>6178</v>
      </c>
      <c r="M1897" s="16" t="s">
        <v>6177</v>
      </c>
      <c r="N1897" s="16">
        <v>342</v>
      </c>
      <c r="O1897" s="16" t="s">
        <v>6179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408"/>
  <sheetViews>
    <sheetView workbookViewId="0"/>
  </sheetViews>
  <sheetFormatPr defaultColWidth="12.6328125" defaultRowHeight="15" customHeight="1" x14ac:dyDescent="0.25"/>
  <cols>
    <col min="1" max="1" width="14.90625" customWidth="1"/>
    <col min="2" max="3" width="12.6328125" customWidth="1"/>
    <col min="4" max="4" width="14.36328125" customWidth="1"/>
    <col min="5" max="5" width="32.453125" customWidth="1"/>
    <col min="6" max="6" width="32.26953125" customWidth="1"/>
    <col min="7" max="7" width="36.26953125" customWidth="1"/>
    <col min="8" max="8" width="35.08984375" customWidth="1"/>
  </cols>
  <sheetData>
    <row r="1" spans="1:8" ht="15.75" customHeight="1" x14ac:dyDescent="0.3">
      <c r="A1" s="17" t="s">
        <v>44</v>
      </c>
      <c r="B1" s="16" t="s">
        <v>47</v>
      </c>
      <c r="C1" s="16" t="s">
        <v>6180</v>
      </c>
      <c r="D1" s="16" t="s">
        <v>6181</v>
      </c>
      <c r="E1" s="16" t="s">
        <v>6182</v>
      </c>
      <c r="F1" s="16" t="s">
        <v>6183</v>
      </c>
      <c r="G1" s="16" t="s">
        <v>6184</v>
      </c>
      <c r="H1" s="16" t="s">
        <v>6185</v>
      </c>
    </row>
    <row r="2" spans="1:8" ht="15.75" customHeight="1" x14ac:dyDescent="0.25">
      <c r="A2" s="16" t="s">
        <v>51</v>
      </c>
      <c r="B2" s="16" t="s">
        <v>52</v>
      </c>
    </row>
    <row r="3" spans="1:8" ht="15.75" customHeight="1" x14ac:dyDescent="0.25">
      <c r="A3" s="16" t="s">
        <v>55</v>
      </c>
      <c r="B3" s="16" t="s">
        <v>56</v>
      </c>
      <c r="C3" s="16" t="s">
        <v>6186</v>
      </c>
      <c r="E3" s="18" t="s">
        <v>6187</v>
      </c>
      <c r="F3" s="18" t="s">
        <v>6188</v>
      </c>
      <c r="G3" s="16" t="s">
        <v>6189</v>
      </c>
      <c r="H3" s="16" t="s">
        <v>6190</v>
      </c>
    </row>
    <row r="4" spans="1:8" ht="15.75" customHeight="1" x14ac:dyDescent="0.25">
      <c r="A4" s="16" t="s">
        <v>59</v>
      </c>
      <c r="B4" s="16" t="s">
        <v>60</v>
      </c>
    </row>
    <row r="5" spans="1:8" ht="15.75" customHeight="1" x14ac:dyDescent="0.25">
      <c r="A5" s="16" t="s">
        <v>63</v>
      </c>
      <c r="B5" s="16" t="s">
        <v>64</v>
      </c>
    </row>
    <row r="6" spans="1:8" ht="15.75" customHeight="1" x14ac:dyDescent="0.25">
      <c r="A6" s="16" t="s">
        <v>67</v>
      </c>
      <c r="B6" s="16" t="s">
        <v>68</v>
      </c>
      <c r="C6" s="16" t="s">
        <v>6191</v>
      </c>
      <c r="E6" s="18" t="s">
        <v>6192</v>
      </c>
      <c r="F6" s="18" t="s">
        <v>6193</v>
      </c>
      <c r="G6" s="16" t="s">
        <v>6194</v>
      </c>
      <c r="H6" s="16" t="s">
        <v>6195</v>
      </c>
    </row>
    <row r="7" spans="1:8" ht="15.75" customHeight="1" x14ac:dyDescent="0.25">
      <c r="A7" s="16" t="s">
        <v>71</v>
      </c>
      <c r="B7" s="16" t="s">
        <v>72</v>
      </c>
      <c r="C7" s="16" t="s">
        <v>6196</v>
      </c>
      <c r="E7" s="18" t="s">
        <v>6197</v>
      </c>
      <c r="F7" s="18" t="s">
        <v>6198</v>
      </c>
      <c r="G7" s="16" t="s">
        <v>6199</v>
      </c>
      <c r="H7" s="16" t="s">
        <v>6200</v>
      </c>
    </row>
    <row r="8" spans="1:8" ht="15.75" customHeight="1" x14ac:dyDescent="0.25">
      <c r="A8" s="16" t="s">
        <v>75</v>
      </c>
      <c r="B8" s="16" t="s">
        <v>76</v>
      </c>
      <c r="C8" s="16" t="s">
        <v>6201</v>
      </c>
      <c r="E8" s="18" t="s">
        <v>6202</v>
      </c>
    </row>
    <row r="9" spans="1:8" ht="15.75" customHeight="1" x14ac:dyDescent="0.25">
      <c r="A9" s="16" t="s">
        <v>78</v>
      </c>
      <c r="B9" s="16" t="s">
        <v>79</v>
      </c>
    </row>
    <row r="10" spans="1:8" ht="15.75" customHeight="1" x14ac:dyDescent="0.25">
      <c r="A10" s="16" t="s">
        <v>82</v>
      </c>
      <c r="B10" s="16" t="s">
        <v>83</v>
      </c>
    </row>
    <row r="11" spans="1:8" ht="15.75" customHeight="1" x14ac:dyDescent="0.25">
      <c r="A11" s="16" t="s">
        <v>86</v>
      </c>
      <c r="B11" s="16" t="s">
        <v>87</v>
      </c>
      <c r="C11" s="16" t="s">
        <v>6203</v>
      </c>
      <c r="E11" s="18" t="s">
        <v>6204</v>
      </c>
      <c r="F11" s="18" t="s">
        <v>6205</v>
      </c>
      <c r="G11" s="16" t="s">
        <v>6206</v>
      </c>
      <c r="H11" s="16" t="s">
        <v>6207</v>
      </c>
    </row>
    <row r="12" spans="1:8" ht="15.75" customHeight="1" x14ac:dyDescent="0.25">
      <c r="A12" s="16" t="s">
        <v>90</v>
      </c>
      <c r="B12" s="16" t="s">
        <v>91</v>
      </c>
      <c r="C12" s="16" t="s">
        <v>6208</v>
      </c>
      <c r="E12" s="18" t="s">
        <v>6209</v>
      </c>
      <c r="F12" s="18" t="s">
        <v>6210</v>
      </c>
      <c r="G12" s="16" t="s">
        <v>6211</v>
      </c>
      <c r="H12" s="16" t="s">
        <v>6212</v>
      </c>
    </row>
    <row r="13" spans="1:8" ht="15.75" customHeight="1" x14ac:dyDescent="0.25">
      <c r="A13" s="16" t="s">
        <v>94</v>
      </c>
      <c r="B13" s="16" t="s">
        <v>95</v>
      </c>
    </row>
    <row r="14" spans="1:8" ht="15.75" customHeight="1" x14ac:dyDescent="0.25">
      <c r="A14" s="16" t="s">
        <v>97</v>
      </c>
      <c r="B14" s="16" t="s">
        <v>98</v>
      </c>
      <c r="C14" s="16" t="s">
        <v>6213</v>
      </c>
    </row>
    <row r="15" spans="1:8" ht="15.75" customHeight="1" x14ac:dyDescent="0.25">
      <c r="A15" s="16" t="s">
        <v>101</v>
      </c>
      <c r="B15" s="16" t="s">
        <v>102</v>
      </c>
    </row>
    <row r="16" spans="1:8" ht="15.75" customHeight="1" x14ac:dyDescent="0.3">
      <c r="A16" s="16" t="s">
        <v>105</v>
      </c>
      <c r="B16" s="16" t="s">
        <v>106</v>
      </c>
      <c r="C16" s="16" t="s">
        <v>6214</v>
      </c>
      <c r="E16" s="18" t="s">
        <v>6215</v>
      </c>
      <c r="F16" s="18" t="s">
        <v>6216</v>
      </c>
      <c r="G16" s="16" t="s">
        <v>6217</v>
      </c>
      <c r="H16" s="17" t="s">
        <v>6218</v>
      </c>
    </row>
    <row r="17" spans="1:8" ht="15.75" customHeight="1" x14ac:dyDescent="0.25">
      <c r="A17" s="16" t="s">
        <v>109</v>
      </c>
      <c r="B17" s="16" t="s">
        <v>110</v>
      </c>
      <c r="C17" s="16" t="s">
        <v>6219</v>
      </c>
      <c r="E17" s="18" t="s">
        <v>6220</v>
      </c>
      <c r="F17" s="18" t="s">
        <v>6221</v>
      </c>
      <c r="G17" s="16" t="s">
        <v>6222</v>
      </c>
      <c r="H17" s="16" t="s">
        <v>6223</v>
      </c>
    </row>
    <row r="18" spans="1:8" ht="15.75" customHeight="1" x14ac:dyDescent="0.25">
      <c r="A18" s="16" t="s">
        <v>109</v>
      </c>
      <c r="B18" s="16" t="s">
        <v>110</v>
      </c>
      <c r="C18" s="16" t="s">
        <v>6224</v>
      </c>
      <c r="E18" s="18" t="s">
        <v>6225</v>
      </c>
      <c r="F18" s="18" t="s">
        <v>6226</v>
      </c>
      <c r="G18" s="16" t="s">
        <v>6227</v>
      </c>
      <c r="H18" s="16" t="s">
        <v>6228</v>
      </c>
    </row>
    <row r="19" spans="1:8" ht="15.75" customHeight="1" x14ac:dyDescent="0.25">
      <c r="A19" s="16" t="s">
        <v>113</v>
      </c>
      <c r="B19" s="16" t="s">
        <v>114</v>
      </c>
    </row>
    <row r="20" spans="1:8" ht="15.75" customHeight="1" x14ac:dyDescent="0.25">
      <c r="A20" s="16" t="s">
        <v>116</v>
      </c>
      <c r="B20" s="16" t="s">
        <v>117</v>
      </c>
    </row>
    <row r="21" spans="1:8" ht="15.75" customHeight="1" x14ac:dyDescent="0.25">
      <c r="A21" s="16" t="s">
        <v>120</v>
      </c>
      <c r="B21" s="16" t="s">
        <v>121</v>
      </c>
    </row>
    <row r="22" spans="1:8" ht="15.75" customHeight="1" x14ac:dyDescent="0.25">
      <c r="A22" s="16" t="s">
        <v>123</v>
      </c>
      <c r="B22" s="16" t="s">
        <v>124</v>
      </c>
    </row>
    <row r="23" spans="1:8" ht="15.75" customHeight="1" x14ac:dyDescent="0.25">
      <c r="A23" s="16" t="s">
        <v>126</v>
      </c>
      <c r="B23" s="16" t="s">
        <v>127</v>
      </c>
    </row>
    <row r="24" spans="1:8" ht="15.75" customHeight="1" x14ac:dyDescent="0.25">
      <c r="A24" s="16" t="s">
        <v>130</v>
      </c>
      <c r="B24" s="16" t="s">
        <v>131</v>
      </c>
      <c r="C24" s="16" t="s">
        <v>6229</v>
      </c>
      <c r="E24" s="18" t="s">
        <v>6230</v>
      </c>
      <c r="F24" s="18" t="s">
        <v>6231</v>
      </c>
      <c r="G24" s="16" t="s">
        <v>6232</v>
      </c>
      <c r="H24" s="16" t="s">
        <v>6233</v>
      </c>
    </row>
    <row r="25" spans="1:8" ht="15.75" customHeight="1" x14ac:dyDescent="0.25">
      <c r="A25" s="16" t="s">
        <v>130</v>
      </c>
      <c r="B25" s="16" t="s">
        <v>131</v>
      </c>
      <c r="C25" s="16" t="s">
        <v>6229</v>
      </c>
      <c r="E25" s="18" t="s">
        <v>6230</v>
      </c>
      <c r="F25" s="18" t="s">
        <v>6234</v>
      </c>
      <c r="G25" s="16" t="s">
        <v>6235</v>
      </c>
      <c r="H25" s="16" t="s">
        <v>6236</v>
      </c>
    </row>
    <row r="26" spans="1:8" ht="15.75" customHeight="1" x14ac:dyDescent="0.25">
      <c r="A26" s="16" t="s">
        <v>130</v>
      </c>
      <c r="B26" s="16" t="s">
        <v>131</v>
      </c>
      <c r="C26" s="16" t="s">
        <v>6229</v>
      </c>
      <c r="E26" s="18" t="s">
        <v>6230</v>
      </c>
      <c r="F26" s="18" t="s">
        <v>6237</v>
      </c>
      <c r="G26" s="16" t="s">
        <v>6238</v>
      </c>
      <c r="H26" s="16" t="s">
        <v>6239</v>
      </c>
    </row>
    <row r="27" spans="1:8" ht="15.75" customHeight="1" x14ac:dyDescent="0.25">
      <c r="A27" s="16" t="s">
        <v>130</v>
      </c>
      <c r="B27" s="16" t="s">
        <v>131</v>
      </c>
      <c r="C27" s="16" t="s">
        <v>6229</v>
      </c>
      <c r="E27" s="18" t="s">
        <v>6230</v>
      </c>
      <c r="F27" s="18" t="s">
        <v>6240</v>
      </c>
      <c r="G27" s="16" t="s">
        <v>6241</v>
      </c>
      <c r="H27" s="16" t="s">
        <v>6242</v>
      </c>
    </row>
    <row r="28" spans="1:8" ht="15.75" customHeight="1" x14ac:dyDescent="0.25">
      <c r="A28" s="16" t="s">
        <v>130</v>
      </c>
      <c r="B28" s="16" t="s">
        <v>131</v>
      </c>
      <c r="C28" s="16" t="s">
        <v>6229</v>
      </c>
      <c r="E28" s="18" t="s">
        <v>6230</v>
      </c>
      <c r="F28" s="18" t="s">
        <v>6243</v>
      </c>
      <c r="G28" s="16" t="s">
        <v>6244</v>
      </c>
      <c r="H28" s="16" t="s">
        <v>6245</v>
      </c>
    </row>
    <row r="29" spans="1:8" ht="15.75" customHeight="1" x14ac:dyDescent="0.25">
      <c r="B29" s="16" t="s">
        <v>134</v>
      </c>
    </row>
    <row r="30" spans="1:8" ht="15.75" customHeight="1" x14ac:dyDescent="0.25">
      <c r="A30" s="16" t="s">
        <v>136</v>
      </c>
      <c r="B30" s="16" t="s">
        <v>137</v>
      </c>
    </row>
    <row r="31" spans="1:8" ht="15.75" customHeight="1" x14ac:dyDescent="0.25">
      <c r="A31" s="16" t="s">
        <v>138</v>
      </c>
      <c r="B31" s="16" t="s">
        <v>139</v>
      </c>
    </row>
    <row r="32" spans="1:8" ht="15.75" customHeight="1" x14ac:dyDescent="0.25">
      <c r="A32" s="16" t="s">
        <v>141</v>
      </c>
      <c r="B32" s="16" t="s">
        <v>142</v>
      </c>
    </row>
    <row r="33" spans="1:2" ht="15.75" customHeight="1" x14ac:dyDescent="0.25">
      <c r="A33" s="16" t="s">
        <v>144</v>
      </c>
      <c r="B33" s="16" t="s">
        <v>145</v>
      </c>
    </row>
    <row r="34" spans="1:2" ht="15.75" customHeight="1" x14ac:dyDescent="0.25">
      <c r="A34" s="16" t="s">
        <v>146</v>
      </c>
      <c r="B34" s="16" t="s">
        <v>147</v>
      </c>
    </row>
    <row r="35" spans="1:2" ht="15.75" customHeight="1" x14ac:dyDescent="0.25">
      <c r="A35" s="16" t="s">
        <v>149</v>
      </c>
      <c r="B35" s="16" t="s">
        <v>150</v>
      </c>
    </row>
    <row r="36" spans="1:2" ht="15.75" customHeight="1" x14ac:dyDescent="0.25">
      <c r="A36" s="16" t="s">
        <v>152</v>
      </c>
      <c r="B36" s="16" t="s">
        <v>153</v>
      </c>
    </row>
    <row r="37" spans="1:2" ht="15.75" customHeight="1" x14ac:dyDescent="0.25">
      <c r="A37" s="16" t="s">
        <v>155</v>
      </c>
      <c r="B37" s="16" t="s">
        <v>156</v>
      </c>
    </row>
    <row r="38" spans="1:2" ht="15.75" customHeight="1" x14ac:dyDescent="0.25">
      <c r="A38" s="16" t="s">
        <v>158</v>
      </c>
      <c r="B38" s="16" t="s">
        <v>159</v>
      </c>
    </row>
    <row r="39" spans="1:2" ht="15.75" customHeight="1" x14ac:dyDescent="0.25">
      <c r="A39" s="16" t="s">
        <v>161</v>
      </c>
      <c r="B39" s="16" t="s">
        <v>162</v>
      </c>
    </row>
    <row r="40" spans="1:2" ht="15.75" customHeight="1" x14ac:dyDescent="0.25">
      <c r="A40" s="16" t="s">
        <v>164</v>
      </c>
      <c r="B40" s="16" t="s">
        <v>165</v>
      </c>
    </row>
    <row r="41" spans="1:2" ht="15.75" customHeight="1" x14ac:dyDescent="0.25">
      <c r="A41" s="16" t="s">
        <v>167</v>
      </c>
      <c r="B41" s="16" t="s">
        <v>168</v>
      </c>
    </row>
    <row r="42" spans="1:2" ht="15.75" customHeight="1" x14ac:dyDescent="0.25">
      <c r="A42" s="16" t="s">
        <v>170</v>
      </c>
      <c r="B42" s="16" t="s">
        <v>171</v>
      </c>
    </row>
    <row r="43" spans="1:2" ht="15.75" customHeight="1" x14ac:dyDescent="0.25">
      <c r="A43" s="16" t="s">
        <v>172</v>
      </c>
      <c r="B43" s="16" t="s">
        <v>173</v>
      </c>
    </row>
    <row r="44" spans="1:2" ht="15.75" customHeight="1" x14ac:dyDescent="0.25">
      <c r="A44" s="16" t="s">
        <v>174</v>
      </c>
      <c r="B44" s="16" t="s">
        <v>175</v>
      </c>
    </row>
    <row r="45" spans="1:2" ht="15.75" customHeight="1" x14ac:dyDescent="0.25">
      <c r="A45" s="16" t="s">
        <v>176</v>
      </c>
      <c r="B45" s="16" t="s">
        <v>177</v>
      </c>
    </row>
    <row r="46" spans="1:2" ht="15.75" customHeight="1" x14ac:dyDescent="0.25">
      <c r="A46" s="16" t="s">
        <v>179</v>
      </c>
      <c r="B46" s="16" t="s">
        <v>180</v>
      </c>
    </row>
    <row r="47" spans="1:2" ht="15.75" customHeight="1" x14ac:dyDescent="0.25">
      <c r="A47" s="16" t="s">
        <v>182</v>
      </c>
      <c r="B47" s="16" t="s">
        <v>183</v>
      </c>
    </row>
    <row r="48" spans="1:2" ht="15.75" customHeight="1" x14ac:dyDescent="0.25">
      <c r="A48" s="16" t="s">
        <v>185</v>
      </c>
      <c r="B48" s="16" t="s">
        <v>186</v>
      </c>
    </row>
    <row r="49" spans="1:2" ht="15.75" customHeight="1" x14ac:dyDescent="0.25">
      <c r="A49" s="16" t="s">
        <v>188</v>
      </c>
      <c r="B49" s="16" t="s">
        <v>189</v>
      </c>
    </row>
    <row r="50" spans="1:2" ht="15.75" customHeight="1" x14ac:dyDescent="0.25">
      <c r="A50" s="16" t="s">
        <v>190</v>
      </c>
      <c r="B50" s="16" t="s">
        <v>191</v>
      </c>
    </row>
    <row r="51" spans="1:2" ht="15.75" customHeight="1" x14ac:dyDescent="0.25">
      <c r="A51" s="16" t="s">
        <v>193</v>
      </c>
      <c r="B51" s="16" t="s">
        <v>194</v>
      </c>
    </row>
    <row r="52" spans="1:2" ht="15.75" customHeight="1" x14ac:dyDescent="0.25">
      <c r="A52" s="16" t="s">
        <v>196</v>
      </c>
      <c r="B52" s="16" t="s">
        <v>197</v>
      </c>
    </row>
    <row r="53" spans="1:2" ht="15.75" customHeight="1" x14ac:dyDescent="0.25">
      <c r="A53" s="16" t="s">
        <v>199</v>
      </c>
      <c r="B53" s="16" t="s">
        <v>200</v>
      </c>
    </row>
    <row r="54" spans="1:2" ht="15.75" customHeight="1" x14ac:dyDescent="0.25">
      <c r="A54" s="16" t="s">
        <v>202</v>
      </c>
      <c r="B54" s="16" t="s">
        <v>203</v>
      </c>
    </row>
    <row r="55" spans="1:2" ht="15.75" customHeight="1" x14ac:dyDescent="0.25">
      <c r="A55" s="16" t="s">
        <v>205</v>
      </c>
      <c r="B55" s="16" t="s">
        <v>206</v>
      </c>
    </row>
    <row r="56" spans="1:2" ht="15.75" customHeight="1" x14ac:dyDescent="0.25">
      <c r="A56" s="16" t="s">
        <v>209</v>
      </c>
      <c r="B56" s="16" t="s">
        <v>210</v>
      </c>
    </row>
    <row r="57" spans="1:2" ht="15.75" customHeight="1" x14ac:dyDescent="0.25">
      <c r="A57" s="16" t="s">
        <v>212</v>
      </c>
      <c r="B57" s="16" t="s">
        <v>213</v>
      </c>
    </row>
    <row r="58" spans="1:2" ht="15.75" customHeight="1" x14ac:dyDescent="0.25">
      <c r="A58" s="16" t="s">
        <v>214</v>
      </c>
      <c r="B58" s="16" t="s">
        <v>215</v>
      </c>
    </row>
    <row r="59" spans="1:2" ht="15.75" customHeight="1" x14ac:dyDescent="0.25">
      <c r="A59" s="16" t="s">
        <v>216</v>
      </c>
      <c r="B59" s="16" t="s">
        <v>217</v>
      </c>
    </row>
    <row r="60" spans="1:2" ht="15.75" customHeight="1" x14ac:dyDescent="0.25">
      <c r="A60" s="16" t="s">
        <v>219</v>
      </c>
      <c r="B60" s="16" t="s">
        <v>220</v>
      </c>
    </row>
    <row r="61" spans="1:2" ht="15.75" customHeight="1" x14ac:dyDescent="0.25">
      <c r="A61" s="16" t="s">
        <v>222</v>
      </c>
      <c r="B61" s="16" t="s">
        <v>223</v>
      </c>
    </row>
    <row r="62" spans="1:2" ht="15.75" customHeight="1" x14ac:dyDescent="0.25">
      <c r="A62" s="16" t="s">
        <v>225</v>
      </c>
      <c r="B62" s="16" t="s">
        <v>226</v>
      </c>
    </row>
    <row r="63" spans="1:2" ht="15.75" customHeight="1" x14ac:dyDescent="0.25">
      <c r="A63" s="16" t="s">
        <v>228</v>
      </c>
      <c r="B63" s="16" t="s">
        <v>229</v>
      </c>
    </row>
    <row r="64" spans="1:2" ht="15.75" customHeight="1" x14ac:dyDescent="0.25">
      <c r="A64" s="16" t="s">
        <v>230</v>
      </c>
      <c r="B64" s="16" t="s">
        <v>231</v>
      </c>
    </row>
    <row r="65" spans="1:8" ht="15.75" customHeight="1" x14ac:dyDescent="0.25">
      <c r="A65" s="16" t="s">
        <v>233</v>
      </c>
      <c r="B65" s="16" t="s">
        <v>234</v>
      </c>
    </row>
    <row r="66" spans="1:8" ht="15.75" customHeight="1" x14ac:dyDescent="0.25">
      <c r="A66" s="16" t="s">
        <v>235</v>
      </c>
      <c r="B66" s="16" t="s">
        <v>236</v>
      </c>
    </row>
    <row r="67" spans="1:8" ht="15.75" customHeight="1" x14ac:dyDescent="0.25">
      <c r="A67" s="16" t="s">
        <v>237</v>
      </c>
      <c r="B67" s="16" t="s">
        <v>238</v>
      </c>
    </row>
    <row r="68" spans="1:8" ht="15.75" customHeight="1" x14ac:dyDescent="0.25">
      <c r="A68" s="16" t="s">
        <v>239</v>
      </c>
      <c r="B68" s="16" t="s">
        <v>240</v>
      </c>
    </row>
    <row r="69" spans="1:8" ht="15.75" customHeight="1" x14ac:dyDescent="0.25">
      <c r="A69" s="16" t="s">
        <v>242</v>
      </c>
      <c r="B69" s="16" t="s">
        <v>243</v>
      </c>
    </row>
    <row r="70" spans="1:8" ht="15.75" customHeight="1" x14ac:dyDescent="0.25">
      <c r="A70" s="16" t="s">
        <v>245</v>
      </c>
      <c r="B70" s="16" t="s">
        <v>246</v>
      </c>
    </row>
    <row r="71" spans="1:8" ht="15.75" customHeight="1" x14ac:dyDescent="0.25">
      <c r="A71" s="16" t="s">
        <v>248</v>
      </c>
      <c r="B71" s="16" t="s">
        <v>249</v>
      </c>
    </row>
    <row r="72" spans="1:8" ht="15.75" customHeight="1" x14ac:dyDescent="0.25">
      <c r="A72" s="16" t="s">
        <v>250</v>
      </c>
      <c r="B72" s="16" t="s">
        <v>251</v>
      </c>
    </row>
    <row r="73" spans="1:8" ht="15.75" customHeight="1" x14ac:dyDescent="0.25">
      <c r="A73" s="16" t="s">
        <v>253</v>
      </c>
      <c r="B73" s="16" t="s">
        <v>254</v>
      </c>
    </row>
    <row r="74" spans="1:8" ht="15.75" customHeight="1" x14ac:dyDescent="0.25">
      <c r="A74" s="16" t="s">
        <v>255</v>
      </c>
      <c r="B74" s="16" t="s">
        <v>256</v>
      </c>
    </row>
    <row r="75" spans="1:8" ht="15.75" customHeight="1" x14ac:dyDescent="0.25">
      <c r="A75" s="16" t="s">
        <v>258</v>
      </c>
      <c r="B75" s="16" t="s">
        <v>259</v>
      </c>
    </row>
    <row r="76" spans="1:8" ht="15.75" customHeight="1" x14ac:dyDescent="0.25">
      <c r="A76" s="16" t="s">
        <v>261</v>
      </c>
      <c r="B76" s="16" t="s">
        <v>262</v>
      </c>
    </row>
    <row r="77" spans="1:8" ht="15.75" customHeight="1" x14ac:dyDescent="0.25">
      <c r="A77" s="16" t="s">
        <v>263</v>
      </c>
      <c r="B77" s="16" t="s">
        <v>264</v>
      </c>
    </row>
    <row r="78" spans="1:8" ht="15.75" customHeight="1" x14ac:dyDescent="0.25">
      <c r="B78" s="16" t="s">
        <v>265</v>
      </c>
    </row>
    <row r="79" spans="1:8" ht="15.75" customHeight="1" x14ac:dyDescent="0.25">
      <c r="A79" s="16" t="s">
        <v>268</v>
      </c>
      <c r="B79" s="16" t="s">
        <v>269</v>
      </c>
      <c r="C79" s="16" t="s">
        <v>6246</v>
      </c>
      <c r="E79" s="18" t="s">
        <v>6247</v>
      </c>
      <c r="F79" s="18" t="s">
        <v>6248</v>
      </c>
      <c r="G79" s="16" t="s">
        <v>6249</v>
      </c>
      <c r="H79" s="16" t="s">
        <v>6250</v>
      </c>
    </row>
    <row r="80" spans="1:8" ht="15.75" customHeight="1" x14ac:dyDescent="0.25">
      <c r="A80" s="16" t="s">
        <v>271</v>
      </c>
      <c r="B80" s="16" t="s">
        <v>272</v>
      </c>
      <c r="C80" s="16" t="s">
        <v>6251</v>
      </c>
      <c r="E80" s="18" t="s">
        <v>6252</v>
      </c>
      <c r="F80" s="18" t="s">
        <v>6253</v>
      </c>
      <c r="G80" s="16" t="s">
        <v>6254</v>
      </c>
      <c r="H80" s="16" t="s">
        <v>6255</v>
      </c>
    </row>
    <row r="81" spans="1:8" ht="15.75" customHeight="1" x14ac:dyDescent="0.25">
      <c r="A81" s="16" t="s">
        <v>274</v>
      </c>
      <c r="B81" s="16" t="s">
        <v>275</v>
      </c>
    </row>
    <row r="82" spans="1:8" ht="15.75" customHeight="1" x14ac:dyDescent="0.25">
      <c r="A82" s="16" t="s">
        <v>277</v>
      </c>
      <c r="B82" s="16" t="s">
        <v>278</v>
      </c>
    </row>
    <row r="83" spans="1:8" ht="15.75" customHeight="1" x14ac:dyDescent="0.25">
      <c r="A83" s="16" t="s">
        <v>281</v>
      </c>
      <c r="B83" s="16" t="s">
        <v>282</v>
      </c>
    </row>
    <row r="84" spans="1:8" ht="15.75" customHeight="1" x14ac:dyDescent="0.25">
      <c r="A84" s="16" t="s">
        <v>284</v>
      </c>
      <c r="B84" s="16" t="s">
        <v>285</v>
      </c>
    </row>
    <row r="85" spans="1:8" ht="15.75" customHeight="1" x14ac:dyDescent="0.25">
      <c r="A85" s="16" t="s">
        <v>287</v>
      </c>
      <c r="B85" s="16" t="s">
        <v>288</v>
      </c>
    </row>
    <row r="86" spans="1:8" ht="15.75" customHeight="1" x14ac:dyDescent="0.25">
      <c r="B86" s="16" t="s">
        <v>291</v>
      </c>
    </row>
    <row r="87" spans="1:8" ht="15.75" customHeight="1" x14ac:dyDescent="0.25">
      <c r="B87" s="16" t="s">
        <v>293</v>
      </c>
    </row>
    <row r="88" spans="1:8" ht="15.75" customHeight="1" x14ac:dyDescent="0.25">
      <c r="B88" s="16" t="s">
        <v>295</v>
      </c>
    </row>
    <row r="89" spans="1:8" ht="15.75" customHeight="1" x14ac:dyDescent="0.25">
      <c r="B89" s="16" t="s">
        <v>297</v>
      </c>
    </row>
    <row r="90" spans="1:8" ht="15.75" customHeight="1" x14ac:dyDescent="0.25">
      <c r="A90" s="16" t="s">
        <v>300</v>
      </c>
      <c r="B90" s="16" t="s">
        <v>301</v>
      </c>
      <c r="C90" s="16" t="s">
        <v>6256</v>
      </c>
      <c r="E90" s="18" t="s">
        <v>6257</v>
      </c>
      <c r="F90" s="18" t="s">
        <v>6258</v>
      </c>
      <c r="G90" s="16" t="s">
        <v>6259</v>
      </c>
      <c r="H90" s="16" t="s">
        <v>6260</v>
      </c>
    </row>
    <row r="91" spans="1:8" ht="15.75" customHeight="1" x14ac:dyDescent="0.25">
      <c r="A91" s="16" t="s">
        <v>300</v>
      </c>
      <c r="B91" s="16" t="s">
        <v>301</v>
      </c>
      <c r="C91" s="16" t="s">
        <v>6256</v>
      </c>
      <c r="E91" s="18" t="s">
        <v>6257</v>
      </c>
      <c r="F91" s="18" t="s">
        <v>6261</v>
      </c>
      <c r="G91" s="16" t="s">
        <v>6262</v>
      </c>
      <c r="H91" s="16" t="s">
        <v>6263</v>
      </c>
    </row>
    <row r="92" spans="1:8" ht="15.75" customHeight="1" x14ac:dyDescent="0.25">
      <c r="A92" s="16" t="s">
        <v>304</v>
      </c>
      <c r="B92" s="16" t="s">
        <v>305</v>
      </c>
      <c r="C92" s="16" t="s">
        <v>6264</v>
      </c>
      <c r="E92" s="18" t="s">
        <v>6265</v>
      </c>
      <c r="F92" s="18" t="s">
        <v>6266</v>
      </c>
      <c r="G92" s="16" t="s">
        <v>6267</v>
      </c>
      <c r="H92" s="16" t="s">
        <v>6268</v>
      </c>
    </row>
    <row r="93" spans="1:8" ht="15.75" customHeight="1" x14ac:dyDescent="0.25">
      <c r="A93" s="16" t="s">
        <v>308</v>
      </c>
      <c r="B93" s="16" t="s">
        <v>309</v>
      </c>
      <c r="C93" s="16" t="s">
        <v>6269</v>
      </c>
      <c r="E93" s="18" t="s">
        <v>6270</v>
      </c>
      <c r="F93" s="18" t="s">
        <v>6271</v>
      </c>
      <c r="G93" s="16" t="s">
        <v>6272</v>
      </c>
      <c r="H93" s="16" t="s">
        <v>6273</v>
      </c>
    </row>
    <row r="94" spans="1:8" ht="15.75" customHeight="1" x14ac:dyDescent="0.25">
      <c r="A94" s="16" t="s">
        <v>308</v>
      </c>
      <c r="B94" s="16" t="s">
        <v>309</v>
      </c>
      <c r="C94" s="16" t="s">
        <v>6269</v>
      </c>
      <c r="E94" s="18" t="s">
        <v>6270</v>
      </c>
      <c r="F94" s="18" t="s">
        <v>6274</v>
      </c>
      <c r="G94" s="16" t="s">
        <v>6275</v>
      </c>
      <c r="H94" s="16" t="s">
        <v>6276</v>
      </c>
    </row>
    <row r="95" spans="1:8" ht="15.75" customHeight="1" x14ac:dyDescent="0.25">
      <c r="A95" s="16" t="s">
        <v>308</v>
      </c>
      <c r="B95" s="16" t="s">
        <v>309</v>
      </c>
      <c r="C95" s="16" t="s">
        <v>6277</v>
      </c>
      <c r="E95" s="18" t="s">
        <v>6278</v>
      </c>
      <c r="F95" s="18" t="s">
        <v>6279</v>
      </c>
      <c r="G95" s="16" t="s">
        <v>6280</v>
      </c>
      <c r="H95" s="16" t="s">
        <v>6281</v>
      </c>
    </row>
    <row r="96" spans="1:8" ht="15.75" customHeight="1" x14ac:dyDescent="0.25">
      <c r="A96" s="16" t="s">
        <v>311</v>
      </c>
      <c r="B96" s="16" t="s">
        <v>312</v>
      </c>
    </row>
    <row r="97" spans="1:8" ht="15.75" customHeight="1" x14ac:dyDescent="0.25">
      <c r="A97" s="16" t="s">
        <v>314</v>
      </c>
      <c r="B97" s="16" t="s">
        <v>315</v>
      </c>
    </row>
    <row r="98" spans="1:8" ht="15.75" customHeight="1" x14ac:dyDescent="0.25">
      <c r="A98" s="16" t="s">
        <v>317</v>
      </c>
      <c r="B98" s="16" t="s">
        <v>318</v>
      </c>
    </row>
    <row r="99" spans="1:8" ht="15.75" customHeight="1" x14ac:dyDescent="0.25">
      <c r="A99" s="16" t="s">
        <v>319</v>
      </c>
      <c r="B99" s="16" t="s">
        <v>320</v>
      </c>
    </row>
    <row r="100" spans="1:8" ht="15.75" customHeight="1" x14ac:dyDescent="0.25">
      <c r="B100" s="16" t="s">
        <v>321</v>
      </c>
    </row>
    <row r="101" spans="1:8" ht="15.75" customHeight="1" x14ac:dyDescent="0.25">
      <c r="B101" s="16" t="s">
        <v>322</v>
      </c>
    </row>
    <row r="102" spans="1:8" ht="15.75" customHeight="1" x14ac:dyDescent="0.25">
      <c r="A102" s="16" t="s">
        <v>324</v>
      </c>
      <c r="B102" s="16" t="s">
        <v>325</v>
      </c>
    </row>
    <row r="103" spans="1:8" ht="15.75" customHeight="1" x14ac:dyDescent="0.25">
      <c r="A103" s="16" t="s">
        <v>326</v>
      </c>
      <c r="B103" s="16" t="s">
        <v>327</v>
      </c>
    </row>
    <row r="104" spans="1:8" ht="15.75" customHeight="1" x14ac:dyDescent="0.25">
      <c r="A104" s="16" t="s">
        <v>329</v>
      </c>
      <c r="B104" s="16" t="s">
        <v>330</v>
      </c>
    </row>
    <row r="105" spans="1:8" ht="15.75" customHeight="1" x14ac:dyDescent="0.25">
      <c r="A105" s="16" t="s">
        <v>332</v>
      </c>
      <c r="B105" s="16" t="s">
        <v>333</v>
      </c>
    </row>
    <row r="106" spans="1:8" ht="15.75" customHeight="1" x14ac:dyDescent="0.25">
      <c r="A106" s="16" t="s">
        <v>336</v>
      </c>
      <c r="B106" s="16" t="s">
        <v>337</v>
      </c>
    </row>
    <row r="107" spans="1:8" ht="15.75" customHeight="1" x14ac:dyDescent="0.25">
      <c r="A107" s="16" t="s">
        <v>339</v>
      </c>
      <c r="B107" s="16" t="s">
        <v>340</v>
      </c>
    </row>
    <row r="108" spans="1:8" ht="15.75" customHeight="1" x14ac:dyDescent="0.25">
      <c r="A108" s="16" t="s">
        <v>343</v>
      </c>
      <c r="B108" s="16" t="s">
        <v>344</v>
      </c>
      <c r="C108" s="16" t="s">
        <v>6282</v>
      </c>
      <c r="E108" s="18" t="s">
        <v>6283</v>
      </c>
      <c r="F108" s="18" t="s">
        <v>6284</v>
      </c>
      <c r="G108" s="16" t="s">
        <v>6285</v>
      </c>
      <c r="H108" s="16" t="s">
        <v>6286</v>
      </c>
    </row>
    <row r="109" spans="1:8" ht="15.75" customHeight="1" x14ac:dyDescent="0.25">
      <c r="A109" s="16" t="s">
        <v>346</v>
      </c>
      <c r="B109" s="16" t="s">
        <v>347</v>
      </c>
    </row>
    <row r="110" spans="1:8" ht="15.75" customHeight="1" x14ac:dyDescent="0.25">
      <c r="A110" s="16" t="s">
        <v>350</v>
      </c>
      <c r="B110" s="16" t="s">
        <v>351</v>
      </c>
    </row>
    <row r="111" spans="1:8" ht="15.75" customHeight="1" x14ac:dyDescent="0.25">
      <c r="A111" s="16" t="s">
        <v>353</v>
      </c>
      <c r="B111" s="16" t="s">
        <v>354</v>
      </c>
    </row>
    <row r="112" spans="1:8" ht="15.75" customHeight="1" x14ac:dyDescent="0.25">
      <c r="A112" s="16" t="s">
        <v>356</v>
      </c>
      <c r="B112" s="16" t="s">
        <v>357</v>
      </c>
    </row>
    <row r="113" spans="1:8" ht="15.75" customHeight="1" x14ac:dyDescent="0.25">
      <c r="A113" s="16" t="s">
        <v>359</v>
      </c>
      <c r="B113" s="16" t="s">
        <v>360</v>
      </c>
    </row>
    <row r="114" spans="1:8" ht="15.75" customHeight="1" x14ac:dyDescent="0.25">
      <c r="A114" s="16" t="s">
        <v>362</v>
      </c>
      <c r="B114" s="16" t="s">
        <v>363</v>
      </c>
    </row>
    <row r="115" spans="1:8" ht="15.75" customHeight="1" x14ac:dyDescent="0.25">
      <c r="A115" s="16" t="s">
        <v>365</v>
      </c>
      <c r="B115" s="16" t="s">
        <v>366</v>
      </c>
    </row>
    <row r="116" spans="1:8" ht="15.75" customHeight="1" x14ac:dyDescent="0.25">
      <c r="A116" s="16" t="s">
        <v>369</v>
      </c>
      <c r="B116" s="16" t="s">
        <v>370</v>
      </c>
    </row>
    <row r="117" spans="1:8" ht="15.75" customHeight="1" x14ac:dyDescent="0.25">
      <c r="A117" s="16" t="s">
        <v>372</v>
      </c>
      <c r="B117" s="16" t="s">
        <v>373</v>
      </c>
    </row>
    <row r="118" spans="1:8" ht="15.75" customHeight="1" x14ac:dyDescent="0.25">
      <c r="A118" s="16" t="s">
        <v>375</v>
      </c>
      <c r="B118" s="16" t="s">
        <v>376</v>
      </c>
    </row>
    <row r="119" spans="1:8" ht="15.75" customHeight="1" x14ac:dyDescent="0.25">
      <c r="A119" s="16" t="s">
        <v>378</v>
      </c>
      <c r="B119" s="16" t="s">
        <v>379</v>
      </c>
    </row>
    <row r="120" spans="1:8" ht="15.75" customHeight="1" x14ac:dyDescent="0.25">
      <c r="A120" s="16" t="s">
        <v>380</v>
      </c>
      <c r="B120" s="16" t="s">
        <v>381</v>
      </c>
    </row>
    <row r="121" spans="1:8" ht="15.75" customHeight="1" x14ac:dyDescent="0.25">
      <c r="A121" s="16" t="s">
        <v>384</v>
      </c>
      <c r="B121" s="16" t="s">
        <v>385</v>
      </c>
      <c r="C121" s="16" t="s">
        <v>6287</v>
      </c>
      <c r="E121" s="18" t="s">
        <v>6288</v>
      </c>
      <c r="F121" s="18" t="s">
        <v>6289</v>
      </c>
      <c r="G121" s="16" t="s">
        <v>6290</v>
      </c>
      <c r="H121" s="16" t="s">
        <v>6291</v>
      </c>
    </row>
    <row r="122" spans="1:8" ht="15.75" customHeight="1" x14ac:dyDescent="0.25">
      <c r="A122" s="16" t="s">
        <v>384</v>
      </c>
      <c r="B122" s="16" t="s">
        <v>385</v>
      </c>
      <c r="C122" s="16" t="s">
        <v>6287</v>
      </c>
      <c r="E122" s="18" t="s">
        <v>6288</v>
      </c>
      <c r="F122" s="18" t="s">
        <v>6292</v>
      </c>
      <c r="G122" s="16" t="s">
        <v>6293</v>
      </c>
      <c r="H122" s="16" t="s">
        <v>6294</v>
      </c>
    </row>
    <row r="123" spans="1:8" ht="15.75" customHeight="1" x14ac:dyDescent="0.25">
      <c r="A123" s="16" t="s">
        <v>387</v>
      </c>
      <c r="B123" s="16" t="s">
        <v>388</v>
      </c>
    </row>
    <row r="124" spans="1:8" ht="15.75" customHeight="1" x14ac:dyDescent="0.25">
      <c r="B124" s="16" t="s">
        <v>389</v>
      </c>
    </row>
    <row r="125" spans="1:8" ht="15.75" customHeight="1" x14ac:dyDescent="0.25">
      <c r="A125" s="16" t="s">
        <v>391</v>
      </c>
      <c r="B125" s="16" t="s">
        <v>392</v>
      </c>
    </row>
    <row r="126" spans="1:8" ht="15.75" customHeight="1" x14ac:dyDescent="0.25">
      <c r="B126" s="16" t="s">
        <v>396</v>
      </c>
    </row>
    <row r="127" spans="1:8" ht="15.75" customHeight="1" x14ac:dyDescent="0.25">
      <c r="B127" s="16" t="s">
        <v>398</v>
      </c>
    </row>
    <row r="128" spans="1:8" ht="15.75" customHeight="1" x14ac:dyDescent="0.25">
      <c r="B128" s="16" t="s">
        <v>400</v>
      </c>
    </row>
    <row r="129" spans="1:8" ht="15.75" customHeight="1" x14ac:dyDescent="0.25">
      <c r="B129" s="16" t="s">
        <v>402</v>
      </c>
    </row>
    <row r="130" spans="1:8" ht="15.75" customHeight="1" x14ac:dyDescent="0.25">
      <c r="B130" s="16" t="s">
        <v>404</v>
      </c>
    </row>
    <row r="131" spans="1:8" ht="15.75" customHeight="1" x14ac:dyDescent="0.25">
      <c r="B131" s="16" t="s">
        <v>406</v>
      </c>
    </row>
    <row r="132" spans="1:8" ht="15.75" customHeight="1" x14ac:dyDescent="0.25">
      <c r="B132" s="16" t="s">
        <v>408</v>
      </c>
    </row>
    <row r="133" spans="1:8" ht="15.75" customHeight="1" x14ac:dyDescent="0.25">
      <c r="A133" s="16" t="s">
        <v>411</v>
      </c>
      <c r="B133" s="16" t="s">
        <v>412</v>
      </c>
      <c r="C133" s="16" t="s">
        <v>6295</v>
      </c>
      <c r="E133" s="18" t="s">
        <v>6296</v>
      </c>
      <c r="F133" s="18" t="s">
        <v>6297</v>
      </c>
      <c r="G133" s="16" t="s">
        <v>6298</v>
      </c>
      <c r="H133" s="16" t="s">
        <v>6299</v>
      </c>
    </row>
    <row r="134" spans="1:8" ht="15.75" customHeight="1" x14ac:dyDescent="0.25">
      <c r="A134" s="16" t="s">
        <v>411</v>
      </c>
      <c r="B134" s="16" t="s">
        <v>412</v>
      </c>
      <c r="C134" s="16" t="s">
        <v>6300</v>
      </c>
      <c r="E134" s="18" t="s">
        <v>6301</v>
      </c>
    </row>
    <row r="135" spans="1:8" ht="15.75" customHeight="1" x14ac:dyDescent="0.25">
      <c r="B135" s="16" t="s">
        <v>414</v>
      </c>
    </row>
    <row r="136" spans="1:8" ht="15.75" customHeight="1" x14ac:dyDescent="0.25">
      <c r="A136" s="16" t="s">
        <v>417</v>
      </c>
      <c r="B136" s="16" t="s">
        <v>418</v>
      </c>
      <c r="C136" s="16" t="s">
        <v>6302</v>
      </c>
    </row>
    <row r="137" spans="1:8" ht="15.75" customHeight="1" x14ac:dyDescent="0.25">
      <c r="A137" s="16" t="s">
        <v>421</v>
      </c>
      <c r="B137" s="16" t="s">
        <v>422</v>
      </c>
    </row>
    <row r="138" spans="1:8" ht="15.75" customHeight="1" x14ac:dyDescent="0.25">
      <c r="A138" s="16" t="s">
        <v>425</v>
      </c>
      <c r="B138" s="16" t="s">
        <v>426</v>
      </c>
      <c r="C138" s="16" t="s">
        <v>6303</v>
      </c>
    </row>
    <row r="139" spans="1:8" ht="15.75" customHeight="1" x14ac:dyDescent="0.25">
      <c r="A139" s="16" t="s">
        <v>428</v>
      </c>
      <c r="B139" s="16" t="s">
        <v>429</v>
      </c>
    </row>
    <row r="140" spans="1:8" ht="15.75" customHeight="1" x14ac:dyDescent="0.25">
      <c r="A140" s="16" t="s">
        <v>432</v>
      </c>
      <c r="B140" s="16" t="s">
        <v>433</v>
      </c>
      <c r="C140" s="16" t="s">
        <v>6304</v>
      </c>
      <c r="E140" s="18" t="s">
        <v>6305</v>
      </c>
      <c r="F140" s="18" t="s">
        <v>6306</v>
      </c>
      <c r="G140" s="16" t="s">
        <v>6307</v>
      </c>
      <c r="H140" s="16" t="s">
        <v>6308</v>
      </c>
    </row>
    <row r="141" spans="1:8" ht="15.75" customHeight="1" x14ac:dyDescent="0.25">
      <c r="A141" s="16" t="s">
        <v>436</v>
      </c>
      <c r="B141" s="16" t="s">
        <v>437</v>
      </c>
      <c r="C141" s="16" t="s">
        <v>6309</v>
      </c>
      <c r="E141" s="18" t="s">
        <v>6310</v>
      </c>
    </row>
    <row r="142" spans="1:8" ht="15.75" customHeight="1" x14ac:dyDescent="0.25">
      <c r="A142" s="16" t="s">
        <v>439</v>
      </c>
      <c r="B142" s="16" t="s">
        <v>440</v>
      </c>
      <c r="C142" s="16" t="s">
        <v>6311</v>
      </c>
      <c r="E142" s="18" t="s">
        <v>6312</v>
      </c>
      <c r="F142" s="18" t="s">
        <v>6313</v>
      </c>
      <c r="G142" s="16" t="s">
        <v>6314</v>
      </c>
      <c r="H142" s="16" t="s">
        <v>6315</v>
      </c>
    </row>
    <row r="143" spans="1:8" ht="15.75" customHeight="1" x14ac:dyDescent="0.25">
      <c r="A143" s="16" t="s">
        <v>443</v>
      </c>
      <c r="B143" s="16" t="s">
        <v>444</v>
      </c>
      <c r="C143" s="16" t="s">
        <v>6316</v>
      </c>
      <c r="E143" s="18" t="s">
        <v>6317</v>
      </c>
      <c r="F143" s="18" t="s">
        <v>6318</v>
      </c>
      <c r="G143" s="16" t="s">
        <v>6319</v>
      </c>
      <c r="H143" s="16" t="s">
        <v>6320</v>
      </c>
    </row>
    <row r="144" spans="1:8" ht="15.75" customHeight="1" x14ac:dyDescent="0.25">
      <c r="B144" s="16" t="s">
        <v>445</v>
      </c>
    </row>
    <row r="145" spans="1:8" ht="15.75" customHeight="1" x14ac:dyDescent="0.25">
      <c r="B145" s="16" t="s">
        <v>446</v>
      </c>
    </row>
    <row r="146" spans="1:8" ht="15.75" customHeight="1" x14ac:dyDescent="0.25">
      <c r="B146" s="16" t="s">
        <v>447</v>
      </c>
    </row>
    <row r="147" spans="1:8" ht="15.75" customHeight="1" x14ac:dyDescent="0.25">
      <c r="A147" s="16" t="s">
        <v>449</v>
      </c>
      <c r="B147" s="16" t="s">
        <v>450</v>
      </c>
      <c r="E147" s="16"/>
      <c r="F147" s="16"/>
    </row>
    <row r="148" spans="1:8" ht="15.75" customHeight="1" x14ac:dyDescent="0.25">
      <c r="A148" s="16" t="s">
        <v>452</v>
      </c>
      <c r="B148" s="16" t="s">
        <v>453</v>
      </c>
    </row>
    <row r="149" spans="1:8" ht="15.75" customHeight="1" x14ac:dyDescent="0.25">
      <c r="A149" s="16" t="s">
        <v>456</v>
      </c>
      <c r="B149" s="16" t="s">
        <v>457</v>
      </c>
      <c r="C149" s="16" t="s">
        <v>6321</v>
      </c>
      <c r="E149" s="18" t="s">
        <v>6322</v>
      </c>
      <c r="F149" s="18" t="s">
        <v>6323</v>
      </c>
      <c r="G149" s="16" t="s">
        <v>6324</v>
      </c>
      <c r="H149" s="16" t="s">
        <v>6325</v>
      </c>
    </row>
    <row r="150" spans="1:8" ht="15.75" customHeight="1" x14ac:dyDescent="0.25">
      <c r="A150" s="16" t="s">
        <v>456</v>
      </c>
      <c r="B150" s="16" t="s">
        <v>457</v>
      </c>
      <c r="C150" s="16" t="s">
        <v>6321</v>
      </c>
      <c r="E150" s="18" t="s">
        <v>6322</v>
      </c>
      <c r="F150" s="18" t="s">
        <v>6326</v>
      </c>
      <c r="G150" s="16" t="s">
        <v>6327</v>
      </c>
      <c r="H150" s="16" t="s">
        <v>6328</v>
      </c>
    </row>
    <row r="151" spans="1:8" ht="15.75" customHeight="1" x14ac:dyDescent="0.25">
      <c r="A151" s="16" t="s">
        <v>456</v>
      </c>
      <c r="B151" s="16" t="s">
        <v>457</v>
      </c>
      <c r="C151" s="16" t="s">
        <v>6321</v>
      </c>
      <c r="E151" s="18" t="s">
        <v>6322</v>
      </c>
      <c r="F151" s="18" t="s">
        <v>6329</v>
      </c>
      <c r="G151" s="16" t="s">
        <v>6330</v>
      </c>
      <c r="H151" s="16" t="s">
        <v>6331</v>
      </c>
    </row>
    <row r="152" spans="1:8" ht="15.75" customHeight="1" x14ac:dyDescent="0.25">
      <c r="A152" s="16" t="s">
        <v>456</v>
      </c>
      <c r="B152" s="16" t="s">
        <v>457</v>
      </c>
      <c r="C152" s="16" t="s">
        <v>6321</v>
      </c>
      <c r="E152" s="18" t="s">
        <v>6322</v>
      </c>
      <c r="F152" s="18" t="s">
        <v>6332</v>
      </c>
      <c r="G152" s="16" t="s">
        <v>6333</v>
      </c>
      <c r="H152" s="16" t="s">
        <v>6334</v>
      </c>
    </row>
    <row r="153" spans="1:8" ht="15.75" customHeight="1" x14ac:dyDescent="0.25">
      <c r="A153" s="16" t="s">
        <v>456</v>
      </c>
      <c r="B153" s="16" t="s">
        <v>457</v>
      </c>
      <c r="C153" s="16" t="s">
        <v>6321</v>
      </c>
      <c r="E153" s="18" t="s">
        <v>6322</v>
      </c>
      <c r="F153" s="18" t="s">
        <v>6335</v>
      </c>
      <c r="G153" s="16" t="s">
        <v>6336</v>
      </c>
      <c r="H153" s="16" t="s">
        <v>6337</v>
      </c>
    </row>
    <row r="154" spans="1:8" ht="15.75" customHeight="1" x14ac:dyDescent="0.25">
      <c r="A154" s="16" t="s">
        <v>460</v>
      </c>
      <c r="B154" s="16" t="s">
        <v>461</v>
      </c>
      <c r="C154" s="16" t="s">
        <v>6338</v>
      </c>
      <c r="E154" s="18" t="s">
        <v>6339</v>
      </c>
      <c r="F154" s="18" t="s">
        <v>6340</v>
      </c>
      <c r="G154" s="16" t="s">
        <v>6341</v>
      </c>
      <c r="H154" s="16" t="s">
        <v>6342</v>
      </c>
    </row>
    <row r="155" spans="1:8" ht="15.75" customHeight="1" x14ac:dyDescent="0.25">
      <c r="A155" s="16" t="s">
        <v>462</v>
      </c>
      <c r="B155" s="16" t="s">
        <v>463</v>
      </c>
    </row>
    <row r="156" spans="1:8" ht="15.75" customHeight="1" x14ac:dyDescent="0.25">
      <c r="A156" s="16" t="s">
        <v>465</v>
      </c>
      <c r="B156" s="16" t="s">
        <v>466</v>
      </c>
    </row>
    <row r="157" spans="1:8" ht="15.75" customHeight="1" x14ac:dyDescent="0.25">
      <c r="A157" s="16" t="s">
        <v>469</v>
      </c>
      <c r="B157" s="16" t="s">
        <v>470</v>
      </c>
      <c r="C157" s="16" t="s">
        <v>6343</v>
      </c>
    </row>
    <row r="158" spans="1:8" ht="15.75" customHeight="1" x14ac:dyDescent="0.25">
      <c r="B158" s="16" t="s">
        <v>472</v>
      </c>
    </row>
    <row r="159" spans="1:8" ht="15.75" customHeight="1" x14ac:dyDescent="0.25">
      <c r="B159" s="16" t="s">
        <v>473</v>
      </c>
    </row>
    <row r="160" spans="1:8" ht="15.75" customHeight="1" x14ac:dyDescent="0.3">
      <c r="A160" s="16" t="s">
        <v>476</v>
      </c>
      <c r="B160" s="16" t="s">
        <v>477</v>
      </c>
      <c r="C160" s="16" t="s">
        <v>6344</v>
      </c>
      <c r="E160" s="18" t="s">
        <v>6345</v>
      </c>
      <c r="F160" s="18" t="s">
        <v>6346</v>
      </c>
      <c r="G160" s="17" t="s">
        <v>6347</v>
      </c>
      <c r="H160" s="17" t="s">
        <v>6348</v>
      </c>
    </row>
    <row r="161" spans="1:8" ht="15.75" customHeight="1" x14ac:dyDescent="0.25">
      <c r="A161" s="16" t="s">
        <v>476</v>
      </c>
      <c r="B161" s="16" t="s">
        <v>477</v>
      </c>
      <c r="C161" s="16" t="s">
        <v>6344</v>
      </c>
      <c r="E161" s="18" t="s">
        <v>6345</v>
      </c>
      <c r="F161" s="18" t="s">
        <v>6349</v>
      </c>
      <c r="G161" s="16" t="s">
        <v>6350</v>
      </c>
      <c r="H161" s="16" t="s">
        <v>6348</v>
      </c>
    </row>
    <row r="162" spans="1:8" ht="15.75" customHeight="1" x14ac:dyDescent="0.25">
      <c r="A162" s="16" t="s">
        <v>476</v>
      </c>
      <c r="B162" s="16" t="s">
        <v>477</v>
      </c>
      <c r="C162" s="16" t="s">
        <v>6344</v>
      </c>
      <c r="E162" s="18" t="s">
        <v>6345</v>
      </c>
      <c r="F162" s="18" t="s">
        <v>6351</v>
      </c>
      <c r="G162" s="16" t="s">
        <v>6352</v>
      </c>
      <c r="H162" s="16" t="s">
        <v>6348</v>
      </c>
    </row>
    <row r="163" spans="1:8" ht="15.75" customHeight="1" x14ac:dyDescent="0.25">
      <c r="A163" s="16" t="s">
        <v>476</v>
      </c>
      <c r="B163" s="16" t="s">
        <v>477</v>
      </c>
      <c r="C163" s="16" t="s">
        <v>6344</v>
      </c>
      <c r="E163" s="18" t="s">
        <v>6345</v>
      </c>
      <c r="F163" s="18" t="s">
        <v>6353</v>
      </c>
      <c r="G163" s="16" t="s">
        <v>6354</v>
      </c>
      <c r="H163" s="16" t="s">
        <v>6348</v>
      </c>
    </row>
    <row r="164" spans="1:8" ht="15.75" customHeight="1" x14ac:dyDescent="0.25">
      <c r="A164" s="16" t="s">
        <v>476</v>
      </c>
      <c r="B164" s="16" t="s">
        <v>477</v>
      </c>
      <c r="C164" s="16" t="s">
        <v>6344</v>
      </c>
      <c r="E164" s="18" t="s">
        <v>6345</v>
      </c>
      <c r="F164" s="18" t="s">
        <v>6355</v>
      </c>
      <c r="G164" s="16" t="s">
        <v>6356</v>
      </c>
      <c r="H164" s="16" t="s">
        <v>6348</v>
      </c>
    </row>
    <row r="165" spans="1:8" ht="15.75" customHeight="1" x14ac:dyDescent="0.25">
      <c r="A165" s="16" t="s">
        <v>476</v>
      </c>
      <c r="B165" s="16" t="s">
        <v>477</v>
      </c>
      <c r="C165" s="16" t="s">
        <v>6344</v>
      </c>
      <c r="E165" s="18" t="s">
        <v>6345</v>
      </c>
      <c r="F165" s="18" t="s">
        <v>6357</v>
      </c>
      <c r="G165" s="16" t="s">
        <v>6358</v>
      </c>
      <c r="H165" s="16" t="s">
        <v>6359</v>
      </c>
    </row>
    <row r="166" spans="1:8" ht="15.75" customHeight="1" x14ac:dyDescent="0.25">
      <c r="A166" s="16" t="s">
        <v>480</v>
      </c>
      <c r="B166" s="16" t="s">
        <v>481</v>
      </c>
      <c r="C166" s="16" t="s">
        <v>6360</v>
      </c>
      <c r="E166" s="18" t="s">
        <v>6361</v>
      </c>
    </row>
    <row r="167" spans="1:8" ht="15.75" customHeight="1" x14ac:dyDescent="0.25">
      <c r="A167" s="16" t="s">
        <v>483</v>
      </c>
      <c r="B167" s="16" t="s">
        <v>484</v>
      </c>
    </row>
    <row r="168" spans="1:8" ht="15.75" customHeight="1" x14ac:dyDescent="0.25">
      <c r="A168" s="16" t="s">
        <v>487</v>
      </c>
      <c r="B168" s="16" t="s">
        <v>488</v>
      </c>
      <c r="C168" s="16" t="s">
        <v>6362</v>
      </c>
      <c r="E168" s="18" t="s">
        <v>6363</v>
      </c>
      <c r="F168" s="18" t="s">
        <v>6364</v>
      </c>
      <c r="G168" s="16" t="s">
        <v>6365</v>
      </c>
      <c r="H168" s="16" t="s">
        <v>6366</v>
      </c>
    </row>
    <row r="169" spans="1:8" ht="15.75" customHeight="1" x14ac:dyDescent="0.25">
      <c r="A169" s="16" t="s">
        <v>490</v>
      </c>
      <c r="B169" s="16" t="s">
        <v>491</v>
      </c>
      <c r="C169" s="16" t="s">
        <v>6367</v>
      </c>
      <c r="E169" s="18" t="s">
        <v>6368</v>
      </c>
      <c r="F169" s="18" t="s">
        <v>6369</v>
      </c>
      <c r="G169" s="16" t="s">
        <v>6370</v>
      </c>
      <c r="H169" s="16" t="s">
        <v>6371</v>
      </c>
    </row>
    <row r="170" spans="1:8" ht="15.75" customHeight="1" x14ac:dyDescent="0.25">
      <c r="A170" s="16" t="s">
        <v>494</v>
      </c>
      <c r="B170" s="16" t="s">
        <v>495</v>
      </c>
      <c r="C170" s="16" t="s">
        <v>6372</v>
      </c>
      <c r="E170" s="18" t="s">
        <v>6373</v>
      </c>
      <c r="F170" s="18" t="s">
        <v>6374</v>
      </c>
      <c r="G170" s="16" t="s">
        <v>6375</v>
      </c>
      <c r="H170" s="16" t="s">
        <v>6376</v>
      </c>
    </row>
    <row r="171" spans="1:8" ht="15.75" customHeight="1" x14ac:dyDescent="0.25">
      <c r="A171" s="16" t="s">
        <v>494</v>
      </c>
      <c r="B171" s="16" t="s">
        <v>495</v>
      </c>
      <c r="C171" s="16" t="s">
        <v>6372</v>
      </c>
      <c r="E171" s="18" t="s">
        <v>6373</v>
      </c>
      <c r="F171" s="18" t="s">
        <v>6377</v>
      </c>
      <c r="G171" s="16" t="s">
        <v>6378</v>
      </c>
      <c r="H171" s="16" t="s">
        <v>6376</v>
      </c>
    </row>
    <row r="172" spans="1:8" ht="15.75" customHeight="1" x14ac:dyDescent="0.25">
      <c r="A172" s="16" t="s">
        <v>497</v>
      </c>
      <c r="B172" s="16" t="s">
        <v>498</v>
      </c>
    </row>
    <row r="173" spans="1:8" ht="15.75" customHeight="1" x14ac:dyDescent="0.25">
      <c r="A173" s="16" t="s">
        <v>500</v>
      </c>
      <c r="B173" s="16" t="s">
        <v>501</v>
      </c>
    </row>
    <row r="174" spans="1:8" ht="15.75" customHeight="1" x14ac:dyDescent="0.25">
      <c r="A174" s="16" t="s">
        <v>503</v>
      </c>
      <c r="B174" s="16" t="s">
        <v>504</v>
      </c>
    </row>
    <row r="175" spans="1:8" ht="15.75" customHeight="1" x14ac:dyDescent="0.25">
      <c r="A175" s="16" t="s">
        <v>507</v>
      </c>
      <c r="B175" s="16" t="s">
        <v>508</v>
      </c>
    </row>
    <row r="176" spans="1:8" ht="15.75" customHeight="1" x14ac:dyDescent="0.25">
      <c r="A176" s="16" t="s">
        <v>511</v>
      </c>
      <c r="B176" s="16" t="s">
        <v>512</v>
      </c>
    </row>
    <row r="177" spans="1:8" ht="15.75" customHeight="1" x14ac:dyDescent="0.25">
      <c r="A177" s="16" t="s">
        <v>514</v>
      </c>
      <c r="B177" s="16" t="s">
        <v>515</v>
      </c>
    </row>
    <row r="178" spans="1:8" ht="15.75" customHeight="1" x14ac:dyDescent="0.25">
      <c r="A178" s="16" t="s">
        <v>517</v>
      </c>
      <c r="B178" s="16" t="s">
        <v>518</v>
      </c>
    </row>
    <row r="179" spans="1:8" ht="15.75" customHeight="1" x14ac:dyDescent="0.25">
      <c r="A179" s="16" t="s">
        <v>521</v>
      </c>
      <c r="B179" s="16" t="s">
        <v>522</v>
      </c>
    </row>
    <row r="180" spans="1:8" ht="15.75" customHeight="1" x14ac:dyDescent="0.25">
      <c r="A180" s="16" t="s">
        <v>525</v>
      </c>
      <c r="B180" s="16" t="s">
        <v>526</v>
      </c>
    </row>
    <row r="181" spans="1:8" ht="15.75" customHeight="1" x14ac:dyDescent="0.25">
      <c r="A181" s="16" t="s">
        <v>528</v>
      </c>
      <c r="B181" s="16" t="s">
        <v>529</v>
      </c>
    </row>
    <row r="182" spans="1:8" ht="15.75" customHeight="1" x14ac:dyDescent="0.25">
      <c r="A182" s="16" t="s">
        <v>531</v>
      </c>
      <c r="B182" s="16" t="s">
        <v>532</v>
      </c>
    </row>
    <row r="183" spans="1:8" ht="15.75" customHeight="1" x14ac:dyDescent="0.25">
      <c r="A183" s="16" t="s">
        <v>535</v>
      </c>
      <c r="B183" s="16" t="s">
        <v>536</v>
      </c>
    </row>
    <row r="184" spans="1:8" ht="15.75" customHeight="1" x14ac:dyDescent="0.25">
      <c r="A184" s="16" t="s">
        <v>539</v>
      </c>
      <c r="B184" s="16" t="s">
        <v>540</v>
      </c>
      <c r="C184" s="16" t="s">
        <v>6379</v>
      </c>
      <c r="E184" s="18" t="s">
        <v>6380</v>
      </c>
      <c r="F184" s="18" t="s">
        <v>6381</v>
      </c>
      <c r="G184" s="16" t="s">
        <v>6382</v>
      </c>
      <c r="H184" s="16" t="s">
        <v>6383</v>
      </c>
    </row>
    <row r="185" spans="1:8" ht="15.75" customHeight="1" x14ac:dyDescent="0.25">
      <c r="A185" s="16" t="s">
        <v>539</v>
      </c>
      <c r="B185" s="16" t="s">
        <v>540</v>
      </c>
      <c r="C185" s="16" t="s">
        <v>6379</v>
      </c>
      <c r="E185" s="18" t="s">
        <v>6380</v>
      </c>
      <c r="F185" s="18" t="s">
        <v>6384</v>
      </c>
      <c r="G185" s="16" t="s">
        <v>6385</v>
      </c>
      <c r="H185" s="16" t="s">
        <v>6386</v>
      </c>
    </row>
    <row r="186" spans="1:8" ht="15.75" customHeight="1" x14ac:dyDescent="0.25">
      <c r="A186" s="16" t="s">
        <v>539</v>
      </c>
      <c r="B186" s="16" t="s">
        <v>540</v>
      </c>
      <c r="C186" s="16" t="s">
        <v>6379</v>
      </c>
      <c r="E186" s="18" t="s">
        <v>6380</v>
      </c>
      <c r="F186" s="18" t="s">
        <v>6387</v>
      </c>
      <c r="G186" s="16" t="s">
        <v>6388</v>
      </c>
      <c r="H186" s="16" t="s">
        <v>6389</v>
      </c>
    </row>
    <row r="187" spans="1:8" ht="15.75" customHeight="1" x14ac:dyDescent="0.25">
      <c r="A187" s="16" t="s">
        <v>539</v>
      </c>
      <c r="B187" s="16" t="s">
        <v>540</v>
      </c>
      <c r="C187" s="16" t="s">
        <v>6379</v>
      </c>
      <c r="E187" s="18" t="s">
        <v>6380</v>
      </c>
      <c r="F187" s="18" t="s">
        <v>6390</v>
      </c>
      <c r="G187" s="16" t="s">
        <v>6391</v>
      </c>
      <c r="H187" s="16" t="s">
        <v>6392</v>
      </c>
    </row>
    <row r="188" spans="1:8" ht="15.75" customHeight="1" x14ac:dyDescent="0.25">
      <c r="A188" s="16" t="s">
        <v>539</v>
      </c>
      <c r="B188" s="16" t="s">
        <v>540</v>
      </c>
      <c r="C188" s="16" t="s">
        <v>6379</v>
      </c>
      <c r="E188" s="18" t="s">
        <v>6380</v>
      </c>
      <c r="F188" s="18" t="s">
        <v>6393</v>
      </c>
      <c r="G188" s="16" t="s">
        <v>6394</v>
      </c>
      <c r="H188" s="16" t="s">
        <v>6395</v>
      </c>
    </row>
    <row r="189" spans="1:8" ht="15.75" customHeight="1" x14ac:dyDescent="0.25">
      <c r="A189" s="16" t="s">
        <v>539</v>
      </c>
      <c r="B189" s="16" t="s">
        <v>540</v>
      </c>
      <c r="C189" s="16" t="s">
        <v>6379</v>
      </c>
      <c r="E189" s="18" t="s">
        <v>6380</v>
      </c>
      <c r="F189" s="18" t="s">
        <v>6396</v>
      </c>
      <c r="G189" s="16" t="s">
        <v>6397</v>
      </c>
      <c r="H189" s="16" t="s">
        <v>6398</v>
      </c>
    </row>
    <row r="190" spans="1:8" ht="15.75" customHeight="1" x14ac:dyDescent="0.25">
      <c r="A190" s="16" t="s">
        <v>539</v>
      </c>
      <c r="B190" s="16" t="s">
        <v>540</v>
      </c>
      <c r="C190" s="16" t="s">
        <v>6379</v>
      </c>
      <c r="E190" s="18" t="s">
        <v>6380</v>
      </c>
      <c r="F190" s="18" t="s">
        <v>6399</v>
      </c>
      <c r="G190" s="16" t="s">
        <v>6400</v>
      </c>
      <c r="H190" s="16" t="s">
        <v>6401</v>
      </c>
    </row>
    <row r="191" spans="1:8" ht="15.75" customHeight="1" x14ac:dyDescent="0.25">
      <c r="A191" s="16" t="s">
        <v>539</v>
      </c>
      <c r="B191" s="16" t="s">
        <v>540</v>
      </c>
      <c r="C191" s="16" t="s">
        <v>6379</v>
      </c>
      <c r="E191" s="18" t="s">
        <v>6380</v>
      </c>
      <c r="F191" s="18" t="s">
        <v>6402</v>
      </c>
      <c r="G191" s="16" t="s">
        <v>6403</v>
      </c>
      <c r="H191" s="16" t="s">
        <v>6404</v>
      </c>
    </row>
    <row r="192" spans="1:8" ht="15.75" customHeight="1" x14ac:dyDescent="0.25">
      <c r="A192" s="16" t="s">
        <v>539</v>
      </c>
      <c r="B192" s="16" t="s">
        <v>540</v>
      </c>
      <c r="C192" s="16" t="s">
        <v>6379</v>
      </c>
      <c r="E192" s="18" t="s">
        <v>6380</v>
      </c>
      <c r="F192" s="18" t="s">
        <v>6405</v>
      </c>
      <c r="G192" s="16" t="s">
        <v>6406</v>
      </c>
      <c r="H192" s="16" t="s">
        <v>6407</v>
      </c>
    </row>
    <row r="193" spans="1:8" ht="15.75" customHeight="1" x14ac:dyDescent="0.25">
      <c r="A193" s="16" t="s">
        <v>539</v>
      </c>
      <c r="B193" s="16" t="s">
        <v>540</v>
      </c>
      <c r="C193" s="16" t="s">
        <v>6379</v>
      </c>
      <c r="E193" s="18" t="s">
        <v>6380</v>
      </c>
      <c r="F193" s="18" t="s">
        <v>6408</v>
      </c>
      <c r="G193" s="16" t="s">
        <v>6409</v>
      </c>
      <c r="H193" s="16" t="s">
        <v>6410</v>
      </c>
    </row>
    <row r="194" spans="1:8" ht="15.75" customHeight="1" x14ac:dyDescent="0.25">
      <c r="A194" s="16" t="s">
        <v>539</v>
      </c>
      <c r="B194" s="16" t="s">
        <v>540</v>
      </c>
      <c r="C194" s="16" t="s">
        <v>6379</v>
      </c>
      <c r="E194" s="18" t="s">
        <v>6380</v>
      </c>
      <c r="F194" s="18" t="s">
        <v>6411</v>
      </c>
      <c r="G194" s="16" t="s">
        <v>6412</v>
      </c>
      <c r="H194" s="16" t="s">
        <v>6413</v>
      </c>
    </row>
    <row r="195" spans="1:8" ht="15.75" customHeight="1" x14ac:dyDescent="0.25">
      <c r="A195" s="16" t="s">
        <v>543</v>
      </c>
      <c r="B195" s="16" t="s">
        <v>544</v>
      </c>
      <c r="C195" s="16" t="s">
        <v>6414</v>
      </c>
      <c r="E195" s="18" t="s">
        <v>6415</v>
      </c>
      <c r="F195" s="18" t="s">
        <v>6416</v>
      </c>
      <c r="G195" s="16" t="s">
        <v>6417</v>
      </c>
      <c r="H195" s="16" t="s">
        <v>6418</v>
      </c>
    </row>
    <row r="196" spans="1:8" ht="15.75" customHeight="1" x14ac:dyDescent="0.25">
      <c r="A196" s="16" t="s">
        <v>546</v>
      </c>
      <c r="B196" s="16" t="s">
        <v>547</v>
      </c>
    </row>
    <row r="197" spans="1:8" ht="15.75" customHeight="1" x14ac:dyDescent="0.25">
      <c r="B197" s="16" t="s">
        <v>548</v>
      </c>
    </row>
    <row r="198" spans="1:8" ht="15.75" customHeight="1" x14ac:dyDescent="0.25">
      <c r="A198" s="16" t="s">
        <v>551</v>
      </c>
      <c r="B198" s="16" t="s">
        <v>552</v>
      </c>
    </row>
    <row r="199" spans="1:8" ht="15.75" customHeight="1" x14ac:dyDescent="0.25">
      <c r="A199" s="16" t="s">
        <v>555</v>
      </c>
      <c r="B199" s="16" t="s">
        <v>556</v>
      </c>
    </row>
    <row r="200" spans="1:8" ht="15.75" customHeight="1" x14ac:dyDescent="0.25">
      <c r="A200" s="16" t="s">
        <v>559</v>
      </c>
      <c r="B200" s="16" t="s">
        <v>560</v>
      </c>
      <c r="C200" s="16" t="s">
        <v>6419</v>
      </c>
      <c r="E200" s="18" t="s">
        <v>6420</v>
      </c>
      <c r="F200" s="18" t="s">
        <v>6421</v>
      </c>
      <c r="G200" s="16" t="s">
        <v>6422</v>
      </c>
      <c r="H200" s="16" t="s">
        <v>6423</v>
      </c>
    </row>
    <row r="201" spans="1:8" ht="15.75" customHeight="1" x14ac:dyDescent="0.3">
      <c r="A201" s="16" t="s">
        <v>563</v>
      </c>
      <c r="B201" s="16" t="s">
        <v>564</v>
      </c>
      <c r="C201" s="16" t="s">
        <v>6424</v>
      </c>
      <c r="E201" s="18" t="s">
        <v>6425</v>
      </c>
      <c r="F201" s="18" t="s">
        <v>6426</v>
      </c>
      <c r="G201" s="17" t="s">
        <v>6427</v>
      </c>
      <c r="H201" s="16" t="s">
        <v>6428</v>
      </c>
    </row>
    <row r="202" spans="1:8" ht="15.75" customHeight="1" x14ac:dyDescent="0.3">
      <c r="A202" s="16" t="s">
        <v>563</v>
      </c>
      <c r="B202" s="16" t="s">
        <v>564</v>
      </c>
      <c r="C202" s="16" t="s">
        <v>6424</v>
      </c>
      <c r="E202" s="18" t="s">
        <v>6425</v>
      </c>
      <c r="F202" s="18" t="s">
        <v>6429</v>
      </c>
      <c r="G202" s="17" t="s">
        <v>6430</v>
      </c>
      <c r="H202" s="16" t="s">
        <v>6431</v>
      </c>
    </row>
    <row r="203" spans="1:8" ht="15.75" customHeight="1" x14ac:dyDescent="0.25">
      <c r="A203" s="16" t="s">
        <v>566</v>
      </c>
      <c r="B203" s="16" t="s">
        <v>567</v>
      </c>
    </row>
    <row r="204" spans="1:8" ht="15.75" customHeight="1" x14ac:dyDescent="0.25">
      <c r="B204" s="16" t="s">
        <v>568</v>
      </c>
    </row>
    <row r="205" spans="1:8" ht="15.75" customHeight="1" x14ac:dyDescent="0.25">
      <c r="A205" s="16" t="s">
        <v>570</v>
      </c>
      <c r="B205" s="16" t="s">
        <v>571</v>
      </c>
    </row>
    <row r="206" spans="1:8" ht="15.75" customHeight="1" x14ac:dyDescent="0.25">
      <c r="A206" s="16" t="s">
        <v>573</v>
      </c>
      <c r="B206" s="16" t="s">
        <v>574</v>
      </c>
    </row>
    <row r="207" spans="1:8" ht="15.75" customHeight="1" x14ac:dyDescent="0.25">
      <c r="A207" s="16" t="s">
        <v>576</v>
      </c>
      <c r="B207" s="16" t="s">
        <v>577</v>
      </c>
    </row>
    <row r="208" spans="1:8" ht="15.75" customHeight="1" x14ac:dyDescent="0.25">
      <c r="A208" s="16" t="s">
        <v>580</v>
      </c>
      <c r="B208" s="16" t="s">
        <v>581</v>
      </c>
      <c r="C208" s="16" t="s">
        <v>6432</v>
      </c>
      <c r="E208" s="18" t="s">
        <v>6433</v>
      </c>
    </row>
    <row r="209" spans="1:8" ht="15.75" customHeight="1" x14ac:dyDescent="0.25">
      <c r="A209" s="16" t="s">
        <v>584</v>
      </c>
      <c r="B209" s="16" t="s">
        <v>585</v>
      </c>
      <c r="C209" s="16" t="s">
        <v>6432</v>
      </c>
      <c r="E209" s="18" t="s">
        <v>6433</v>
      </c>
    </row>
    <row r="210" spans="1:8" ht="15.75" customHeight="1" x14ac:dyDescent="0.25">
      <c r="A210" s="16" t="s">
        <v>588</v>
      </c>
      <c r="B210" s="16" t="s">
        <v>589</v>
      </c>
      <c r="C210" s="16" t="s">
        <v>6432</v>
      </c>
      <c r="E210" s="18" t="s">
        <v>6433</v>
      </c>
    </row>
    <row r="211" spans="1:8" ht="15.75" customHeight="1" x14ac:dyDescent="0.25">
      <c r="A211" s="16" t="s">
        <v>591</v>
      </c>
      <c r="B211" s="16" t="s">
        <v>592</v>
      </c>
    </row>
    <row r="212" spans="1:8" ht="15.75" customHeight="1" x14ac:dyDescent="0.25">
      <c r="A212" s="16" t="s">
        <v>595</v>
      </c>
      <c r="B212" s="16" t="s">
        <v>596</v>
      </c>
    </row>
    <row r="213" spans="1:8" ht="15.75" customHeight="1" x14ac:dyDescent="0.25">
      <c r="A213" s="16" t="s">
        <v>599</v>
      </c>
      <c r="B213" s="16" t="s">
        <v>600</v>
      </c>
      <c r="C213" s="16" t="s">
        <v>6434</v>
      </c>
      <c r="E213" s="18" t="s">
        <v>6435</v>
      </c>
      <c r="F213" s="18" t="s">
        <v>6436</v>
      </c>
      <c r="G213" s="16" t="s">
        <v>6437</v>
      </c>
      <c r="H213" s="16" t="s">
        <v>6438</v>
      </c>
    </row>
    <row r="214" spans="1:8" ht="15.75" customHeight="1" x14ac:dyDescent="0.25">
      <c r="A214" s="16" t="s">
        <v>603</v>
      </c>
      <c r="B214" s="16" t="s">
        <v>604</v>
      </c>
    </row>
    <row r="215" spans="1:8" ht="15.75" customHeight="1" x14ac:dyDescent="0.25">
      <c r="A215" s="16" t="s">
        <v>607</v>
      </c>
      <c r="B215" s="16" t="s">
        <v>608</v>
      </c>
      <c r="C215" s="19" t="s">
        <v>6439</v>
      </c>
      <c r="E215" s="18" t="s">
        <v>6440</v>
      </c>
    </row>
    <row r="216" spans="1:8" ht="15.75" customHeight="1" x14ac:dyDescent="0.25">
      <c r="A216" s="16" t="s">
        <v>610</v>
      </c>
      <c r="B216" s="16" t="s">
        <v>611</v>
      </c>
    </row>
    <row r="217" spans="1:8" ht="15.75" customHeight="1" x14ac:dyDescent="0.25">
      <c r="A217" s="16" t="s">
        <v>613</v>
      </c>
      <c r="B217" s="16" t="s">
        <v>614</v>
      </c>
    </row>
    <row r="218" spans="1:8" ht="15.75" customHeight="1" x14ac:dyDescent="0.25">
      <c r="A218" s="16" t="s">
        <v>617</v>
      </c>
      <c r="B218" s="16" t="s">
        <v>618</v>
      </c>
      <c r="C218" s="16" t="s">
        <v>6441</v>
      </c>
      <c r="E218" s="18" t="s">
        <v>6442</v>
      </c>
      <c r="F218" s="18" t="s">
        <v>6443</v>
      </c>
      <c r="G218" s="16" t="s">
        <v>6444</v>
      </c>
      <c r="H218" s="16" t="s">
        <v>6445</v>
      </c>
    </row>
    <row r="219" spans="1:8" ht="15.75" customHeight="1" x14ac:dyDescent="0.25">
      <c r="A219" s="16" t="s">
        <v>621</v>
      </c>
      <c r="B219" s="16" t="s">
        <v>622</v>
      </c>
      <c r="C219" s="16" t="s">
        <v>6446</v>
      </c>
      <c r="E219" s="18" t="s">
        <v>6447</v>
      </c>
      <c r="F219" s="18" t="s">
        <v>6448</v>
      </c>
      <c r="G219" s="16" t="s">
        <v>6449</v>
      </c>
      <c r="H219" s="16" t="s">
        <v>6450</v>
      </c>
    </row>
    <row r="220" spans="1:8" ht="15.75" customHeight="1" x14ac:dyDescent="0.25">
      <c r="A220" s="16" t="s">
        <v>621</v>
      </c>
      <c r="B220" s="16" t="s">
        <v>622</v>
      </c>
      <c r="C220" s="16" t="s">
        <v>6446</v>
      </c>
      <c r="E220" s="18" t="s">
        <v>6447</v>
      </c>
      <c r="F220" s="18" t="s">
        <v>6451</v>
      </c>
      <c r="G220" s="16" t="s">
        <v>6452</v>
      </c>
      <c r="H220" s="16" t="s">
        <v>6453</v>
      </c>
    </row>
    <row r="221" spans="1:8" ht="15.75" customHeight="1" x14ac:dyDescent="0.25">
      <c r="A221" s="16" t="s">
        <v>625</v>
      </c>
      <c r="B221" s="16" t="s">
        <v>626</v>
      </c>
    </row>
    <row r="222" spans="1:8" ht="15.75" customHeight="1" x14ac:dyDescent="0.25">
      <c r="A222" s="16" t="s">
        <v>629</v>
      </c>
      <c r="B222" s="16" t="s">
        <v>630</v>
      </c>
      <c r="C222" s="16" t="s">
        <v>6454</v>
      </c>
      <c r="E222" s="18" t="s">
        <v>6455</v>
      </c>
      <c r="F222" s="18" t="s">
        <v>6456</v>
      </c>
      <c r="G222" s="16" t="s">
        <v>6457</v>
      </c>
      <c r="H222" s="16" t="s">
        <v>6458</v>
      </c>
    </row>
    <row r="223" spans="1:8" ht="15.75" customHeight="1" x14ac:dyDescent="0.25">
      <c r="A223" s="16" t="s">
        <v>632</v>
      </c>
      <c r="B223" s="16" t="s">
        <v>633</v>
      </c>
    </row>
    <row r="224" spans="1:8" ht="15.75" customHeight="1" x14ac:dyDescent="0.25">
      <c r="A224" s="16" t="s">
        <v>636</v>
      </c>
      <c r="B224" s="16" t="s">
        <v>637</v>
      </c>
      <c r="C224" s="19" t="s">
        <v>6459</v>
      </c>
      <c r="E224" s="18" t="s">
        <v>6460</v>
      </c>
      <c r="F224" s="18" t="s">
        <v>6461</v>
      </c>
      <c r="G224" s="16" t="s">
        <v>6462</v>
      </c>
      <c r="H224" s="16" t="s">
        <v>6463</v>
      </c>
    </row>
    <row r="225" spans="1:8" ht="15.75" customHeight="1" x14ac:dyDescent="0.25">
      <c r="A225" s="16" t="s">
        <v>639</v>
      </c>
      <c r="B225" s="16" t="s">
        <v>640</v>
      </c>
    </row>
    <row r="226" spans="1:8" ht="15.75" customHeight="1" x14ac:dyDescent="0.25">
      <c r="A226" s="16" t="s">
        <v>642</v>
      </c>
      <c r="B226" s="16" t="s">
        <v>643</v>
      </c>
    </row>
    <row r="227" spans="1:8" ht="15.75" customHeight="1" x14ac:dyDescent="0.25">
      <c r="A227" s="16" t="s">
        <v>646</v>
      </c>
      <c r="B227" s="16" t="s">
        <v>647</v>
      </c>
    </row>
    <row r="228" spans="1:8" ht="15.75" customHeight="1" x14ac:dyDescent="0.25">
      <c r="A228" s="16" t="s">
        <v>650</v>
      </c>
      <c r="B228" s="16" t="s">
        <v>651</v>
      </c>
    </row>
    <row r="229" spans="1:8" ht="15.75" customHeight="1" x14ac:dyDescent="0.25">
      <c r="A229" s="16" t="s">
        <v>654</v>
      </c>
      <c r="B229" s="16" t="s">
        <v>655</v>
      </c>
    </row>
    <row r="230" spans="1:8" ht="15.75" customHeight="1" x14ac:dyDescent="0.25">
      <c r="A230" s="16" t="s">
        <v>658</v>
      </c>
      <c r="B230" s="16" t="s">
        <v>659</v>
      </c>
      <c r="C230" s="16" t="s">
        <v>6464</v>
      </c>
      <c r="E230" s="18" t="s">
        <v>6465</v>
      </c>
      <c r="F230" s="18" t="s">
        <v>6466</v>
      </c>
      <c r="G230" s="16" t="s">
        <v>6467</v>
      </c>
      <c r="H230" s="16" t="s">
        <v>6468</v>
      </c>
    </row>
    <row r="231" spans="1:8" ht="15.75" customHeight="1" x14ac:dyDescent="0.25">
      <c r="A231" s="16" t="s">
        <v>658</v>
      </c>
      <c r="B231" s="16" t="s">
        <v>659</v>
      </c>
      <c r="C231" s="16" t="s">
        <v>6464</v>
      </c>
      <c r="E231" s="18" t="s">
        <v>6465</v>
      </c>
      <c r="F231" s="18" t="s">
        <v>6469</v>
      </c>
      <c r="G231" s="16" t="s">
        <v>6470</v>
      </c>
      <c r="H231" s="16" t="s">
        <v>6471</v>
      </c>
    </row>
    <row r="232" spans="1:8" ht="15.75" customHeight="1" x14ac:dyDescent="0.25">
      <c r="A232" s="16" t="s">
        <v>658</v>
      </c>
      <c r="B232" s="16" t="s">
        <v>659</v>
      </c>
      <c r="C232" s="16" t="s">
        <v>6464</v>
      </c>
      <c r="E232" s="18" t="s">
        <v>6465</v>
      </c>
      <c r="F232" s="18" t="s">
        <v>6472</v>
      </c>
      <c r="G232" s="16" t="s">
        <v>6473</v>
      </c>
      <c r="H232" s="16" t="s">
        <v>6474</v>
      </c>
    </row>
    <row r="233" spans="1:8" ht="15.75" customHeight="1" x14ac:dyDescent="0.25">
      <c r="A233" s="16" t="s">
        <v>662</v>
      </c>
      <c r="B233" s="16" t="s">
        <v>663</v>
      </c>
    </row>
    <row r="234" spans="1:8" ht="15.75" customHeight="1" x14ac:dyDescent="0.25">
      <c r="A234" s="16" t="s">
        <v>666</v>
      </c>
      <c r="B234" s="16" t="s">
        <v>667</v>
      </c>
    </row>
    <row r="235" spans="1:8" ht="15.75" customHeight="1" x14ac:dyDescent="0.25">
      <c r="A235" s="16" t="s">
        <v>669</v>
      </c>
      <c r="B235" s="16" t="s">
        <v>670</v>
      </c>
    </row>
    <row r="236" spans="1:8" ht="15.75" customHeight="1" x14ac:dyDescent="0.25">
      <c r="A236" s="16" t="s">
        <v>673</v>
      </c>
      <c r="B236" s="16" t="s">
        <v>674</v>
      </c>
    </row>
    <row r="237" spans="1:8" ht="15.75" customHeight="1" x14ac:dyDescent="0.25">
      <c r="A237" s="16" t="s">
        <v>677</v>
      </c>
      <c r="B237" s="16" t="s">
        <v>678</v>
      </c>
      <c r="C237" s="16" t="s">
        <v>6475</v>
      </c>
      <c r="E237" s="18" t="s">
        <v>6476</v>
      </c>
      <c r="F237" s="18" t="s">
        <v>6477</v>
      </c>
      <c r="G237" s="16" t="s">
        <v>6478</v>
      </c>
      <c r="H237" s="16" t="s">
        <v>6479</v>
      </c>
    </row>
    <row r="238" spans="1:8" ht="15.75" customHeight="1" x14ac:dyDescent="0.25">
      <c r="A238" s="16" t="s">
        <v>681</v>
      </c>
      <c r="B238" s="16" t="s">
        <v>682</v>
      </c>
    </row>
    <row r="239" spans="1:8" ht="15.75" customHeight="1" x14ac:dyDescent="0.25">
      <c r="A239" s="16" t="s">
        <v>685</v>
      </c>
      <c r="B239" s="16" t="s">
        <v>686</v>
      </c>
      <c r="C239" s="16" t="s">
        <v>6480</v>
      </c>
      <c r="E239" s="18" t="s">
        <v>6481</v>
      </c>
      <c r="F239" s="18" t="s">
        <v>6482</v>
      </c>
      <c r="G239" s="16" t="s">
        <v>6483</v>
      </c>
      <c r="H239" s="16" t="s">
        <v>6484</v>
      </c>
    </row>
    <row r="240" spans="1:8" ht="15.75" customHeight="1" x14ac:dyDescent="0.25">
      <c r="A240" s="16" t="s">
        <v>689</v>
      </c>
      <c r="B240" s="16" t="s">
        <v>690</v>
      </c>
      <c r="C240" s="16" t="s">
        <v>6485</v>
      </c>
    </row>
    <row r="241" spans="1:8" ht="15.75" customHeight="1" x14ac:dyDescent="0.25">
      <c r="A241" s="16" t="s">
        <v>692</v>
      </c>
      <c r="B241" s="16" t="s">
        <v>693</v>
      </c>
    </row>
    <row r="242" spans="1:8" ht="15.75" customHeight="1" x14ac:dyDescent="0.25">
      <c r="A242" s="16" t="s">
        <v>696</v>
      </c>
      <c r="B242" s="16" t="s">
        <v>697</v>
      </c>
      <c r="C242" s="19" t="s">
        <v>6486</v>
      </c>
      <c r="E242" s="18" t="s">
        <v>6487</v>
      </c>
      <c r="F242" s="18" t="s">
        <v>6488</v>
      </c>
      <c r="G242" s="16" t="s">
        <v>6489</v>
      </c>
      <c r="H242" s="16" t="s">
        <v>6490</v>
      </c>
    </row>
    <row r="243" spans="1:8" ht="15.75" customHeight="1" x14ac:dyDescent="0.25">
      <c r="A243" s="16" t="s">
        <v>696</v>
      </c>
      <c r="B243" s="16" t="s">
        <v>697</v>
      </c>
      <c r="C243" s="19" t="s">
        <v>6486</v>
      </c>
      <c r="E243" s="18" t="s">
        <v>6487</v>
      </c>
      <c r="F243" s="20" t="s">
        <v>6491</v>
      </c>
      <c r="G243" s="16" t="s">
        <v>6492</v>
      </c>
      <c r="H243" s="16" t="s">
        <v>6493</v>
      </c>
    </row>
    <row r="244" spans="1:8" ht="15.75" customHeight="1" x14ac:dyDescent="0.25">
      <c r="A244" s="16" t="s">
        <v>700</v>
      </c>
      <c r="B244" s="16" t="s">
        <v>701</v>
      </c>
      <c r="C244" s="16" t="s">
        <v>6494</v>
      </c>
      <c r="E244" s="18" t="s">
        <v>6495</v>
      </c>
      <c r="F244" s="18" t="s">
        <v>6496</v>
      </c>
      <c r="G244" s="16" t="s">
        <v>6497</v>
      </c>
      <c r="H244" s="16" t="s">
        <v>6498</v>
      </c>
    </row>
    <row r="245" spans="1:8" ht="15.75" customHeight="1" x14ac:dyDescent="0.25">
      <c r="A245" s="16" t="s">
        <v>704</v>
      </c>
      <c r="B245" s="16" t="s">
        <v>705</v>
      </c>
    </row>
    <row r="246" spans="1:8" ht="15.75" customHeight="1" x14ac:dyDescent="0.25">
      <c r="A246" s="16" t="s">
        <v>708</v>
      </c>
      <c r="B246" s="16" t="s">
        <v>709</v>
      </c>
      <c r="C246" s="16" t="s">
        <v>6499</v>
      </c>
      <c r="E246" s="18" t="s">
        <v>6500</v>
      </c>
      <c r="F246" s="18" t="s">
        <v>6501</v>
      </c>
      <c r="G246" s="16" t="s">
        <v>6502</v>
      </c>
      <c r="H246" s="16" t="s">
        <v>6503</v>
      </c>
    </row>
    <row r="247" spans="1:8" ht="15.75" customHeight="1" x14ac:dyDescent="0.25">
      <c r="A247" s="16" t="s">
        <v>712</v>
      </c>
      <c r="B247" s="16" t="s">
        <v>713</v>
      </c>
    </row>
    <row r="248" spans="1:8" ht="15.75" customHeight="1" x14ac:dyDescent="0.25">
      <c r="A248" s="16" t="s">
        <v>716</v>
      </c>
      <c r="B248" s="16" t="s">
        <v>717</v>
      </c>
    </row>
    <row r="249" spans="1:8" ht="15.75" customHeight="1" x14ac:dyDescent="0.25">
      <c r="A249" s="16" t="s">
        <v>718</v>
      </c>
      <c r="B249" s="16" t="s">
        <v>719</v>
      </c>
    </row>
    <row r="250" spans="1:8" ht="15.75" customHeight="1" x14ac:dyDescent="0.25">
      <c r="A250" s="16" t="s">
        <v>722</v>
      </c>
      <c r="B250" s="16" t="s">
        <v>723</v>
      </c>
    </row>
    <row r="251" spans="1:8" ht="15.75" customHeight="1" x14ac:dyDescent="0.25">
      <c r="A251" s="16" t="s">
        <v>726</v>
      </c>
      <c r="B251" s="16" t="s">
        <v>727</v>
      </c>
      <c r="C251" s="16" t="s">
        <v>6504</v>
      </c>
      <c r="E251" s="18" t="s">
        <v>6505</v>
      </c>
      <c r="F251" s="18" t="s">
        <v>6506</v>
      </c>
      <c r="G251" s="16" t="s">
        <v>6507</v>
      </c>
      <c r="H251" s="16" t="s">
        <v>6508</v>
      </c>
    </row>
    <row r="252" spans="1:8" ht="15.75" customHeight="1" x14ac:dyDescent="0.25">
      <c r="A252" s="16" t="s">
        <v>730</v>
      </c>
      <c r="B252" s="16" t="s">
        <v>731</v>
      </c>
      <c r="C252" s="16" t="s">
        <v>6509</v>
      </c>
      <c r="E252" s="18" t="s">
        <v>6510</v>
      </c>
      <c r="F252" s="18" t="s">
        <v>6511</v>
      </c>
      <c r="G252" s="16" t="s">
        <v>6512</v>
      </c>
      <c r="H252" s="16" t="s">
        <v>6513</v>
      </c>
    </row>
    <row r="253" spans="1:8" ht="15.75" customHeight="1" x14ac:dyDescent="0.25">
      <c r="A253" s="16" t="s">
        <v>733</v>
      </c>
      <c r="B253" s="16" t="s">
        <v>734</v>
      </c>
      <c r="C253" s="16" t="s">
        <v>6514</v>
      </c>
      <c r="E253" s="18" t="s">
        <v>6515</v>
      </c>
      <c r="F253" s="18" t="s">
        <v>6516</v>
      </c>
      <c r="G253" s="16" t="s">
        <v>6517</v>
      </c>
      <c r="H253" s="16" t="s">
        <v>6518</v>
      </c>
    </row>
    <row r="254" spans="1:8" ht="15.75" customHeight="1" x14ac:dyDescent="0.25">
      <c r="A254" s="16" t="s">
        <v>736</v>
      </c>
      <c r="B254" s="16" t="s">
        <v>737</v>
      </c>
    </row>
    <row r="255" spans="1:8" ht="15.75" customHeight="1" x14ac:dyDescent="0.3">
      <c r="A255" s="16" t="s">
        <v>740</v>
      </c>
      <c r="B255" s="16" t="s">
        <v>741</v>
      </c>
      <c r="C255" s="16" t="s">
        <v>6519</v>
      </c>
      <c r="E255" s="18" t="s">
        <v>6520</v>
      </c>
      <c r="F255" s="18" t="s">
        <v>6521</v>
      </c>
      <c r="G255" s="16" t="s">
        <v>6522</v>
      </c>
      <c r="H255" s="17" t="s">
        <v>6523</v>
      </c>
    </row>
    <row r="256" spans="1:8" ht="15.75" customHeight="1" x14ac:dyDescent="0.25">
      <c r="A256" s="16" t="s">
        <v>743</v>
      </c>
      <c r="B256" s="16" t="s">
        <v>744</v>
      </c>
    </row>
    <row r="257" spans="1:8" ht="15.75" customHeight="1" x14ac:dyDescent="0.25">
      <c r="A257" s="16" t="s">
        <v>746</v>
      </c>
      <c r="B257" s="16" t="s">
        <v>747</v>
      </c>
    </row>
    <row r="258" spans="1:8" ht="15.75" customHeight="1" x14ac:dyDescent="0.25">
      <c r="A258" s="16" t="s">
        <v>750</v>
      </c>
      <c r="B258" s="16" t="s">
        <v>751</v>
      </c>
      <c r="C258" s="16" t="s">
        <v>6524</v>
      </c>
      <c r="E258" s="18" t="s">
        <v>6525</v>
      </c>
    </row>
    <row r="259" spans="1:8" ht="15.75" customHeight="1" x14ac:dyDescent="0.25">
      <c r="A259" s="16" t="s">
        <v>752</v>
      </c>
      <c r="B259" s="16" t="s">
        <v>753</v>
      </c>
      <c r="C259" s="16" t="s">
        <v>6514</v>
      </c>
      <c r="E259" s="18" t="s">
        <v>6515</v>
      </c>
      <c r="F259" s="18" t="s">
        <v>6516</v>
      </c>
      <c r="G259" s="16" t="s">
        <v>6517</v>
      </c>
      <c r="H259" s="16" t="s">
        <v>6518</v>
      </c>
    </row>
    <row r="260" spans="1:8" ht="15.75" customHeight="1" x14ac:dyDescent="0.25">
      <c r="A260" s="16" t="s">
        <v>754</v>
      </c>
      <c r="B260" s="16" t="s">
        <v>755</v>
      </c>
      <c r="C260" s="19" t="s">
        <v>6526</v>
      </c>
    </row>
    <row r="261" spans="1:8" ht="15.75" customHeight="1" x14ac:dyDescent="0.25">
      <c r="A261" s="16" t="s">
        <v>756</v>
      </c>
      <c r="B261" s="16" t="s">
        <v>757</v>
      </c>
    </row>
    <row r="262" spans="1:8" ht="15.75" customHeight="1" x14ac:dyDescent="0.25">
      <c r="A262" s="16" t="s">
        <v>759</v>
      </c>
      <c r="B262" s="16" t="s">
        <v>760</v>
      </c>
    </row>
    <row r="263" spans="1:8" ht="15.75" customHeight="1" x14ac:dyDescent="0.25">
      <c r="A263" s="16" t="s">
        <v>762</v>
      </c>
      <c r="B263" s="16" t="s">
        <v>763</v>
      </c>
    </row>
    <row r="264" spans="1:8" ht="15.75" customHeight="1" x14ac:dyDescent="0.25">
      <c r="A264" s="16" t="s">
        <v>765</v>
      </c>
      <c r="B264" s="16" t="s">
        <v>766</v>
      </c>
    </row>
    <row r="265" spans="1:8" ht="15.75" customHeight="1" x14ac:dyDescent="0.25">
      <c r="A265" s="16" t="s">
        <v>768</v>
      </c>
      <c r="B265" s="16" t="s">
        <v>769</v>
      </c>
    </row>
    <row r="266" spans="1:8" ht="15.75" customHeight="1" x14ac:dyDescent="0.25">
      <c r="A266" s="16" t="s">
        <v>771</v>
      </c>
      <c r="B266" s="16" t="s">
        <v>772</v>
      </c>
    </row>
    <row r="267" spans="1:8" ht="15.75" customHeight="1" x14ac:dyDescent="0.25">
      <c r="B267" s="16" t="s">
        <v>773</v>
      </c>
    </row>
    <row r="268" spans="1:8" ht="15.75" customHeight="1" x14ac:dyDescent="0.25">
      <c r="B268" s="16" t="s">
        <v>774</v>
      </c>
    </row>
    <row r="269" spans="1:8" ht="15.75" customHeight="1" x14ac:dyDescent="0.25">
      <c r="B269" s="16" t="s">
        <v>775</v>
      </c>
    </row>
    <row r="270" spans="1:8" ht="15.75" customHeight="1" x14ac:dyDescent="0.25">
      <c r="B270" s="16" t="s">
        <v>776</v>
      </c>
    </row>
    <row r="271" spans="1:8" ht="15.75" customHeight="1" x14ac:dyDescent="0.25">
      <c r="A271" s="16" t="s">
        <v>779</v>
      </c>
      <c r="B271" s="16" t="s">
        <v>780</v>
      </c>
      <c r="C271" s="16" t="s">
        <v>6527</v>
      </c>
      <c r="E271" s="18" t="s">
        <v>6528</v>
      </c>
      <c r="F271" s="18" t="s">
        <v>6529</v>
      </c>
      <c r="G271" s="16" t="s">
        <v>6530</v>
      </c>
      <c r="H271" s="16" t="s">
        <v>6531</v>
      </c>
    </row>
    <row r="272" spans="1:8" ht="15.75" customHeight="1" x14ac:dyDescent="0.25">
      <c r="A272" s="16" t="s">
        <v>779</v>
      </c>
      <c r="B272" s="16" t="s">
        <v>780</v>
      </c>
      <c r="C272" s="16" t="s">
        <v>6527</v>
      </c>
      <c r="E272" s="18" t="s">
        <v>6528</v>
      </c>
      <c r="F272" s="18" t="s">
        <v>6532</v>
      </c>
      <c r="G272" s="16" t="s">
        <v>6533</v>
      </c>
      <c r="H272" s="16" t="s">
        <v>6534</v>
      </c>
    </row>
    <row r="273" spans="1:8" ht="15.75" customHeight="1" x14ac:dyDescent="0.25">
      <c r="A273" s="16" t="s">
        <v>779</v>
      </c>
      <c r="B273" s="16" t="s">
        <v>780</v>
      </c>
      <c r="C273" s="16" t="s">
        <v>6527</v>
      </c>
      <c r="E273" s="18" t="s">
        <v>6528</v>
      </c>
      <c r="F273" s="18" t="s">
        <v>6535</v>
      </c>
      <c r="G273" s="16" t="s">
        <v>6536</v>
      </c>
      <c r="H273" s="16" t="s">
        <v>6537</v>
      </c>
    </row>
    <row r="274" spans="1:8" ht="15.75" customHeight="1" x14ac:dyDescent="0.25">
      <c r="A274" s="16" t="s">
        <v>783</v>
      </c>
      <c r="B274" s="16" t="s">
        <v>784</v>
      </c>
      <c r="C274" s="16" t="s">
        <v>6538</v>
      </c>
      <c r="E274" s="18" t="s">
        <v>6539</v>
      </c>
      <c r="F274" s="18" t="s">
        <v>6540</v>
      </c>
      <c r="G274" s="16" t="s">
        <v>6541</v>
      </c>
      <c r="H274" s="16" t="s">
        <v>6542</v>
      </c>
    </row>
    <row r="275" spans="1:8" ht="15.75" customHeight="1" x14ac:dyDescent="0.25">
      <c r="A275" s="16" t="s">
        <v>783</v>
      </c>
      <c r="B275" s="16" t="s">
        <v>784</v>
      </c>
      <c r="C275" s="16" t="s">
        <v>6538</v>
      </c>
      <c r="E275" s="18" t="s">
        <v>6539</v>
      </c>
      <c r="F275" s="18" t="s">
        <v>6543</v>
      </c>
      <c r="G275" s="16" t="s">
        <v>6544</v>
      </c>
      <c r="H275" s="16" t="s">
        <v>6545</v>
      </c>
    </row>
    <row r="276" spans="1:8" ht="15.75" customHeight="1" x14ac:dyDescent="0.25">
      <c r="A276" s="16" t="s">
        <v>787</v>
      </c>
      <c r="B276" s="16" t="s">
        <v>788</v>
      </c>
      <c r="C276" s="16" t="s">
        <v>6546</v>
      </c>
      <c r="E276" s="18" t="s">
        <v>6547</v>
      </c>
      <c r="F276" s="18" t="s">
        <v>6548</v>
      </c>
      <c r="G276" s="16" t="s">
        <v>6549</v>
      </c>
      <c r="H276" s="16" t="s">
        <v>6550</v>
      </c>
    </row>
    <row r="277" spans="1:8" ht="15.75" customHeight="1" x14ac:dyDescent="0.25">
      <c r="A277" s="16" t="s">
        <v>787</v>
      </c>
      <c r="B277" s="16" t="s">
        <v>788</v>
      </c>
      <c r="C277" s="16" t="s">
        <v>6546</v>
      </c>
      <c r="E277" s="18" t="s">
        <v>6547</v>
      </c>
      <c r="F277" s="18" t="s">
        <v>6551</v>
      </c>
      <c r="G277" s="16" t="s">
        <v>6552</v>
      </c>
      <c r="H277" s="16" t="s">
        <v>6553</v>
      </c>
    </row>
    <row r="278" spans="1:8" ht="15.75" customHeight="1" x14ac:dyDescent="0.25">
      <c r="A278" s="16" t="s">
        <v>787</v>
      </c>
      <c r="B278" s="16" t="s">
        <v>788</v>
      </c>
      <c r="C278" s="16" t="s">
        <v>6546</v>
      </c>
      <c r="E278" s="18" t="s">
        <v>6547</v>
      </c>
      <c r="F278" s="18" t="s">
        <v>6554</v>
      </c>
      <c r="G278" s="16" t="s">
        <v>6555</v>
      </c>
      <c r="H278" s="16" t="s">
        <v>6556</v>
      </c>
    </row>
    <row r="279" spans="1:8" ht="15.75" customHeight="1" x14ac:dyDescent="0.25">
      <c r="A279" s="16" t="s">
        <v>787</v>
      </c>
      <c r="B279" s="16" t="s">
        <v>788</v>
      </c>
      <c r="C279" s="16" t="s">
        <v>6546</v>
      </c>
      <c r="E279" s="18" t="s">
        <v>6547</v>
      </c>
      <c r="F279" s="18" t="s">
        <v>6557</v>
      </c>
      <c r="G279" s="16" t="s">
        <v>6558</v>
      </c>
      <c r="H279" s="16" t="s">
        <v>6559</v>
      </c>
    </row>
    <row r="280" spans="1:8" ht="15.75" customHeight="1" x14ac:dyDescent="0.25">
      <c r="A280" s="16" t="s">
        <v>791</v>
      </c>
      <c r="B280" s="16" t="s">
        <v>792</v>
      </c>
    </row>
    <row r="281" spans="1:8" ht="15.75" customHeight="1" x14ac:dyDescent="0.25">
      <c r="A281" s="16" t="s">
        <v>794</v>
      </c>
      <c r="B281" s="16" t="s">
        <v>795</v>
      </c>
    </row>
    <row r="282" spans="1:8" ht="15.75" customHeight="1" x14ac:dyDescent="0.25">
      <c r="A282" s="16" t="s">
        <v>798</v>
      </c>
      <c r="B282" s="16" t="s">
        <v>799</v>
      </c>
    </row>
    <row r="283" spans="1:8" ht="15.75" customHeight="1" x14ac:dyDescent="0.25">
      <c r="A283" s="16" t="s">
        <v>802</v>
      </c>
      <c r="B283" s="16" t="s">
        <v>803</v>
      </c>
    </row>
    <row r="284" spans="1:8" ht="15.75" customHeight="1" x14ac:dyDescent="0.25">
      <c r="A284" s="16" t="s">
        <v>805</v>
      </c>
      <c r="B284" s="16" t="s">
        <v>806</v>
      </c>
    </row>
    <row r="285" spans="1:8" ht="15.75" customHeight="1" x14ac:dyDescent="0.25">
      <c r="A285" s="16" t="s">
        <v>807</v>
      </c>
      <c r="B285" s="16" t="s">
        <v>808</v>
      </c>
    </row>
    <row r="286" spans="1:8" ht="15.75" customHeight="1" x14ac:dyDescent="0.25">
      <c r="A286" s="16" t="s">
        <v>811</v>
      </c>
      <c r="B286" s="16" t="s">
        <v>812</v>
      </c>
      <c r="C286" s="16" t="s">
        <v>6560</v>
      </c>
      <c r="E286" s="18" t="s">
        <v>6561</v>
      </c>
      <c r="F286" s="18" t="s">
        <v>6562</v>
      </c>
      <c r="G286" s="16" t="s">
        <v>6563</v>
      </c>
      <c r="H286" s="16" t="s">
        <v>6564</v>
      </c>
    </row>
    <row r="287" spans="1:8" ht="15.75" customHeight="1" x14ac:dyDescent="0.25">
      <c r="A287" s="16" t="s">
        <v>811</v>
      </c>
      <c r="B287" s="16" t="s">
        <v>812</v>
      </c>
      <c r="C287" s="16" t="s">
        <v>6560</v>
      </c>
      <c r="E287" s="18" t="s">
        <v>6561</v>
      </c>
      <c r="F287" s="18" t="s">
        <v>6565</v>
      </c>
      <c r="G287" s="16" t="s">
        <v>6563</v>
      </c>
      <c r="H287" s="16" t="s">
        <v>6566</v>
      </c>
    </row>
    <row r="288" spans="1:8" ht="15.75" customHeight="1" x14ac:dyDescent="0.25">
      <c r="A288" s="16" t="s">
        <v>811</v>
      </c>
      <c r="B288" s="16" t="s">
        <v>812</v>
      </c>
      <c r="C288" s="16" t="s">
        <v>6560</v>
      </c>
      <c r="E288" s="18" t="s">
        <v>6561</v>
      </c>
      <c r="F288" s="18" t="s">
        <v>6567</v>
      </c>
      <c r="G288" s="16" t="s">
        <v>6563</v>
      </c>
      <c r="H288" s="16" t="s">
        <v>6568</v>
      </c>
    </row>
    <row r="289" spans="1:8" ht="15.75" customHeight="1" x14ac:dyDescent="0.25">
      <c r="A289" s="16" t="s">
        <v>811</v>
      </c>
      <c r="B289" s="16" t="s">
        <v>812</v>
      </c>
      <c r="C289" s="16" t="s">
        <v>6560</v>
      </c>
      <c r="E289" s="18" t="s">
        <v>6561</v>
      </c>
      <c r="F289" s="18" t="s">
        <v>6569</v>
      </c>
      <c r="G289" s="16" t="s">
        <v>6563</v>
      </c>
      <c r="H289" s="16" t="s">
        <v>6570</v>
      </c>
    </row>
    <row r="290" spans="1:8" ht="15.75" customHeight="1" x14ac:dyDescent="0.25">
      <c r="A290" s="16" t="s">
        <v>811</v>
      </c>
      <c r="B290" s="16" t="s">
        <v>812</v>
      </c>
      <c r="C290" s="16" t="s">
        <v>6560</v>
      </c>
      <c r="E290" s="18" t="s">
        <v>6561</v>
      </c>
      <c r="F290" s="18" t="s">
        <v>6571</v>
      </c>
      <c r="G290" s="16" t="s">
        <v>6563</v>
      </c>
      <c r="H290" s="16" t="s">
        <v>6572</v>
      </c>
    </row>
    <row r="291" spans="1:8" ht="15.75" customHeight="1" x14ac:dyDescent="0.25">
      <c r="A291" s="16" t="s">
        <v>815</v>
      </c>
      <c r="B291" s="16" t="s">
        <v>816</v>
      </c>
    </row>
    <row r="292" spans="1:8" ht="15.75" customHeight="1" x14ac:dyDescent="0.25">
      <c r="A292" s="16" t="s">
        <v>818</v>
      </c>
      <c r="B292" s="16" t="s">
        <v>819</v>
      </c>
    </row>
    <row r="293" spans="1:8" ht="15.75" customHeight="1" x14ac:dyDescent="0.25">
      <c r="A293" s="16" t="s">
        <v>822</v>
      </c>
      <c r="B293" s="16" t="s">
        <v>823</v>
      </c>
      <c r="C293" s="16" t="s">
        <v>6302</v>
      </c>
    </row>
    <row r="294" spans="1:8" ht="15.75" customHeight="1" x14ac:dyDescent="0.25">
      <c r="A294" s="16" t="s">
        <v>824</v>
      </c>
      <c r="B294" s="16" t="s">
        <v>825</v>
      </c>
    </row>
    <row r="295" spans="1:8" ht="15.75" customHeight="1" x14ac:dyDescent="0.25">
      <c r="A295" s="16" t="s">
        <v>827</v>
      </c>
      <c r="B295" s="16" t="s">
        <v>828</v>
      </c>
    </row>
    <row r="296" spans="1:8" ht="15.75" customHeight="1" x14ac:dyDescent="0.25">
      <c r="A296" s="16" t="s">
        <v>830</v>
      </c>
      <c r="B296" s="16" t="s">
        <v>831</v>
      </c>
    </row>
    <row r="297" spans="1:8" ht="15.75" customHeight="1" x14ac:dyDescent="0.25">
      <c r="A297" s="16" t="s">
        <v>834</v>
      </c>
      <c r="B297" s="16" t="s">
        <v>835</v>
      </c>
      <c r="C297" s="16" t="s">
        <v>6573</v>
      </c>
      <c r="E297" s="18" t="s">
        <v>6574</v>
      </c>
      <c r="F297" s="18" t="s">
        <v>6575</v>
      </c>
      <c r="G297" s="16" t="s">
        <v>6576</v>
      </c>
      <c r="H297" s="16" t="s">
        <v>6577</v>
      </c>
    </row>
    <row r="298" spans="1:8" ht="15.75" customHeight="1" x14ac:dyDescent="0.25">
      <c r="A298" s="16" t="s">
        <v>837</v>
      </c>
      <c r="B298" s="16" t="s">
        <v>838</v>
      </c>
    </row>
    <row r="299" spans="1:8" ht="15.75" customHeight="1" x14ac:dyDescent="0.25">
      <c r="A299" s="16" t="s">
        <v>841</v>
      </c>
      <c r="B299" s="16" t="s">
        <v>842</v>
      </c>
    </row>
    <row r="300" spans="1:8" ht="15.75" customHeight="1" x14ac:dyDescent="0.25">
      <c r="A300" s="16" t="s">
        <v>845</v>
      </c>
      <c r="B300" s="16" t="s">
        <v>846</v>
      </c>
    </row>
    <row r="301" spans="1:8" ht="15.75" customHeight="1" x14ac:dyDescent="0.25">
      <c r="A301" s="16" t="s">
        <v>849</v>
      </c>
      <c r="B301" s="16" t="s">
        <v>850</v>
      </c>
    </row>
    <row r="302" spans="1:8" ht="15.75" customHeight="1" x14ac:dyDescent="0.25">
      <c r="A302" s="16" t="s">
        <v>852</v>
      </c>
      <c r="B302" s="16" t="s">
        <v>853</v>
      </c>
    </row>
    <row r="303" spans="1:8" ht="15.75" customHeight="1" x14ac:dyDescent="0.25">
      <c r="A303" s="16" t="s">
        <v>855</v>
      </c>
      <c r="B303" s="16" t="s">
        <v>856</v>
      </c>
    </row>
    <row r="304" spans="1:8" ht="15.75" customHeight="1" x14ac:dyDescent="0.25">
      <c r="A304" s="16" t="s">
        <v>859</v>
      </c>
      <c r="B304" s="16" t="s">
        <v>860</v>
      </c>
      <c r="C304" s="16" t="s">
        <v>6578</v>
      </c>
      <c r="E304" s="18" t="s">
        <v>6579</v>
      </c>
      <c r="F304" s="18" t="s">
        <v>6580</v>
      </c>
      <c r="G304" s="16" t="s">
        <v>6581</v>
      </c>
      <c r="H304" s="16" t="s">
        <v>6582</v>
      </c>
    </row>
    <row r="305" spans="1:8" ht="15.75" customHeight="1" x14ac:dyDescent="0.25">
      <c r="A305" s="16" t="s">
        <v>863</v>
      </c>
      <c r="B305" s="16" t="s">
        <v>864</v>
      </c>
      <c r="C305" s="16" t="s">
        <v>6583</v>
      </c>
      <c r="E305" s="18" t="s">
        <v>6584</v>
      </c>
      <c r="F305" s="18" t="s">
        <v>6585</v>
      </c>
      <c r="G305" s="16" t="s">
        <v>6586</v>
      </c>
      <c r="H305" s="16" t="s">
        <v>6587</v>
      </c>
    </row>
    <row r="306" spans="1:8" ht="15.75" customHeight="1" x14ac:dyDescent="0.25">
      <c r="A306" s="16" t="s">
        <v>865</v>
      </c>
      <c r="B306" s="16" t="s">
        <v>866</v>
      </c>
    </row>
    <row r="307" spans="1:8" ht="15.75" customHeight="1" x14ac:dyDescent="0.25">
      <c r="A307" s="16" t="s">
        <v>869</v>
      </c>
      <c r="B307" s="16" t="s">
        <v>870</v>
      </c>
    </row>
    <row r="308" spans="1:8" ht="15.75" customHeight="1" x14ac:dyDescent="0.25">
      <c r="A308" s="16" t="s">
        <v>873</v>
      </c>
      <c r="B308" s="16" t="s">
        <v>874</v>
      </c>
      <c r="C308" s="16" t="s">
        <v>6588</v>
      </c>
    </row>
    <row r="309" spans="1:8" ht="15.75" customHeight="1" x14ac:dyDescent="0.25">
      <c r="A309" s="16" t="s">
        <v>876</v>
      </c>
      <c r="B309" s="16" t="s">
        <v>877</v>
      </c>
    </row>
    <row r="310" spans="1:8" ht="15.75" customHeight="1" x14ac:dyDescent="0.25">
      <c r="A310" s="16" t="s">
        <v>879</v>
      </c>
      <c r="B310" s="16" t="s">
        <v>880</v>
      </c>
    </row>
    <row r="311" spans="1:8" ht="15.75" customHeight="1" x14ac:dyDescent="0.25">
      <c r="A311" s="16" t="s">
        <v>883</v>
      </c>
      <c r="B311" s="16" t="s">
        <v>884</v>
      </c>
    </row>
    <row r="312" spans="1:8" ht="15.75" customHeight="1" x14ac:dyDescent="0.25">
      <c r="A312" s="16" t="s">
        <v>887</v>
      </c>
      <c r="B312" s="16" t="s">
        <v>888</v>
      </c>
    </row>
    <row r="313" spans="1:8" ht="15.75" customHeight="1" x14ac:dyDescent="0.25">
      <c r="A313" s="16" t="s">
        <v>891</v>
      </c>
      <c r="B313" s="16" t="s">
        <v>892</v>
      </c>
      <c r="C313" s="16" t="s">
        <v>6311</v>
      </c>
      <c r="E313" s="18" t="s">
        <v>6312</v>
      </c>
      <c r="F313" s="18" t="s">
        <v>6313</v>
      </c>
      <c r="G313" s="16" t="s">
        <v>6314</v>
      </c>
      <c r="H313" s="16" t="s">
        <v>6315</v>
      </c>
    </row>
    <row r="314" spans="1:8" ht="15.75" customHeight="1" x14ac:dyDescent="0.25">
      <c r="A314" s="16" t="s">
        <v>895</v>
      </c>
      <c r="B314" s="16" t="s">
        <v>896</v>
      </c>
      <c r="C314" s="16" t="s">
        <v>6589</v>
      </c>
      <c r="E314" s="18" t="s">
        <v>6590</v>
      </c>
      <c r="F314" s="18" t="s">
        <v>6591</v>
      </c>
      <c r="G314" s="16" t="s">
        <v>6592</v>
      </c>
      <c r="H314" s="16" t="s">
        <v>6593</v>
      </c>
    </row>
    <row r="315" spans="1:8" ht="15.75" customHeight="1" x14ac:dyDescent="0.25">
      <c r="A315" s="16" t="s">
        <v>899</v>
      </c>
      <c r="B315" s="16" t="s">
        <v>900</v>
      </c>
    </row>
    <row r="316" spans="1:8" ht="15.75" customHeight="1" x14ac:dyDescent="0.25">
      <c r="A316" s="16" t="s">
        <v>903</v>
      </c>
      <c r="B316" s="16" t="s">
        <v>904</v>
      </c>
    </row>
    <row r="317" spans="1:8" ht="15.75" customHeight="1" x14ac:dyDescent="0.25">
      <c r="B317" s="16" t="s">
        <v>906</v>
      </c>
    </row>
    <row r="318" spans="1:8" ht="15.75" customHeight="1" x14ac:dyDescent="0.25">
      <c r="A318" s="16" t="s">
        <v>908</v>
      </c>
      <c r="B318" s="16" t="s">
        <v>909</v>
      </c>
    </row>
    <row r="319" spans="1:8" ht="15.75" customHeight="1" x14ac:dyDescent="0.25">
      <c r="A319" s="16" t="s">
        <v>912</v>
      </c>
      <c r="B319" s="16" t="s">
        <v>913</v>
      </c>
    </row>
    <row r="320" spans="1:8" ht="15.75" customHeight="1" x14ac:dyDescent="0.25">
      <c r="A320" s="16" t="s">
        <v>915</v>
      </c>
      <c r="B320" s="16" t="s">
        <v>916</v>
      </c>
      <c r="C320" s="19" t="s">
        <v>6594</v>
      </c>
      <c r="E320" s="18" t="s">
        <v>6595</v>
      </c>
      <c r="F320" s="18" t="s">
        <v>6596</v>
      </c>
      <c r="G320" s="16" t="s">
        <v>6597</v>
      </c>
      <c r="H320" s="16" t="s">
        <v>6598</v>
      </c>
    </row>
    <row r="321" spans="1:8" ht="15.75" customHeight="1" x14ac:dyDescent="0.25">
      <c r="A321" s="16" t="s">
        <v>918</v>
      </c>
      <c r="B321" s="16" t="s">
        <v>919</v>
      </c>
    </row>
    <row r="322" spans="1:8" ht="15.75" customHeight="1" x14ac:dyDescent="0.25">
      <c r="A322" s="16" t="s">
        <v>920</v>
      </c>
      <c r="B322" s="16" t="s">
        <v>921</v>
      </c>
    </row>
    <row r="323" spans="1:8" ht="15.75" customHeight="1" x14ac:dyDescent="0.25">
      <c r="A323" s="16" t="s">
        <v>924</v>
      </c>
      <c r="B323" s="16" t="s">
        <v>925</v>
      </c>
    </row>
    <row r="324" spans="1:8" ht="15.75" customHeight="1" x14ac:dyDescent="0.25">
      <c r="A324" s="16" t="s">
        <v>927</v>
      </c>
      <c r="B324" s="16" t="s">
        <v>928</v>
      </c>
    </row>
    <row r="325" spans="1:8" ht="15.75" customHeight="1" x14ac:dyDescent="0.25">
      <c r="A325" s="16" t="s">
        <v>931</v>
      </c>
      <c r="B325" s="16" t="s">
        <v>932</v>
      </c>
      <c r="C325" s="16" t="s">
        <v>6599</v>
      </c>
      <c r="E325" s="18" t="s">
        <v>6600</v>
      </c>
      <c r="F325" s="18" t="s">
        <v>6601</v>
      </c>
      <c r="G325" s="16" t="s">
        <v>6602</v>
      </c>
      <c r="H325" s="16" t="s">
        <v>6603</v>
      </c>
    </row>
    <row r="326" spans="1:8" ht="15.75" customHeight="1" x14ac:dyDescent="0.25">
      <c r="A326" s="16" t="s">
        <v>935</v>
      </c>
      <c r="B326" s="16" t="s">
        <v>936</v>
      </c>
      <c r="C326" s="16" t="s">
        <v>6604</v>
      </c>
      <c r="E326" s="18" t="s">
        <v>6605</v>
      </c>
      <c r="F326" s="18" t="s">
        <v>6606</v>
      </c>
      <c r="G326" s="16" t="s">
        <v>6607</v>
      </c>
      <c r="H326" s="16" t="s">
        <v>6608</v>
      </c>
    </row>
    <row r="327" spans="1:8" ht="15.75" customHeight="1" x14ac:dyDescent="0.25">
      <c r="A327" s="16" t="s">
        <v>935</v>
      </c>
      <c r="B327" s="16" t="s">
        <v>936</v>
      </c>
      <c r="C327" s="16" t="s">
        <v>6604</v>
      </c>
      <c r="E327" s="18" t="s">
        <v>6605</v>
      </c>
      <c r="F327" s="18" t="s">
        <v>6609</v>
      </c>
      <c r="G327" s="16" t="s">
        <v>6610</v>
      </c>
      <c r="H327" s="16" t="s">
        <v>6611</v>
      </c>
    </row>
    <row r="328" spans="1:8" ht="15.75" customHeight="1" x14ac:dyDescent="0.25">
      <c r="A328" s="16" t="s">
        <v>935</v>
      </c>
      <c r="B328" s="16" t="s">
        <v>936</v>
      </c>
      <c r="C328" s="16" t="s">
        <v>6604</v>
      </c>
      <c r="E328" s="18" t="s">
        <v>6605</v>
      </c>
      <c r="F328" s="18" t="s">
        <v>6612</v>
      </c>
      <c r="G328" s="16" t="s">
        <v>6613</v>
      </c>
      <c r="H328" s="16" t="s">
        <v>6614</v>
      </c>
    </row>
    <row r="329" spans="1:8" ht="15.75" customHeight="1" x14ac:dyDescent="0.25">
      <c r="A329" s="16" t="s">
        <v>939</v>
      </c>
      <c r="B329" s="16" t="s">
        <v>940</v>
      </c>
      <c r="C329" s="16" t="s">
        <v>6615</v>
      </c>
      <c r="E329" s="18" t="s">
        <v>6616</v>
      </c>
    </row>
    <row r="330" spans="1:8" ht="15.75" customHeight="1" x14ac:dyDescent="0.25">
      <c r="A330" s="16" t="s">
        <v>943</v>
      </c>
      <c r="B330" s="16" t="s">
        <v>944</v>
      </c>
      <c r="C330" s="16" t="s">
        <v>6617</v>
      </c>
      <c r="E330" s="18" t="s">
        <v>6618</v>
      </c>
      <c r="F330" s="18" t="s">
        <v>6619</v>
      </c>
      <c r="G330" s="16" t="s">
        <v>6620</v>
      </c>
      <c r="H330" s="16" t="s">
        <v>6621</v>
      </c>
    </row>
    <row r="331" spans="1:8" ht="15.75" customHeight="1" x14ac:dyDescent="0.25">
      <c r="A331" s="16" t="s">
        <v>943</v>
      </c>
      <c r="B331" s="16" t="s">
        <v>944</v>
      </c>
      <c r="C331" s="16" t="s">
        <v>6617</v>
      </c>
      <c r="E331" s="18" t="s">
        <v>6618</v>
      </c>
      <c r="F331" s="18" t="s">
        <v>6622</v>
      </c>
      <c r="G331" s="16" t="s">
        <v>6623</v>
      </c>
      <c r="H331" s="16" t="s">
        <v>6624</v>
      </c>
    </row>
    <row r="332" spans="1:8" ht="15.75" customHeight="1" x14ac:dyDescent="0.25">
      <c r="A332" s="16" t="s">
        <v>947</v>
      </c>
      <c r="B332" s="16" t="s">
        <v>948</v>
      </c>
    </row>
    <row r="333" spans="1:8" ht="15.75" customHeight="1" x14ac:dyDescent="0.25">
      <c r="B333" s="16" t="s">
        <v>949</v>
      </c>
    </row>
    <row r="334" spans="1:8" ht="15.75" customHeight="1" x14ac:dyDescent="0.25">
      <c r="A334" s="16" t="s">
        <v>952</v>
      </c>
      <c r="B334" s="16" t="s">
        <v>953</v>
      </c>
    </row>
    <row r="335" spans="1:8" ht="15.75" customHeight="1" x14ac:dyDescent="0.25">
      <c r="A335" s="16" t="s">
        <v>956</v>
      </c>
      <c r="B335" s="16" t="s">
        <v>957</v>
      </c>
      <c r="C335" s="16" t="s">
        <v>6625</v>
      </c>
      <c r="E335" s="18" t="s">
        <v>6626</v>
      </c>
      <c r="F335" s="18" t="s">
        <v>6627</v>
      </c>
      <c r="G335" s="16" t="s">
        <v>6628</v>
      </c>
      <c r="H335" s="16" t="s">
        <v>6629</v>
      </c>
    </row>
    <row r="336" spans="1:8" ht="15.75" customHeight="1" x14ac:dyDescent="0.25">
      <c r="A336" s="16" t="s">
        <v>956</v>
      </c>
      <c r="B336" s="16" t="s">
        <v>957</v>
      </c>
      <c r="C336" s="16" t="s">
        <v>6625</v>
      </c>
      <c r="E336" s="18" t="s">
        <v>6626</v>
      </c>
      <c r="F336" s="18" t="s">
        <v>6630</v>
      </c>
      <c r="G336" s="16" t="s">
        <v>6631</v>
      </c>
      <c r="H336" s="16" t="s">
        <v>6632</v>
      </c>
    </row>
    <row r="337" spans="1:8" ht="15.75" customHeight="1" x14ac:dyDescent="0.25">
      <c r="A337" s="16" t="s">
        <v>960</v>
      </c>
      <c r="B337" s="16" t="s">
        <v>961</v>
      </c>
    </row>
    <row r="338" spans="1:8" ht="15.75" customHeight="1" x14ac:dyDescent="0.25">
      <c r="B338" s="16" t="s">
        <v>963</v>
      </c>
    </row>
    <row r="339" spans="1:8" ht="15.75" customHeight="1" x14ac:dyDescent="0.25">
      <c r="A339" s="16" t="s">
        <v>966</v>
      </c>
      <c r="B339" s="16" t="s">
        <v>967</v>
      </c>
      <c r="C339" s="19" t="s">
        <v>6633</v>
      </c>
      <c r="E339" s="18" t="s">
        <v>6634</v>
      </c>
      <c r="F339" s="18" t="s">
        <v>6635</v>
      </c>
      <c r="G339" s="16" t="s">
        <v>6636</v>
      </c>
      <c r="H339" s="16" t="s">
        <v>6637</v>
      </c>
    </row>
    <row r="340" spans="1:8" ht="15.75" customHeight="1" x14ac:dyDescent="0.25">
      <c r="B340" s="16" t="s">
        <v>969</v>
      </c>
    </row>
    <row r="341" spans="1:8" ht="15.75" customHeight="1" x14ac:dyDescent="0.25">
      <c r="B341" s="16" t="s">
        <v>970</v>
      </c>
    </row>
    <row r="342" spans="1:8" ht="15.75" customHeight="1" x14ac:dyDescent="0.25">
      <c r="B342" s="16" t="s">
        <v>971</v>
      </c>
    </row>
    <row r="343" spans="1:8" ht="15.75" customHeight="1" x14ac:dyDescent="0.25">
      <c r="B343" s="16" t="s">
        <v>972</v>
      </c>
    </row>
    <row r="344" spans="1:8" ht="15.75" customHeight="1" x14ac:dyDescent="0.25">
      <c r="A344" s="16" t="s">
        <v>975</v>
      </c>
      <c r="B344" s="16" t="s">
        <v>976</v>
      </c>
    </row>
    <row r="345" spans="1:8" ht="15.75" customHeight="1" x14ac:dyDescent="0.25">
      <c r="A345" s="16" t="s">
        <v>978</v>
      </c>
      <c r="B345" s="16" t="s">
        <v>979</v>
      </c>
    </row>
    <row r="346" spans="1:8" ht="15.75" customHeight="1" x14ac:dyDescent="0.25">
      <c r="A346" s="16" t="s">
        <v>981</v>
      </c>
      <c r="B346" s="16" t="s">
        <v>982</v>
      </c>
    </row>
    <row r="347" spans="1:8" ht="15.75" customHeight="1" x14ac:dyDescent="0.25">
      <c r="A347" s="16" t="s">
        <v>984</v>
      </c>
      <c r="B347" s="16" t="s">
        <v>985</v>
      </c>
    </row>
    <row r="348" spans="1:8" ht="15.75" customHeight="1" x14ac:dyDescent="0.25">
      <c r="A348" s="16" t="s">
        <v>988</v>
      </c>
      <c r="B348" s="16" t="s">
        <v>989</v>
      </c>
      <c r="C348" s="16" t="s">
        <v>6638</v>
      </c>
      <c r="E348" s="18" t="s">
        <v>6639</v>
      </c>
      <c r="F348" s="18" t="s">
        <v>6640</v>
      </c>
      <c r="G348" s="16" t="s">
        <v>6641</v>
      </c>
      <c r="H348" s="16" t="s">
        <v>6642</v>
      </c>
    </row>
    <row r="349" spans="1:8" ht="15.75" customHeight="1" x14ac:dyDescent="0.25">
      <c r="A349" s="16" t="s">
        <v>988</v>
      </c>
      <c r="B349" s="16" t="s">
        <v>989</v>
      </c>
      <c r="C349" s="16" t="s">
        <v>6638</v>
      </c>
      <c r="E349" s="18" t="s">
        <v>6639</v>
      </c>
      <c r="F349" s="18" t="s">
        <v>6643</v>
      </c>
      <c r="G349" s="16" t="s">
        <v>6644</v>
      </c>
      <c r="H349" s="16" t="s">
        <v>6645</v>
      </c>
    </row>
    <row r="350" spans="1:8" ht="15.75" customHeight="1" x14ac:dyDescent="0.25">
      <c r="A350" s="16" t="s">
        <v>988</v>
      </c>
      <c r="B350" s="16" t="s">
        <v>989</v>
      </c>
      <c r="C350" s="16" t="s">
        <v>6638</v>
      </c>
      <c r="E350" s="18" t="s">
        <v>6639</v>
      </c>
      <c r="F350" s="18" t="s">
        <v>6646</v>
      </c>
      <c r="G350" s="16" t="s">
        <v>6647</v>
      </c>
      <c r="H350" s="16" t="s">
        <v>6648</v>
      </c>
    </row>
    <row r="351" spans="1:8" ht="15.75" customHeight="1" x14ac:dyDescent="0.25">
      <c r="A351" s="16" t="s">
        <v>991</v>
      </c>
      <c r="B351" s="16" t="s">
        <v>992</v>
      </c>
    </row>
    <row r="352" spans="1:8" ht="15.75" customHeight="1" x14ac:dyDescent="0.25">
      <c r="A352" s="16" t="s">
        <v>995</v>
      </c>
      <c r="B352" s="16" t="s">
        <v>996</v>
      </c>
      <c r="C352" s="16" t="s">
        <v>6649</v>
      </c>
      <c r="E352" s="18" t="s">
        <v>6650</v>
      </c>
      <c r="F352" s="18" t="s">
        <v>6651</v>
      </c>
      <c r="G352" s="16" t="s">
        <v>6652</v>
      </c>
      <c r="H352" s="16" t="s">
        <v>6653</v>
      </c>
    </row>
    <row r="353" spans="1:8" ht="15.75" customHeight="1" x14ac:dyDescent="0.25">
      <c r="A353" s="16" t="s">
        <v>999</v>
      </c>
      <c r="B353" s="16" t="s">
        <v>1000</v>
      </c>
      <c r="C353" s="19" t="s">
        <v>6654</v>
      </c>
      <c r="E353" s="18" t="s">
        <v>6655</v>
      </c>
      <c r="F353" s="18" t="s">
        <v>6656</v>
      </c>
      <c r="G353" s="16" t="s">
        <v>6657</v>
      </c>
      <c r="H353" s="16" t="s">
        <v>6658</v>
      </c>
    </row>
    <row r="354" spans="1:8" ht="15.75" customHeight="1" x14ac:dyDescent="0.25">
      <c r="A354" s="16" t="s">
        <v>1002</v>
      </c>
      <c r="B354" s="16" t="s">
        <v>1003</v>
      </c>
    </row>
    <row r="355" spans="1:8" ht="15.75" customHeight="1" x14ac:dyDescent="0.25">
      <c r="A355" s="16" t="s">
        <v>1005</v>
      </c>
      <c r="B355" s="16" t="s">
        <v>1006</v>
      </c>
    </row>
    <row r="356" spans="1:8" ht="15.75" customHeight="1" x14ac:dyDescent="0.25">
      <c r="A356" s="16" t="s">
        <v>1009</v>
      </c>
      <c r="B356" s="16" t="s">
        <v>1010</v>
      </c>
    </row>
    <row r="357" spans="1:8" ht="15.75" customHeight="1" x14ac:dyDescent="0.25">
      <c r="A357" s="16" t="s">
        <v>1012</v>
      </c>
      <c r="B357" s="16" t="s">
        <v>1013</v>
      </c>
      <c r="C357" s="16" t="s">
        <v>6659</v>
      </c>
      <c r="E357" s="18" t="s">
        <v>6660</v>
      </c>
      <c r="F357" s="18" t="s">
        <v>6661</v>
      </c>
      <c r="G357" s="16" t="s">
        <v>6662</v>
      </c>
      <c r="H357" s="16" t="s">
        <v>6663</v>
      </c>
    </row>
    <row r="358" spans="1:8" ht="15.75" customHeight="1" x14ac:dyDescent="0.25">
      <c r="A358" s="16" t="s">
        <v>1012</v>
      </c>
      <c r="B358" s="16" t="s">
        <v>1013</v>
      </c>
      <c r="C358" s="16" t="s">
        <v>6659</v>
      </c>
      <c r="E358" s="18" t="s">
        <v>6660</v>
      </c>
      <c r="F358" s="18" t="s">
        <v>6664</v>
      </c>
      <c r="G358" s="16" t="s">
        <v>6662</v>
      </c>
      <c r="H358" s="16" t="s">
        <v>6665</v>
      </c>
    </row>
    <row r="359" spans="1:8" ht="15.75" customHeight="1" x14ac:dyDescent="0.25">
      <c r="A359" s="16" t="s">
        <v>1012</v>
      </c>
      <c r="B359" s="16" t="s">
        <v>1013</v>
      </c>
      <c r="C359" s="16" t="s">
        <v>6659</v>
      </c>
      <c r="E359" s="18" t="s">
        <v>6660</v>
      </c>
      <c r="F359" s="18" t="s">
        <v>6666</v>
      </c>
      <c r="G359" s="16" t="s">
        <v>6667</v>
      </c>
      <c r="H359" s="16" t="s">
        <v>6663</v>
      </c>
    </row>
    <row r="360" spans="1:8" ht="15.75" customHeight="1" x14ac:dyDescent="0.25">
      <c r="A360" s="16" t="s">
        <v>1012</v>
      </c>
      <c r="B360" s="16" t="s">
        <v>1013</v>
      </c>
      <c r="C360" s="16" t="s">
        <v>6659</v>
      </c>
      <c r="E360" s="18" t="s">
        <v>6660</v>
      </c>
      <c r="F360" s="18" t="s">
        <v>6668</v>
      </c>
      <c r="G360" s="16" t="s">
        <v>6669</v>
      </c>
      <c r="H360" s="16" t="s">
        <v>6670</v>
      </c>
    </row>
    <row r="361" spans="1:8" ht="15.75" customHeight="1" x14ac:dyDescent="0.25">
      <c r="A361" s="16" t="s">
        <v>1012</v>
      </c>
      <c r="B361" s="16" t="s">
        <v>1013</v>
      </c>
      <c r="C361" s="16" t="s">
        <v>6659</v>
      </c>
      <c r="E361" s="18" t="s">
        <v>6660</v>
      </c>
      <c r="F361" s="18" t="s">
        <v>6671</v>
      </c>
      <c r="G361" s="16" t="s">
        <v>6672</v>
      </c>
      <c r="H361" s="16" t="s">
        <v>6673</v>
      </c>
    </row>
    <row r="362" spans="1:8" ht="15.75" customHeight="1" x14ac:dyDescent="0.25">
      <c r="A362" s="16" t="s">
        <v>1015</v>
      </c>
      <c r="B362" s="16" t="s">
        <v>1016</v>
      </c>
    </row>
    <row r="363" spans="1:8" ht="15.75" customHeight="1" x14ac:dyDescent="0.25">
      <c r="A363" s="16" t="s">
        <v>1018</v>
      </c>
      <c r="B363" s="16" t="s">
        <v>1019</v>
      </c>
    </row>
    <row r="364" spans="1:8" ht="15.75" customHeight="1" x14ac:dyDescent="0.25">
      <c r="A364" s="16" t="s">
        <v>1021</v>
      </c>
      <c r="B364" s="16" t="s">
        <v>1022</v>
      </c>
    </row>
    <row r="365" spans="1:8" ht="15.75" customHeight="1" x14ac:dyDescent="0.25">
      <c r="A365" s="16" t="s">
        <v>1023</v>
      </c>
      <c r="B365" s="16" t="s">
        <v>1024</v>
      </c>
    </row>
    <row r="366" spans="1:8" ht="15.75" customHeight="1" x14ac:dyDescent="0.25">
      <c r="A366" s="16" t="s">
        <v>1025</v>
      </c>
      <c r="B366" s="16" t="s">
        <v>1026</v>
      </c>
    </row>
    <row r="367" spans="1:8" ht="15.75" customHeight="1" x14ac:dyDescent="0.25">
      <c r="A367" s="16" t="s">
        <v>1027</v>
      </c>
      <c r="B367" s="16" t="s">
        <v>1028</v>
      </c>
    </row>
    <row r="368" spans="1:8" ht="15.75" customHeight="1" x14ac:dyDescent="0.25">
      <c r="A368" s="16" t="s">
        <v>1029</v>
      </c>
      <c r="B368" s="16" t="s">
        <v>1030</v>
      </c>
    </row>
    <row r="369" spans="1:8" ht="15.75" customHeight="1" x14ac:dyDescent="0.25">
      <c r="A369" s="16" t="s">
        <v>1031</v>
      </c>
      <c r="B369" s="16" t="s">
        <v>1032</v>
      </c>
    </row>
    <row r="370" spans="1:8" ht="15.75" customHeight="1" x14ac:dyDescent="0.25">
      <c r="A370" s="16" t="s">
        <v>1033</v>
      </c>
      <c r="B370" s="16" t="s">
        <v>1034</v>
      </c>
    </row>
    <row r="371" spans="1:8" ht="15.75" customHeight="1" x14ac:dyDescent="0.25">
      <c r="A371" s="16" t="s">
        <v>1035</v>
      </c>
      <c r="B371" s="16" t="s">
        <v>1036</v>
      </c>
    </row>
    <row r="372" spans="1:8" ht="15.75" customHeight="1" x14ac:dyDescent="0.25">
      <c r="A372" s="16" t="s">
        <v>1039</v>
      </c>
      <c r="B372" s="16" t="s">
        <v>1040</v>
      </c>
    </row>
    <row r="373" spans="1:8" ht="15.75" customHeight="1" x14ac:dyDescent="0.25">
      <c r="A373" s="16" t="s">
        <v>1043</v>
      </c>
      <c r="B373" s="16" t="s">
        <v>1044</v>
      </c>
    </row>
    <row r="374" spans="1:8" ht="15.75" customHeight="1" x14ac:dyDescent="0.25">
      <c r="A374" s="16" t="s">
        <v>1047</v>
      </c>
      <c r="B374" s="16" t="s">
        <v>1048</v>
      </c>
    </row>
    <row r="375" spans="1:8" ht="15.75" customHeight="1" x14ac:dyDescent="0.25">
      <c r="A375" s="16" t="s">
        <v>1050</v>
      </c>
      <c r="B375" s="16" t="s">
        <v>1051</v>
      </c>
    </row>
    <row r="376" spans="1:8" ht="15.75" customHeight="1" x14ac:dyDescent="0.25">
      <c r="A376" s="16" t="s">
        <v>1053</v>
      </c>
      <c r="B376" s="16" t="s">
        <v>1054</v>
      </c>
    </row>
    <row r="377" spans="1:8" ht="15.75" customHeight="1" x14ac:dyDescent="0.25">
      <c r="A377" s="16" t="s">
        <v>1056</v>
      </c>
      <c r="B377" s="16" t="s">
        <v>1057</v>
      </c>
    </row>
    <row r="378" spans="1:8" ht="15.75" customHeight="1" x14ac:dyDescent="0.25">
      <c r="A378" s="16" t="s">
        <v>1059</v>
      </c>
      <c r="B378" s="16" t="s">
        <v>1060</v>
      </c>
    </row>
    <row r="379" spans="1:8" ht="15.75" customHeight="1" x14ac:dyDescent="0.25">
      <c r="A379" s="16" t="s">
        <v>1063</v>
      </c>
      <c r="B379" s="16" t="s">
        <v>1064</v>
      </c>
      <c r="C379" s="16" t="s">
        <v>6213</v>
      </c>
      <c r="E379" s="18" t="s">
        <v>6674</v>
      </c>
      <c r="F379" s="18" t="s">
        <v>6675</v>
      </c>
      <c r="G379" s="16" t="s">
        <v>6676</v>
      </c>
      <c r="H379" s="16" t="s">
        <v>6677</v>
      </c>
    </row>
    <row r="380" spans="1:8" ht="15.75" customHeight="1" x14ac:dyDescent="0.25">
      <c r="A380" s="16" t="s">
        <v>1067</v>
      </c>
      <c r="B380" s="16" t="s">
        <v>1068</v>
      </c>
    </row>
    <row r="381" spans="1:8" ht="15.75" customHeight="1" x14ac:dyDescent="0.25">
      <c r="A381" s="16" t="s">
        <v>1071</v>
      </c>
      <c r="B381" s="16" t="s">
        <v>1072</v>
      </c>
    </row>
    <row r="382" spans="1:8" ht="15.75" customHeight="1" x14ac:dyDescent="0.25">
      <c r="A382" s="16" t="s">
        <v>1075</v>
      </c>
      <c r="B382" s="16" t="s">
        <v>1076</v>
      </c>
      <c r="C382" s="16" t="s">
        <v>6678</v>
      </c>
      <c r="E382" s="18" t="s">
        <v>6679</v>
      </c>
    </row>
    <row r="383" spans="1:8" ht="15.75" customHeight="1" x14ac:dyDescent="0.25">
      <c r="A383" s="16" t="s">
        <v>1078</v>
      </c>
      <c r="B383" s="16" t="s">
        <v>1079</v>
      </c>
    </row>
    <row r="384" spans="1:8" ht="15.75" customHeight="1" x14ac:dyDescent="0.25">
      <c r="A384" s="16" t="s">
        <v>1082</v>
      </c>
      <c r="B384" s="16" t="s">
        <v>1083</v>
      </c>
      <c r="C384" s="16" t="s">
        <v>6680</v>
      </c>
      <c r="E384" s="18" t="s">
        <v>6681</v>
      </c>
    </row>
    <row r="385" spans="1:8" ht="15.75" customHeight="1" x14ac:dyDescent="0.25">
      <c r="A385" s="16" t="s">
        <v>1086</v>
      </c>
      <c r="B385" s="16" t="s">
        <v>1087</v>
      </c>
    </row>
    <row r="386" spans="1:8" ht="15.75" customHeight="1" x14ac:dyDescent="0.25">
      <c r="A386" s="16" t="s">
        <v>1090</v>
      </c>
      <c r="B386" s="16" t="s">
        <v>1091</v>
      </c>
      <c r="C386" s="16" t="s">
        <v>6682</v>
      </c>
      <c r="E386" s="18" t="s">
        <v>6683</v>
      </c>
      <c r="F386" s="18" t="s">
        <v>6684</v>
      </c>
      <c r="G386" s="16" t="s">
        <v>6685</v>
      </c>
      <c r="H386" s="16" t="s">
        <v>6686</v>
      </c>
    </row>
    <row r="387" spans="1:8" ht="15.75" customHeight="1" x14ac:dyDescent="0.25">
      <c r="A387" s="16" t="s">
        <v>1090</v>
      </c>
      <c r="B387" s="16" t="s">
        <v>1091</v>
      </c>
      <c r="C387" s="16" t="s">
        <v>6682</v>
      </c>
      <c r="E387" s="18" t="s">
        <v>6683</v>
      </c>
      <c r="F387" s="18" t="s">
        <v>6687</v>
      </c>
      <c r="G387" s="16" t="s">
        <v>6688</v>
      </c>
      <c r="H387" s="16" t="s">
        <v>6689</v>
      </c>
    </row>
    <row r="388" spans="1:8" ht="15.75" customHeight="1" x14ac:dyDescent="0.25">
      <c r="A388" s="16" t="s">
        <v>1090</v>
      </c>
      <c r="B388" s="16" t="s">
        <v>1091</v>
      </c>
      <c r="C388" s="16" t="s">
        <v>6682</v>
      </c>
      <c r="E388" s="18" t="s">
        <v>6683</v>
      </c>
      <c r="F388" s="18" t="s">
        <v>6690</v>
      </c>
      <c r="G388" s="16" t="s">
        <v>6691</v>
      </c>
      <c r="H388" s="16" t="s">
        <v>6692</v>
      </c>
    </row>
    <row r="389" spans="1:8" ht="15.75" customHeight="1" x14ac:dyDescent="0.25">
      <c r="A389" s="16" t="s">
        <v>1090</v>
      </c>
      <c r="B389" s="16" t="s">
        <v>1091</v>
      </c>
      <c r="C389" s="16" t="s">
        <v>6682</v>
      </c>
      <c r="E389" s="18" t="s">
        <v>6683</v>
      </c>
      <c r="F389" s="18" t="s">
        <v>6693</v>
      </c>
      <c r="G389" s="16" t="s">
        <v>6694</v>
      </c>
      <c r="H389" s="16" t="s">
        <v>6695</v>
      </c>
    </row>
    <row r="390" spans="1:8" ht="15.75" customHeight="1" x14ac:dyDescent="0.25">
      <c r="A390" s="16" t="s">
        <v>1093</v>
      </c>
      <c r="B390" s="16" t="s">
        <v>1094</v>
      </c>
    </row>
    <row r="391" spans="1:8" ht="15.75" customHeight="1" x14ac:dyDescent="0.25">
      <c r="A391" s="16" t="s">
        <v>1097</v>
      </c>
      <c r="B391" s="16" t="s">
        <v>1098</v>
      </c>
    </row>
    <row r="392" spans="1:8" ht="15.75" customHeight="1" x14ac:dyDescent="0.25">
      <c r="A392" s="16" t="s">
        <v>1100</v>
      </c>
      <c r="B392" s="16" t="s">
        <v>1101</v>
      </c>
    </row>
    <row r="393" spans="1:8" ht="15.75" customHeight="1" x14ac:dyDescent="0.25">
      <c r="A393" s="16" t="s">
        <v>1104</v>
      </c>
      <c r="B393" s="16" t="s">
        <v>1105</v>
      </c>
      <c r="C393" s="16" t="s">
        <v>6696</v>
      </c>
      <c r="E393" s="18" t="s">
        <v>6697</v>
      </c>
    </row>
    <row r="394" spans="1:8" ht="15.75" customHeight="1" x14ac:dyDescent="0.25">
      <c r="A394" s="16" t="s">
        <v>1108</v>
      </c>
      <c r="B394" s="16" t="s">
        <v>1109</v>
      </c>
      <c r="C394" s="19" t="s">
        <v>6696</v>
      </c>
      <c r="E394" s="18" t="s">
        <v>6697</v>
      </c>
    </row>
    <row r="395" spans="1:8" ht="15.75" customHeight="1" x14ac:dyDescent="0.25">
      <c r="A395" s="16" t="s">
        <v>1112</v>
      </c>
      <c r="B395" s="16" t="s">
        <v>1113</v>
      </c>
      <c r="C395" s="19" t="s">
        <v>6680</v>
      </c>
      <c r="E395" s="18" t="s">
        <v>6681</v>
      </c>
    </row>
    <row r="396" spans="1:8" ht="15.75" customHeight="1" x14ac:dyDescent="0.25">
      <c r="A396" s="16" t="s">
        <v>1115</v>
      </c>
      <c r="B396" s="16" t="s">
        <v>1116</v>
      </c>
    </row>
    <row r="397" spans="1:8" ht="15.75" customHeight="1" x14ac:dyDescent="0.25">
      <c r="A397" s="16" t="s">
        <v>1119</v>
      </c>
      <c r="B397" s="16" t="s">
        <v>1120</v>
      </c>
      <c r="C397" s="16" t="s">
        <v>6698</v>
      </c>
      <c r="E397" s="18" t="s">
        <v>6699</v>
      </c>
    </row>
    <row r="398" spans="1:8" ht="15.75" customHeight="1" x14ac:dyDescent="0.25">
      <c r="A398" s="16" t="s">
        <v>1123</v>
      </c>
      <c r="B398" s="16" t="s">
        <v>1124</v>
      </c>
      <c r="C398" s="16" t="s">
        <v>6700</v>
      </c>
      <c r="E398" s="18" t="s">
        <v>6701</v>
      </c>
      <c r="F398" s="18" t="s">
        <v>6702</v>
      </c>
      <c r="G398" s="16" t="s">
        <v>6703</v>
      </c>
      <c r="H398" s="16" t="s">
        <v>6704</v>
      </c>
    </row>
    <row r="399" spans="1:8" ht="15.75" customHeight="1" x14ac:dyDescent="0.25">
      <c r="A399" s="16" t="s">
        <v>1126</v>
      </c>
      <c r="B399" s="16" t="s">
        <v>1127</v>
      </c>
    </row>
    <row r="400" spans="1:8" ht="15.75" customHeight="1" x14ac:dyDescent="0.25">
      <c r="A400" s="16" t="s">
        <v>1130</v>
      </c>
      <c r="B400" s="16" t="s">
        <v>1131</v>
      </c>
    </row>
    <row r="401" spans="1:8" ht="15.75" customHeight="1" x14ac:dyDescent="0.25">
      <c r="A401" s="16" t="s">
        <v>1133</v>
      </c>
      <c r="B401" s="16" t="s">
        <v>1134</v>
      </c>
    </row>
    <row r="402" spans="1:8" ht="15.75" customHeight="1" x14ac:dyDescent="0.25">
      <c r="A402" s="16" t="s">
        <v>1136</v>
      </c>
      <c r="B402" s="16" t="s">
        <v>1137</v>
      </c>
    </row>
    <row r="403" spans="1:8" ht="15.75" customHeight="1" x14ac:dyDescent="0.25">
      <c r="A403" s="16" t="s">
        <v>1140</v>
      </c>
      <c r="B403" s="16" t="s">
        <v>1141</v>
      </c>
      <c r="C403" s="16" t="s">
        <v>6705</v>
      </c>
      <c r="E403" s="18" t="s">
        <v>6706</v>
      </c>
      <c r="F403" s="18" t="s">
        <v>6707</v>
      </c>
      <c r="G403" s="16" t="s">
        <v>6708</v>
      </c>
      <c r="H403" s="16" t="s">
        <v>6709</v>
      </c>
    </row>
    <row r="404" spans="1:8" ht="15.75" customHeight="1" x14ac:dyDescent="0.25">
      <c r="A404" s="16" t="s">
        <v>1144</v>
      </c>
      <c r="B404" s="16" t="s">
        <v>1145</v>
      </c>
    </row>
    <row r="405" spans="1:8" ht="15.75" customHeight="1" x14ac:dyDescent="0.25">
      <c r="A405" s="16" t="s">
        <v>1147</v>
      </c>
      <c r="B405" s="16" t="s">
        <v>1148</v>
      </c>
    </row>
    <row r="406" spans="1:8" ht="15.75" customHeight="1" x14ac:dyDescent="0.25">
      <c r="A406" s="16" t="s">
        <v>1150</v>
      </c>
      <c r="B406" s="16" t="s">
        <v>1151</v>
      </c>
    </row>
    <row r="407" spans="1:8" ht="15.75" customHeight="1" x14ac:dyDescent="0.25">
      <c r="B407" s="16" t="s">
        <v>1152</v>
      </c>
    </row>
    <row r="408" spans="1:8" ht="15.75" customHeight="1" x14ac:dyDescent="0.25">
      <c r="A408" s="16" t="s">
        <v>1155</v>
      </c>
      <c r="B408" s="16" t="s">
        <v>1156</v>
      </c>
    </row>
    <row r="409" spans="1:8" ht="15.75" customHeight="1" x14ac:dyDescent="0.25">
      <c r="A409" s="16" t="s">
        <v>1159</v>
      </c>
      <c r="B409" s="16" t="s">
        <v>1160</v>
      </c>
    </row>
    <row r="410" spans="1:8" ht="15.75" customHeight="1" x14ac:dyDescent="0.25">
      <c r="A410" s="16" t="s">
        <v>1163</v>
      </c>
      <c r="B410" s="16" t="s">
        <v>1164</v>
      </c>
    </row>
    <row r="411" spans="1:8" ht="15.75" customHeight="1" x14ac:dyDescent="0.25">
      <c r="A411" s="16" t="s">
        <v>1166</v>
      </c>
      <c r="B411" s="16" t="s">
        <v>1167</v>
      </c>
    </row>
    <row r="412" spans="1:8" ht="15.75" customHeight="1" x14ac:dyDescent="0.25">
      <c r="A412" s="16" t="s">
        <v>1170</v>
      </c>
      <c r="B412" s="16" t="s">
        <v>1171</v>
      </c>
    </row>
    <row r="413" spans="1:8" ht="15.75" customHeight="1" x14ac:dyDescent="0.25">
      <c r="A413" s="16" t="s">
        <v>1174</v>
      </c>
      <c r="B413" s="16" t="s">
        <v>1175</v>
      </c>
      <c r="C413" s="16" t="s">
        <v>6710</v>
      </c>
      <c r="E413" s="18" t="s">
        <v>6711</v>
      </c>
    </row>
    <row r="414" spans="1:8" ht="15.75" customHeight="1" x14ac:dyDescent="0.25">
      <c r="A414" s="16" t="s">
        <v>1178</v>
      </c>
      <c r="B414" s="16" t="s">
        <v>1179</v>
      </c>
      <c r="C414" s="19" t="s">
        <v>6712</v>
      </c>
      <c r="E414" s="18" t="s">
        <v>6713</v>
      </c>
      <c r="F414" s="18" t="s">
        <v>6714</v>
      </c>
      <c r="G414" s="16" t="s">
        <v>6715</v>
      </c>
      <c r="H414" s="16" t="s">
        <v>6716</v>
      </c>
    </row>
    <row r="415" spans="1:8" ht="15.75" customHeight="1" x14ac:dyDescent="0.25">
      <c r="A415" s="16" t="s">
        <v>1181</v>
      </c>
      <c r="B415" s="16" t="s">
        <v>1182</v>
      </c>
    </row>
    <row r="416" spans="1:8" ht="15.75" customHeight="1" x14ac:dyDescent="0.25">
      <c r="A416" s="16" t="s">
        <v>1185</v>
      </c>
      <c r="B416" s="16" t="s">
        <v>1186</v>
      </c>
      <c r="C416" s="19" t="s">
        <v>6717</v>
      </c>
      <c r="E416" s="18" t="s">
        <v>6718</v>
      </c>
      <c r="F416" s="18" t="s">
        <v>6719</v>
      </c>
      <c r="G416" s="16" t="s">
        <v>6720</v>
      </c>
      <c r="H416" s="16" t="s">
        <v>6721</v>
      </c>
    </row>
    <row r="417" spans="1:8" ht="15.75" customHeight="1" x14ac:dyDescent="0.25">
      <c r="A417" s="16" t="s">
        <v>1189</v>
      </c>
      <c r="B417" s="16" t="s">
        <v>1190</v>
      </c>
    </row>
    <row r="418" spans="1:8" ht="15.75" customHeight="1" x14ac:dyDescent="0.25">
      <c r="A418" s="16" t="s">
        <v>1191</v>
      </c>
      <c r="B418" s="16" t="s">
        <v>1192</v>
      </c>
    </row>
    <row r="419" spans="1:8" ht="15.75" customHeight="1" x14ac:dyDescent="0.25">
      <c r="A419" s="16" t="s">
        <v>1195</v>
      </c>
      <c r="B419" s="16" t="s">
        <v>1196</v>
      </c>
      <c r="C419" s="16" t="s">
        <v>6722</v>
      </c>
    </row>
    <row r="420" spans="1:8" ht="15.75" customHeight="1" x14ac:dyDescent="0.25">
      <c r="A420" s="16" t="s">
        <v>1199</v>
      </c>
      <c r="B420" s="16" t="s">
        <v>1200</v>
      </c>
      <c r="C420" s="16" t="s">
        <v>6723</v>
      </c>
      <c r="E420" s="18" t="s">
        <v>6724</v>
      </c>
      <c r="F420" s="18" t="s">
        <v>6725</v>
      </c>
      <c r="G420" s="16" t="s">
        <v>6502</v>
      </c>
      <c r="H420" s="16" t="s">
        <v>6726</v>
      </c>
    </row>
    <row r="421" spans="1:8" ht="15.75" customHeight="1" x14ac:dyDescent="0.25">
      <c r="A421" s="16" t="s">
        <v>1202</v>
      </c>
      <c r="B421" s="16" t="s">
        <v>1203</v>
      </c>
    </row>
    <row r="422" spans="1:8" ht="15.75" customHeight="1" x14ac:dyDescent="0.25">
      <c r="A422" s="16" t="s">
        <v>1206</v>
      </c>
      <c r="B422" s="16" t="s">
        <v>1207</v>
      </c>
    </row>
    <row r="423" spans="1:8" ht="15.75" customHeight="1" x14ac:dyDescent="0.25">
      <c r="A423" s="16" t="s">
        <v>1209</v>
      </c>
      <c r="B423" s="16" t="s">
        <v>1210</v>
      </c>
    </row>
    <row r="424" spans="1:8" ht="15.75" customHeight="1" x14ac:dyDescent="0.25">
      <c r="A424" s="16" t="s">
        <v>1213</v>
      </c>
      <c r="B424" s="16" t="s">
        <v>1214</v>
      </c>
    </row>
    <row r="425" spans="1:8" ht="15.75" customHeight="1" x14ac:dyDescent="0.25">
      <c r="A425" s="16" t="s">
        <v>1217</v>
      </c>
      <c r="B425" s="16" t="s">
        <v>1218</v>
      </c>
      <c r="C425" s="16" t="s">
        <v>6727</v>
      </c>
    </row>
    <row r="426" spans="1:8" ht="15.75" customHeight="1" x14ac:dyDescent="0.25">
      <c r="A426" s="16" t="s">
        <v>1221</v>
      </c>
      <c r="B426" s="16" t="s">
        <v>1222</v>
      </c>
      <c r="C426" s="16" t="s">
        <v>6727</v>
      </c>
    </row>
    <row r="427" spans="1:8" ht="15.75" customHeight="1" x14ac:dyDescent="0.25">
      <c r="A427" s="16" t="s">
        <v>1224</v>
      </c>
      <c r="B427" s="16" t="s">
        <v>1225</v>
      </c>
    </row>
    <row r="428" spans="1:8" ht="15.75" customHeight="1" x14ac:dyDescent="0.25">
      <c r="A428" s="16" t="s">
        <v>1227</v>
      </c>
      <c r="B428" s="16" t="s">
        <v>1228</v>
      </c>
    </row>
    <row r="429" spans="1:8" ht="15.75" customHeight="1" x14ac:dyDescent="0.3">
      <c r="A429" s="16" t="s">
        <v>1231</v>
      </c>
      <c r="B429" s="16" t="s">
        <v>1232</v>
      </c>
      <c r="C429" s="16" t="s">
        <v>6728</v>
      </c>
      <c r="E429" s="18" t="s">
        <v>6729</v>
      </c>
      <c r="F429" s="18" t="s">
        <v>6730</v>
      </c>
      <c r="G429" s="16" t="s">
        <v>6731</v>
      </c>
      <c r="H429" s="17" t="s">
        <v>6732</v>
      </c>
    </row>
    <row r="430" spans="1:8" ht="15.75" customHeight="1" x14ac:dyDescent="0.25">
      <c r="A430" s="16" t="s">
        <v>1231</v>
      </c>
      <c r="B430" s="16" t="s">
        <v>1232</v>
      </c>
      <c r="C430" s="16" t="s">
        <v>6728</v>
      </c>
      <c r="E430" s="18" t="s">
        <v>6729</v>
      </c>
      <c r="F430" s="18" t="s">
        <v>6733</v>
      </c>
      <c r="G430" s="16" t="s">
        <v>6734</v>
      </c>
      <c r="H430" s="16" t="s">
        <v>6735</v>
      </c>
    </row>
    <row r="431" spans="1:8" ht="15.75" customHeight="1" x14ac:dyDescent="0.25">
      <c r="A431" s="16" t="s">
        <v>1231</v>
      </c>
      <c r="B431" s="16" t="s">
        <v>1232</v>
      </c>
      <c r="C431" s="16" t="s">
        <v>6728</v>
      </c>
      <c r="E431" s="18" t="s">
        <v>6729</v>
      </c>
      <c r="F431" s="18" t="s">
        <v>6736</v>
      </c>
      <c r="G431" s="16" t="s">
        <v>6737</v>
      </c>
      <c r="H431" s="16" t="s">
        <v>6738</v>
      </c>
    </row>
    <row r="432" spans="1:8" ht="15.75" customHeight="1" x14ac:dyDescent="0.25">
      <c r="A432" s="16" t="s">
        <v>1234</v>
      </c>
      <c r="B432" s="16" t="s">
        <v>1235</v>
      </c>
    </row>
    <row r="433" spans="1:8" ht="15.75" customHeight="1" x14ac:dyDescent="0.25">
      <c r="A433" s="16" t="s">
        <v>1238</v>
      </c>
      <c r="B433" s="16" t="s">
        <v>1239</v>
      </c>
      <c r="C433" s="16" t="s">
        <v>6739</v>
      </c>
      <c r="E433" s="18" t="s">
        <v>6740</v>
      </c>
      <c r="F433" s="18" t="s">
        <v>6741</v>
      </c>
      <c r="G433" s="16" t="s">
        <v>6742</v>
      </c>
      <c r="H433" s="16" t="s">
        <v>6743</v>
      </c>
    </row>
    <row r="434" spans="1:8" ht="15.75" customHeight="1" x14ac:dyDescent="0.25">
      <c r="A434" s="16" t="s">
        <v>1238</v>
      </c>
      <c r="B434" s="16" t="s">
        <v>1239</v>
      </c>
      <c r="C434" s="16" t="s">
        <v>6739</v>
      </c>
      <c r="E434" s="18" t="s">
        <v>6740</v>
      </c>
      <c r="F434" s="18" t="s">
        <v>6744</v>
      </c>
      <c r="G434" s="16" t="s">
        <v>6745</v>
      </c>
      <c r="H434" s="16" t="s">
        <v>6746</v>
      </c>
    </row>
    <row r="435" spans="1:8" ht="15.75" customHeight="1" x14ac:dyDescent="0.25">
      <c r="A435" s="16" t="s">
        <v>1238</v>
      </c>
      <c r="B435" s="16" t="s">
        <v>1239</v>
      </c>
      <c r="C435" s="16" t="s">
        <v>6739</v>
      </c>
      <c r="E435" s="18" t="s">
        <v>6740</v>
      </c>
      <c r="F435" s="18" t="s">
        <v>6747</v>
      </c>
      <c r="G435" s="16" t="s">
        <v>6748</v>
      </c>
      <c r="H435" s="16" t="s">
        <v>6749</v>
      </c>
    </row>
    <row r="436" spans="1:8" ht="15.75" customHeight="1" x14ac:dyDescent="0.25">
      <c r="A436" s="16" t="s">
        <v>1241</v>
      </c>
      <c r="B436" s="16" t="s">
        <v>1242</v>
      </c>
    </row>
    <row r="437" spans="1:8" ht="15.75" customHeight="1" x14ac:dyDescent="0.25">
      <c r="A437" s="16" t="s">
        <v>1244</v>
      </c>
      <c r="B437" s="16" t="s">
        <v>1245</v>
      </c>
    </row>
    <row r="438" spans="1:8" ht="15.75" customHeight="1" x14ac:dyDescent="0.25">
      <c r="A438" s="16" t="s">
        <v>1247</v>
      </c>
      <c r="B438" s="16" t="s">
        <v>1248</v>
      </c>
    </row>
    <row r="439" spans="1:8" ht="15.75" customHeight="1" x14ac:dyDescent="0.25">
      <c r="A439" s="16" t="s">
        <v>1250</v>
      </c>
      <c r="B439" s="16" t="s">
        <v>1251</v>
      </c>
    </row>
    <row r="440" spans="1:8" ht="15.75" customHeight="1" x14ac:dyDescent="0.25">
      <c r="A440" s="16" t="s">
        <v>1254</v>
      </c>
      <c r="B440" s="16" t="s">
        <v>1255</v>
      </c>
    </row>
    <row r="441" spans="1:8" ht="15.75" customHeight="1" x14ac:dyDescent="0.25">
      <c r="A441" s="16" t="s">
        <v>1257</v>
      </c>
      <c r="B441" s="16" t="s">
        <v>1258</v>
      </c>
    </row>
    <row r="442" spans="1:8" ht="15.75" customHeight="1" x14ac:dyDescent="0.25">
      <c r="A442" s="16" t="s">
        <v>1259</v>
      </c>
      <c r="B442" s="16" t="s">
        <v>1260</v>
      </c>
    </row>
    <row r="443" spans="1:8" ht="15.75" customHeight="1" x14ac:dyDescent="0.25">
      <c r="A443" s="16" t="s">
        <v>1262</v>
      </c>
      <c r="B443" s="16" t="s">
        <v>1263</v>
      </c>
    </row>
    <row r="444" spans="1:8" ht="15.75" customHeight="1" x14ac:dyDescent="0.25">
      <c r="A444" s="16" t="s">
        <v>1265</v>
      </c>
      <c r="B444" s="16" t="s">
        <v>1266</v>
      </c>
    </row>
    <row r="445" spans="1:8" ht="15.75" customHeight="1" x14ac:dyDescent="0.25">
      <c r="A445" s="16" t="s">
        <v>1268</v>
      </c>
      <c r="B445" s="16" t="s">
        <v>1269</v>
      </c>
    </row>
    <row r="446" spans="1:8" ht="15.75" customHeight="1" x14ac:dyDescent="0.25">
      <c r="A446" s="16" t="s">
        <v>1271</v>
      </c>
      <c r="B446" s="16" t="s">
        <v>1272</v>
      </c>
      <c r="C446" s="16" t="s">
        <v>6750</v>
      </c>
    </row>
    <row r="447" spans="1:8" ht="15.75" customHeight="1" x14ac:dyDescent="0.25">
      <c r="A447" s="16" t="s">
        <v>1271</v>
      </c>
      <c r="B447" s="16" t="s">
        <v>1272</v>
      </c>
      <c r="C447" s="16" t="s">
        <v>6751</v>
      </c>
      <c r="E447" s="18" t="s">
        <v>6752</v>
      </c>
    </row>
    <row r="448" spans="1:8" ht="15.75" customHeight="1" x14ac:dyDescent="0.25">
      <c r="B448" s="16" t="s">
        <v>1274</v>
      </c>
    </row>
    <row r="449" spans="1:8" ht="15.75" customHeight="1" x14ac:dyDescent="0.25">
      <c r="A449" s="16" t="s">
        <v>1275</v>
      </c>
      <c r="B449" s="16" t="s">
        <v>1276</v>
      </c>
    </row>
    <row r="450" spans="1:8" ht="15.75" customHeight="1" x14ac:dyDescent="0.3">
      <c r="A450" s="16" t="s">
        <v>1279</v>
      </c>
      <c r="B450" s="16" t="s">
        <v>1280</v>
      </c>
      <c r="C450" s="16" t="s">
        <v>6753</v>
      </c>
      <c r="E450" s="18" t="s">
        <v>6754</v>
      </c>
      <c r="F450" s="18" t="s">
        <v>6755</v>
      </c>
      <c r="G450" s="17" t="s">
        <v>6756</v>
      </c>
      <c r="H450" s="17" t="s">
        <v>6757</v>
      </c>
    </row>
    <row r="451" spans="1:8" ht="15.75" customHeight="1" x14ac:dyDescent="0.25">
      <c r="A451" s="16" t="s">
        <v>1283</v>
      </c>
      <c r="B451" s="16" t="s">
        <v>1284</v>
      </c>
      <c r="C451" s="16" t="s">
        <v>6758</v>
      </c>
      <c r="E451" s="18" t="s">
        <v>6759</v>
      </c>
      <c r="F451" s="18" t="s">
        <v>6760</v>
      </c>
      <c r="G451" s="16" t="s">
        <v>6761</v>
      </c>
      <c r="H451" s="16" t="s">
        <v>6762</v>
      </c>
    </row>
    <row r="452" spans="1:8" ht="15.75" customHeight="1" x14ac:dyDescent="0.25">
      <c r="A452" s="16" t="s">
        <v>1286</v>
      </c>
      <c r="B452" s="16" t="s">
        <v>1287</v>
      </c>
    </row>
    <row r="453" spans="1:8" ht="15.75" customHeight="1" x14ac:dyDescent="0.25">
      <c r="A453" s="16" t="s">
        <v>1290</v>
      </c>
      <c r="B453" s="16" t="s">
        <v>1291</v>
      </c>
    </row>
    <row r="454" spans="1:8" ht="15.75" customHeight="1" x14ac:dyDescent="0.25">
      <c r="A454" s="16" t="s">
        <v>1294</v>
      </c>
      <c r="B454" s="16" t="s">
        <v>1295</v>
      </c>
    </row>
    <row r="455" spans="1:8" ht="15.75" customHeight="1" x14ac:dyDescent="0.25">
      <c r="A455" s="16" t="s">
        <v>1298</v>
      </c>
      <c r="B455" s="16" t="s">
        <v>1299</v>
      </c>
      <c r="C455" s="16" t="s">
        <v>6763</v>
      </c>
    </row>
    <row r="456" spans="1:8" ht="15.75" customHeight="1" x14ac:dyDescent="0.25">
      <c r="A456" s="16" t="s">
        <v>1301</v>
      </c>
      <c r="B456" s="16" t="s">
        <v>1302</v>
      </c>
    </row>
    <row r="457" spans="1:8" ht="15.75" customHeight="1" x14ac:dyDescent="0.25">
      <c r="A457" s="16" t="s">
        <v>1305</v>
      </c>
      <c r="B457" s="16" t="s">
        <v>1306</v>
      </c>
    </row>
    <row r="458" spans="1:8" ht="15.75" customHeight="1" x14ac:dyDescent="0.25">
      <c r="A458" s="16" t="s">
        <v>1309</v>
      </c>
      <c r="B458" s="16" t="s">
        <v>1310</v>
      </c>
    </row>
    <row r="459" spans="1:8" ht="15.75" customHeight="1" x14ac:dyDescent="0.25">
      <c r="A459" s="16" t="s">
        <v>1313</v>
      </c>
      <c r="B459" s="16" t="s">
        <v>1314</v>
      </c>
    </row>
    <row r="460" spans="1:8" ht="15.75" customHeight="1" x14ac:dyDescent="0.25">
      <c r="A460" s="16" t="s">
        <v>1316</v>
      </c>
      <c r="B460" s="16" t="s">
        <v>1317</v>
      </c>
      <c r="C460" s="16" t="s">
        <v>6764</v>
      </c>
      <c r="E460" s="18" t="s">
        <v>6765</v>
      </c>
      <c r="F460" s="18" t="s">
        <v>6766</v>
      </c>
      <c r="G460" s="16" t="s">
        <v>6767</v>
      </c>
      <c r="H460" s="16" t="s">
        <v>6768</v>
      </c>
    </row>
    <row r="461" spans="1:8" ht="15.75" customHeight="1" x14ac:dyDescent="0.25">
      <c r="A461" s="16" t="s">
        <v>1316</v>
      </c>
      <c r="B461" s="16" t="s">
        <v>1317</v>
      </c>
      <c r="C461" s="16" t="s">
        <v>6764</v>
      </c>
      <c r="E461" s="18" t="s">
        <v>6765</v>
      </c>
      <c r="F461" s="18" t="s">
        <v>6769</v>
      </c>
      <c r="G461" s="16" t="s">
        <v>6770</v>
      </c>
      <c r="H461" s="16" t="s">
        <v>6771</v>
      </c>
    </row>
    <row r="462" spans="1:8" ht="15.75" customHeight="1" x14ac:dyDescent="0.25">
      <c r="A462" s="16" t="s">
        <v>1316</v>
      </c>
      <c r="B462" s="16" t="s">
        <v>1317</v>
      </c>
      <c r="C462" s="16" t="s">
        <v>6764</v>
      </c>
      <c r="E462" s="18" t="s">
        <v>6765</v>
      </c>
      <c r="F462" s="18" t="s">
        <v>6772</v>
      </c>
      <c r="G462" s="16" t="s">
        <v>6773</v>
      </c>
      <c r="H462" s="16" t="s">
        <v>6774</v>
      </c>
    </row>
    <row r="463" spans="1:8" ht="15.75" customHeight="1" x14ac:dyDescent="0.25">
      <c r="A463" s="16" t="s">
        <v>1320</v>
      </c>
      <c r="B463" s="16" t="s">
        <v>1321</v>
      </c>
    </row>
    <row r="464" spans="1:8" ht="15.75" customHeight="1" x14ac:dyDescent="0.25">
      <c r="A464" s="16" t="s">
        <v>1324</v>
      </c>
      <c r="B464" s="16" t="s">
        <v>1325</v>
      </c>
      <c r="C464" s="16" t="s">
        <v>6775</v>
      </c>
      <c r="E464" s="18" t="s">
        <v>6776</v>
      </c>
    </row>
    <row r="465" spans="1:2" ht="15.75" customHeight="1" x14ac:dyDescent="0.25">
      <c r="A465" s="16" t="s">
        <v>1326</v>
      </c>
      <c r="B465" s="16" t="s">
        <v>1327</v>
      </c>
    </row>
    <row r="466" spans="1:2" ht="15.75" customHeight="1" x14ac:dyDescent="0.25">
      <c r="A466" s="16" t="s">
        <v>1328</v>
      </c>
      <c r="B466" s="16" t="s">
        <v>1329</v>
      </c>
    </row>
    <row r="467" spans="1:2" ht="15.75" customHeight="1" x14ac:dyDescent="0.25">
      <c r="A467" s="16" t="s">
        <v>1330</v>
      </c>
      <c r="B467" s="16" t="s">
        <v>1331</v>
      </c>
    </row>
    <row r="468" spans="1:2" ht="15.75" customHeight="1" x14ac:dyDescent="0.25">
      <c r="A468" s="16" t="s">
        <v>1332</v>
      </c>
      <c r="B468" s="16" t="s">
        <v>1333</v>
      </c>
    </row>
    <row r="469" spans="1:2" ht="15.75" customHeight="1" x14ac:dyDescent="0.25">
      <c r="A469" s="16" t="s">
        <v>1335</v>
      </c>
      <c r="B469" s="16" t="s">
        <v>1336</v>
      </c>
    </row>
    <row r="470" spans="1:2" ht="15.75" customHeight="1" x14ac:dyDescent="0.25">
      <c r="A470" s="16" t="s">
        <v>1337</v>
      </c>
      <c r="B470" s="16" t="s">
        <v>1338</v>
      </c>
    </row>
    <row r="471" spans="1:2" ht="15.75" customHeight="1" x14ac:dyDescent="0.25">
      <c r="A471" s="16" t="s">
        <v>1340</v>
      </c>
      <c r="B471" s="16" t="s">
        <v>1341</v>
      </c>
    </row>
    <row r="472" spans="1:2" ht="15.75" customHeight="1" x14ac:dyDescent="0.25">
      <c r="A472" s="16" t="s">
        <v>1343</v>
      </c>
      <c r="B472" s="16" t="s">
        <v>1344</v>
      </c>
    </row>
    <row r="473" spans="1:2" ht="15.75" customHeight="1" x14ac:dyDescent="0.25">
      <c r="A473" s="16" t="s">
        <v>1345</v>
      </c>
      <c r="B473" s="16" t="s">
        <v>1346</v>
      </c>
    </row>
    <row r="474" spans="1:2" ht="15.75" customHeight="1" x14ac:dyDescent="0.25">
      <c r="A474" s="16" t="s">
        <v>1347</v>
      </c>
      <c r="B474" s="16" t="s">
        <v>1348</v>
      </c>
    </row>
    <row r="475" spans="1:2" ht="15.75" customHeight="1" x14ac:dyDescent="0.25">
      <c r="A475" s="16" t="s">
        <v>1350</v>
      </c>
      <c r="B475" s="16" t="s">
        <v>1351</v>
      </c>
    </row>
    <row r="476" spans="1:2" ht="15.75" customHeight="1" x14ac:dyDescent="0.25">
      <c r="A476" s="16" t="s">
        <v>1352</v>
      </c>
      <c r="B476" s="16" t="s">
        <v>1353</v>
      </c>
    </row>
    <row r="477" spans="1:2" ht="15.75" customHeight="1" x14ac:dyDescent="0.25">
      <c r="A477" s="16" t="s">
        <v>1354</v>
      </c>
      <c r="B477" s="16" t="s">
        <v>1355</v>
      </c>
    </row>
    <row r="478" spans="1:2" ht="15.75" customHeight="1" x14ac:dyDescent="0.25">
      <c r="A478" s="16" t="s">
        <v>1357</v>
      </c>
      <c r="B478" s="16" t="s">
        <v>1358</v>
      </c>
    </row>
    <row r="479" spans="1:2" ht="15.75" customHeight="1" x14ac:dyDescent="0.25">
      <c r="A479" s="16" t="s">
        <v>1359</v>
      </c>
      <c r="B479" s="16" t="s">
        <v>1360</v>
      </c>
    </row>
    <row r="480" spans="1:2" ht="15.75" customHeight="1" x14ac:dyDescent="0.25">
      <c r="A480" s="16" t="s">
        <v>1361</v>
      </c>
      <c r="B480" s="16" t="s">
        <v>1362</v>
      </c>
    </row>
    <row r="481" spans="1:2" ht="15.75" customHeight="1" x14ac:dyDescent="0.25">
      <c r="A481" s="16" t="s">
        <v>1364</v>
      </c>
      <c r="B481" s="16" t="s">
        <v>1365</v>
      </c>
    </row>
    <row r="482" spans="1:2" ht="15.75" customHeight="1" x14ac:dyDescent="0.25">
      <c r="A482" s="16" t="s">
        <v>1367</v>
      </c>
      <c r="B482" s="16" t="s">
        <v>1368</v>
      </c>
    </row>
    <row r="483" spans="1:2" ht="15.75" customHeight="1" x14ac:dyDescent="0.25">
      <c r="A483" s="16" t="s">
        <v>1369</v>
      </c>
      <c r="B483" s="16" t="s">
        <v>1370</v>
      </c>
    </row>
    <row r="484" spans="1:2" ht="15.75" customHeight="1" x14ac:dyDescent="0.25">
      <c r="A484" s="16" t="s">
        <v>1371</v>
      </c>
      <c r="B484" s="16" t="s">
        <v>1372</v>
      </c>
    </row>
    <row r="485" spans="1:2" ht="15.75" customHeight="1" x14ac:dyDescent="0.25">
      <c r="A485" s="16" t="s">
        <v>1374</v>
      </c>
      <c r="B485" s="16" t="s">
        <v>1375</v>
      </c>
    </row>
    <row r="486" spans="1:2" ht="15.75" customHeight="1" x14ac:dyDescent="0.25">
      <c r="A486" s="16" t="s">
        <v>1376</v>
      </c>
      <c r="B486" s="16" t="s">
        <v>1377</v>
      </c>
    </row>
    <row r="487" spans="1:2" ht="15.75" customHeight="1" x14ac:dyDescent="0.25">
      <c r="A487" s="16" t="s">
        <v>1378</v>
      </c>
      <c r="B487" s="16" t="s">
        <v>1379</v>
      </c>
    </row>
    <row r="488" spans="1:2" ht="15.75" customHeight="1" x14ac:dyDescent="0.25">
      <c r="A488" s="16" t="s">
        <v>1381</v>
      </c>
      <c r="B488" s="16" t="s">
        <v>1382</v>
      </c>
    </row>
    <row r="489" spans="1:2" ht="15.75" customHeight="1" x14ac:dyDescent="0.25">
      <c r="A489" s="16" t="s">
        <v>1384</v>
      </c>
      <c r="B489" s="16" t="s">
        <v>1385</v>
      </c>
    </row>
    <row r="490" spans="1:2" ht="15.75" customHeight="1" x14ac:dyDescent="0.25">
      <c r="A490" s="16" t="s">
        <v>1387</v>
      </c>
      <c r="B490" s="16" t="s">
        <v>1388</v>
      </c>
    </row>
    <row r="491" spans="1:2" ht="15.75" customHeight="1" x14ac:dyDescent="0.25">
      <c r="A491" s="16" t="s">
        <v>1390</v>
      </c>
      <c r="B491" s="16" t="s">
        <v>1391</v>
      </c>
    </row>
    <row r="492" spans="1:2" ht="15.75" customHeight="1" x14ac:dyDescent="0.25">
      <c r="A492" s="16" t="s">
        <v>1393</v>
      </c>
      <c r="B492" s="16" t="s">
        <v>1394</v>
      </c>
    </row>
    <row r="493" spans="1:2" ht="15.75" customHeight="1" x14ac:dyDescent="0.25">
      <c r="A493" s="16" t="s">
        <v>1395</v>
      </c>
      <c r="B493" s="16" t="s">
        <v>1396</v>
      </c>
    </row>
    <row r="494" spans="1:2" ht="15.75" customHeight="1" x14ac:dyDescent="0.25">
      <c r="A494" s="16" t="s">
        <v>1398</v>
      </c>
      <c r="B494" s="16" t="s">
        <v>1399</v>
      </c>
    </row>
    <row r="495" spans="1:2" ht="15.75" customHeight="1" x14ac:dyDescent="0.25">
      <c r="A495" s="16" t="s">
        <v>1401</v>
      </c>
      <c r="B495" s="16" t="s">
        <v>1402</v>
      </c>
    </row>
    <row r="496" spans="1:2" ht="15.75" customHeight="1" x14ac:dyDescent="0.25">
      <c r="A496" s="16" t="s">
        <v>1403</v>
      </c>
      <c r="B496" s="16" t="s">
        <v>1404</v>
      </c>
    </row>
    <row r="497" spans="1:2" ht="15.75" customHeight="1" x14ac:dyDescent="0.25">
      <c r="B497" s="16" t="s">
        <v>1406</v>
      </c>
    </row>
    <row r="498" spans="1:2" ht="15.75" customHeight="1" x14ac:dyDescent="0.25">
      <c r="A498" s="16" t="s">
        <v>1408</v>
      </c>
      <c r="B498" s="16" t="s">
        <v>1409</v>
      </c>
    </row>
    <row r="499" spans="1:2" ht="15.75" customHeight="1" x14ac:dyDescent="0.25">
      <c r="A499" s="16" t="s">
        <v>1411</v>
      </c>
      <c r="B499" s="16" t="s">
        <v>1412</v>
      </c>
    </row>
    <row r="500" spans="1:2" ht="15.75" customHeight="1" x14ac:dyDescent="0.25">
      <c r="A500" s="16" t="s">
        <v>1414</v>
      </c>
      <c r="B500" s="16" t="s">
        <v>1415</v>
      </c>
    </row>
    <row r="501" spans="1:2" ht="15.75" customHeight="1" x14ac:dyDescent="0.25">
      <c r="A501" s="16" t="s">
        <v>1416</v>
      </c>
      <c r="B501" s="16" t="s">
        <v>1417</v>
      </c>
    </row>
    <row r="502" spans="1:2" ht="15.75" customHeight="1" x14ac:dyDescent="0.25">
      <c r="A502" s="16" t="s">
        <v>1419</v>
      </c>
      <c r="B502" s="16" t="s">
        <v>1420</v>
      </c>
    </row>
    <row r="503" spans="1:2" ht="15.75" customHeight="1" x14ac:dyDescent="0.25">
      <c r="A503" s="16" t="s">
        <v>1421</v>
      </c>
      <c r="B503" s="16" t="s">
        <v>1422</v>
      </c>
    </row>
    <row r="504" spans="1:2" ht="15.75" customHeight="1" x14ac:dyDescent="0.25">
      <c r="A504" s="16" t="s">
        <v>1424</v>
      </c>
      <c r="B504" s="16" t="s">
        <v>1425</v>
      </c>
    </row>
    <row r="505" spans="1:2" ht="15.75" customHeight="1" x14ac:dyDescent="0.25">
      <c r="A505" s="16" t="s">
        <v>1426</v>
      </c>
      <c r="B505" s="16" t="s">
        <v>1427</v>
      </c>
    </row>
    <row r="506" spans="1:2" ht="15.75" customHeight="1" x14ac:dyDescent="0.25">
      <c r="A506" s="16" t="s">
        <v>1428</v>
      </c>
      <c r="B506" s="16" t="s">
        <v>1429</v>
      </c>
    </row>
    <row r="507" spans="1:2" ht="15.75" customHeight="1" x14ac:dyDescent="0.25">
      <c r="A507" s="16" t="s">
        <v>1431</v>
      </c>
      <c r="B507" s="16" t="s">
        <v>1432</v>
      </c>
    </row>
    <row r="508" spans="1:2" ht="15.75" customHeight="1" x14ac:dyDescent="0.25">
      <c r="A508" s="16" t="s">
        <v>1433</v>
      </c>
      <c r="B508" s="16" t="s">
        <v>1434</v>
      </c>
    </row>
    <row r="509" spans="1:2" ht="15.75" customHeight="1" x14ac:dyDescent="0.25">
      <c r="A509" s="16" t="s">
        <v>1436</v>
      </c>
      <c r="B509" s="16" t="s">
        <v>1437</v>
      </c>
    </row>
    <row r="510" spans="1:2" ht="15.75" customHeight="1" x14ac:dyDescent="0.25">
      <c r="A510" s="16" t="s">
        <v>1438</v>
      </c>
      <c r="B510" s="16" t="s">
        <v>1439</v>
      </c>
    </row>
    <row r="511" spans="1:2" ht="15.75" customHeight="1" x14ac:dyDescent="0.25">
      <c r="A511" s="16" t="s">
        <v>1440</v>
      </c>
      <c r="B511" s="16" t="s">
        <v>1441</v>
      </c>
    </row>
    <row r="512" spans="1:2" ht="15.75" customHeight="1" x14ac:dyDescent="0.25">
      <c r="A512" s="16" t="s">
        <v>1442</v>
      </c>
      <c r="B512" s="16" t="s">
        <v>1443</v>
      </c>
    </row>
    <row r="513" spans="1:2" ht="15.75" customHeight="1" x14ac:dyDescent="0.25">
      <c r="A513" s="16" t="s">
        <v>1445</v>
      </c>
      <c r="B513" s="16" t="s">
        <v>1446</v>
      </c>
    </row>
    <row r="514" spans="1:2" ht="15.75" customHeight="1" x14ac:dyDescent="0.25">
      <c r="A514" s="16" t="s">
        <v>1448</v>
      </c>
      <c r="B514" s="16" t="s">
        <v>1449</v>
      </c>
    </row>
    <row r="515" spans="1:2" ht="15.75" customHeight="1" x14ac:dyDescent="0.25">
      <c r="A515" s="16" t="s">
        <v>1450</v>
      </c>
      <c r="B515" s="16" t="s">
        <v>1451</v>
      </c>
    </row>
    <row r="516" spans="1:2" ht="15.75" customHeight="1" x14ac:dyDescent="0.25">
      <c r="A516" s="16" t="s">
        <v>1452</v>
      </c>
      <c r="B516" s="16" t="s">
        <v>1453</v>
      </c>
    </row>
    <row r="517" spans="1:2" ht="15.75" customHeight="1" x14ac:dyDescent="0.25">
      <c r="A517" s="16" t="s">
        <v>1454</v>
      </c>
      <c r="B517" s="16" t="s">
        <v>1455</v>
      </c>
    </row>
    <row r="518" spans="1:2" ht="15.75" customHeight="1" x14ac:dyDescent="0.25">
      <c r="A518" s="16" t="s">
        <v>1457</v>
      </c>
      <c r="B518" s="16" t="s">
        <v>1458</v>
      </c>
    </row>
    <row r="519" spans="1:2" ht="15.75" customHeight="1" x14ac:dyDescent="0.25">
      <c r="B519" s="16" t="s">
        <v>1460</v>
      </c>
    </row>
    <row r="520" spans="1:2" ht="15.75" customHeight="1" x14ac:dyDescent="0.25">
      <c r="A520" s="16" t="s">
        <v>1461</v>
      </c>
      <c r="B520" s="16" t="s">
        <v>1462</v>
      </c>
    </row>
    <row r="521" spans="1:2" ht="15.75" customHeight="1" x14ac:dyDescent="0.25">
      <c r="A521" s="16" t="s">
        <v>1463</v>
      </c>
      <c r="B521" s="16" t="s">
        <v>1464</v>
      </c>
    </row>
    <row r="522" spans="1:2" ht="15.75" customHeight="1" x14ac:dyDescent="0.25">
      <c r="A522" s="16" t="s">
        <v>1465</v>
      </c>
      <c r="B522" s="16" t="s">
        <v>1466</v>
      </c>
    </row>
    <row r="523" spans="1:2" ht="15.75" customHeight="1" x14ac:dyDescent="0.25">
      <c r="A523" s="16" t="s">
        <v>1467</v>
      </c>
      <c r="B523" s="16" t="s">
        <v>1468</v>
      </c>
    </row>
    <row r="524" spans="1:2" ht="15.75" customHeight="1" x14ac:dyDescent="0.25">
      <c r="A524" s="16" t="s">
        <v>1470</v>
      </c>
      <c r="B524" s="16" t="s">
        <v>1471</v>
      </c>
    </row>
    <row r="525" spans="1:2" ht="15.75" customHeight="1" x14ac:dyDescent="0.25">
      <c r="A525" s="16" t="s">
        <v>1472</v>
      </c>
      <c r="B525" s="16" t="s">
        <v>1473</v>
      </c>
    </row>
    <row r="526" spans="1:2" ht="15.75" customHeight="1" x14ac:dyDescent="0.25">
      <c r="A526" s="16" t="s">
        <v>1474</v>
      </c>
      <c r="B526" s="16" t="s">
        <v>1475</v>
      </c>
    </row>
    <row r="527" spans="1:2" ht="15.75" customHeight="1" x14ac:dyDescent="0.25">
      <c r="A527" s="16" t="s">
        <v>1476</v>
      </c>
      <c r="B527" s="16" t="s">
        <v>1477</v>
      </c>
    </row>
    <row r="528" spans="1:2" ht="15.75" customHeight="1" x14ac:dyDescent="0.25">
      <c r="A528" s="16" t="s">
        <v>1478</v>
      </c>
      <c r="B528" s="16" t="s">
        <v>1479</v>
      </c>
    </row>
    <row r="529" spans="1:8" ht="15.75" customHeight="1" x14ac:dyDescent="0.25">
      <c r="A529" s="16" t="s">
        <v>1481</v>
      </c>
      <c r="B529" s="16" t="s">
        <v>1482</v>
      </c>
    </row>
    <row r="530" spans="1:8" ht="15.75" customHeight="1" x14ac:dyDescent="0.25">
      <c r="A530" s="16" t="s">
        <v>1483</v>
      </c>
      <c r="B530" s="16" t="s">
        <v>1484</v>
      </c>
    </row>
    <row r="531" spans="1:8" ht="15.75" customHeight="1" x14ac:dyDescent="0.25">
      <c r="A531" s="16" t="s">
        <v>1486</v>
      </c>
      <c r="B531" s="16" t="s">
        <v>1487</v>
      </c>
    </row>
    <row r="532" spans="1:8" ht="15.75" customHeight="1" x14ac:dyDescent="0.25">
      <c r="B532" s="16" t="s">
        <v>1488</v>
      </c>
    </row>
    <row r="533" spans="1:8" ht="15.75" customHeight="1" x14ac:dyDescent="0.25">
      <c r="B533" s="16" t="s">
        <v>1489</v>
      </c>
    </row>
    <row r="534" spans="1:8" ht="15.75" customHeight="1" x14ac:dyDescent="0.25">
      <c r="A534" s="16" t="s">
        <v>1492</v>
      </c>
      <c r="B534" s="16" t="s">
        <v>1493</v>
      </c>
    </row>
    <row r="535" spans="1:8" ht="15.75" customHeight="1" x14ac:dyDescent="0.25">
      <c r="A535" s="16" t="s">
        <v>1496</v>
      </c>
      <c r="B535" s="16" t="s">
        <v>1497</v>
      </c>
    </row>
    <row r="536" spans="1:8" ht="15.75" customHeight="1" x14ac:dyDescent="0.25">
      <c r="A536" s="16" t="s">
        <v>1500</v>
      </c>
      <c r="B536" s="16" t="s">
        <v>1501</v>
      </c>
    </row>
    <row r="537" spans="1:8" ht="15.75" customHeight="1" x14ac:dyDescent="0.25">
      <c r="A537" s="16" t="s">
        <v>1504</v>
      </c>
      <c r="B537" s="16" t="s">
        <v>1505</v>
      </c>
    </row>
    <row r="538" spans="1:8" ht="15.75" customHeight="1" x14ac:dyDescent="0.25">
      <c r="A538" s="16" t="s">
        <v>1508</v>
      </c>
      <c r="B538" s="16" t="s">
        <v>1509</v>
      </c>
    </row>
    <row r="539" spans="1:8" ht="15.75" customHeight="1" x14ac:dyDescent="0.25">
      <c r="A539" s="16" t="s">
        <v>1512</v>
      </c>
      <c r="B539" s="16" t="s">
        <v>1513</v>
      </c>
    </row>
    <row r="540" spans="1:8" ht="15.75" customHeight="1" x14ac:dyDescent="0.25">
      <c r="A540" s="16" t="s">
        <v>1515</v>
      </c>
      <c r="B540" s="16" t="s">
        <v>1516</v>
      </c>
    </row>
    <row r="541" spans="1:8" ht="15.75" customHeight="1" x14ac:dyDescent="0.25">
      <c r="A541" s="16" t="s">
        <v>1519</v>
      </c>
      <c r="B541" s="16" t="s">
        <v>1520</v>
      </c>
      <c r="C541" s="16" t="s">
        <v>6777</v>
      </c>
      <c r="E541" s="18" t="s">
        <v>6778</v>
      </c>
      <c r="F541" s="18" t="s">
        <v>6779</v>
      </c>
      <c r="G541" s="16" t="s">
        <v>6780</v>
      </c>
      <c r="H541" s="16" t="s">
        <v>6781</v>
      </c>
    </row>
    <row r="542" spans="1:8" ht="15.75" customHeight="1" x14ac:dyDescent="0.25">
      <c r="A542" s="16" t="s">
        <v>1522</v>
      </c>
      <c r="B542" s="16" t="s">
        <v>1523</v>
      </c>
    </row>
    <row r="543" spans="1:8" ht="15.75" customHeight="1" x14ac:dyDescent="0.25">
      <c r="A543" s="16" t="s">
        <v>1526</v>
      </c>
      <c r="B543" s="16" t="s">
        <v>1527</v>
      </c>
      <c r="C543" s="16" t="s">
        <v>6782</v>
      </c>
      <c r="E543" s="18" t="s">
        <v>6783</v>
      </c>
      <c r="F543" s="18" t="s">
        <v>6784</v>
      </c>
      <c r="G543" s="16" t="s">
        <v>6785</v>
      </c>
      <c r="H543" s="16" t="s">
        <v>6786</v>
      </c>
    </row>
    <row r="544" spans="1:8" ht="15.75" customHeight="1" x14ac:dyDescent="0.25">
      <c r="A544" s="16" t="s">
        <v>1530</v>
      </c>
      <c r="B544" s="16" t="s">
        <v>1531</v>
      </c>
      <c r="C544" s="16" t="s">
        <v>6787</v>
      </c>
      <c r="E544" s="18" t="s">
        <v>6788</v>
      </c>
    </row>
    <row r="545" spans="1:8" ht="15.75" customHeight="1" x14ac:dyDescent="0.25">
      <c r="B545" s="16" t="s">
        <v>1532</v>
      </c>
    </row>
    <row r="546" spans="1:8" ht="15.75" customHeight="1" x14ac:dyDescent="0.25">
      <c r="A546" s="16" t="s">
        <v>1535</v>
      </c>
      <c r="B546" s="16" t="s">
        <v>1536</v>
      </c>
    </row>
    <row r="547" spans="1:8" ht="15.75" customHeight="1" x14ac:dyDescent="0.25">
      <c r="A547" s="16" t="s">
        <v>1539</v>
      </c>
      <c r="B547" s="16" t="s">
        <v>1540</v>
      </c>
      <c r="C547" s="16" t="s">
        <v>6789</v>
      </c>
      <c r="E547" s="18" t="s">
        <v>6790</v>
      </c>
      <c r="F547" s="18" t="s">
        <v>6791</v>
      </c>
      <c r="G547" s="16" t="s">
        <v>6792</v>
      </c>
      <c r="H547" s="16" t="s">
        <v>6793</v>
      </c>
    </row>
    <row r="548" spans="1:8" ht="15.75" customHeight="1" x14ac:dyDescent="0.25">
      <c r="A548" s="16" t="s">
        <v>1542</v>
      </c>
      <c r="B548" s="16" t="s">
        <v>1543</v>
      </c>
    </row>
    <row r="549" spans="1:8" ht="15.75" customHeight="1" x14ac:dyDescent="0.25">
      <c r="A549" s="16" t="s">
        <v>1545</v>
      </c>
      <c r="B549" s="16" t="s">
        <v>1546</v>
      </c>
    </row>
    <row r="550" spans="1:8" ht="15.75" customHeight="1" x14ac:dyDescent="0.25">
      <c r="A550" s="16" t="s">
        <v>1549</v>
      </c>
      <c r="B550" s="16" t="s">
        <v>1550</v>
      </c>
      <c r="C550" s="16" t="s">
        <v>6794</v>
      </c>
      <c r="E550" s="18" t="s">
        <v>6795</v>
      </c>
    </row>
    <row r="551" spans="1:8" ht="15.75" customHeight="1" x14ac:dyDescent="0.25">
      <c r="A551" s="16" t="s">
        <v>1553</v>
      </c>
      <c r="B551" s="16" t="s">
        <v>1554</v>
      </c>
      <c r="C551" s="16" t="s">
        <v>6796</v>
      </c>
      <c r="E551" s="18" t="s">
        <v>6797</v>
      </c>
      <c r="F551" s="18" t="s">
        <v>6798</v>
      </c>
      <c r="G551" s="16" t="s">
        <v>6799</v>
      </c>
      <c r="H551" s="16" t="s">
        <v>6800</v>
      </c>
    </row>
    <row r="552" spans="1:8" ht="15.75" customHeight="1" x14ac:dyDescent="0.25">
      <c r="A552" s="16" t="s">
        <v>1557</v>
      </c>
      <c r="B552" s="16" t="s">
        <v>1558</v>
      </c>
      <c r="C552" s="16" t="s">
        <v>6801</v>
      </c>
      <c r="E552" s="18" t="s">
        <v>6802</v>
      </c>
      <c r="F552" s="18" t="s">
        <v>6803</v>
      </c>
      <c r="G552" s="16" t="s">
        <v>6804</v>
      </c>
      <c r="H552" s="16" t="s">
        <v>6805</v>
      </c>
    </row>
    <row r="553" spans="1:8" ht="15.75" customHeight="1" x14ac:dyDescent="0.25">
      <c r="A553" s="16" t="s">
        <v>1560</v>
      </c>
      <c r="B553" s="16" t="s">
        <v>1561</v>
      </c>
    </row>
    <row r="554" spans="1:8" ht="15.75" customHeight="1" x14ac:dyDescent="0.25">
      <c r="A554" s="16" t="s">
        <v>1563</v>
      </c>
      <c r="B554" s="16" t="s">
        <v>1564</v>
      </c>
    </row>
    <row r="555" spans="1:8" ht="15.75" customHeight="1" x14ac:dyDescent="0.25">
      <c r="A555" s="16" t="s">
        <v>1566</v>
      </c>
      <c r="B555" s="16" t="s">
        <v>1567</v>
      </c>
    </row>
    <row r="556" spans="1:8" ht="15.75" customHeight="1" x14ac:dyDescent="0.25">
      <c r="A556" s="16" t="s">
        <v>1570</v>
      </c>
      <c r="B556" s="16" t="s">
        <v>1571</v>
      </c>
    </row>
    <row r="557" spans="1:8" ht="15.75" customHeight="1" x14ac:dyDescent="0.25">
      <c r="A557" s="16" t="s">
        <v>1574</v>
      </c>
      <c r="B557" s="16" t="s">
        <v>1575</v>
      </c>
      <c r="C557" s="16" t="s">
        <v>6806</v>
      </c>
      <c r="E557" s="18" t="s">
        <v>6807</v>
      </c>
      <c r="F557" s="18" t="s">
        <v>6808</v>
      </c>
      <c r="G557" s="16" t="s">
        <v>6809</v>
      </c>
      <c r="H557" s="16" t="s">
        <v>6810</v>
      </c>
    </row>
    <row r="558" spans="1:8" ht="15.75" customHeight="1" x14ac:dyDescent="0.25">
      <c r="B558" s="16" t="s">
        <v>1576</v>
      </c>
      <c r="G558" s="16"/>
    </row>
    <row r="559" spans="1:8" ht="15.75" customHeight="1" x14ac:dyDescent="0.25">
      <c r="A559" s="16" t="s">
        <v>1579</v>
      </c>
      <c r="B559" s="16" t="s">
        <v>1580</v>
      </c>
    </row>
    <row r="560" spans="1:8" ht="15.75" customHeight="1" x14ac:dyDescent="0.25">
      <c r="A560" s="16" t="s">
        <v>1583</v>
      </c>
      <c r="B560" s="16" t="s">
        <v>1584</v>
      </c>
      <c r="C560" s="16" t="s">
        <v>6303</v>
      </c>
    </row>
    <row r="561" spans="1:8" ht="15.75" customHeight="1" x14ac:dyDescent="0.25">
      <c r="A561" s="16" t="s">
        <v>1587</v>
      </c>
      <c r="B561" s="16" t="s">
        <v>1588</v>
      </c>
      <c r="C561" s="16" t="s">
        <v>6303</v>
      </c>
    </row>
    <row r="562" spans="1:8" ht="15.75" customHeight="1" x14ac:dyDescent="0.25">
      <c r="A562" s="16" t="s">
        <v>1591</v>
      </c>
      <c r="B562" s="16" t="s">
        <v>1592</v>
      </c>
      <c r="C562" s="16" t="s">
        <v>6811</v>
      </c>
    </row>
    <row r="563" spans="1:8" ht="15.75" customHeight="1" x14ac:dyDescent="0.25">
      <c r="A563" s="16" t="s">
        <v>1594</v>
      </c>
      <c r="B563" s="16" t="s">
        <v>1595</v>
      </c>
    </row>
    <row r="564" spans="1:8" ht="15.75" customHeight="1" x14ac:dyDescent="0.25">
      <c r="A564" s="16" t="s">
        <v>1598</v>
      </c>
      <c r="B564" s="16" t="s">
        <v>1599</v>
      </c>
    </row>
    <row r="565" spans="1:8" ht="15.75" customHeight="1" x14ac:dyDescent="0.25">
      <c r="A565" s="16" t="s">
        <v>1602</v>
      </c>
      <c r="B565" s="16" t="s">
        <v>1603</v>
      </c>
      <c r="C565" s="16" t="s">
        <v>6812</v>
      </c>
      <c r="E565" s="18" t="s">
        <v>6813</v>
      </c>
    </row>
    <row r="566" spans="1:8" ht="15.75" customHeight="1" x14ac:dyDescent="0.25">
      <c r="A566" s="16" t="s">
        <v>1606</v>
      </c>
      <c r="B566" s="16" t="s">
        <v>1607</v>
      </c>
      <c r="C566" s="16" t="s">
        <v>6814</v>
      </c>
      <c r="E566" s="18" t="s">
        <v>6815</v>
      </c>
    </row>
    <row r="567" spans="1:8" ht="15.75" customHeight="1" x14ac:dyDescent="0.25">
      <c r="A567" s="16" t="s">
        <v>1609</v>
      </c>
      <c r="B567" s="16" t="s">
        <v>1610</v>
      </c>
    </row>
    <row r="568" spans="1:8" ht="15.75" customHeight="1" x14ac:dyDescent="0.25">
      <c r="A568" s="16" t="s">
        <v>1613</v>
      </c>
      <c r="B568" s="16" t="s">
        <v>1614</v>
      </c>
      <c r="C568" s="16" t="s">
        <v>6816</v>
      </c>
      <c r="E568" s="18" t="s">
        <v>6817</v>
      </c>
      <c r="F568" s="18" t="s">
        <v>6818</v>
      </c>
      <c r="G568" s="16" t="s">
        <v>6819</v>
      </c>
      <c r="H568" s="16" t="s">
        <v>6820</v>
      </c>
    </row>
    <row r="569" spans="1:8" ht="15.75" customHeight="1" x14ac:dyDescent="0.25">
      <c r="A569" s="16" t="s">
        <v>1617</v>
      </c>
      <c r="B569" s="16" t="s">
        <v>1618</v>
      </c>
      <c r="C569" s="16" t="s">
        <v>6821</v>
      </c>
      <c r="E569" s="18" t="s">
        <v>6822</v>
      </c>
      <c r="F569" s="18" t="s">
        <v>6823</v>
      </c>
      <c r="G569" s="16" t="s">
        <v>6824</v>
      </c>
      <c r="H569" s="16" t="s">
        <v>6825</v>
      </c>
    </row>
    <row r="570" spans="1:8" ht="15.75" customHeight="1" x14ac:dyDescent="0.25">
      <c r="A570" s="16" t="s">
        <v>1617</v>
      </c>
      <c r="B570" s="16" t="s">
        <v>1618</v>
      </c>
      <c r="C570" s="16" t="s">
        <v>6826</v>
      </c>
      <c r="E570" s="18" t="s">
        <v>6827</v>
      </c>
      <c r="F570" s="18" t="s">
        <v>6828</v>
      </c>
      <c r="G570" s="16" t="s">
        <v>6829</v>
      </c>
      <c r="H570" s="16" t="s">
        <v>6830</v>
      </c>
    </row>
    <row r="571" spans="1:8" ht="15.75" customHeight="1" x14ac:dyDescent="0.25">
      <c r="A571" s="16" t="s">
        <v>1621</v>
      </c>
      <c r="B571" s="16" t="s">
        <v>1622</v>
      </c>
      <c r="C571" s="16" t="s">
        <v>6831</v>
      </c>
    </row>
    <row r="572" spans="1:8" ht="15.75" customHeight="1" x14ac:dyDescent="0.25">
      <c r="A572" s="16" t="s">
        <v>1623</v>
      </c>
      <c r="B572" s="16" t="s">
        <v>1624</v>
      </c>
    </row>
    <row r="573" spans="1:8" ht="15.75" customHeight="1" x14ac:dyDescent="0.25">
      <c r="A573" s="16" t="s">
        <v>1627</v>
      </c>
      <c r="B573" s="16" t="s">
        <v>1628</v>
      </c>
    </row>
    <row r="574" spans="1:8" ht="15.75" customHeight="1" x14ac:dyDescent="0.25">
      <c r="A574" s="16" t="s">
        <v>1631</v>
      </c>
      <c r="B574" s="16" t="s">
        <v>1632</v>
      </c>
      <c r="C574" s="16" t="s">
        <v>6832</v>
      </c>
      <c r="E574" s="18" t="s">
        <v>6833</v>
      </c>
    </row>
    <row r="575" spans="1:8" ht="15.75" customHeight="1" x14ac:dyDescent="0.25">
      <c r="A575" s="16" t="s">
        <v>1634</v>
      </c>
      <c r="B575" s="16" t="s">
        <v>1635</v>
      </c>
    </row>
    <row r="576" spans="1:8" ht="15.75" customHeight="1" x14ac:dyDescent="0.25">
      <c r="A576" s="16" t="s">
        <v>1637</v>
      </c>
      <c r="B576" s="16" t="s">
        <v>1638</v>
      </c>
      <c r="C576" s="16" t="s">
        <v>6750</v>
      </c>
    </row>
    <row r="577" spans="1:8" ht="15.75" customHeight="1" x14ac:dyDescent="0.25">
      <c r="A577" s="16" t="s">
        <v>1641</v>
      </c>
      <c r="B577" s="16" t="s">
        <v>1642</v>
      </c>
      <c r="C577" s="16" t="s">
        <v>6834</v>
      </c>
      <c r="E577" s="18" t="s">
        <v>6835</v>
      </c>
      <c r="F577" s="18" t="s">
        <v>6836</v>
      </c>
      <c r="G577" s="16" t="s">
        <v>6837</v>
      </c>
      <c r="H577" s="16" t="s">
        <v>6838</v>
      </c>
    </row>
    <row r="578" spans="1:8" ht="15.75" customHeight="1" x14ac:dyDescent="0.25">
      <c r="A578" s="16" t="s">
        <v>1645</v>
      </c>
      <c r="B578" s="16" t="s">
        <v>1646</v>
      </c>
    </row>
    <row r="579" spans="1:8" ht="15.75" customHeight="1" x14ac:dyDescent="0.25">
      <c r="A579" s="16" t="s">
        <v>1649</v>
      </c>
      <c r="B579" s="16" t="s">
        <v>1650</v>
      </c>
    </row>
    <row r="580" spans="1:8" ht="15.75" customHeight="1" x14ac:dyDescent="0.25">
      <c r="A580" s="16" t="s">
        <v>1653</v>
      </c>
      <c r="B580" s="16" t="s">
        <v>1654</v>
      </c>
      <c r="C580" s="16" t="s">
        <v>6839</v>
      </c>
    </row>
    <row r="581" spans="1:8" ht="15.75" customHeight="1" x14ac:dyDescent="0.25">
      <c r="A581" s="16" t="s">
        <v>1657</v>
      </c>
      <c r="B581" s="16" t="s">
        <v>1658</v>
      </c>
      <c r="C581" s="16" t="s">
        <v>6840</v>
      </c>
      <c r="E581" s="18" t="s">
        <v>6841</v>
      </c>
      <c r="F581" s="18" t="s">
        <v>6842</v>
      </c>
      <c r="G581" s="16" t="s">
        <v>6843</v>
      </c>
      <c r="H581" s="16" t="s">
        <v>6844</v>
      </c>
    </row>
    <row r="582" spans="1:8" ht="15.75" customHeight="1" x14ac:dyDescent="0.25">
      <c r="A582" s="16" t="s">
        <v>1660</v>
      </c>
      <c r="B582" s="16" t="s">
        <v>1661</v>
      </c>
    </row>
    <row r="583" spans="1:8" ht="15.75" customHeight="1" x14ac:dyDescent="0.25">
      <c r="A583" s="16" t="s">
        <v>1663</v>
      </c>
      <c r="B583" s="16" t="s">
        <v>1664</v>
      </c>
    </row>
    <row r="584" spans="1:8" ht="15.75" customHeight="1" x14ac:dyDescent="0.25">
      <c r="A584" s="16" t="s">
        <v>1667</v>
      </c>
      <c r="B584" s="16" t="s">
        <v>1668</v>
      </c>
      <c r="C584" s="16" t="s">
        <v>6845</v>
      </c>
      <c r="E584" s="18" t="s">
        <v>6846</v>
      </c>
      <c r="F584" s="18" t="s">
        <v>6847</v>
      </c>
      <c r="G584" s="16" t="s">
        <v>6848</v>
      </c>
      <c r="H584" s="16" t="s">
        <v>6849</v>
      </c>
    </row>
    <row r="585" spans="1:8" ht="15.75" customHeight="1" x14ac:dyDescent="0.25">
      <c r="A585" s="16" t="s">
        <v>1667</v>
      </c>
      <c r="B585" s="16" t="s">
        <v>1668</v>
      </c>
      <c r="C585" s="16" t="s">
        <v>6845</v>
      </c>
      <c r="E585" s="18" t="s">
        <v>6846</v>
      </c>
      <c r="F585" s="18" t="s">
        <v>6850</v>
      </c>
      <c r="G585" s="16" t="s">
        <v>6851</v>
      </c>
      <c r="H585" s="16" t="s">
        <v>6852</v>
      </c>
    </row>
    <row r="586" spans="1:8" ht="15.75" customHeight="1" x14ac:dyDescent="0.25">
      <c r="A586" s="16" t="s">
        <v>1667</v>
      </c>
      <c r="B586" s="16" t="s">
        <v>1668</v>
      </c>
      <c r="C586" s="16" t="s">
        <v>6845</v>
      </c>
      <c r="E586" s="18" t="s">
        <v>6846</v>
      </c>
      <c r="F586" s="18" t="s">
        <v>6853</v>
      </c>
      <c r="G586" s="16" t="s">
        <v>6854</v>
      </c>
      <c r="H586" s="16" t="s">
        <v>6855</v>
      </c>
    </row>
    <row r="587" spans="1:8" ht="15.75" customHeight="1" x14ac:dyDescent="0.25">
      <c r="A587" s="16" t="s">
        <v>1678</v>
      </c>
      <c r="B587" s="16" t="s">
        <v>1679</v>
      </c>
    </row>
    <row r="588" spans="1:8" ht="15.75" customHeight="1" x14ac:dyDescent="0.25">
      <c r="A588" s="16" t="s">
        <v>1681</v>
      </c>
      <c r="B588" s="16" t="s">
        <v>1682</v>
      </c>
    </row>
    <row r="589" spans="1:8" ht="15.75" customHeight="1" x14ac:dyDescent="0.25">
      <c r="A589" s="16" t="s">
        <v>1685</v>
      </c>
      <c r="B589" s="16" t="s">
        <v>1686</v>
      </c>
    </row>
    <row r="590" spans="1:8" ht="15.75" customHeight="1" x14ac:dyDescent="0.25">
      <c r="B590" s="16" t="s">
        <v>1688</v>
      </c>
    </row>
    <row r="591" spans="1:8" ht="15.75" customHeight="1" x14ac:dyDescent="0.25">
      <c r="A591" s="16" t="s">
        <v>1690</v>
      </c>
      <c r="B591" s="16" t="s">
        <v>1691</v>
      </c>
    </row>
    <row r="592" spans="1:8" ht="15.75" customHeight="1" x14ac:dyDescent="0.25">
      <c r="A592" s="16" t="s">
        <v>1693</v>
      </c>
      <c r="B592" s="16" t="s">
        <v>1694</v>
      </c>
    </row>
    <row r="593" spans="1:8" ht="15.75" customHeight="1" x14ac:dyDescent="0.25">
      <c r="A593" s="16" t="s">
        <v>1696</v>
      </c>
      <c r="B593" s="16" t="s">
        <v>1697</v>
      </c>
    </row>
    <row r="594" spans="1:8" ht="15.75" customHeight="1" x14ac:dyDescent="0.25">
      <c r="A594" s="16" t="s">
        <v>1699</v>
      </c>
      <c r="B594" s="16" t="s">
        <v>1700</v>
      </c>
    </row>
    <row r="595" spans="1:8" ht="15.75" customHeight="1" x14ac:dyDescent="0.25">
      <c r="A595" s="16" t="s">
        <v>1703</v>
      </c>
      <c r="B595" s="16" t="s">
        <v>1704</v>
      </c>
    </row>
    <row r="596" spans="1:8" ht="15.75" customHeight="1" x14ac:dyDescent="0.25">
      <c r="A596" s="16" t="s">
        <v>1706</v>
      </c>
      <c r="B596" s="16" t="s">
        <v>1707</v>
      </c>
    </row>
    <row r="597" spans="1:8" ht="15.75" customHeight="1" x14ac:dyDescent="0.25">
      <c r="A597" s="16" t="s">
        <v>1710</v>
      </c>
      <c r="B597" s="16" t="s">
        <v>1711</v>
      </c>
    </row>
    <row r="598" spans="1:8" ht="15.75" customHeight="1" x14ac:dyDescent="0.25">
      <c r="B598" s="16" t="s">
        <v>1712</v>
      </c>
    </row>
    <row r="599" spans="1:8" ht="15.75" customHeight="1" x14ac:dyDescent="0.25">
      <c r="A599" s="16" t="s">
        <v>1714</v>
      </c>
      <c r="B599" s="16" t="s">
        <v>1715</v>
      </c>
    </row>
    <row r="600" spans="1:8" ht="15.75" customHeight="1" x14ac:dyDescent="0.25">
      <c r="A600" s="16" t="s">
        <v>1718</v>
      </c>
      <c r="B600" s="16" t="s">
        <v>1719</v>
      </c>
      <c r="C600" s="16" t="s">
        <v>6856</v>
      </c>
      <c r="E600" s="18" t="s">
        <v>6857</v>
      </c>
      <c r="F600" s="18" t="s">
        <v>6858</v>
      </c>
      <c r="G600" s="16" t="s">
        <v>6859</v>
      </c>
      <c r="H600" s="16" t="s">
        <v>6860</v>
      </c>
    </row>
    <row r="601" spans="1:8" ht="15.75" customHeight="1" x14ac:dyDescent="0.25">
      <c r="A601" s="16" t="s">
        <v>1718</v>
      </c>
      <c r="B601" s="16" t="s">
        <v>1719</v>
      </c>
      <c r="C601" s="16" t="s">
        <v>6856</v>
      </c>
      <c r="E601" s="18" t="s">
        <v>6857</v>
      </c>
      <c r="F601" s="18" t="s">
        <v>6861</v>
      </c>
      <c r="G601" s="16" t="s">
        <v>6859</v>
      </c>
      <c r="H601" s="16" t="s">
        <v>6862</v>
      </c>
    </row>
    <row r="602" spans="1:8" ht="15.75" customHeight="1" x14ac:dyDescent="0.25">
      <c r="A602" s="16" t="s">
        <v>1718</v>
      </c>
      <c r="B602" s="16" t="s">
        <v>1719</v>
      </c>
      <c r="C602" s="16" t="s">
        <v>6856</v>
      </c>
      <c r="E602" s="18" t="s">
        <v>6857</v>
      </c>
      <c r="F602" s="18" t="s">
        <v>6863</v>
      </c>
      <c r="G602" s="16" t="s">
        <v>6864</v>
      </c>
      <c r="H602" s="16" t="s">
        <v>6865</v>
      </c>
    </row>
    <row r="603" spans="1:8" ht="15.75" customHeight="1" x14ac:dyDescent="0.25">
      <c r="A603" s="16" t="s">
        <v>1722</v>
      </c>
      <c r="B603" s="16" t="s">
        <v>1723</v>
      </c>
    </row>
    <row r="604" spans="1:8" ht="15.75" customHeight="1" x14ac:dyDescent="0.25">
      <c r="A604" s="16" t="s">
        <v>1724</v>
      </c>
      <c r="B604" s="16" t="s">
        <v>1725</v>
      </c>
    </row>
    <row r="605" spans="1:8" ht="15.75" customHeight="1" x14ac:dyDescent="0.25">
      <c r="A605" s="16" t="s">
        <v>1728</v>
      </c>
      <c r="B605" s="16" t="s">
        <v>1729</v>
      </c>
    </row>
    <row r="606" spans="1:8" ht="15.75" customHeight="1" x14ac:dyDescent="0.25">
      <c r="A606" s="16" t="s">
        <v>1731</v>
      </c>
      <c r="B606" s="16" t="s">
        <v>1732</v>
      </c>
    </row>
    <row r="607" spans="1:8" ht="15.75" customHeight="1" x14ac:dyDescent="0.25">
      <c r="A607" s="16" t="s">
        <v>1734</v>
      </c>
      <c r="B607" s="16" t="s">
        <v>1735</v>
      </c>
    </row>
    <row r="608" spans="1:8" ht="15.75" customHeight="1" x14ac:dyDescent="0.25">
      <c r="A608" s="16" t="s">
        <v>1737</v>
      </c>
      <c r="B608" s="16" t="s">
        <v>1738</v>
      </c>
    </row>
    <row r="609" spans="1:8" ht="15.75" customHeight="1" x14ac:dyDescent="0.25">
      <c r="A609" s="16" t="s">
        <v>1740</v>
      </c>
      <c r="B609" s="16" t="s">
        <v>1741</v>
      </c>
    </row>
    <row r="610" spans="1:8" ht="15.75" customHeight="1" x14ac:dyDescent="0.3">
      <c r="A610" s="16" t="s">
        <v>1743</v>
      </c>
      <c r="B610" s="16" t="s">
        <v>1744</v>
      </c>
      <c r="C610" s="16" t="s">
        <v>6344</v>
      </c>
      <c r="E610" s="18" t="s">
        <v>6345</v>
      </c>
      <c r="F610" s="18" t="s">
        <v>6346</v>
      </c>
      <c r="G610" s="17" t="s">
        <v>6347</v>
      </c>
      <c r="H610" s="17" t="s">
        <v>6348</v>
      </c>
    </row>
    <row r="611" spans="1:8" ht="15.75" customHeight="1" x14ac:dyDescent="0.25">
      <c r="A611" s="16" t="s">
        <v>1743</v>
      </c>
      <c r="B611" s="16" t="s">
        <v>1744</v>
      </c>
      <c r="C611" s="16" t="s">
        <v>6344</v>
      </c>
      <c r="E611" s="18" t="s">
        <v>6345</v>
      </c>
      <c r="F611" s="18" t="s">
        <v>6349</v>
      </c>
      <c r="G611" s="16" t="s">
        <v>6350</v>
      </c>
      <c r="H611" s="16" t="s">
        <v>6348</v>
      </c>
    </row>
    <row r="612" spans="1:8" ht="15.75" customHeight="1" x14ac:dyDescent="0.25">
      <c r="A612" s="16" t="s">
        <v>1743</v>
      </c>
      <c r="B612" s="16" t="s">
        <v>1744</v>
      </c>
      <c r="C612" s="16" t="s">
        <v>6344</v>
      </c>
      <c r="E612" s="18" t="s">
        <v>6345</v>
      </c>
      <c r="F612" s="18" t="s">
        <v>6351</v>
      </c>
      <c r="G612" s="16" t="s">
        <v>6352</v>
      </c>
      <c r="H612" s="16" t="s">
        <v>6348</v>
      </c>
    </row>
    <row r="613" spans="1:8" ht="15.75" customHeight="1" x14ac:dyDescent="0.25">
      <c r="A613" s="16" t="s">
        <v>1743</v>
      </c>
      <c r="B613" s="16" t="s">
        <v>1744</v>
      </c>
      <c r="C613" s="16" t="s">
        <v>6344</v>
      </c>
      <c r="E613" s="18" t="s">
        <v>6345</v>
      </c>
      <c r="F613" s="18" t="s">
        <v>6353</v>
      </c>
      <c r="G613" s="16" t="s">
        <v>6354</v>
      </c>
      <c r="H613" s="16" t="s">
        <v>6348</v>
      </c>
    </row>
    <row r="614" spans="1:8" ht="15.75" customHeight="1" x14ac:dyDescent="0.25">
      <c r="A614" s="16" t="s">
        <v>1743</v>
      </c>
      <c r="B614" s="16" t="s">
        <v>1744</v>
      </c>
      <c r="C614" s="16" t="s">
        <v>6344</v>
      </c>
      <c r="E614" s="18" t="s">
        <v>6345</v>
      </c>
      <c r="F614" s="18" t="s">
        <v>6355</v>
      </c>
      <c r="G614" s="16" t="s">
        <v>6356</v>
      </c>
      <c r="H614" s="16" t="s">
        <v>6348</v>
      </c>
    </row>
    <row r="615" spans="1:8" ht="15.75" customHeight="1" x14ac:dyDescent="0.25">
      <c r="A615" s="16" t="s">
        <v>1743</v>
      </c>
      <c r="B615" s="16" t="s">
        <v>1744</v>
      </c>
      <c r="C615" s="16" t="s">
        <v>6344</v>
      </c>
      <c r="E615" s="18" t="s">
        <v>6345</v>
      </c>
      <c r="F615" s="18" t="s">
        <v>6357</v>
      </c>
      <c r="G615" s="16" t="s">
        <v>6358</v>
      </c>
      <c r="H615" s="16" t="s">
        <v>6359</v>
      </c>
    </row>
    <row r="616" spans="1:8" ht="15.75" customHeight="1" x14ac:dyDescent="0.25">
      <c r="A616" s="16" t="s">
        <v>1748</v>
      </c>
      <c r="B616" s="16" t="s">
        <v>1749</v>
      </c>
      <c r="C616" s="16" t="s">
        <v>6866</v>
      </c>
      <c r="E616" s="18" t="s">
        <v>6867</v>
      </c>
      <c r="F616" s="18" t="s">
        <v>6868</v>
      </c>
      <c r="G616" s="16" t="s">
        <v>6869</v>
      </c>
      <c r="H616" s="16" t="s">
        <v>6870</v>
      </c>
    </row>
    <row r="617" spans="1:8" ht="15.75" customHeight="1" x14ac:dyDescent="0.25">
      <c r="A617" s="16" t="s">
        <v>1748</v>
      </c>
      <c r="B617" s="16" t="s">
        <v>1749</v>
      </c>
      <c r="C617" s="16" t="s">
        <v>6866</v>
      </c>
      <c r="E617" s="18" t="s">
        <v>6867</v>
      </c>
      <c r="F617" s="18" t="s">
        <v>6871</v>
      </c>
      <c r="G617" s="16" t="s">
        <v>6872</v>
      </c>
      <c r="H617" s="16" t="s">
        <v>6873</v>
      </c>
    </row>
    <row r="618" spans="1:8" ht="15.75" customHeight="1" x14ac:dyDescent="0.25">
      <c r="A618" s="16" t="s">
        <v>1752</v>
      </c>
      <c r="B618" s="16" t="s">
        <v>1753</v>
      </c>
    </row>
    <row r="619" spans="1:8" ht="15.75" customHeight="1" x14ac:dyDescent="0.25">
      <c r="A619" s="16" t="s">
        <v>1754</v>
      </c>
      <c r="B619" s="16" t="s">
        <v>1755</v>
      </c>
      <c r="C619" s="16" t="s">
        <v>6251</v>
      </c>
      <c r="E619" s="18" t="s">
        <v>6252</v>
      </c>
      <c r="F619" s="18" t="s">
        <v>6253</v>
      </c>
      <c r="G619" s="16" t="s">
        <v>6254</v>
      </c>
      <c r="H619" s="16" t="s">
        <v>6255</v>
      </c>
    </row>
    <row r="620" spans="1:8" ht="15.75" customHeight="1" x14ac:dyDescent="0.25">
      <c r="A620" s="16" t="s">
        <v>1758</v>
      </c>
      <c r="B620" s="16" t="s">
        <v>1759</v>
      </c>
      <c r="C620" s="16" t="s">
        <v>6874</v>
      </c>
      <c r="E620" s="18" t="s">
        <v>6875</v>
      </c>
      <c r="F620" s="18" t="s">
        <v>6876</v>
      </c>
      <c r="G620" s="16" t="s">
        <v>6877</v>
      </c>
      <c r="H620" s="16" t="s">
        <v>6878</v>
      </c>
    </row>
    <row r="621" spans="1:8" ht="15.75" customHeight="1" x14ac:dyDescent="0.25">
      <c r="A621" s="16" t="s">
        <v>1762</v>
      </c>
      <c r="B621" s="16" t="s">
        <v>1763</v>
      </c>
      <c r="C621" s="16" t="s">
        <v>6879</v>
      </c>
      <c r="E621" s="18" t="s">
        <v>6880</v>
      </c>
      <c r="F621" s="18" t="s">
        <v>6881</v>
      </c>
      <c r="G621" s="16" t="s">
        <v>6882</v>
      </c>
      <c r="H621" s="16" t="s">
        <v>6883</v>
      </c>
    </row>
    <row r="622" spans="1:8" ht="15.75" customHeight="1" x14ac:dyDescent="0.25">
      <c r="A622" s="16" t="s">
        <v>1762</v>
      </c>
      <c r="B622" s="16" t="s">
        <v>1763</v>
      </c>
      <c r="C622" s="16" t="s">
        <v>6879</v>
      </c>
      <c r="E622" s="18" t="s">
        <v>6880</v>
      </c>
      <c r="F622" s="18" t="s">
        <v>6884</v>
      </c>
      <c r="G622" s="16" t="s">
        <v>6885</v>
      </c>
      <c r="H622" s="16" t="s">
        <v>6886</v>
      </c>
    </row>
    <row r="623" spans="1:8" ht="15.75" customHeight="1" x14ac:dyDescent="0.25">
      <c r="A623" s="16" t="s">
        <v>1762</v>
      </c>
      <c r="B623" s="16" t="s">
        <v>1763</v>
      </c>
      <c r="C623" s="16" t="s">
        <v>6879</v>
      </c>
      <c r="E623" s="18" t="s">
        <v>6880</v>
      </c>
      <c r="F623" s="18" t="s">
        <v>6887</v>
      </c>
      <c r="G623" s="16" t="s">
        <v>6522</v>
      </c>
      <c r="H623" s="16" t="s">
        <v>6888</v>
      </c>
    </row>
    <row r="624" spans="1:8" ht="15.75" customHeight="1" x14ac:dyDescent="0.25">
      <c r="A624" s="16" t="s">
        <v>1762</v>
      </c>
      <c r="B624" s="16" t="s">
        <v>1763</v>
      </c>
      <c r="C624" s="16" t="s">
        <v>6879</v>
      </c>
      <c r="E624" s="18" t="s">
        <v>6880</v>
      </c>
      <c r="F624" s="18" t="s">
        <v>6889</v>
      </c>
      <c r="G624" s="16" t="s">
        <v>6890</v>
      </c>
      <c r="H624" s="16" t="s">
        <v>6891</v>
      </c>
    </row>
    <row r="625" spans="1:8" ht="15.75" customHeight="1" x14ac:dyDescent="0.25">
      <c r="A625" s="16" t="s">
        <v>1762</v>
      </c>
      <c r="B625" s="16" t="s">
        <v>1763</v>
      </c>
      <c r="C625" s="16" t="s">
        <v>6879</v>
      </c>
      <c r="E625" s="18" t="s">
        <v>6880</v>
      </c>
      <c r="F625" s="18" t="s">
        <v>6892</v>
      </c>
      <c r="G625" s="16" t="s">
        <v>6893</v>
      </c>
      <c r="H625" s="16" t="s">
        <v>6877</v>
      </c>
    </row>
    <row r="626" spans="1:8" ht="15.75" customHeight="1" x14ac:dyDescent="0.25">
      <c r="A626" s="16" t="s">
        <v>1762</v>
      </c>
      <c r="B626" s="16" t="s">
        <v>1763</v>
      </c>
      <c r="C626" s="16" t="s">
        <v>6879</v>
      </c>
      <c r="E626" s="18" t="s">
        <v>6880</v>
      </c>
      <c r="F626" s="18" t="s">
        <v>6894</v>
      </c>
      <c r="G626" s="16" t="s">
        <v>6895</v>
      </c>
      <c r="H626" s="16" t="s">
        <v>6896</v>
      </c>
    </row>
    <row r="627" spans="1:8" ht="15.75" customHeight="1" x14ac:dyDescent="0.25">
      <c r="A627" s="16" t="s">
        <v>1762</v>
      </c>
      <c r="B627" s="16" t="s">
        <v>1763</v>
      </c>
      <c r="C627" s="16" t="s">
        <v>6879</v>
      </c>
      <c r="E627" s="18" t="s">
        <v>6880</v>
      </c>
      <c r="F627" s="18" t="s">
        <v>6847</v>
      </c>
      <c r="G627" s="16" t="s">
        <v>6848</v>
      </c>
      <c r="H627" s="16" t="s">
        <v>6849</v>
      </c>
    </row>
    <row r="628" spans="1:8" ht="15.75" customHeight="1" x14ac:dyDescent="0.25">
      <c r="A628" s="16" t="s">
        <v>1762</v>
      </c>
      <c r="B628" s="16" t="s">
        <v>1763</v>
      </c>
      <c r="C628" s="16" t="s">
        <v>6879</v>
      </c>
      <c r="E628" s="18" t="s">
        <v>6880</v>
      </c>
      <c r="F628" s="18" t="s">
        <v>6897</v>
      </c>
      <c r="G628" s="16" t="s">
        <v>6898</v>
      </c>
      <c r="H628" s="16" t="s">
        <v>6899</v>
      </c>
    </row>
    <row r="629" spans="1:8" ht="15.75" customHeight="1" x14ac:dyDescent="0.25">
      <c r="A629" s="16" t="s">
        <v>1762</v>
      </c>
      <c r="B629" s="16" t="s">
        <v>1763</v>
      </c>
      <c r="C629" s="16" t="s">
        <v>6879</v>
      </c>
      <c r="E629" s="18" t="s">
        <v>6880</v>
      </c>
      <c r="F629" s="18" t="s">
        <v>6900</v>
      </c>
      <c r="G629" s="16" t="s">
        <v>6901</v>
      </c>
      <c r="H629" s="16" t="s">
        <v>6902</v>
      </c>
    </row>
    <row r="630" spans="1:8" ht="15.75" customHeight="1" x14ac:dyDescent="0.25">
      <c r="A630" s="16" t="s">
        <v>1762</v>
      </c>
      <c r="B630" s="16" t="s">
        <v>1763</v>
      </c>
      <c r="C630" s="16" t="s">
        <v>6879</v>
      </c>
      <c r="E630" s="18" t="s">
        <v>6880</v>
      </c>
      <c r="F630" s="18" t="s">
        <v>6853</v>
      </c>
      <c r="G630" s="16" t="s">
        <v>6854</v>
      </c>
      <c r="H630" s="16" t="s">
        <v>6855</v>
      </c>
    </row>
    <row r="631" spans="1:8" ht="15.75" customHeight="1" x14ac:dyDescent="0.25">
      <c r="A631" s="16" t="s">
        <v>1762</v>
      </c>
      <c r="B631" s="16" t="s">
        <v>1763</v>
      </c>
      <c r="C631" s="16" t="s">
        <v>6879</v>
      </c>
      <c r="E631" s="18" t="s">
        <v>6880</v>
      </c>
      <c r="F631" s="18" t="s">
        <v>6903</v>
      </c>
      <c r="G631" s="16" t="s">
        <v>6904</v>
      </c>
      <c r="H631" s="16" t="s">
        <v>6905</v>
      </c>
    </row>
    <row r="632" spans="1:8" ht="15.75" customHeight="1" x14ac:dyDescent="0.25">
      <c r="A632" s="16" t="s">
        <v>1769</v>
      </c>
      <c r="B632" s="16" t="s">
        <v>1770</v>
      </c>
      <c r="C632" s="16" t="s">
        <v>6906</v>
      </c>
      <c r="E632" s="18" t="s">
        <v>6907</v>
      </c>
    </row>
    <row r="633" spans="1:8" ht="15.75" customHeight="1" x14ac:dyDescent="0.25">
      <c r="A633" s="16" t="s">
        <v>1773</v>
      </c>
      <c r="B633" s="16" t="s">
        <v>1774</v>
      </c>
    </row>
    <row r="634" spans="1:8" ht="15.75" customHeight="1" x14ac:dyDescent="0.25">
      <c r="A634" s="16" t="s">
        <v>1777</v>
      </c>
      <c r="B634" s="16" t="s">
        <v>1778</v>
      </c>
      <c r="C634" s="16" t="s">
        <v>6908</v>
      </c>
      <c r="E634" s="18" t="s">
        <v>6909</v>
      </c>
      <c r="F634" s="18" t="s">
        <v>6910</v>
      </c>
      <c r="G634" s="16" t="s">
        <v>6911</v>
      </c>
      <c r="H634" s="16" t="s">
        <v>6912</v>
      </c>
    </row>
    <row r="635" spans="1:8" ht="15.75" customHeight="1" x14ac:dyDescent="0.25">
      <c r="A635" s="16" t="s">
        <v>1777</v>
      </c>
      <c r="B635" s="16" t="s">
        <v>1778</v>
      </c>
      <c r="C635" s="16" t="s">
        <v>6908</v>
      </c>
      <c r="E635" s="18" t="s">
        <v>6909</v>
      </c>
      <c r="F635" s="18" t="s">
        <v>6913</v>
      </c>
      <c r="G635" s="16" t="s">
        <v>6914</v>
      </c>
      <c r="H635" s="16" t="s">
        <v>6915</v>
      </c>
    </row>
    <row r="636" spans="1:8" ht="15.75" customHeight="1" x14ac:dyDescent="0.25">
      <c r="A636" s="16" t="s">
        <v>1781</v>
      </c>
      <c r="B636" s="16" t="s">
        <v>1782</v>
      </c>
      <c r="C636" s="16" t="s">
        <v>6916</v>
      </c>
      <c r="E636" s="18" t="s">
        <v>6917</v>
      </c>
      <c r="F636" s="18" t="s">
        <v>6918</v>
      </c>
      <c r="G636" s="16" t="s">
        <v>6919</v>
      </c>
      <c r="H636" s="16" t="s">
        <v>6920</v>
      </c>
    </row>
    <row r="637" spans="1:8" ht="15.75" customHeight="1" x14ac:dyDescent="0.25">
      <c r="A637" s="16" t="s">
        <v>1781</v>
      </c>
      <c r="B637" s="16" t="s">
        <v>1782</v>
      </c>
      <c r="C637" s="16" t="s">
        <v>6916</v>
      </c>
      <c r="E637" s="18" t="s">
        <v>6917</v>
      </c>
      <c r="F637" s="18" t="s">
        <v>6921</v>
      </c>
      <c r="G637" s="16" t="s">
        <v>6922</v>
      </c>
      <c r="H637" s="16" t="s">
        <v>6923</v>
      </c>
    </row>
    <row r="638" spans="1:8" ht="15.75" customHeight="1" x14ac:dyDescent="0.25">
      <c r="A638" s="16" t="s">
        <v>1784</v>
      </c>
      <c r="B638" s="16" t="s">
        <v>1785</v>
      </c>
    </row>
    <row r="639" spans="1:8" ht="15.75" customHeight="1" x14ac:dyDescent="0.25">
      <c r="A639" s="16" t="s">
        <v>1787</v>
      </c>
      <c r="B639" s="16" t="s">
        <v>1788</v>
      </c>
    </row>
    <row r="640" spans="1:8" ht="15.75" customHeight="1" x14ac:dyDescent="0.25">
      <c r="A640" s="16" t="s">
        <v>1791</v>
      </c>
      <c r="B640" s="16" t="s">
        <v>1792</v>
      </c>
      <c r="C640" s="16" t="s">
        <v>6924</v>
      </c>
      <c r="E640" s="18" t="s">
        <v>6925</v>
      </c>
      <c r="F640" s="18" t="s">
        <v>6926</v>
      </c>
      <c r="G640" s="16" t="s">
        <v>6927</v>
      </c>
      <c r="H640" s="16" t="s">
        <v>6928</v>
      </c>
    </row>
    <row r="641" spans="1:8" ht="15.75" customHeight="1" x14ac:dyDescent="0.25">
      <c r="A641" s="16" t="s">
        <v>1795</v>
      </c>
      <c r="B641" s="16" t="s">
        <v>1796</v>
      </c>
      <c r="C641" s="16" t="s">
        <v>6929</v>
      </c>
      <c r="E641" s="18" t="s">
        <v>6930</v>
      </c>
      <c r="F641" s="18" t="s">
        <v>6931</v>
      </c>
      <c r="G641" s="16" t="s">
        <v>6932</v>
      </c>
      <c r="H641" s="16" t="s">
        <v>6933</v>
      </c>
    </row>
    <row r="642" spans="1:8" ht="15.75" customHeight="1" x14ac:dyDescent="0.25">
      <c r="A642" s="16" t="s">
        <v>1795</v>
      </c>
      <c r="B642" s="16" t="s">
        <v>1796</v>
      </c>
      <c r="C642" s="16" t="s">
        <v>6929</v>
      </c>
      <c r="E642" s="18" t="s">
        <v>6930</v>
      </c>
      <c r="F642" s="18" t="s">
        <v>6934</v>
      </c>
      <c r="G642" s="16" t="s">
        <v>6935</v>
      </c>
      <c r="H642" s="16" t="s">
        <v>6933</v>
      </c>
    </row>
    <row r="643" spans="1:8" ht="15.75" customHeight="1" x14ac:dyDescent="0.25">
      <c r="A643" s="16" t="s">
        <v>1795</v>
      </c>
      <c r="B643" s="16" t="s">
        <v>1796</v>
      </c>
      <c r="C643" s="16" t="s">
        <v>6929</v>
      </c>
      <c r="E643" s="18" t="s">
        <v>6930</v>
      </c>
      <c r="F643" s="18" t="s">
        <v>6936</v>
      </c>
      <c r="G643" s="16" t="s">
        <v>6937</v>
      </c>
      <c r="H643" s="16" t="s">
        <v>6938</v>
      </c>
    </row>
    <row r="644" spans="1:8" ht="15.75" customHeight="1" x14ac:dyDescent="0.25">
      <c r="A644" s="16" t="s">
        <v>1799</v>
      </c>
      <c r="B644" s="16" t="s">
        <v>1800</v>
      </c>
      <c r="C644" s="16" t="s">
        <v>6939</v>
      </c>
      <c r="E644" s="18" t="s">
        <v>6940</v>
      </c>
      <c r="F644" s="18" t="s">
        <v>6941</v>
      </c>
      <c r="G644" s="16" t="s">
        <v>6942</v>
      </c>
      <c r="H644" s="16" t="s">
        <v>6943</v>
      </c>
    </row>
    <row r="645" spans="1:8" ht="15.75" customHeight="1" x14ac:dyDescent="0.25">
      <c r="A645" s="16" t="s">
        <v>1799</v>
      </c>
      <c r="B645" s="16" t="s">
        <v>1800</v>
      </c>
      <c r="C645" s="16" t="s">
        <v>6939</v>
      </c>
      <c r="E645" s="18" t="s">
        <v>6940</v>
      </c>
      <c r="F645" s="18" t="s">
        <v>6944</v>
      </c>
      <c r="G645" s="16" t="s">
        <v>6945</v>
      </c>
      <c r="H645" s="16" t="s">
        <v>6946</v>
      </c>
    </row>
    <row r="646" spans="1:8" ht="15.75" customHeight="1" x14ac:dyDescent="0.25">
      <c r="A646" s="16" t="s">
        <v>1799</v>
      </c>
      <c r="B646" s="16" t="s">
        <v>1800</v>
      </c>
      <c r="C646" s="16" t="s">
        <v>6939</v>
      </c>
      <c r="E646" s="18" t="s">
        <v>6940</v>
      </c>
      <c r="F646" s="18" t="s">
        <v>6947</v>
      </c>
      <c r="G646" s="16" t="s">
        <v>6948</v>
      </c>
      <c r="H646" s="16" t="s">
        <v>6949</v>
      </c>
    </row>
    <row r="647" spans="1:8" ht="15.75" customHeight="1" x14ac:dyDescent="0.25">
      <c r="A647" s="16" t="s">
        <v>1803</v>
      </c>
      <c r="B647" s="16" t="s">
        <v>1804</v>
      </c>
      <c r="C647" s="16" t="s">
        <v>6950</v>
      </c>
      <c r="E647" s="18" t="s">
        <v>6951</v>
      </c>
      <c r="F647" s="18" t="s">
        <v>6952</v>
      </c>
      <c r="G647" s="16" t="s">
        <v>6953</v>
      </c>
      <c r="H647" s="16" t="s">
        <v>6954</v>
      </c>
    </row>
    <row r="648" spans="1:8" ht="15.75" customHeight="1" x14ac:dyDescent="0.25">
      <c r="A648" s="16" t="s">
        <v>1803</v>
      </c>
      <c r="B648" s="16" t="s">
        <v>1804</v>
      </c>
      <c r="C648" s="16" t="s">
        <v>6955</v>
      </c>
      <c r="E648" s="18" t="s">
        <v>6956</v>
      </c>
      <c r="F648" s="18" t="s">
        <v>6957</v>
      </c>
      <c r="G648" s="16" t="s">
        <v>6958</v>
      </c>
      <c r="H648" s="16" t="s">
        <v>6959</v>
      </c>
    </row>
    <row r="649" spans="1:8" ht="15.75" customHeight="1" x14ac:dyDescent="0.25">
      <c r="A649" s="16" t="s">
        <v>1807</v>
      </c>
      <c r="B649" s="16" t="s">
        <v>1808</v>
      </c>
      <c r="C649" s="16" t="s">
        <v>6960</v>
      </c>
      <c r="E649" s="18" t="s">
        <v>6961</v>
      </c>
      <c r="F649" s="18" t="s">
        <v>6548</v>
      </c>
      <c r="G649" s="16" t="s">
        <v>6962</v>
      </c>
      <c r="H649" s="16" t="s">
        <v>6963</v>
      </c>
    </row>
    <row r="650" spans="1:8" ht="15.75" customHeight="1" x14ac:dyDescent="0.25">
      <c r="A650" s="16" t="s">
        <v>1807</v>
      </c>
      <c r="B650" s="16" t="s">
        <v>1808</v>
      </c>
      <c r="C650" s="16" t="s">
        <v>6960</v>
      </c>
      <c r="E650" s="18" t="s">
        <v>6961</v>
      </c>
      <c r="F650" s="18" t="s">
        <v>6964</v>
      </c>
      <c r="G650" s="16" t="s">
        <v>6965</v>
      </c>
      <c r="H650" s="16" t="s">
        <v>6966</v>
      </c>
    </row>
    <row r="651" spans="1:8" ht="15.75" customHeight="1" x14ac:dyDescent="0.25">
      <c r="A651" s="16" t="s">
        <v>1807</v>
      </c>
      <c r="B651" s="16" t="s">
        <v>1808</v>
      </c>
      <c r="C651" s="16" t="s">
        <v>6960</v>
      </c>
      <c r="E651" s="18" t="s">
        <v>6961</v>
      </c>
      <c r="F651" s="18" t="s">
        <v>6967</v>
      </c>
      <c r="G651" s="16" t="s">
        <v>6968</v>
      </c>
      <c r="H651" s="16" t="s">
        <v>6969</v>
      </c>
    </row>
    <row r="652" spans="1:8" ht="15.75" customHeight="1" x14ac:dyDescent="0.25">
      <c r="A652" s="16" t="s">
        <v>1811</v>
      </c>
      <c r="B652" s="16" t="s">
        <v>1812</v>
      </c>
      <c r="C652" s="16" t="s">
        <v>6970</v>
      </c>
      <c r="E652" s="18" t="s">
        <v>6971</v>
      </c>
      <c r="F652" s="18" t="s">
        <v>6972</v>
      </c>
      <c r="G652" s="16" t="s">
        <v>6973</v>
      </c>
      <c r="H652" s="16" t="s">
        <v>6974</v>
      </c>
    </row>
    <row r="653" spans="1:8" ht="15.75" customHeight="1" x14ac:dyDescent="0.25">
      <c r="A653" s="16" t="s">
        <v>1815</v>
      </c>
      <c r="B653" s="16" t="s">
        <v>1816</v>
      </c>
      <c r="C653" s="16" t="s">
        <v>6960</v>
      </c>
      <c r="E653" s="18" t="s">
        <v>6961</v>
      </c>
      <c r="F653" s="18" t="s">
        <v>6548</v>
      </c>
      <c r="G653" s="16" t="s">
        <v>6962</v>
      </c>
      <c r="H653" s="16" t="s">
        <v>6963</v>
      </c>
    </row>
    <row r="654" spans="1:8" ht="15.75" customHeight="1" x14ac:dyDescent="0.25">
      <c r="A654" s="16" t="s">
        <v>1815</v>
      </c>
      <c r="B654" s="16" t="s">
        <v>1816</v>
      </c>
      <c r="C654" s="16" t="s">
        <v>6960</v>
      </c>
      <c r="E654" s="18" t="s">
        <v>6961</v>
      </c>
      <c r="F654" s="18" t="s">
        <v>6964</v>
      </c>
      <c r="G654" s="16" t="s">
        <v>6965</v>
      </c>
      <c r="H654" s="16" t="s">
        <v>6966</v>
      </c>
    </row>
    <row r="655" spans="1:8" ht="15.75" customHeight="1" x14ac:dyDescent="0.25">
      <c r="A655" s="16" t="s">
        <v>1815</v>
      </c>
      <c r="B655" s="16" t="s">
        <v>1816</v>
      </c>
      <c r="C655" s="16" t="s">
        <v>6960</v>
      </c>
      <c r="E655" s="18" t="s">
        <v>6961</v>
      </c>
      <c r="F655" s="18" t="s">
        <v>6967</v>
      </c>
      <c r="G655" s="16" t="s">
        <v>6968</v>
      </c>
      <c r="H655" s="16" t="s">
        <v>6969</v>
      </c>
    </row>
    <row r="656" spans="1:8" ht="15.75" customHeight="1" x14ac:dyDescent="0.25">
      <c r="A656" s="16" t="s">
        <v>1819</v>
      </c>
      <c r="B656" s="16" t="s">
        <v>1820</v>
      </c>
      <c r="C656" s="16" t="s">
        <v>6975</v>
      </c>
      <c r="E656" s="18" t="s">
        <v>6976</v>
      </c>
      <c r="F656" s="18" t="s">
        <v>6977</v>
      </c>
      <c r="G656" s="16" t="s">
        <v>6978</v>
      </c>
      <c r="H656" s="16" t="s">
        <v>6973</v>
      </c>
    </row>
    <row r="657" spans="1:8" ht="15.75" customHeight="1" x14ac:dyDescent="0.25">
      <c r="A657" s="16" t="s">
        <v>1819</v>
      </c>
      <c r="B657" s="16" t="s">
        <v>1820</v>
      </c>
      <c r="C657" s="16" t="s">
        <v>6979</v>
      </c>
      <c r="E657" s="18" t="s">
        <v>6980</v>
      </c>
      <c r="F657" s="18" t="s">
        <v>6981</v>
      </c>
      <c r="G657" s="16" t="s">
        <v>6982</v>
      </c>
      <c r="H657" s="16" t="s">
        <v>6983</v>
      </c>
    </row>
    <row r="658" spans="1:8" ht="15.75" customHeight="1" x14ac:dyDescent="0.25">
      <c r="A658" s="16" t="s">
        <v>1822</v>
      </c>
      <c r="B658" s="16" t="s">
        <v>1823</v>
      </c>
    </row>
    <row r="659" spans="1:8" ht="15.75" customHeight="1" x14ac:dyDescent="0.25">
      <c r="A659" s="16" t="s">
        <v>1826</v>
      </c>
      <c r="B659" s="16" t="s">
        <v>1827</v>
      </c>
      <c r="C659" s="16" t="s">
        <v>6984</v>
      </c>
      <c r="E659" s="18" t="s">
        <v>6985</v>
      </c>
      <c r="F659" s="18" t="s">
        <v>6986</v>
      </c>
      <c r="G659" s="16" t="s">
        <v>6885</v>
      </c>
      <c r="H659" s="16" t="s">
        <v>6885</v>
      </c>
    </row>
    <row r="660" spans="1:8" ht="15.75" customHeight="1" x14ac:dyDescent="0.25">
      <c r="A660" s="16" t="s">
        <v>1830</v>
      </c>
      <c r="B660" s="16" t="s">
        <v>1831</v>
      </c>
      <c r="C660" s="16" t="s">
        <v>6984</v>
      </c>
      <c r="E660" s="18" t="s">
        <v>6985</v>
      </c>
      <c r="F660" s="18" t="s">
        <v>6986</v>
      </c>
      <c r="G660" s="16" t="s">
        <v>6885</v>
      </c>
      <c r="H660" s="16" t="s">
        <v>6885</v>
      </c>
    </row>
    <row r="661" spans="1:8" ht="15.75" customHeight="1" x14ac:dyDescent="0.25">
      <c r="A661" s="16" t="s">
        <v>1834</v>
      </c>
      <c r="B661" s="16" t="s">
        <v>1835</v>
      </c>
      <c r="C661" s="16" t="s">
        <v>6984</v>
      </c>
      <c r="E661" s="18" t="s">
        <v>6985</v>
      </c>
      <c r="F661" s="18" t="s">
        <v>6986</v>
      </c>
      <c r="G661" s="16" t="s">
        <v>6885</v>
      </c>
      <c r="H661" s="16" t="s">
        <v>6885</v>
      </c>
    </row>
    <row r="662" spans="1:8" ht="15.75" customHeight="1" x14ac:dyDescent="0.25">
      <c r="A662" s="16" t="s">
        <v>1838</v>
      </c>
      <c r="B662" s="16" t="s">
        <v>1839</v>
      </c>
      <c r="C662" s="16" t="s">
        <v>6984</v>
      </c>
      <c r="E662" s="18" t="s">
        <v>6985</v>
      </c>
      <c r="F662" s="18" t="s">
        <v>6986</v>
      </c>
      <c r="G662" s="16" t="s">
        <v>6885</v>
      </c>
      <c r="H662" s="16" t="s">
        <v>6885</v>
      </c>
    </row>
    <row r="663" spans="1:8" ht="15.75" customHeight="1" x14ac:dyDescent="0.25">
      <c r="A663" s="16" t="s">
        <v>1842</v>
      </c>
      <c r="B663" s="16" t="s">
        <v>1843</v>
      </c>
      <c r="C663" s="16" t="s">
        <v>6984</v>
      </c>
      <c r="E663" s="18" t="s">
        <v>6985</v>
      </c>
      <c r="F663" s="18" t="s">
        <v>6986</v>
      </c>
      <c r="G663" s="16" t="s">
        <v>6885</v>
      </c>
      <c r="H663" s="16" t="s">
        <v>6885</v>
      </c>
    </row>
    <row r="664" spans="1:8" ht="15.75" customHeight="1" x14ac:dyDescent="0.25">
      <c r="A664" s="16" t="s">
        <v>1846</v>
      </c>
      <c r="B664" s="16" t="s">
        <v>1847</v>
      </c>
      <c r="C664" s="16" t="s">
        <v>6984</v>
      </c>
      <c r="E664" s="18" t="s">
        <v>6985</v>
      </c>
      <c r="F664" s="18" t="s">
        <v>6986</v>
      </c>
      <c r="G664" s="16" t="s">
        <v>6885</v>
      </c>
      <c r="H664" s="16" t="s">
        <v>6885</v>
      </c>
    </row>
    <row r="665" spans="1:8" ht="15.75" customHeight="1" x14ac:dyDescent="0.25">
      <c r="A665" s="16" t="s">
        <v>1850</v>
      </c>
      <c r="B665" s="16" t="s">
        <v>1851</v>
      </c>
      <c r="C665" s="16" t="s">
        <v>6984</v>
      </c>
      <c r="E665" s="18" t="s">
        <v>6985</v>
      </c>
      <c r="F665" s="18" t="s">
        <v>6986</v>
      </c>
      <c r="G665" s="16" t="s">
        <v>6885</v>
      </c>
      <c r="H665" s="16" t="s">
        <v>6885</v>
      </c>
    </row>
    <row r="666" spans="1:8" ht="15.75" customHeight="1" x14ac:dyDescent="0.25">
      <c r="A666" s="16" t="s">
        <v>1854</v>
      </c>
      <c r="B666" s="16" t="s">
        <v>1855</v>
      </c>
      <c r="C666" s="16" t="s">
        <v>6984</v>
      </c>
      <c r="E666" s="18" t="s">
        <v>6985</v>
      </c>
      <c r="F666" s="18" t="s">
        <v>6986</v>
      </c>
      <c r="G666" s="16" t="s">
        <v>6885</v>
      </c>
      <c r="H666" s="16" t="s">
        <v>6885</v>
      </c>
    </row>
    <row r="667" spans="1:8" ht="15.75" customHeight="1" x14ac:dyDescent="0.25">
      <c r="A667" s="16" t="s">
        <v>1857</v>
      </c>
      <c r="B667" s="16" t="s">
        <v>1858</v>
      </c>
    </row>
    <row r="668" spans="1:8" ht="15.75" customHeight="1" x14ac:dyDescent="0.25">
      <c r="A668" s="16" t="s">
        <v>1861</v>
      </c>
      <c r="B668" s="16" t="s">
        <v>1862</v>
      </c>
      <c r="C668" s="16" t="s">
        <v>6987</v>
      </c>
      <c r="E668" s="18" t="s">
        <v>6988</v>
      </c>
    </row>
    <row r="669" spans="1:8" ht="15.75" customHeight="1" x14ac:dyDescent="0.25">
      <c r="A669" s="16" t="s">
        <v>1864</v>
      </c>
      <c r="B669" s="16" t="s">
        <v>1865</v>
      </c>
    </row>
    <row r="670" spans="1:8" ht="15.75" customHeight="1" x14ac:dyDescent="0.25">
      <c r="A670" s="16" t="s">
        <v>1867</v>
      </c>
      <c r="B670" s="16" t="s">
        <v>1868</v>
      </c>
    </row>
    <row r="671" spans="1:8" ht="15.75" customHeight="1" x14ac:dyDescent="0.25">
      <c r="A671" s="16" t="s">
        <v>1870</v>
      </c>
      <c r="B671" s="16" t="s">
        <v>1871</v>
      </c>
    </row>
    <row r="672" spans="1:8" ht="15.75" customHeight="1" x14ac:dyDescent="0.25">
      <c r="A672" s="16" t="s">
        <v>1874</v>
      </c>
      <c r="B672" s="16" t="s">
        <v>1875</v>
      </c>
      <c r="C672" s="16" t="s">
        <v>6989</v>
      </c>
      <c r="E672" s="18" t="s">
        <v>6990</v>
      </c>
      <c r="F672" s="18" t="s">
        <v>6991</v>
      </c>
      <c r="G672" s="16" t="s">
        <v>6992</v>
      </c>
      <c r="H672" s="16" t="s">
        <v>6993</v>
      </c>
    </row>
    <row r="673" spans="1:8" ht="15.75" customHeight="1" x14ac:dyDescent="0.25">
      <c r="B673" s="16" t="s">
        <v>1876</v>
      </c>
    </row>
    <row r="674" spans="1:8" ht="15.75" customHeight="1" x14ac:dyDescent="0.25">
      <c r="A674" s="16" t="s">
        <v>1879</v>
      </c>
      <c r="B674" s="16" t="s">
        <v>1880</v>
      </c>
      <c r="C674" s="16" t="s">
        <v>6994</v>
      </c>
      <c r="E674" s="18" t="s">
        <v>6995</v>
      </c>
      <c r="F674" s="18" t="s">
        <v>6996</v>
      </c>
      <c r="G674" s="16" t="s">
        <v>6997</v>
      </c>
      <c r="H674" s="16" t="s">
        <v>6998</v>
      </c>
    </row>
    <row r="675" spans="1:8" ht="15.75" customHeight="1" x14ac:dyDescent="0.25">
      <c r="A675" s="16" t="s">
        <v>1879</v>
      </c>
      <c r="B675" s="16" t="s">
        <v>1880</v>
      </c>
      <c r="C675" s="16" t="s">
        <v>6994</v>
      </c>
      <c r="E675" s="18" t="s">
        <v>6995</v>
      </c>
      <c r="F675" s="18" t="s">
        <v>6999</v>
      </c>
      <c r="G675" s="16" t="s">
        <v>7000</v>
      </c>
      <c r="H675" s="16" t="s">
        <v>7001</v>
      </c>
    </row>
    <row r="676" spans="1:8" ht="15.75" customHeight="1" x14ac:dyDescent="0.25">
      <c r="A676" s="16" t="s">
        <v>1879</v>
      </c>
      <c r="B676" s="16" t="s">
        <v>1880</v>
      </c>
      <c r="C676" s="16" t="s">
        <v>6994</v>
      </c>
      <c r="E676" s="18" t="s">
        <v>6995</v>
      </c>
      <c r="F676" s="18" t="s">
        <v>7002</v>
      </c>
      <c r="G676" s="16" t="s">
        <v>7003</v>
      </c>
      <c r="H676" s="16" t="s">
        <v>7004</v>
      </c>
    </row>
    <row r="677" spans="1:8" ht="15.75" customHeight="1" x14ac:dyDescent="0.25">
      <c r="A677" s="16" t="s">
        <v>1879</v>
      </c>
      <c r="B677" s="16" t="s">
        <v>1880</v>
      </c>
      <c r="C677" s="16" t="s">
        <v>6994</v>
      </c>
      <c r="E677" s="18" t="s">
        <v>6995</v>
      </c>
      <c r="F677" s="18" t="s">
        <v>7005</v>
      </c>
      <c r="G677" s="16" t="s">
        <v>7006</v>
      </c>
      <c r="H677" s="16" t="s">
        <v>7007</v>
      </c>
    </row>
    <row r="678" spans="1:8" ht="15.75" customHeight="1" x14ac:dyDescent="0.25">
      <c r="A678" s="16" t="s">
        <v>1879</v>
      </c>
      <c r="B678" s="16" t="s">
        <v>1880</v>
      </c>
      <c r="C678" s="16" t="s">
        <v>6994</v>
      </c>
      <c r="E678" s="18" t="s">
        <v>6995</v>
      </c>
      <c r="F678" s="18" t="s">
        <v>7008</v>
      </c>
      <c r="G678" s="16" t="s">
        <v>7009</v>
      </c>
      <c r="H678" s="16" t="s">
        <v>7010</v>
      </c>
    </row>
    <row r="679" spans="1:8" ht="15.75" customHeight="1" x14ac:dyDescent="0.25">
      <c r="A679" s="16" t="s">
        <v>1879</v>
      </c>
      <c r="B679" s="16" t="s">
        <v>1880</v>
      </c>
      <c r="C679" s="16" t="s">
        <v>6994</v>
      </c>
      <c r="E679" s="18" t="s">
        <v>6995</v>
      </c>
      <c r="F679" s="18" t="s">
        <v>7011</v>
      </c>
      <c r="G679" s="16" t="s">
        <v>7012</v>
      </c>
      <c r="H679" s="16" t="s">
        <v>7013</v>
      </c>
    </row>
    <row r="680" spans="1:8" ht="15.75" customHeight="1" x14ac:dyDescent="0.25">
      <c r="A680" s="16" t="s">
        <v>1883</v>
      </c>
      <c r="B680" s="16" t="s">
        <v>1884</v>
      </c>
      <c r="C680" s="16" t="s">
        <v>7014</v>
      </c>
      <c r="E680" s="18" t="s">
        <v>7015</v>
      </c>
    </row>
    <row r="681" spans="1:8" ht="15.75" customHeight="1" x14ac:dyDescent="0.25">
      <c r="A681" s="16" t="s">
        <v>1887</v>
      </c>
      <c r="B681" s="16" t="s">
        <v>1888</v>
      </c>
      <c r="C681" s="16" t="s">
        <v>7016</v>
      </c>
    </row>
    <row r="682" spans="1:8" ht="15.75" customHeight="1" x14ac:dyDescent="0.25">
      <c r="A682" s="16" t="s">
        <v>1890</v>
      </c>
      <c r="B682" s="16" t="s">
        <v>1891</v>
      </c>
    </row>
    <row r="683" spans="1:8" ht="15.75" customHeight="1" x14ac:dyDescent="0.25">
      <c r="A683" s="16" t="s">
        <v>1893</v>
      </c>
      <c r="B683" s="16" t="s">
        <v>1894</v>
      </c>
    </row>
    <row r="684" spans="1:8" ht="15.75" customHeight="1" x14ac:dyDescent="0.25">
      <c r="A684" s="16" t="s">
        <v>1896</v>
      </c>
      <c r="B684" s="16" t="s">
        <v>1897</v>
      </c>
    </row>
    <row r="685" spans="1:8" ht="15.75" customHeight="1" x14ac:dyDescent="0.25">
      <c r="A685" s="16" t="s">
        <v>1900</v>
      </c>
      <c r="B685" s="16" t="s">
        <v>1901</v>
      </c>
      <c r="C685" s="16" t="s">
        <v>7017</v>
      </c>
      <c r="E685" s="18" t="s">
        <v>7018</v>
      </c>
      <c r="F685" s="18" t="s">
        <v>7019</v>
      </c>
      <c r="G685" s="16" t="s">
        <v>7020</v>
      </c>
      <c r="H685" s="16" t="s">
        <v>7021</v>
      </c>
    </row>
    <row r="686" spans="1:8" ht="15.75" customHeight="1" x14ac:dyDescent="0.25">
      <c r="A686" s="16" t="s">
        <v>1904</v>
      </c>
      <c r="B686" s="16" t="s">
        <v>1905</v>
      </c>
    </row>
    <row r="687" spans="1:8" ht="15.75" customHeight="1" x14ac:dyDescent="0.25">
      <c r="A687" s="16" t="s">
        <v>1908</v>
      </c>
      <c r="B687" s="16" t="s">
        <v>1909</v>
      </c>
    </row>
    <row r="688" spans="1:8" ht="15.75" customHeight="1" x14ac:dyDescent="0.25">
      <c r="A688" s="16" t="s">
        <v>1912</v>
      </c>
      <c r="B688" s="16" t="s">
        <v>1913</v>
      </c>
    </row>
    <row r="689" spans="1:8" ht="15.75" customHeight="1" x14ac:dyDescent="0.25">
      <c r="A689" s="16" t="s">
        <v>1916</v>
      </c>
      <c r="B689" s="16" t="s">
        <v>1917</v>
      </c>
      <c r="C689" s="16" t="s">
        <v>7022</v>
      </c>
      <c r="E689" s="18" t="s">
        <v>7023</v>
      </c>
      <c r="F689" s="18" t="s">
        <v>7024</v>
      </c>
      <c r="G689" s="16" t="s">
        <v>7025</v>
      </c>
      <c r="H689" s="16" t="s">
        <v>7026</v>
      </c>
    </row>
    <row r="690" spans="1:8" ht="15.75" customHeight="1" x14ac:dyDescent="0.25">
      <c r="A690" s="16" t="s">
        <v>1916</v>
      </c>
      <c r="B690" s="16" t="s">
        <v>1917</v>
      </c>
      <c r="C690" s="16" t="s">
        <v>7022</v>
      </c>
      <c r="E690" s="18" t="s">
        <v>7023</v>
      </c>
      <c r="F690" s="18" t="s">
        <v>7027</v>
      </c>
      <c r="G690" s="16" t="s">
        <v>7028</v>
      </c>
      <c r="H690" s="16" t="s">
        <v>7029</v>
      </c>
    </row>
    <row r="691" spans="1:8" ht="15.75" customHeight="1" x14ac:dyDescent="0.25">
      <c r="A691" s="16" t="s">
        <v>1919</v>
      </c>
      <c r="B691" s="16" t="s">
        <v>1920</v>
      </c>
    </row>
    <row r="692" spans="1:8" ht="15.75" customHeight="1" x14ac:dyDescent="0.25">
      <c r="A692" s="16" t="s">
        <v>1922</v>
      </c>
      <c r="B692" s="16" t="s">
        <v>1923</v>
      </c>
    </row>
    <row r="693" spans="1:8" ht="15.75" customHeight="1" x14ac:dyDescent="0.25">
      <c r="A693" s="16" t="s">
        <v>1926</v>
      </c>
      <c r="B693" s="16" t="s">
        <v>1927</v>
      </c>
    </row>
    <row r="694" spans="1:8" ht="15.75" customHeight="1" x14ac:dyDescent="0.25">
      <c r="A694" s="16" t="s">
        <v>1930</v>
      </c>
      <c r="B694" s="16" t="s">
        <v>1931</v>
      </c>
    </row>
    <row r="695" spans="1:8" ht="15.75" customHeight="1" x14ac:dyDescent="0.25">
      <c r="A695" s="16" t="s">
        <v>1934</v>
      </c>
      <c r="B695" s="16" t="s">
        <v>1935</v>
      </c>
    </row>
    <row r="696" spans="1:8" ht="15.75" customHeight="1" x14ac:dyDescent="0.25">
      <c r="A696" s="16" t="s">
        <v>1938</v>
      </c>
      <c r="B696" s="16" t="s">
        <v>1939</v>
      </c>
    </row>
    <row r="697" spans="1:8" ht="15.75" customHeight="1" x14ac:dyDescent="0.25">
      <c r="A697" s="16" t="s">
        <v>1942</v>
      </c>
      <c r="B697" s="16" t="s">
        <v>1943</v>
      </c>
      <c r="C697" s="16" t="s">
        <v>7030</v>
      </c>
      <c r="E697" s="18" t="s">
        <v>7031</v>
      </c>
      <c r="F697" s="18" t="s">
        <v>7032</v>
      </c>
      <c r="G697" s="16" t="s">
        <v>7033</v>
      </c>
      <c r="H697" s="16" t="s">
        <v>6207</v>
      </c>
    </row>
    <row r="698" spans="1:8" ht="15.75" customHeight="1" x14ac:dyDescent="0.25">
      <c r="A698" s="16" t="s">
        <v>1942</v>
      </c>
      <c r="B698" s="16" t="s">
        <v>1943</v>
      </c>
      <c r="C698" s="16" t="s">
        <v>7030</v>
      </c>
      <c r="E698" s="18" t="s">
        <v>7031</v>
      </c>
      <c r="F698" s="18" t="s">
        <v>6205</v>
      </c>
      <c r="G698" s="16" t="s">
        <v>6206</v>
      </c>
      <c r="H698" s="16" t="s">
        <v>6207</v>
      </c>
    </row>
    <row r="699" spans="1:8" ht="15.75" customHeight="1" x14ac:dyDescent="0.3">
      <c r="A699" s="16" t="s">
        <v>1942</v>
      </c>
      <c r="B699" s="16" t="s">
        <v>1943</v>
      </c>
      <c r="C699" s="16" t="s">
        <v>7030</v>
      </c>
      <c r="E699" s="18" t="s">
        <v>7031</v>
      </c>
      <c r="F699" s="18" t="s">
        <v>7034</v>
      </c>
      <c r="G699" s="16" t="s">
        <v>7035</v>
      </c>
      <c r="H699" s="17" t="s">
        <v>6207</v>
      </c>
    </row>
    <row r="700" spans="1:8" ht="15.75" customHeight="1" x14ac:dyDescent="0.25">
      <c r="A700" s="16" t="s">
        <v>1942</v>
      </c>
      <c r="B700" s="16" t="s">
        <v>1943</v>
      </c>
      <c r="C700" s="16" t="s">
        <v>7030</v>
      </c>
      <c r="E700" s="18" t="s">
        <v>7031</v>
      </c>
      <c r="F700" s="18" t="s">
        <v>7036</v>
      </c>
      <c r="G700" s="16" t="s">
        <v>7037</v>
      </c>
      <c r="H700" s="16" t="s">
        <v>6207</v>
      </c>
    </row>
    <row r="701" spans="1:8" ht="15.75" customHeight="1" x14ac:dyDescent="0.25">
      <c r="A701" s="16" t="s">
        <v>1942</v>
      </c>
      <c r="B701" s="16" t="s">
        <v>1943</v>
      </c>
      <c r="C701" s="16" t="s">
        <v>7030</v>
      </c>
      <c r="E701" s="18" t="s">
        <v>7031</v>
      </c>
      <c r="F701" s="18" t="s">
        <v>7038</v>
      </c>
      <c r="G701" s="16" t="s">
        <v>7039</v>
      </c>
      <c r="H701" s="16" t="s">
        <v>6207</v>
      </c>
    </row>
    <row r="702" spans="1:8" ht="15.75" customHeight="1" x14ac:dyDescent="0.3">
      <c r="A702" s="16" t="s">
        <v>1942</v>
      </c>
      <c r="B702" s="16" t="s">
        <v>1943</v>
      </c>
      <c r="C702" s="16" t="s">
        <v>7030</v>
      </c>
      <c r="E702" s="18" t="s">
        <v>7031</v>
      </c>
      <c r="F702" s="18" t="s">
        <v>7040</v>
      </c>
      <c r="G702" s="17" t="s">
        <v>7041</v>
      </c>
      <c r="H702" s="17" t="s">
        <v>7042</v>
      </c>
    </row>
    <row r="703" spans="1:8" ht="15.75" customHeight="1" x14ac:dyDescent="0.25">
      <c r="A703" s="16" t="s">
        <v>1946</v>
      </c>
      <c r="B703" s="16" t="s">
        <v>1947</v>
      </c>
      <c r="C703" s="16" t="s">
        <v>7030</v>
      </c>
      <c r="E703" s="18" t="s">
        <v>7031</v>
      </c>
      <c r="F703" s="18" t="s">
        <v>7032</v>
      </c>
      <c r="G703" s="16" t="s">
        <v>7033</v>
      </c>
      <c r="H703" s="16" t="s">
        <v>6207</v>
      </c>
    </row>
    <row r="704" spans="1:8" ht="15.75" customHeight="1" x14ac:dyDescent="0.25">
      <c r="A704" s="16" t="s">
        <v>1946</v>
      </c>
      <c r="B704" s="16" t="s">
        <v>1947</v>
      </c>
      <c r="C704" s="16" t="s">
        <v>7030</v>
      </c>
      <c r="E704" s="18" t="s">
        <v>7031</v>
      </c>
      <c r="F704" s="18" t="s">
        <v>6205</v>
      </c>
      <c r="G704" s="16" t="s">
        <v>6206</v>
      </c>
      <c r="H704" s="16" t="s">
        <v>6207</v>
      </c>
    </row>
    <row r="705" spans="1:8" ht="15.75" customHeight="1" x14ac:dyDescent="0.3">
      <c r="A705" s="16" t="s">
        <v>1946</v>
      </c>
      <c r="B705" s="16" t="s">
        <v>1947</v>
      </c>
      <c r="C705" s="16" t="s">
        <v>7030</v>
      </c>
      <c r="E705" s="18" t="s">
        <v>7031</v>
      </c>
      <c r="F705" s="18" t="s">
        <v>7034</v>
      </c>
      <c r="G705" s="16" t="s">
        <v>7035</v>
      </c>
      <c r="H705" s="17" t="s">
        <v>6207</v>
      </c>
    </row>
    <row r="706" spans="1:8" ht="15.75" customHeight="1" x14ac:dyDescent="0.25">
      <c r="A706" s="16" t="s">
        <v>1946</v>
      </c>
      <c r="B706" s="16" t="s">
        <v>1947</v>
      </c>
      <c r="C706" s="16" t="s">
        <v>7030</v>
      </c>
      <c r="E706" s="18" t="s">
        <v>7031</v>
      </c>
      <c r="F706" s="18" t="s">
        <v>7036</v>
      </c>
      <c r="G706" s="16" t="s">
        <v>7037</v>
      </c>
      <c r="H706" s="16" t="s">
        <v>6207</v>
      </c>
    </row>
    <row r="707" spans="1:8" ht="15.75" customHeight="1" x14ac:dyDescent="0.25">
      <c r="A707" s="16" t="s">
        <v>1946</v>
      </c>
      <c r="B707" s="16" t="s">
        <v>1947</v>
      </c>
      <c r="C707" s="16" t="s">
        <v>7030</v>
      </c>
      <c r="E707" s="18" t="s">
        <v>7031</v>
      </c>
      <c r="F707" s="18" t="s">
        <v>7038</v>
      </c>
      <c r="G707" s="16" t="s">
        <v>7039</v>
      </c>
      <c r="H707" s="16" t="s">
        <v>6207</v>
      </c>
    </row>
    <row r="708" spans="1:8" ht="15.75" customHeight="1" x14ac:dyDescent="0.3">
      <c r="A708" s="16" t="s">
        <v>1946</v>
      </c>
      <c r="B708" s="16" t="s">
        <v>1947</v>
      </c>
      <c r="C708" s="16" t="s">
        <v>7030</v>
      </c>
      <c r="E708" s="18" t="s">
        <v>7031</v>
      </c>
      <c r="F708" s="18" t="s">
        <v>7040</v>
      </c>
      <c r="G708" s="17" t="s">
        <v>7041</v>
      </c>
      <c r="H708" s="17" t="s">
        <v>7042</v>
      </c>
    </row>
    <row r="709" spans="1:8" ht="15.75" customHeight="1" x14ac:dyDescent="0.25">
      <c r="A709" s="16" t="s">
        <v>1950</v>
      </c>
      <c r="B709" s="16" t="s">
        <v>1951</v>
      </c>
    </row>
    <row r="710" spans="1:8" ht="15.75" customHeight="1" x14ac:dyDescent="0.25">
      <c r="A710" s="16" t="s">
        <v>1954</v>
      </c>
      <c r="B710" s="16" t="s">
        <v>1955</v>
      </c>
    </row>
    <row r="711" spans="1:8" ht="15.75" customHeight="1" x14ac:dyDescent="0.25">
      <c r="A711" s="16" t="s">
        <v>1958</v>
      </c>
      <c r="B711" s="16" t="s">
        <v>1959</v>
      </c>
      <c r="C711" s="16" t="s">
        <v>7043</v>
      </c>
      <c r="E711" s="18" t="s">
        <v>7044</v>
      </c>
      <c r="F711" s="18" t="s">
        <v>7045</v>
      </c>
      <c r="G711" s="16" t="s">
        <v>7046</v>
      </c>
      <c r="H711" s="16" t="s">
        <v>7047</v>
      </c>
    </row>
    <row r="712" spans="1:8" ht="15.75" customHeight="1" x14ac:dyDescent="0.25">
      <c r="A712" s="16" t="s">
        <v>1958</v>
      </c>
      <c r="B712" s="16" t="s">
        <v>1959</v>
      </c>
      <c r="C712" s="16" t="s">
        <v>7043</v>
      </c>
      <c r="E712" s="18" t="s">
        <v>7044</v>
      </c>
      <c r="F712" s="18" t="s">
        <v>7048</v>
      </c>
      <c r="G712" s="16" t="s">
        <v>7049</v>
      </c>
      <c r="H712" s="16" t="s">
        <v>7050</v>
      </c>
    </row>
    <row r="713" spans="1:8" ht="15.75" customHeight="1" x14ac:dyDescent="0.25">
      <c r="A713" s="16" t="s">
        <v>1958</v>
      </c>
      <c r="B713" s="16" t="s">
        <v>1959</v>
      </c>
      <c r="C713" s="16" t="s">
        <v>7043</v>
      </c>
      <c r="E713" s="18" t="s">
        <v>7044</v>
      </c>
      <c r="F713" s="18" t="s">
        <v>7051</v>
      </c>
      <c r="G713" s="16" t="s">
        <v>7052</v>
      </c>
      <c r="H713" s="16" t="s">
        <v>7053</v>
      </c>
    </row>
    <row r="714" spans="1:8" ht="15.75" customHeight="1" x14ac:dyDescent="0.25">
      <c r="A714" s="16" t="s">
        <v>1958</v>
      </c>
      <c r="B714" s="16" t="s">
        <v>1959</v>
      </c>
      <c r="C714" s="16" t="s">
        <v>7043</v>
      </c>
      <c r="E714" s="18" t="s">
        <v>7044</v>
      </c>
      <c r="F714" s="18" t="s">
        <v>7054</v>
      </c>
      <c r="G714" s="16" t="s">
        <v>7055</v>
      </c>
      <c r="H714" s="16" t="s">
        <v>7056</v>
      </c>
    </row>
    <row r="715" spans="1:8" ht="15.75" customHeight="1" x14ac:dyDescent="0.25">
      <c r="A715" s="16" t="s">
        <v>1958</v>
      </c>
      <c r="B715" s="16" t="s">
        <v>1959</v>
      </c>
      <c r="C715" s="16" t="s">
        <v>7043</v>
      </c>
      <c r="E715" s="18" t="s">
        <v>7044</v>
      </c>
      <c r="F715" s="18" t="s">
        <v>7057</v>
      </c>
      <c r="G715" s="16" t="s">
        <v>7058</v>
      </c>
      <c r="H715" s="16" t="s">
        <v>7059</v>
      </c>
    </row>
    <row r="716" spans="1:8" ht="15.75" customHeight="1" x14ac:dyDescent="0.25">
      <c r="A716" s="16" t="s">
        <v>1958</v>
      </c>
      <c r="B716" s="16" t="s">
        <v>1959</v>
      </c>
      <c r="C716" s="16" t="s">
        <v>7043</v>
      </c>
      <c r="E716" s="18" t="s">
        <v>7044</v>
      </c>
      <c r="F716" s="18" t="s">
        <v>7060</v>
      </c>
      <c r="G716" s="16" t="s">
        <v>7061</v>
      </c>
      <c r="H716" s="16" t="s">
        <v>7062</v>
      </c>
    </row>
    <row r="717" spans="1:8" ht="15.75" customHeight="1" x14ac:dyDescent="0.25">
      <c r="A717" s="16" t="s">
        <v>1958</v>
      </c>
      <c r="B717" s="16" t="s">
        <v>1959</v>
      </c>
      <c r="C717" s="16" t="s">
        <v>7043</v>
      </c>
      <c r="E717" s="18" t="s">
        <v>7044</v>
      </c>
      <c r="F717" s="18" t="s">
        <v>7063</v>
      </c>
      <c r="G717" s="16" t="s">
        <v>7064</v>
      </c>
      <c r="H717" s="16" t="s">
        <v>7065</v>
      </c>
    </row>
    <row r="718" spans="1:8" ht="15.75" customHeight="1" x14ac:dyDescent="0.25">
      <c r="A718" s="16" t="s">
        <v>1958</v>
      </c>
      <c r="B718" s="16" t="s">
        <v>1959</v>
      </c>
      <c r="C718" s="16" t="s">
        <v>7043</v>
      </c>
      <c r="E718" s="18" t="s">
        <v>7044</v>
      </c>
      <c r="F718" s="18" t="s">
        <v>7066</v>
      </c>
      <c r="G718" s="16" t="s">
        <v>7067</v>
      </c>
      <c r="H718" s="16" t="s">
        <v>7068</v>
      </c>
    </row>
    <row r="719" spans="1:8" ht="15.75" customHeight="1" x14ac:dyDescent="0.25">
      <c r="A719" s="16" t="s">
        <v>1958</v>
      </c>
      <c r="B719" s="16" t="s">
        <v>1959</v>
      </c>
      <c r="C719" s="16" t="s">
        <v>7043</v>
      </c>
      <c r="E719" s="18" t="s">
        <v>7044</v>
      </c>
      <c r="F719" s="18" t="s">
        <v>7069</v>
      </c>
      <c r="G719" s="16" t="s">
        <v>7070</v>
      </c>
      <c r="H719" s="16" t="s">
        <v>7071</v>
      </c>
    </row>
    <row r="720" spans="1:8" ht="15.75" customHeight="1" x14ac:dyDescent="0.25">
      <c r="A720" s="16" t="s">
        <v>1958</v>
      </c>
      <c r="B720" s="16" t="s">
        <v>1959</v>
      </c>
      <c r="C720" s="16" t="s">
        <v>7043</v>
      </c>
      <c r="E720" s="18" t="s">
        <v>7044</v>
      </c>
      <c r="F720" s="18" t="s">
        <v>7072</v>
      </c>
      <c r="G720" s="16" t="s">
        <v>7073</v>
      </c>
      <c r="H720" s="16" t="s">
        <v>7074</v>
      </c>
    </row>
    <row r="721" spans="1:26" ht="15.75" customHeight="1" x14ac:dyDescent="0.25">
      <c r="A721" s="16" t="s">
        <v>1958</v>
      </c>
      <c r="B721" s="16" t="s">
        <v>1959</v>
      </c>
      <c r="C721" s="16" t="s">
        <v>7043</v>
      </c>
      <c r="E721" s="18" t="s">
        <v>7044</v>
      </c>
      <c r="F721" s="18" t="s">
        <v>7075</v>
      </c>
      <c r="G721" s="16" t="s">
        <v>7076</v>
      </c>
      <c r="H721" s="16" t="s">
        <v>7077</v>
      </c>
    </row>
    <row r="722" spans="1:26" ht="15.75" customHeight="1" x14ac:dyDescent="0.25">
      <c r="E722" s="16"/>
    </row>
    <row r="723" spans="1:26" ht="15.75" customHeight="1" x14ac:dyDescent="0.25">
      <c r="A723" s="16" t="s">
        <v>1961</v>
      </c>
      <c r="B723" s="16" t="s">
        <v>1962</v>
      </c>
    </row>
    <row r="724" spans="1:26" ht="15.75" customHeight="1" x14ac:dyDescent="0.25">
      <c r="A724" s="16" t="s">
        <v>1964</v>
      </c>
      <c r="B724" s="16" t="s">
        <v>1965</v>
      </c>
    </row>
    <row r="725" spans="1:26" ht="15.75" customHeight="1" x14ac:dyDescent="0.25">
      <c r="A725" s="16" t="s">
        <v>1967</v>
      </c>
      <c r="B725" s="16" t="s">
        <v>1968</v>
      </c>
    </row>
    <row r="726" spans="1:26" ht="15.75" customHeight="1" x14ac:dyDescent="0.25">
      <c r="A726" s="16" t="s">
        <v>1970</v>
      </c>
      <c r="B726" s="16" t="s">
        <v>1971</v>
      </c>
    </row>
    <row r="727" spans="1:26" ht="15.75" customHeight="1" x14ac:dyDescent="0.25">
      <c r="A727" s="16" t="s">
        <v>1972</v>
      </c>
      <c r="B727" s="16" t="s">
        <v>1973</v>
      </c>
    </row>
    <row r="728" spans="1:26" ht="15.75" customHeight="1" x14ac:dyDescent="0.25">
      <c r="A728" s="16" t="s">
        <v>1976</v>
      </c>
      <c r="B728" s="16" t="s">
        <v>1977</v>
      </c>
      <c r="C728" s="16" t="s">
        <v>7078</v>
      </c>
      <c r="E728" s="18" t="s">
        <v>7079</v>
      </c>
      <c r="F728" s="18" t="s">
        <v>7080</v>
      </c>
      <c r="G728" s="16" t="s">
        <v>7081</v>
      </c>
      <c r="H728" s="16" t="s">
        <v>7082</v>
      </c>
    </row>
    <row r="729" spans="1:26" ht="15.75" customHeight="1" x14ac:dyDescent="0.25">
      <c r="A729" s="16" t="s">
        <v>1976</v>
      </c>
      <c r="B729" s="16" t="s">
        <v>1977</v>
      </c>
      <c r="C729" s="16" t="s">
        <v>7078</v>
      </c>
      <c r="E729" s="18" t="s">
        <v>7079</v>
      </c>
      <c r="F729" s="18" t="s">
        <v>7083</v>
      </c>
      <c r="G729" s="16" t="s">
        <v>7084</v>
      </c>
      <c r="H729" s="16" t="s">
        <v>7082</v>
      </c>
    </row>
    <row r="730" spans="1:26" ht="15.75" customHeight="1" x14ac:dyDescent="0.25">
      <c r="A730" s="16" t="s">
        <v>1976</v>
      </c>
      <c r="B730" s="16" t="s">
        <v>1977</v>
      </c>
      <c r="C730" s="16" t="s">
        <v>7078</v>
      </c>
      <c r="D730" s="16"/>
      <c r="E730" s="21" t="s">
        <v>7079</v>
      </c>
      <c r="F730" s="18" t="s">
        <v>7085</v>
      </c>
      <c r="G730" s="16" t="s">
        <v>7086</v>
      </c>
      <c r="H730" s="16" t="s">
        <v>7087</v>
      </c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 t="s">
        <v>1976</v>
      </c>
      <c r="B731" s="16" t="s">
        <v>1977</v>
      </c>
      <c r="C731" s="16" t="s">
        <v>7078</v>
      </c>
      <c r="D731" s="16"/>
      <c r="E731" s="21" t="s">
        <v>7079</v>
      </c>
      <c r="F731" s="18" t="s">
        <v>7088</v>
      </c>
      <c r="G731" s="16" t="s">
        <v>7089</v>
      </c>
      <c r="H731" s="16" t="s">
        <v>7090</v>
      </c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 t="s">
        <v>1980</v>
      </c>
      <c r="B732" s="16" t="s">
        <v>1981</v>
      </c>
      <c r="C732" s="16" t="s">
        <v>7091</v>
      </c>
      <c r="E732" s="18" t="s">
        <v>7092</v>
      </c>
      <c r="F732" s="18" t="s">
        <v>7093</v>
      </c>
      <c r="G732" s="16" t="s">
        <v>7094</v>
      </c>
      <c r="H732" s="16" t="s">
        <v>7095</v>
      </c>
    </row>
    <row r="733" spans="1:26" ht="15.75" customHeight="1" x14ac:dyDescent="0.25">
      <c r="A733" s="16" t="s">
        <v>1982</v>
      </c>
      <c r="B733" s="16" t="s">
        <v>1983</v>
      </c>
    </row>
    <row r="734" spans="1:26" ht="15.75" customHeight="1" x14ac:dyDescent="0.25">
      <c r="A734" s="16" t="s">
        <v>1985</v>
      </c>
      <c r="B734" s="16" t="s">
        <v>1986</v>
      </c>
    </row>
    <row r="735" spans="1:26" ht="15.75" customHeight="1" x14ac:dyDescent="0.25">
      <c r="A735" s="16" t="s">
        <v>1988</v>
      </c>
      <c r="B735" s="16" t="s">
        <v>1989</v>
      </c>
    </row>
    <row r="736" spans="1:26" ht="15.75" customHeight="1" x14ac:dyDescent="0.25">
      <c r="A736" s="16" t="s">
        <v>1991</v>
      </c>
      <c r="B736" s="16" t="s">
        <v>1992</v>
      </c>
      <c r="C736" s="16" t="s">
        <v>7096</v>
      </c>
      <c r="E736" s="18" t="s">
        <v>7097</v>
      </c>
      <c r="F736" s="18" t="s">
        <v>7098</v>
      </c>
      <c r="G736" s="16" t="s">
        <v>7099</v>
      </c>
      <c r="H736" s="16" t="s">
        <v>7100</v>
      </c>
    </row>
    <row r="737" spans="1:8" ht="15.75" customHeight="1" x14ac:dyDescent="0.25">
      <c r="A737" s="16" t="s">
        <v>1991</v>
      </c>
      <c r="B737" s="16" t="s">
        <v>1992</v>
      </c>
      <c r="C737" s="16" t="s">
        <v>7096</v>
      </c>
      <c r="E737" s="18" t="s">
        <v>7097</v>
      </c>
      <c r="F737" s="18" t="s">
        <v>7101</v>
      </c>
      <c r="G737" s="16" t="s">
        <v>7102</v>
      </c>
      <c r="H737" s="16" t="s">
        <v>7103</v>
      </c>
    </row>
    <row r="738" spans="1:8" ht="15.75" customHeight="1" x14ac:dyDescent="0.25">
      <c r="A738" s="16" t="s">
        <v>1991</v>
      </c>
      <c r="B738" s="16" t="s">
        <v>1992</v>
      </c>
      <c r="C738" s="16" t="s">
        <v>7096</v>
      </c>
      <c r="E738" s="18" t="s">
        <v>7097</v>
      </c>
      <c r="F738" s="18" t="s">
        <v>7104</v>
      </c>
      <c r="G738" s="16" t="s">
        <v>7105</v>
      </c>
      <c r="H738" s="16" t="s">
        <v>7106</v>
      </c>
    </row>
    <row r="739" spans="1:8" ht="15.75" customHeight="1" x14ac:dyDescent="0.25">
      <c r="A739" s="16" t="s">
        <v>1995</v>
      </c>
      <c r="B739" s="16" t="s">
        <v>1996</v>
      </c>
      <c r="C739" s="16" t="s">
        <v>6777</v>
      </c>
      <c r="E739" s="18" t="s">
        <v>6778</v>
      </c>
      <c r="F739" s="18" t="s">
        <v>6779</v>
      </c>
      <c r="G739" s="16" t="s">
        <v>6780</v>
      </c>
      <c r="H739" s="16" t="s">
        <v>6781</v>
      </c>
    </row>
    <row r="740" spans="1:8" ht="15.75" customHeight="1" x14ac:dyDescent="0.25">
      <c r="A740" s="16" t="s">
        <v>1999</v>
      </c>
      <c r="B740" s="16" t="s">
        <v>2000</v>
      </c>
    </row>
    <row r="741" spans="1:8" ht="15.75" customHeight="1" x14ac:dyDescent="0.25">
      <c r="A741" s="16" t="s">
        <v>2003</v>
      </c>
      <c r="B741" s="16" t="s">
        <v>2004</v>
      </c>
    </row>
    <row r="742" spans="1:8" ht="15.75" customHeight="1" x14ac:dyDescent="0.25">
      <c r="A742" s="16" t="s">
        <v>2007</v>
      </c>
      <c r="B742" s="16" t="s">
        <v>2008</v>
      </c>
    </row>
    <row r="743" spans="1:8" ht="15.75" customHeight="1" x14ac:dyDescent="0.25">
      <c r="A743" s="16" t="s">
        <v>2011</v>
      </c>
      <c r="B743" s="16" t="s">
        <v>2012</v>
      </c>
      <c r="C743" s="16" t="s">
        <v>7107</v>
      </c>
      <c r="E743" s="18" t="s">
        <v>7108</v>
      </c>
      <c r="F743" s="18" t="s">
        <v>7109</v>
      </c>
      <c r="G743" s="16" t="s">
        <v>7110</v>
      </c>
      <c r="H743" s="16" t="s">
        <v>7111</v>
      </c>
    </row>
    <row r="744" spans="1:8" ht="15.75" customHeight="1" x14ac:dyDescent="0.25">
      <c r="A744" s="16" t="s">
        <v>2014</v>
      </c>
      <c r="B744" s="16" t="s">
        <v>2015</v>
      </c>
    </row>
    <row r="745" spans="1:8" ht="15.75" customHeight="1" x14ac:dyDescent="0.25">
      <c r="A745" s="16" t="s">
        <v>2018</v>
      </c>
      <c r="B745" s="16" t="s">
        <v>2019</v>
      </c>
    </row>
    <row r="746" spans="1:8" ht="15.75" customHeight="1" x14ac:dyDescent="0.25">
      <c r="A746" s="16" t="s">
        <v>2021</v>
      </c>
      <c r="B746" s="16" t="s">
        <v>2022</v>
      </c>
    </row>
    <row r="747" spans="1:8" ht="15.75" customHeight="1" x14ac:dyDescent="0.25">
      <c r="A747" s="16" t="s">
        <v>2025</v>
      </c>
      <c r="B747" s="16" t="s">
        <v>2026</v>
      </c>
    </row>
    <row r="748" spans="1:8" ht="15.75" customHeight="1" x14ac:dyDescent="0.25">
      <c r="A748" s="16" t="s">
        <v>2029</v>
      </c>
      <c r="B748" s="16" t="s">
        <v>2030</v>
      </c>
      <c r="C748" s="16" t="s">
        <v>7112</v>
      </c>
      <c r="E748" s="18" t="s">
        <v>7113</v>
      </c>
      <c r="F748" s="18" t="s">
        <v>7114</v>
      </c>
      <c r="G748" s="16" t="s">
        <v>7115</v>
      </c>
      <c r="H748" s="16" t="s">
        <v>7116</v>
      </c>
    </row>
    <row r="749" spans="1:8" ht="15.75" customHeight="1" x14ac:dyDescent="0.3">
      <c r="A749" s="16" t="s">
        <v>2029</v>
      </c>
      <c r="B749" s="16" t="s">
        <v>2030</v>
      </c>
      <c r="C749" s="16" t="s">
        <v>7112</v>
      </c>
      <c r="E749" s="18" t="s">
        <v>7113</v>
      </c>
      <c r="F749" s="18" t="s">
        <v>7117</v>
      </c>
      <c r="G749" s="17" t="s">
        <v>7118</v>
      </c>
      <c r="H749" s="17" t="s">
        <v>7119</v>
      </c>
    </row>
    <row r="750" spans="1:8" ht="15.75" customHeight="1" x14ac:dyDescent="0.25">
      <c r="A750" s="16" t="s">
        <v>2029</v>
      </c>
      <c r="B750" s="16" t="s">
        <v>2030</v>
      </c>
      <c r="C750" s="16" t="s">
        <v>7112</v>
      </c>
      <c r="E750" s="18" t="s">
        <v>7113</v>
      </c>
      <c r="F750" s="18" t="s">
        <v>7120</v>
      </c>
      <c r="G750" s="16" t="s">
        <v>7118</v>
      </c>
      <c r="H750" s="16" t="s">
        <v>7121</v>
      </c>
    </row>
    <row r="751" spans="1:8" ht="15.75" customHeight="1" x14ac:dyDescent="0.3">
      <c r="A751" s="16" t="s">
        <v>2029</v>
      </c>
      <c r="B751" s="16" t="s">
        <v>2030</v>
      </c>
      <c r="C751" s="16" t="s">
        <v>7112</v>
      </c>
      <c r="E751" s="18" t="s">
        <v>7113</v>
      </c>
      <c r="F751" s="18" t="s">
        <v>7122</v>
      </c>
      <c r="G751" s="16" t="s">
        <v>7118</v>
      </c>
      <c r="H751" s="17" t="s">
        <v>7123</v>
      </c>
    </row>
    <row r="752" spans="1:8" ht="15.75" customHeight="1" x14ac:dyDescent="0.25">
      <c r="A752" s="16" t="s">
        <v>2029</v>
      </c>
      <c r="B752" s="16" t="s">
        <v>2030</v>
      </c>
      <c r="C752" s="16" t="s">
        <v>7112</v>
      </c>
      <c r="E752" s="18" t="s">
        <v>7113</v>
      </c>
      <c r="F752" s="18" t="s">
        <v>7124</v>
      </c>
      <c r="G752" s="16" t="s">
        <v>7125</v>
      </c>
      <c r="H752" s="16" t="s">
        <v>7126</v>
      </c>
    </row>
    <row r="753" spans="1:8" ht="15.75" customHeight="1" x14ac:dyDescent="0.25">
      <c r="A753" s="16"/>
      <c r="B753" s="16"/>
      <c r="C753" s="16"/>
      <c r="E753" s="16"/>
      <c r="F753" s="16"/>
      <c r="G753" s="16"/>
      <c r="H753" s="16"/>
    </row>
    <row r="754" spans="1:8" ht="15.75" customHeight="1" x14ac:dyDescent="0.25">
      <c r="A754" s="16" t="s">
        <v>2033</v>
      </c>
      <c r="B754" s="16" t="s">
        <v>2034</v>
      </c>
      <c r="C754" s="16" t="s">
        <v>7112</v>
      </c>
      <c r="E754" s="18" t="s">
        <v>7113</v>
      </c>
      <c r="F754" s="18" t="s">
        <v>7114</v>
      </c>
      <c r="G754" s="16" t="s">
        <v>7115</v>
      </c>
      <c r="H754" s="16" t="s">
        <v>7116</v>
      </c>
    </row>
    <row r="755" spans="1:8" ht="15.75" customHeight="1" x14ac:dyDescent="0.3">
      <c r="A755" s="16" t="s">
        <v>2033</v>
      </c>
      <c r="B755" s="16" t="s">
        <v>2034</v>
      </c>
      <c r="C755" s="16" t="s">
        <v>7112</v>
      </c>
      <c r="E755" s="18" t="s">
        <v>7113</v>
      </c>
      <c r="F755" s="18" t="s">
        <v>7117</v>
      </c>
      <c r="G755" s="17" t="s">
        <v>7118</v>
      </c>
      <c r="H755" s="17" t="s">
        <v>7119</v>
      </c>
    </row>
    <row r="756" spans="1:8" ht="15.75" customHeight="1" x14ac:dyDescent="0.25">
      <c r="A756" s="16" t="s">
        <v>2033</v>
      </c>
      <c r="B756" s="16" t="s">
        <v>2034</v>
      </c>
      <c r="C756" s="16" t="s">
        <v>7112</v>
      </c>
      <c r="E756" s="18" t="s">
        <v>7113</v>
      </c>
      <c r="F756" s="18" t="s">
        <v>7120</v>
      </c>
      <c r="G756" s="16" t="s">
        <v>7118</v>
      </c>
      <c r="H756" s="16" t="s">
        <v>7121</v>
      </c>
    </row>
    <row r="757" spans="1:8" ht="15.75" customHeight="1" x14ac:dyDescent="0.25">
      <c r="A757" s="16" t="s">
        <v>2033</v>
      </c>
      <c r="B757" s="16" t="s">
        <v>2034</v>
      </c>
      <c r="C757" s="16" t="s">
        <v>7112</v>
      </c>
      <c r="E757" s="18" t="s">
        <v>7113</v>
      </c>
      <c r="F757" s="18" t="s">
        <v>7122</v>
      </c>
      <c r="G757" s="16" t="s">
        <v>7118</v>
      </c>
      <c r="H757" s="16" t="s">
        <v>7123</v>
      </c>
    </row>
    <row r="758" spans="1:8" ht="15.75" customHeight="1" x14ac:dyDescent="0.25">
      <c r="A758" s="16" t="s">
        <v>2033</v>
      </c>
      <c r="B758" s="16" t="s">
        <v>2034</v>
      </c>
      <c r="C758" s="16" t="s">
        <v>7112</v>
      </c>
      <c r="E758" s="18" t="s">
        <v>7113</v>
      </c>
      <c r="F758" s="18" t="s">
        <v>7124</v>
      </c>
      <c r="G758" s="16" t="s">
        <v>7125</v>
      </c>
      <c r="H758" s="16" t="s">
        <v>7126</v>
      </c>
    </row>
    <row r="759" spans="1:8" ht="15.75" customHeight="1" x14ac:dyDescent="0.25">
      <c r="A759" s="16"/>
      <c r="B759" s="16"/>
      <c r="C759" s="16"/>
      <c r="E759" s="16"/>
    </row>
    <row r="760" spans="1:8" ht="15.75" customHeight="1" x14ac:dyDescent="0.25">
      <c r="A760" s="16" t="s">
        <v>2037</v>
      </c>
      <c r="B760" s="16" t="s">
        <v>2038</v>
      </c>
      <c r="C760" s="16" t="s">
        <v>7112</v>
      </c>
      <c r="E760" s="18" t="s">
        <v>7113</v>
      </c>
      <c r="F760" s="18" t="s">
        <v>7114</v>
      </c>
      <c r="G760" s="16" t="s">
        <v>7115</v>
      </c>
      <c r="H760" s="16" t="s">
        <v>7116</v>
      </c>
    </row>
    <row r="761" spans="1:8" ht="15.75" customHeight="1" x14ac:dyDescent="0.3">
      <c r="A761" s="16" t="s">
        <v>2037</v>
      </c>
      <c r="B761" s="16" t="s">
        <v>2038</v>
      </c>
      <c r="C761" s="16" t="s">
        <v>7112</v>
      </c>
      <c r="E761" s="18" t="s">
        <v>7113</v>
      </c>
      <c r="F761" s="18" t="s">
        <v>7117</v>
      </c>
      <c r="G761" s="17" t="s">
        <v>7118</v>
      </c>
      <c r="H761" s="17" t="s">
        <v>7119</v>
      </c>
    </row>
    <row r="762" spans="1:8" ht="15.75" customHeight="1" x14ac:dyDescent="0.25">
      <c r="A762" s="16" t="s">
        <v>2037</v>
      </c>
      <c r="B762" s="16" t="s">
        <v>2038</v>
      </c>
      <c r="C762" s="16" t="s">
        <v>7112</v>
      </c>
      <c r="E762" s="18" t="s">
        <v>7113</v>
      </c>
      <c r="F762" s="18" t="s">
        <v>7120</v>
      </c>
      <c r="G762" s="16" t="s">
        <v>7118</v>
      </c>
      <c r="H762" s="16" t="s">
        <v>7121</v>
      </c>
    </row>
    <row r="763" spans="1:8" ht="15.75" customHeight="1" x14ac:dyDescent="0.3">
      <c r="A763" s="16" t="s">
        <v>2037</v>
      </c>
      <c r="B763" s="16" t="s">
        <v>2038</v>
      </c>
      <c r="C763" s="16" t="s">
        <v>7112</v>
      </c>
      <c r="E763" s="18" t="s">
        <v>7113</v>
      </c>
      <c r="F763" s="18" t="s">
        <v>7122</v>
      </c>
      <c r="G763" s="16" t="s">
        <v>7118</v>
      </c>
      <c r="H763" s="17" t="s">
        <v>7123</v>
      </c>
    </row>
    <row r="764" spans="1:8" ht="15.75" customHeight="1" x14ac:dyDescent="0.25">
      <c r="A764" s="16" t="s">
        <v>2037</v>
      </c>
      <c r="B764" s="16" t="s">
        <v>2038</v>
      </c>
      <c r="C764" s="16" t="s">
        <v>7112</v>
      </c>
      <c r="E764" s="18" t="s">
        <v>7113</v>
      </c>
      <c r="F764" s="18" t="s">
        <v>7124</v>
      </c>
      <c r="G764" s="16" t="s">
        <v>7125</v>
      </c>
      <c r="H764" s="16" t="s">
        <v>7126</v>
      </c>
    </row>
    <row r="765" spans="1:8" ht="15.75" customHeight="1" x14ac:dyDescent="0.25">
      <c r="A765" s="16"/>
      <c r="B765" s="16"/>
      <c r="C765" s="16"/>
      <c r="E765" s="16"/>
    </row>
    <row r="766" spans="1:8" ht="15.75" customHeight="1" x14ac:dyDescent="0.25">
      <c r="A766" s="16" t="s">
        <v>2040</v>
      </c>
      <c r="B766" s="16" t="s">
        <v>2041</v>
      </c>
    </row>
    <row r="767" spans="1:8" ht="15.75" customHeight="1" x14ac:dyDescent="0.25">
      <c r="A767" s="16" t="s">
        <v>2044</v>
      </c>
      <c r="B767" s="16" t="s">
        <v>2045</v>
      </c>
    </row>
    <row r="768" spans="1:8" ht="15.75" customHeight="1" x14ac:dyDescent="0.25">
      <c r="A768" s="16" t="s">
        <v>2048</v>
      </c>
      <c r="B768" s="16" t="s">
        <v>2049</v>
      </c>
    </row>
    <row r="769" spans="1:8" ht="15.75" customHeight="1" x14ac:dyDescent="0.25">
      <c r="A769" s="16" t="s">
        <v>2052</v>
      </c>
      <c r="B769" s="16" t="s">
        <v>2053</v>
      </c>
    </row>
    <row r="770" spans="1:8" ht="15.75" customHeight="1" x14ac:dyDescent="0.25">
      <c r="A770" s="16" t="s">
        <v>2056</v>
      </c>
      <c r="B770" s="16" t="s">
        <v>2057</v>
      </c>
    </row>
    <row r="771" spans="1:8" ht="15.75" customHeight="1" x14ac:dyDescent="0.25">
      <c r="A771" s="16" t="s">
        <v>2060</v>
      </c>
      <c r="B771" s="16" t="s">
        <v>2061</v>
      </c>
    </row>
    <row r="772" spans="1:8" ht="15.75" customHeight="1" x14ac:dyDescent="0.25">
      <c r="A772" s="16" t="s">
        <v>2064</v>
      </c>
      <c r="B772" s="16" t="s">
        <v>2065</v>
      </c>
    </row>
    <row r="773" spans="1:8" ht="15.75" customHeight="1" x14ac:dyDescent="0.3">
      <c r="A773" s="16" t="s">
        <v>2068</v>
      </c>
      <c r="B773" s="16" t="s">
        <v>2069</v>
      </c>
      <c r="C773" s="16" t="s">
        <v>7127</v>
      </c>
      <c r="E773" s="18" t="s">
        <v>7128</v>
      </c>
      <c r="F773" s="18" t="s">
        <v>7129</v>
      </c>
      <c r="G773" s="17" t="s">
        <v>7130</v>
      </c>
      <c r="H773" s="17" t="s">
        <v>7131</v>
      </c>
    </row>
    <row r="774" spans="1:8" ht="15.75" customHeight="1" x14ac:dyDescent="0.25">
      <c r="B774" s="16" t="s">
        <v>2070</v>
      </c>
    </row>
    <row r="775" spans="1:8" ht="15.75" customHeight="1" x14ac:dyDescent="0.3">
      <c r="A775" s="16" t="s">
        <v>2073</v>
      </c>
      <c r="B775" s="16" t="s">
        <v>2074</v>
      </c>
      <c r="C775" s="16" t="s">
        <v>7132</v>
      </c>
      <c r="E775" s="18" t="s">
        <v>7133</v>
      </c>
      <c r="F775" s="18" t="s">
        <v>7134</v>
      </c>
      <c r="G775" s="16" t="s">
        <v>7135</v>
      </c>
      <c r="H775" s="17" t="s">
        <v>6732</v>
      </c>
    </row>
    <row r="776" spans="1:8" ht="15.75" customHeight="1" x14ac:dyDescent="0.25">
      <c r="A776" s="16" t="s">
        <v>2076</v>
      </c>
      <c r="B776" s="16" t="s">
        <v>2077</v>
      </c>
    </row>
    <row r="777" spans="1:8" ht="15.75" customHeight="1" x14ac:dyDescent="0.25">
      <c r="A777" s="16" t="s">
        <v>2080</v>
      </c>
      <c r="B777" s="16" t="s">
        <v>2081</v>
      </c>
      <c r="C777" s="16" t="s">
        <v>7136</v>
      </c>
      <c r="E777" s="18" t="s">
        <v>7137</v>
      </c>
      <c r="F777" s="18" t="s">
        <v>7138</v>
      </c>
      <c r="G777" s="16" t="s">
        <v>7139</v>
      </c>
      <c r="H777" s="16" t="s">
        <v>7140</v>
      </c>
    </row>
    <row r="778" spans="1:8" ht="15.75" customHeight="1" x14ac:dyDescent="0.25">
      <c r="A778" s="16" t="s">
        <v>2083</v>
      </c>
      <c r="B778" s="16" t="s">
        <v>2084</v>
      </c>
    </row>
    <row r="779" spans="1:8" ht="15.75" customHeight="1" x14ac:dyDescent="0.25">
      <c r="A779" s="16" t="s">
        <v>2087</v>
      </c>
      <c r="B779" s="16" t="s">
        <v>2088</v>
      </c>
      <c r="C779" s="16" t="s">
        <v>7141</v>
      </c>
      <c r="E779" s="18" t="s">
        <v>7142</v>
      </c>
      <c r="F779" s="18" t="s">
        <v>7143</v>
      </c>
      <c r="G779" s="16" t="s">
        <v>7144</v>
      </c>
      <c r="H779" s="16" t="s">
        <v>7145</v>
      </c>
    </row>
    <row r="780" spans="1:8" ht="15.75" customHeight="1" x14ac:dyDescent="0.25">
      <c r="A780" s="16" t="s">
        <v>2091</v>
      </c>
      <c r="B780" s="16" t="s">
        <v>2092</v>
      </c>
    </row>
    <row r="781" spans="1:8" ht="16.5" customHeight="1" x14ac:dyDescent="0.25">
      <c r="A781" s="16" t="s">
        <v>2095</v>
      </c>
      <c r="B781" s="16" t="s">
        <v>2096</v>
      </c>
      <c r="C781" s="16" t="s">
        <v>7146</v>
      </c>
      <c r="E781" s="18" t="s">
        <v>7147</v>
      </c>
      <c r="F781" s="18" t="s">
        <v>7148</v>
      </c>
      <c r="G781" s="16" t="s">
        <v>7149</v>
      </c>
      <c r="H781" s="16" t="s">
        <v>7150</v>
      </c>
    </row>
    <row r="782" spans="1:8" ht="16.5" customHeight="1" x14ac:dyDescent="0.25">
      <c r="A782" s="16" t="s">
        <v>2095</v>
      </c>
      <c r="B782" s="16" t="s">
        <v>2096</v>
      </c>
      <c r="C782" s="16" t="s">
        <v>7146</v>
      </c>
      <c r="E782" s="18" t="s">
        <v>7147</v>
      </c>
      <c r="F782" s="18" t="s">
        <v>7151</v>
      </c>
      <c r="G782" s="16" t="s">
        <v>7152</v>
      </c>
      <c r="H782" s="16" t="s">
        <v>7153</v>
      </c>
    </row>
    <row r="783" spans="1:8" ht="15.75" customHeight="1" x14ac:dyDescent="0.25">
      <c r="A783" s="16" t="s">
        <v>2097</v>
      </c>
      <c r="B783" s="16" t="s">
        <v>2098</v>
      </c>
    </row>
    <row r="784" spans="1:8" ht="15.75" customHeight="1" x14ac:dyDescent="0.25">
      <c r="A784" s="16" t="s">
        <v>2100</v>
      </c>
      <c r="B784" s="16" t="s">
        <v>2101</v>
      </c>
    </row>
    <row r="785" spans="1:8" ht="15.75" customHeight="1" x14ac:dyDescent="0.25">
      <c r="A785" s="16" t="s">
        <v>2104</v>
      </c>
      <c r="B785" s="16" t="s">
        <v>2105</v>
      </c>
    </row>
    <row r="786" spans="1:8" ht="15.75" customHeight="1" x14ac:dyDescent="0.25">
      <c r="A786" s="16" t="s">
        <v>2108</v>
      </c>
      <c r="B786" s="16" t="s">
        <v>2109</v>
      </c>
    </row>
    <row r="787" spans="1:8" ht="15.75" customHeight="1" x14ac:dyDescent="0.25">
      <c r="A787" s="16" t="s">
        <v>2112</v>
      </c>
      <c r="B787" s="16" t="s">
        <v>2113</v>
      </c>
      <c r="C787" s="16" t="s">
        <v>7154</v>
      </c>
      <c r="E787" s="18" t="s">
        <v>7155</v>
      </c>
      <c r="F787" s="18" t="s">
        <v>7156</v>
      </c>
      <c r="G787" s="16" t="s">
        <v>7157</v>
      </c>
      <c r="H787" s="16" t="s">
        <v>7158</v>
      </c>
    </row>
    <row r="788" spans="1:8" ht="15.75" customHeight="1" x14ac:dyDescent="0.25">
      <c r="A788" s="16" t="s">
        <v>2115</v>
      </c>
      <c r="B788" s="16" t="s">
        <v>2116</v>
      </c>
      <c r="C788" s="16" t="s">
        <v>7159</v>
      </c>
      <c r="E788" s="18" t="s">
        <v>7160</v>
      </c>
      <c r="F788" s="18" t="s">
        <v>7161</v>
      </c>
      <c r="G788" s="16" t="s">
        <v>7162</v>
      </c>
      <c r="H788" s="16" t="s">
        <v>7163</v>
      </c>
    </row>
    <row r="789" spans="1:8" ht="15.75" customHeight="1" x14ac:dyDescent="0.25">
      <c r="A789" s="16" t="s">
        <v>2119</v>
      </c>
      <c r="B789" s="16" t="s">
        <v>2120</v>
      </c>
      <c r="C789" s="16" t="s">
        <v>7164</v>
      </c>
      <c r="E789" s="18" t="s">
        <v>7165</v>
      </c>
      <c r="F789" s="18" t="s">
        <v>7166</v>
      </c>
      <c r="G789" s="16" t="s">
        <v>6912</v>
      </c>
      <c r="H789" s="16" t="s">
        <v>7167</v>
      </c>
    </row>
    <row r="790" spans="1:8" ht="15.75" customHeight="1" x14ac:dyDescent="0.25">
      <c r="A790" s="16" t="s">
        <v>2123</v>
      </c>
      <c r="B790" s="16" t="s">
        <v>2124</v>
      </c>
      <c r="C790" s="16" t="s">
        <v>7168</v>
      </c>
      <c r="E790" s="18" t="s">
        <v>7169</v>
      </c>
    </row>
    <row r="791" spans="1:8" ht="15.75" customHeight="1" x14ac:dyDescent="0.25">
      <c r="A791" s="16" t="s">
        <v>2126</v>
      </c>
      <c r="B791" s="16" t="s">
        <v>2127</v>
      </c>
    </row>
    <row r="792" spans="1:8" ht="15.75" customHeight="1" x14ac:dyDescent="0.25">
      <c r="A792" s="16" t="s">
        <v>2130</v>
      </c>
      <c r="B792" s="16" t="s">
        <v>2131</v>
      </c>
    </row>
    <row r="793" spans="1:8" ht="15.75" customHeight="1" x14ac:dyDescent="0.25">
      <c r="A793" s="16" t="s">
        <v>2134</v>
      </c>
      <c r="B793" s="16" t="s">
        <v>2135</v>
      </c>
    </row>
    <row r="794" spans="1:8" ht="15.75" customHeight="1" x14ac:dyDescent="0.25">
      <c r="A794" s="16" t="s">
        <v>2138</v>
      </c>
      <c r="B794" s="16" t="s">
        <v>2139</v>
      </c>
    </row>
    <row r="795" spans="1:8" ht="15.75" customHeight="1" x14ac:dyDescent="0.25">
      <c r="A795" s="16" t="s">
        <v>2141</v>
      </c>
      <c r="B795" s="16" t="s">
        <v>2142</v>
      </c>
    </row>
    <row r="796" spans="1:8" ht="15.75" customHeight="1" x14ac:dyDescent="0.25">
      <c r="A796" s="16" t="s">
        <v>2144</v>
      </c>
      <c r="B796" s="16" t="s">
        <v>2145</v>
      </c>
    </row>
    <row r="797" spans="1:8" ht="15.75" customHeight="1" x14ac:dyDescent="0.25">
      <c r="A797" s="16" t="s">
        <v>2148</v>
      </c>
      <c r="B797" s="16" t="s">
        <v>2149</v>
      </c>
      <c r="C797" s="16" t="s">
        <v>6251</v>
      </c>
      <c r="E797" s="18" t="s">
        <v>6252</v>
      </c>
      <c r="F797" s="18" t="s">
        <v>6253</v>
      </c>
      <c r="G797" s="16" t="s">
        <v>6254</v>
      </c>
      <c r="H797" s="16" t="s">
        <v>6255</v>
      </c>
    </row>
    <row r="798" spans="1:8" ht="15.75" customHeight="1" x14ac:dyDescent="0.25">
      <c r="A798" s="16" t="s">
        <v>2151</v>
      </c>
      <c r="B798" s="16" t="s">
        <v>2152</v>
      </c>
    </row>
    <row r="799" spans="1:8" ht="15.75" customHeight="1" x14ac:dyDescent="0.25">
      <c r="A799" s="16" t="s">
        <v>2155</v>
      </c>
      <c r="B799" s="16" t="s">
        <v>2156</v>
      </c>
      <c r="C799" s="16" t="s">
        <v>7170</v>
      </c>
    </row>
    <row r="800" spans="1:8" ht="15.75" customHeight="1" x14ac:dyDescent="0.25">
      <c r="A800" s="16" t="s">
        <v>2159</v>
      </c>
      <c r="B800" s="16" t="s">
        <v>2160</v>
      </c>
      <c r="C800" s="16" t="s">
        <v>7170</v>
      </c>
    </row>
    <row r="801" spans="1:8" ht="15.75" customHeight="1" x14ac:dyDescent="0.25">
      <c r="A801" s="16" t="s">
        <v>2162</v>
      </c>
      <c r="B801" s="16" t="s">
        <v>2163</v>
      </c>
    </row>
    <row r="802" spans="1:8" ht="15.75" customHeight="1" x14ac:dyDescent="0.25">
      <c r="A802" s="16" t="s">
        <v>2166</v>
      </c>
      <c r="B802" s="16" t="s">
        <v>2167</v>
      </c>
    </row>
    <row r="803" spans="1:8" ht="15.75" customHeight="1" x14ac:dyDescent="0.25">
      <c r="B803" s="16" t="s">
        <v>2169</v>
      </c>
    </row>
    <row r="804" spans="1:8" ht="15.75" customHeight="1" x14ac:dyDescent="0.25">
      <c r="B804" s="16" t="s">
        <v>2170</v>
      </c>
    </row>
    <row r="805" spans="1:8" ht="15.75" customHeight="1" x14ac:dyDescent="0.25">
      <c r="B805" s="16" t="s">
        <v>2172</v>
      </c>
    </row>
    <row r="806" spans="1:8" ht="15.75" customHeight="1" x14ac:dyDescent="0.25">
      <c r="B806" s="16" t="s">
        <v>2173</v>
      </c>
    </row>
    <row r="807" spans="1:8" ht="15.75" customHeight="1" x14ac:dyDescent="0.25">
      <c r="A807" s="16" t="s">
        <v>2176</v>
      </c>
      <c r="B807" s="16" t="s">
        <v>2177</v>
      </c>
      <c r="C807" s="16" t="s">
        <v>7171</v>
      </c>
      <c r="E807" s="18" t="s">
        <v>7172</v>
      </c>
      <c r="F807" s="18" t="s">
        <v>7173</v>
      </c>
      <c r="G807" s="16" t="s">
        <v>7174</v>
      </c>
      <c r="H807" s="16" t="s">
        <v>7175</v>
      </c>
    </row>
    <row r="808" spans="1:8" ht="15.75" customHeight="1" x14ac:dyDescent="0.25">
      <c r="A808" s="16" t="s">
        <v>2180</v>
      </c>
      <c r="B808" s="16" t="s">
        <v>2181</v>
      </c>
    </row>
    <row r="809" spans="1:8" ht="15.75" customHeight="1" x14ac:dyDescent="0.25">
      <c r="A809" s="16" t="s">
        <v>2183</v>
      </c>
      <c r="B809" s="16" t="s">
        <v>2184</v>
      </c>
    </row>
    <row r="810" spans="1:8" ht="15.75" customHeight="1" x14ac:dyDescent="0.25">
      <c r="A810" s="16" t="s">
        <v>2187</v>
      </c>
      <c r="B810" s="16" t="s">
        <v>2188</v>
      </c>
    </row>
    <row r="811" spans="1:8" ht="15.75" customHeight="1" x14ac:dyDescent="0.25">
      <c r="A811" s="16" t="s">
        <v>2190</v>
      </c>
      <c r="B811" s="16" t="s">
        <v>2191</v>
      </c>
    </row>
    <row r="812" spans="1:8" ht="15.75" customHeight="1" x14ac:dyDescent="0.25">
      <c r="A812" s="16" t="s">
        <v>2194</v>
      </c>
      <c r="B812" s="16" t="s">
        <v>2195</v>
      </c>
    </row>
    <row r="813" spans="1:8" ht="15.75" customHeight="1" x14ac:dyDescent="0.25">
      <c r="A813" s="16" t="s">
        <v>2198</v>
      </c>
      <c r="B813" s="16" t="s">
        <v>2199</v>
      </c>
    </row>
    <row r="814" spans="1:8" ht="15.75" customHeight="1" x14ac:dyDescent="0.25">
      <c r="A814" s="16" t="s">
        <v>2202</v>
      </c>
      <c r="B814" s="16" t="s">
        <v>2203</v>
      </c>
      <c r="C814" s="16" t="s">
        <v>7176</v>
      </c>
      <c r="E814" s="18" t="s">
        <v>7177</v>
      </c>
    </row>
    <row r="815" spans="1:8" ht="15.75" customHeight="1" x14ac:dyDescent="0.25">
      <c r="A815" s="16" t="s">
        <v>2206</v>
      </c>
      <c r="B815" s="16" t="s">
        <v>2207</v>
      </c>
      <c r="C815" s="16" t="s">
        <v>7178</v>
      </c>
      <c r="E815" s="18" t="s">
        <v>7179</v>
      </c>
      <c r="F815" s="18" t="s">
        <v>7180</v>
      </c>
      <c r="G815" s="16" t="s">
        <v>7181</v>
      </c>
      <c r="H815" s="16" t="s">
        <v>7182</v>
      </c>
    </row>
    <row r="816" spans="1:8" ht="15.75" customHeight="1" x14ac:dyDescent="0.25">
      <c r="A816" s="16" t="s">
        <v>2210</v>
      </c>
      <c r="B816" s="16" t="s">
        <v>2211</v>
      </c>
      <c r="C816" s="16" t="s">
        <v>7183</v>
      </c>
      <c r="E816" s="18" t="s">
        <v>7184</v>
      </c>
      <c r="F816" s="18" t="s">
        <v>7185</v>
      </c>
      <c r="G816" s="16" t="s">
        <v>7186</v>
      </c>
      <c r="H816" s="16" t="s">
        <v>7187</v>
      </c>
    </row>
    <row r="817" spans="1:8" ht="15.75" customHeight="1" x14ac:dyDescent="0.25">
      <c r="A817" s="16" t="s">
        <v>2210</v>
      </c>
      <c r="B817" s="16" t="s">
        <v>2211</v>
      </c>
      <c r="C817" s="16" t="s">
        <v>7183</v>
      </c>
      <c r="E817" s="18" t="s">
        <v>7184</v>
      </c>
      <c r="F817" s="18" t="s">
        <v>7188</v>
      </c>
      <c r="G817" s="16" t="s">
        <v>7189</v>
      </c>
      <c r="H817" s="16" t="s">
        <v>7190</v>
      </c>
    </row>
    <row r="818" spans="1:8" ht="15.75" customHeight="1" x14ac:dyDescent="0.25">
      <c r="A818" s="16" t="s">
        <v>2213</v>
      </c>
      <c r="B818" s="16" t="s">
        <v>2214</v>
      </c>
    </row>
    <row r="819" spans="1:8" ht="15.75" customHeight="1" x14ac:dyDescent="0.25">
      <c r="A819" s="16" t="s">
        <v>2215</v>
      </c>
      <c r="B819" s="16" t="s">
        <v>2216</v>
      </c>
    </row>
    <row r="820" spans="1:8" ht="15.75" customHeight="1" x14ac:dyDescent="0.25">
      <c r="B820" s="16" t="s">
        <v>2217</v>
      </c>
    </row>
    <row r="821" spans="1:8" ht="15.75" customHeight="1" x14ac:dyDescent="0.25">
      <c r="B821" s="16" t="s">
        <v>2218</v>
      </c>
    </row>
    <row r="822" spans="1:8" ht="15.75" customHeight="1" x14ac:dyDescent="0.25">
      <c r="B822" s="16" t="s">
        <v>2219</v>
      </c>
    </row>
    <row r="823" spans="1:8" ht="15.75" customHeight="1" x14ac:dyDescent="0.25">
      <c r="B823" s="16" t="s">
        <v>2220</v>
      </c>
    </row>
    <row r="824" spans="1:8" ht="15.75" customHeight="1" x14ac:dyDescent="0.25">
      <c r="A824" s="16" t="s">
        <v>2223</v>
      </c>
      <c r="B824" s="16" t="s">
        <v>2224</v>
      </c>
    </row>
    <row r="825" spans="1:8" ht="15.75" customHeight="1" x14ac:dyDescent="0.25">
      <c r="A825" s="16" t="s">
        <v>2227</v>
      </c>
      <c r="B825" s="16" t="s">
        <v>2228</v>
      </c>
    </row>
    <row r="826" spans="1:8" ht="15.75" customHeight="1" x14ac:dyDescent="0.25">
      <c r="A826" s="16" t="s">
        <v>2231</v>
      </c>
      <c r="B826" s="16" t="s">
        <v>2232</v>
      </c>
    </row>
    <row r="827" spans="1:8" ht="15.75" customHeight="1" x14ac:dyDescent="0.25">
      <c r="A827" s="16" t="s">
        <v>2235</v>
      </c>
      <c r="B827" s="16" t="s">
        <v>2236</v>
      </c>
    </row>
    <row r="828" spans="1:8" ht="15.75" customHeight="1" x14ac:dyDescent="0.25">
      <c r="A828" s="16" t="s">
        <v>2238</v>
      </c>
      <c r="B828" s="16" t="s">
        <v>2239</v>
      </c>
    </row>
    <row r="829" spans="1:8" ht="15.75" customHeight="1" x14ac:dyDescent="0.25">
      <c r="A829" s="16" t="s">
        <v>2241</v>
      </c>
      <c r="B829" s="16" t="s">
        <v>2242</v>
      </c>
      <c r="C829" s="16" t="s">
        <v>7191</v>
      </c>
      <c r="E829" s="18" t="s">
        <v>7192</v>
      </c>
      <c r="F829" s="18" t="s">
        <v>7193</v>
      </c>
      <c r="G829" s="16" t="s">
        <v>7194</v>
      </c>
      <c r="H829" s="16" t="s">
        <v>7195</v>
      </c>
    </row>
    <row r="830" spans="1:8" ht="16.5" customHeight="1" x14ac:dyDescent="0.25">
      <c r="A830" s="16" t="s">
        <v>2245</v>
      </c>
      <c r="B830" s="16" t="s">
        <v>2246</v>
      </c>
      <c r="C830" s="16" t="s">
        <v>7196</v>
      </c>
      <c r="E830" s="18" t="s">
        <v>7197</v>
      </c>
      <c r="F830" s="18" t="s">
        <v>7198</v>
      </c>
      <c r="G830" s="16" t="s">
        <v>7199</v>
      </c>
      <c r="H830" s="16" t="s">
        <v>7200</v>
      </c>
    </row>
    <row r="831" spans="1:8" ht="16.5" customHeight="1" x14ac:dyDescent="0.25">
      <c r="A831" s="16" t="s">
        <v>2245</v>
      </c>
      <c r="B831" s="16" t="s">
        <v>2246</v>
      </c>
      <c r="C831" s="16" t="s">
        <v>7196</v>
      </c>
      <c r="E831" s="18" t="s">
        <v>7197</v>
      </c>
      <c r="F831" s="18" t="s">
        <v>7201</v>
      </c>
      <c r="G831" s="16" t="s">
        <v>7202</v>
      </c>
      <c r="H831" s="16" t="s">
        <v>7203</v>
      </c>
    </row>
    <row r="832" spans="1:8" ht="16.5" customHeight="1" x14ac:dyDescent="0.25">
      <c r="A832" s="16" t="s">
        <v>2245</v>
      </c>
      <c r="B832" s="16" t="s">
        <v>2246</v>
      </c>
      <c r="C832" s="16" t="s">
        <v>7196</v>
      </c>
      <c r="E832" s="18" t="s">
        <v>7197</v>
      </c>
      <c r="F832" s="18" t="s">
        <v>7114</v>
      </c>
      <c r="G832" s="16" t="s">
        <v>7115</v>
      </c>
      <c r="H832" s="16" t="s">
        <v>7116</v>
      </c>
    </row>
    <row r="833" spans="1:8" ht="16.5" customHeight="1" x14ac:dyDescent="0.25">
      <c r="A833" s="16" t="s">
        <v>2245</v>
      </c>
      <c r="B833" s="16" t="s">
        <v>2246</v>
      </c>
      <c r="C833" s="16" t="s">
        <v>7196</v>
      </c>
      <c r="E833" s="18" t="s">
        <v>7197</v>
      </c>
    </row>
    <row r="834" spans="1:8" ht="15.75" customHeight="1" x14ac:dyDescent="0.25">
      <c r="A834" s="16"/>
      <c r="B834" s="16"/>
      <c r="C834" s="16"/>
      <c r="E834" s="16"/>
    </row>
    <row r="835" spans="1:8" ht="15.75" customHeight="1" x14ac:dyDescent="0.25">
      <c r="A835" s="16" t="s">
        <v>2248</v>
      </c>
      <c r="B835" s="16" t="s">
        <v>2249</v>
      </c>
    </row>
    <row r="836" spans="1:8" ht="15.75" customHeight="1" x14ac:dyDescent="0.25">
      <c r="A836" s="16" t="s">
        <v>2251</v>
      </c>
      <c r="B836" s="16" t="s">
        <v>2252</v>
      </c>
    </row>
    <row r="837" spans="1:8" ht="15.75" customHeight="1" x14ac:dyDescent="0.25">
      <c r="B837" s="16" t="s">
        <v>2253</v>
      </c>
    </row>
    <row r="838" spans="1:8" ht="15.75" customHeight="1" x14ac:dyDescent="0.25">
      <c r="A838" s="16" t="s">
        <v>2255</v>
      </c>
      <c r="B838" s="16" t="s">
        <v>2256</v>
      </c>
    </row>
    <row r="839" spans="1:8" ht="15.75" customHeight="1" x14ac:dyDescent="0.25">
      <c r="A839" s="16" t="s">
        <v>2259</v>
      </c>
      <c r="B839" s="16" t="s">
        <v>2260</v>
      </c>
      <c r="C839" s="16" t="s">
        <v>7204</v>
      </c>
      <c r="E839" s="18" t="s">
        <v>7205</v>
      </c>
    </row>
    <row r="840" spans="1:8" ht="15.75" customHeight="1" x14ac:dyDescent="0.25">
      <c r="A840" s="16" t="s">
        <v>2263</v>
      </c>
      <c r="B840" s="16" t="s">
        <v>2264</v>
      </c>
    </row>
    <row r="841" spans="1:8" ht="15.75" customHeight="1" x14ac:dyDescent="0.25">
      <c r="A841" s="16" t="s">
        <v>2266</v>
      </c>
      <c r="B841" s="16" t="s">
        <v>2267</v>
      </c>
    </row>
    <row r="842" spans="1:8" ht="15.75" customHeight="1" x14ac:dyDescent="0.25">
      <c r="A842" s="16" t="s">
        <v>2270</v>
      </c>
      <c r="B842" s="16" t="s">
        <v>2271</v>
      </c>
      <c r="C842" s="16" t="s">
        <v>7206</v>
      </c>
      <c r="E842" s="18" t="s">
        <v>7207</v>
      </c>
      <c r="F842" s="18" t="s">
        <v>7208</v>
      </c>
      <c r="G842" s="16" t="s">
        <v>7209</v>
      </c>
      <c r="H842" s="16" t="s">
        <v>7210</v>
      </c>
    </row>
    <row r="843" spans="1:8" ht="15.75" customHeight="1" x14ac:dyDescent="0.25">
      <c r="A843" s="16" t="s">
        <v>2270</v>
      </c>
      <c r="B843" s="16" t="s">
        <v>2271</v>
      </c>
      <c r="C843" s="16" t="s">
        <v>7206</v>
      </c>
      <c r="E843" s="18" t="s">
        <v>7207</v>
      </c>
      <c r="F843" s="18" t="s">
        <v>7211</v>
      </c>
      <c r="G843" s="16" t="s">
        <v>7212</v>
      </c>
      <c r="H843" s="16" t="s">
        <v>7213</v>
      </c>
    </row>
    <row r="844" spans="1:8" ht="15.75" customHeight="1" x14ac:dyDescent="0.25">
      <c r="A844" s="16" t="s">
        <v>2270</v>
      </c>
      <c r="B844" s="16" t="s">
        <v>2271</v>
      </c>
      <c r="C844" s="16" t="s">
        <v>7206</v>
      </c>
      <c r="E844" s="18" t="s">
        <v>7207</v>
      </c>
      <c r="F844" s="18" t="s">
        <v>7214</v>
      </c>
      <c r="G844" s="16" t="s">
        <v>7215</v>
      </c>
      <c r="H844" s="16" t="s">
        <v>7216</v>
      </c>
    </row>
    <row r="845" spans="1:8" ht="15.75" customHeight="1" x14ac:dyDescent="0.25">
      <c r="A845" s="16" t="s">
        <v>2270</v>
      </c>
      <c r="B845" s="16" t="s">
        <v>2271</v>
      </c>
      <c r="C845" s="16" t="s">
        <v>7206</v>
      </c>
      <c r="E845" s="18" t="s">
        <v>7207</v>
      </c>
      <c r="F845" s="18" t="s">
        <v>7217</v>
      </c>
      <c r="G845" s="16" t="s">
        <v>7218</v>
      </c>
      <c r="H845" s="16" t="s">
        <v>7219</v>
      </c>
    </row>
    <row r="846" spans="1:8" ht="15.75" customHeight="1" x14ac:dyDescent="0.25">
      <c r="A846" s="16" t="s">
        <v>2270</v>
      </c>
      <c r="B846" s="16" t="s">
        <v>2271</v>
      </c>
      <c r="C846" s="16" t="s">
        <v>7206</v>
      </c>
      <c r="E846" s="18" t="s">
        <v>7207</v>
      </c>
      <c r="F846" s="18" t="s">
        <v>7220</v>
      </c>
      <c r="G846" s="16" t="s">
        <v>7221</v>
      </c>
      <c r="H846" s="16" t="s">
        <v>7222</v>
      </c>
    </row>
    <row r="847" spans="1:8" ht="15.75" customHeight="1" x14ac:dyDescent="0.25">
      <c r="A847" s="16" t="s">
        <v>2274</v>
      </c>
      <c r="B847" s="16" t="s">
        <v>2275</v>
      </c>
    </row>
    <row r="848" spans="1:8" ht="15.75" customHeight="1" x14ac:dyDescent="0.25">
      <c r="A848" s="16" t="s">
        <v>2278</v>
      </c>
      <c r="B848" s="16" t="s">
        <v>2279</v>
      </c>
    </row>
    <row r="849" spans="1:8" ht="15.75" customHeight="1" x14ac:dyDescent="0.25">
      <c r="A849" s="16" t="s">
        <v>2282</v>
      </c>
      <c r="B849" s="16" t="s">
        <v>2283</v>
      </c>
    </row>
    <row r="850" spans="1:8" ht="15.75" customHeight="1" x14ac:dyDescent="0.25">
      <c r="A850" s="16" t="s">
        <v>2286</v>
      </c>
      <c r="B850" s="16" t="s">
        <v>2287</v>
      </c>
    </row>
    <row r="851" spans="1:8" ht="15.75" customHeight="1" x14ac:dyDescent="0.25">
      <c r="A851" s="16" t="s">
        <v>2288</v>
      </c>
      <c r="B851" s="16" t="s">
        <v>2289</v>
      </c>
    </row>
    <row r="852" spans="1:8" ht="15.75" customHeight="1" x14ac:dyDescent="0.25">
      <c r="B852" s="16" t="s">
        <v>2290</v>
      </c>
    </row>
    <row r="853" spans="1:8" ht="15.75" customHeight="1" x14ac:dyDescent="0.25">
      <c r="A853" s="16" t="s">
        <v>2292</v>
      </c>
      <c r="B853" s="16" t="s">
        <v>2293</v>
      </c>
    </row>
    <row r="854" spans="1:8" ht="15.75" customHeight="1" x14ac:dyDescent="0.25">
      <c r="A854" s="16" t="s">
        <v>2294</v>
      </c>
      <c r="B854" s="16" t="s">
        <v>2295</v>
      </c>
    </row>
    <row r="855" spans="1:8" ht="15.75" customHeight="1" x14ac:dyDescent="0.25">
      <c r="A855" s="16" t="s">
        <v>2298</v>
      </c>
      <c r="B855" s="16" t="s">
        <v>2299</v>
      </c>
      <c r="C855" s="16" t="s">
        <v>7223</v>
      </c>
    </row>
    <row r="856" spans="1:8" ht="15.75" customHeight="1" x14ac:dyDescent="0.25">
      <c r="A856" s="16" t="s">
        <v>2298</v>
      </c>
      <c r="B856" s="16" t="s">
        <v>2299</v>
      </c>
      <c r="C856" s="16" t="s">
        <v>7224</v>
      </c>
      <c r="E856" s="18" t="s">
        <v>7225</v>
      </c>
    </row>
    <row r="857" spans="1:8" ht="15.75" customHeight="1" x14ac:dyDescent="0.25">
      <c r="A857" s="16" t="s">
        <v>2300</v>
      </c>
      <c r="B857" s="16" t="s">
        <v>2301</v>
      </c>
    </row>
    <row r="858" spans="1:8" ht="15.75" customHeight="1" x14ac:dyDescent="0.25">
      <c r="A858" s="16" t="s">
        <v>2304</v>
      </c>
      <c r="B858" s="16" t="s">
        <v>2305</v>
      </c>
      <c r="C858" s="16" t="s">
        <v>7226</v>
      </c>
      <c r="E858" s="18" t="s">
        <v>7227</v>
      </c>
      <c r="F858" s="18" t="s">
        <v>7228</v>
      </c>
      <c r="G858" s="16" t="s">
        <v>7229</v>
      </c>
      <c r="H858" s="16" t="s">
        <v>7230</v>
      </c>
    </row>
    <row r="859" spans="1:8" ht="15.75" customHeight="1" x14ac:dyDescent="0.25">
      <c r="A859" s="16" t="s">
        <v>2308</v>
      </c>
      <c r="B859" s="16" t="s">
        <v>2309</v>
      </c>
    </row>
    <row r="860" spans="1:8" ht="15.75" customHeight="1" x14ac:dyDescent="0.25">
      <c r="A860" s="16" t="s">
        <v>2312</v>
      </c>
      <c r="B860" s="16" t="s">
        <v>2313</v>
      </c>
      <c r="C860" s="16" t="s">
        <v>7231</v>
      </c>
      <c r="E860" s="18" t="s">
        <v>7232</v>
      </c>
      <c r="F860" s="18" t="s">
        <v>7233</v>
      </c>
      <c r="G860" s="16" t="s">
        <v>7234</v>
      </c>
      <c r="H860" s="16" t="s">
        <v>7235</v>
      </c>
    </row>
    <row r="861" spans="1:8" ht="15.75" customHeight="1" x14ac:dyDescent="0.25">
      <c r="A861" s="16" t="s">
        <v>2312</v>
      </c>
      <c r="B861" s="16" t="s">
        <v>2313</v>
      </c>
      <c r="C861" s="16" t="s">
        <v>7231</v>
      </c>
      <c r="E861" s="18" t="s">
        <v>7232</v>
      </c>
      <c r="F861" s="18" t="s">
        <v>7236</v>
      </c>
      <c r="G861" s="16" t="s">
        <v>7237</v>
      </c>
      <c r="H861" s="16" t="s">
        <v>7238</v>
      </c>
    </row>
    <row r="862" spans="1:8" ht="15.75" customHeight="1" x14ac:dyDescent="0.25">
      <c r="A862" s="16" t="s">
        <v>2312</v>
      </c>
      <c r="B862" s="16" t="s">
        <v>2313</v>
      </c>
      <c r="C862" s="16" t="s">
        <v>7231</v>
      </c>
      <c r="E862" s="18" t="s">
        <v>7232</v>
      </c>
      <c r="F862" s="18" t="s">
        <v>7239</v>
      </c>
      <c r="G862" s="16" t="s">
        <v>7240</v>
      </c>
      <c r="H862" s="16" t="s">
        <v>7241</v>
      </c>
    </row>
    <row r="863" spans="1:8" ht="15.75" customHeight="1" x14ac:dyDescent="0.25">
      <c r="A863" s="16" t="s">
        <v>2316</v>
      </c>
      <c r="B863" s="16" t="s">
        <v>2317</v>
      </c>
    </row>
    <row r="864" spans="1:8" ht="15.75" customHeight="1" x14ac:dyDescent="0.25">
      <c r="A864" s="16" t="s">
        <v>2320</v>
      </c>
      <c r="B864" s="16" t="s">
        <v>2321</v>
      </c>
    </row>
    <row r="865" spans="1:8" ht="15.75" customHeight="1" x14ac:dyDescent="0.25">
      <c r="A865" s="16" t="s">
        <v>2324</v>
      </c>
      <c r="B865" s="16" t="s">
        <v>2325</v>
      </c>
    </row>
    <row r="866" spans="1:8" ht="15.75" customHeight="1" x14ac:dyDescent="0.25">
      <c r="A866" s="16" t="s">
        <v>2327</v>
      </c>
      <c r="B866" s="16" t="s">
        <v>2328</v>
      </c>
    </row>
    <row r="867" spans="1:8" ht="15.75" customHeight="1" x14ac:dyDescent="0.25">
      <c r="B867" s="16" t="s">
        <v>2329</v>
      </c>
    </row>
    <row r="868" spans="1:8" ht="15.75" customHeight="1" x14ac:dyDescent="0.25">
      <c r="B868" s="16" t="s">
        <v>2330</v>
      </c>
    </row>
    <row r="869" spans="1:8" ht="15.75" customHeight="1" x14ac:dyDescent="0.25">
      <c r="B869" s="16" t="s">
        <v>2331</v>
      </c>
    </row>
    <row r="870" spans="1:8" ht="15.75" customHeight="1" x14ac:dyDescent="0.25">
      <c r="A870" s="16" t="s">
        <v>2334</v>
      </c>
      <c r="B870" s="16" t="s">
        <v>2335</v>
      </c>
      <c r="C870" s="16" t="s">
        <v>7242</v>
      </c>
      <c r="E870" s="18" t="s">
        <v>7243</v>
      </c>
      <c r="F870" s="18" t="s">
        <v>7244</v>
      </c>
      <c r="G870" s="16" t="s">
        <v>7245</v>
      </c>
      <c r="H870" s="16" t="s">
        <v>7246</v>
      </c>
    </row>
    <row r="871" spans="1:8" ht="15.75" customHeight="1" x14ac:dyDescent="0.25">
      <c r="A871" s="16" t="s">
        <v>2337</v>
      </c>
      <c r="B871" s="16" t="s">
        <v>2338</v>
      </c>
    </row>
    <row r="872" spans="1:8" ht="15.75" customHeight="1" x14ac:dyDescent="0.25">
      <c r="A872" s="16" t="s">
        <v>2340</v>
      </c>
      <c r="B872" s="16" t="s">
        <v>2341</v>
      </c>
    </row>
    <row r="873" spans="1:8" ht="15.75" customHeight="1" x14ac:dyDescent="0.25">
      <c r="A873" s="16" t="s">
        <v>2343</v>
      </c>
      <c r="B873" s="16" t="s">
        <v>2344</v>
      </c>
      <c r="C873" s="16" t="s">
        <v>7247</v>
      </c>
      <c r="E873" s="18" t="s">
        <v>7248</v>
      </c>
      <c r="F873" s="18" t="s">
        <v>7249</v>
      </c>
      <c r="G873" s="16" t="s">
        <v>7250</v>
      </c>
      <c r="H873" s="16" t="s">
        <v>7251</v>
      </c>
    </row>
    <row r="874" spans="1:8" ht="15.75" customHeight="1" x14ac:dyDescent="0.25">
      <c r="A874" s="16" t="s">
        <v>2346</v>
      </c>
      <c r="B874" s="16" t="s">
        <v>2347</v>
      </c>
    </row>
    <row r="875" spans="1:8" ht="15.75" customHeight="1" x14ac:dyDescent="0.25">
      <c r="A875" s="16" t="s">
        <v>2349</v>
      </c>
      <c r="B875" s="16" t="s">
        <v>2350</v>
      </c>
    </row>
    <row r="876" spans="1:8" ht="15.75" customHeight="1" x14ac:dyDescent="0.25">
      <c r="A876" s="16" t="s">
        <v>2352</v>
      </c>
      <c r="B876" s="16" t="s">
        <v>2353</v>
      </c>
    </row>
    <row r="877" spans="1:8" ht="15.75" customHeight="1" x14ac:dyDescent="0.25">
      <c r="A877" s="16" t="s">
        <v>2356</v>
      </c>
      <c r="B877" s="16" t="s">
        <v>2357</v>
      </c>
      <c r="C877" s="16" t="s">
        <v>6696</v>
      </c>
      <c r="E877" s="18" t="s">
        <v>6697</v>
      </c>
    </row>
    <row r="878" spans="1:8" ht="15.75" customHeight="1" x14ac:dyDescent="0.25">
      <c r="A878" s="16" t="s">
        <v>2359</v>
      </c>
      <c r="B878" s="16" t="s">
        <v>2360</v>
      </c>
    </row>
    <row r="879" spans="1:8" ht="15.75" customHeight="1" x14ac:dyDescent="0.25">
      <c r="A879" s="16" t="s">
        <v>2363</v>
      </c>
      <c r="B879" s="16" t="s">
        <v>2364</v>
      </c>
      <c r="C879" s="16" t="s">
        <v>7252</v>
      </c>
      <c r="E879" s="18" t="s">
        <v>7253</v>
      </c>
      <c r="F879" s="18" t="s">
        <v>7254</v>
      </c>
      <c r="G879" s="16" t="s">
        <v>7255</v>
      </c>
      <c r="H879" s="16" t="s">
        <v>7256</v>
      </c>
    </row>
    <row r="880" spans="1:8" ht="15.75" customHeight="1" x14ac:dyDescent="0.25">
      <c r="A880" s="16" t="s">
        <v>2367</v>
      </c>
      <c r="B880" s="16" t="s">
        <v>2368</v>
      </c>
      <c r="C880" s="16" t="s">
        <v>7257</v>
      </c>
      <c r="E880" s="18" t="s">
        <v>7258</v>
      </c>
      <c r="F880" s="18" t="s">
        <v>7259</v>
      </c>
      <c r="G880" s="16" t="s">
        <v>7260</v>
      </c>
      <c r="H880" s="16" t="s">
        <v>7261</v>
      </c>
    </row>
    <row r="881" spans="1:8" ht="15.75" customHeight="1" x14ac:dyDescent="0.25">
      <c r="A881" s="16" t="s">
        <v>2370</v>
      </c>
      <c r="B881" s="16" t="s">
        <v>2371</v>
      </c>
    </row>
    <row r="882" spans="1:8" ht="15.75" customHeight="1" x14ac:dyDescent="0.25">
      <c r="A882" s="16" t="s">
        <v>2373</v>
      </c>
      <c r="B882" s="16" t="s">
        <v>2374</v>
      </c>
    </row>
    <row r="883" spans="1:8" ht="15.75" customHeight="1" x14ac:dyDescent="0.25">
      <c r="A883" s="16" t="s">
        <v>2375</v>
      </c>
      <c r="B883" s="16" t="s">
        <v>2376</v>
      </c>
    </row>
    <row r="884" spans="1:8" ht="15.75" customHeight="1" x14ac:dyDescent="0.25">
      <c r="A884" s="16" t="s">
        <v>2379</v>
      </c>
      <c r="B884" s="16" t="s">
        <v>2380</v>
      </c>
      <c r="C884" s="16" t="s">
        <v>7262</v>
      </c>
      <c r="E884" s="18" t="s">
        <v>7263</v>
      </c>
      <c r="F884" s="18" t="s">
        <v>7264</v>
      </c>
      <c r="G884" s="16" t="s">
        <v>7265</v>
      </c>
      <c r="H884" s="16" t="s">
        <v>7266</v>
      </c>
    </row>
    <row r="885" spans="1:8" ht="15.75" customHeight="1" x14ac:dyDescent="0.25">
      <c r="A885" s="16" t="s">
        <v>2379</v>
      </c>
      <c r="B885" s="16" t="s">
        <v>2380</v>
      </c>
      <c r="C885" s="16" t="s">
        <v>7262</v>
      </c>
      <c r="E885" s="18" t="s">
        <v>7263</v>
      </c>
      <c r="F885" s="18" t="s">
        <v>7267</v>
      </c>
      <c r="G885" s="16" t="s">
        <v>7268</v>
      </c>
      <c r="H885" s="16" t="s">
        <v>7269</v>
      </c>
    </row>
    <row r="886" spans="1:8" ht="15.75" customHeight="1" x14ac:dyDescent="0.25">
      <c r="A886" s="16" t="s">
        <v>2382</v>
      </c>
      <c r="B886" s="16" t="s">
        <v>2383</v>
      </c>
    </row>
    <row r="887" spans="1:8" ht="15.75" customHeight="1" x14ac:dyDescent="0.25">
      <c r="A887" s="16" t="s">
        <v>2385</v>
      </c>
      <c r="B887" s="16" t="s">
        <v>2386</v>
      </c>
    </row>
    <row r="888" spans="1:8" ht="15.75" customHeight="1" x14ac:dyDescent="0.25">
      <c r="A888" s="16" t="s">
        <v>2387</v>
      </c>
      <c r="B888" s="16" t="s">
        <v>2388</v>
      </c>
    </row>
    <row r="889" spans="1:8" ht="15.75" customHeight="1" x14ac:dyDescent="0.25">
      <c r="A889" s="16" t="s">
        <v>2390</v>
      </c>
      <c r="B889" s="16" t="s">
        <v>2391</v>
      </c>
    </row>
    <row r="890" spans="1:8" ht="15.75" customHeight="1" x14ac:dyDescent="0.25">
      <c r="B890" s="16" t="s">
        <v>2392</v>
      </c>
    </row>
    <row r="891" spans="1:8" ht="15.75" customHeight="1" x14ac:dyDescent="0.25">
      <c r="A891" s="16" t="s">
        <v>2393</v>
      </c>
      <c r="B891" s="16" t="s">
        <v>2394</v>
      </c>
    </row>
    <row r="892" spans="1:8" ht="15.75" customHeight="1" x14ac:dyDescent="0.25">
      <c r="B892" s="16" t="s">
        <v>2395</v>
      </c>
    </row>
    <row r="893" spans="1:8" ht="15.75" customHeight="1" x14ac:dyDescent="0.25">
      <c r="A893" s="16" t="s">
        <v>2396</v>
      </c>
      <c r="B893" s="16" t="s">
        <v>2397</v>
      </c>
    </row>
    <row r="894" spans="1:8" ht="15.75" customHeight="1" x14ac:dyDescent="0.25">
      <c r="A894" s="16" t="s">
        <v>2399</v>
      </c>
      <c r="B894" s="16" t="s">
        <v>2400</v>
      </c>
    </row>
    <row r="895" spans="1:8" ht="15.75" customHeight="1" x14ac:dyDescent="0.25">
      <c r="A895" s="16" t="s">
        <v>2403</v>
      </c>
      <c r="B895" s="16" t="s">
        <v>2404</v>
      </c>
    </row>
    <row r="896" spans="1:8" ht="15.75" customHeight="1" x14ac:dyDescent="0.25">
      <c r="A896" s="16" t="s">
        <v>2407</v>
      </c>
      <c r="B896" s="16" t="s">
        <v>2408</v>
      </c>
      <c r="C896" s="16" t="s">
        <v>7270</v>
      </c>
      <c r="E896" s="18" t="s">
        <v>7271</v>
      </c>
      <c r="F896" s="18" t="s">
        <v>7272</v>
      </c>
      <c r="G896" s="16" t="s">
        <v>7273</v>
      </c>
      <c r="H896" s="16" t="s">
        <v>7274</v>
      </c>
    </row>
    <row r="897" spans="1:8" ht="15.75" customHeight="1" x14ac:dyDescent="0.25">
      <c r="A897" s="16" t="s">
        <v>2407</v>
      </c>
      <c r="B897" s="16" t="s">
        <v>2408</v>
      </c>
      <c r="C897" s="16" t="s">
        <v>7270</v>
      </c>
      <c r="E897" s="18" t="s">
        <v>7271</v>
      </c>
      <c r="F897" s="18" t="s">
        <v>7275</v>
      </c>
      <c r="G897" s="16" t="s">
        <v>7276</v>
      </c>
      <c r="H897" s="16" t="s">
        <v>7277</v>
      </c>
    </row>
    <row r="898" spans="1:8" ht="15.75" customHeight="1" x14ac:dyDescent="0.25">
      <c r="A898" s="16" t="s">
        <v>2407</v>
      </c>
      <c r="B898" s="16" t="s">
        <v>2408</v>
      </c>
      <c r="C898" s="16" t="s">
        <v>7270</v>
      </c>
      <c r="E898" s="18" t="s">
        <v>7271</v>
      </c>
      <c r="F898" s="18" t="s">
        <v>7278</v>
      </c>
      <c r="G898" s="16" t="s">
        <v>7279</v>
      </c>
      <c r="H898" s="16" t="s">
        <v>7280</v>
      </c>
    </row>
    <row r="899" spans="1:8" ht="15.75" customHeight="1" x14ac:dyDescent="0.25">
      <c r="E899" s="16"/>
    </row>
    <row r="900" spans="1:8" ht="15.75" customHeight="1" x14ac:dyDescent="0.25">
      <c r="A900" s="16" t="s">
        <v>2411</v>
      </c>
      <c r="B900" s="16" t="s">
        <v>2412</v>
      </c>
    </row>
    <row r="901" spans="1:8" ht="15.75" customHeight="1" x14ac:dyDescent="0.25">
      <c r="A901" s="16" t="s">
        <v>2415</v>
      </c>
      <c r="B901" s="16" t="s">
        <v>2416</v>
      </c>
    </row>
    <row r="902" spans="1:8" ht="15.75" customHeight="1" x14ac:dyDescent="0.25">
      <c r="A902" s="16" t="s">
        <v>2419</v>
      </c>
      <c r="B902" s="16" t="s">
        <v>2420</v>
      </c>
      <c r="C902" s="16" t="s">
        <v>7281</v>
      </c>
      <c r="E902" s="18" t="s">
        <v>7282</v>
      </c>
    </row>
    <row r="903" spans="1:8" ht="15.75" customHeight="1" x14ac:dyDescent="0.25">
      <c r="A903" s="16" t="s">
        <v>2423</v>
      </c>
      <c r="B903" s="16" t="s">
        <v>2424</v>
      </c>
      <c r="C903" s="16" t="s">
        <v>7283</v>
      </c>
      <c r="E903" s="18" t="s">
        <v>7284</v>
      </c>
      <c r="F903" s="18" t="s">
        <v>7285</v>
      </c>
      <c r="G903" s="16" t="s">
        <v>7286</v>
      </c>
      <c r="H903" s="16" t="s">
        <v>7287</v>
      </c>
    </row>
    <row r="904" spans="1:8" ht="15.75" customHeight="1" x14ac:dyDescent="0.25">
      <c r="A904" s="16" t="s">
        <v>2427</v>
      </c>
      <c r="B904" s="16" t="s">
        <v>2428</v>
      </c>
      <c r="C904" s="16" t="s">
        <v>7288</v>
      </c>
      <c r="E904" s="18" t="s">
        <v>7289</v>
      </c>
      <c r="F904" s="18" t="s">
        <v>7290</v>
      </c>
      <c r="G904" s="16" t="s">
        <v>7291</v>
      </c>
      <c r="H904" s="16" t="s">
        <v>7292</v>
      </c>
    </row>
    <row r="905" spans="1:8" ht="15.75" customHeight="1" x14ac:dyDescent="0.25">
      <c r="A905" s="16" t="s">
        <v>2431</v>
      </c>
      <c r="B905" s="16" t="s">
        <v>2432</v>
      </c>
    </row>
    <row r="906" spans="1:8" ht="15.75" customHeight="1" x14ac:dyDescent="0.25">
      <c r="A906" s="16" t="s">
        <v>2435</v>
      </c>
      <c r="B906" s="16" t="s">
        <v>2436</v>
      </c>
      <c r="C906" s="16" t="s">
        <v>7293</v>
      </c>
      <c r="E906" s="18" t="s">
        <v>7294</v>
      </c>
      <c r="F906" s="18" t="s">
        <v>7295</v>
      </c>
      <c r="G906" s="16" t="s">
        <v>7296</v>
      </c>
      <c r="H906" s="16" t="s">
        <v>7297</v>
      </c>
    </row>
    <row r="907" spans="1:8" ht="15.75" customHeight="1" x14ac:dyDescent="0.25">
      <c r="A907" s="16" t="s">
        <v>2435</v>
      </c>
      <c r="B907" s="16" t="s">
        <v>2436</v>
      </c>
      <c r="C907" s="16" t="s">
        <v>7293</v>
      </c>
      <c r="E907" s="18" t="s">
        <v>7294</v>
      </c>
      <c r="F907" s="18" t="s">
        <v>7298</v>
      </c>
      <c r="G907" s="16" t="s">
        <v>6888</v>
      </c>
      <c r="H907" s="16" t="s">
        <v>7299</v>
      </c>
    </row>
    <row r="908" spans="1:8" ht="15.75" customHeight="1" x14ac:dyDescent="0.25">
      <c r="A908" s="16" t="s">
        <v>2438</v>
      </c>
      <c r="B908" s="16" t="s">
        <v>2439</v>
      </c>
    </row>
    <row r="909" spans="1:8" ht="15.75" customHeight="1" x14ac:dyDescent="0.25">
      <c r="A909" s="16" t="s">
        <v>2442</v>
      </c>
      <c r="B909" s="16" t="s">
        <v>2443</v>
      </c>
    </row>
    <row r="910" spans="1:8" ht="15.75" customHeight="1" x14ac:dyDescent="0.25">
      <c r="A910" s="16" t="s">
        <v>2445</v>
      </c>
      <c r="B910" s="16" t="s">
        <v>2446</v>
      </c>
    </row>
    <row r="911" spans="1:8" ht="15.75" customHeight="1" x14ac:dyDescent="0.3">
      <c r="A911" s="16" t="s">
        <v>2449</v>
      </c>
      <c r="B911" s="16" t="s">
        <v>2450</v>
      </c>
      <c r="C911" s="16" t="s">
        <v>7300</v>
      </c>
      <c r="E911" s="18" t="s">
        <v>7301</v>
      </c>
      <c r="F911" s="18" t="s">
        <v>7302</v>
      </c>
      <c r="G911" s="17" t="s">
        <v>7303</v>
      </c>
      <c r="H911" s="16" t="s">
        <v>7304</v>
      </c>
    </row>
    <row r="912" spans="1:8" ht="15.75" customHeight="1" x14ac:dyDescent="0.25">
      <c r="A912" s="16" t="s">
        <v>2453</v>
      </c>
      <c r="B912" s="16" t="s">
        <v>2454</v>
      </c>
      <c r="C912" s="16" t="s">
        <v>7305</v>
      </c>
      <c r="E912" s="18" t="s">
        <v>7306</v>
      </c>
      <c r="F912" s="18" t="s">
        <v>7307</v>
      </c>
      <c r="G912" s="16" t="s">
        <v>7308</v>
      </c>
      <c r="H912" s="16" t="s">
        <v>7309</v>
      </c>
    </row>
    <row r="913" spans="1:8" ht="15.75" customHeight="1" x14ac:dyDescent="0.25">
      <c r="A913" s="16" t="s">
        <v>2455</v>
      </c>
      <c r="B913" s="16" t="s">
        <v>2456</v>
      </c>
    </row>
    <row r="914" spans="1:8" ht="15.75" customHeight="1" x14ac:dyDescent="0.25">
      <c r="A914" s="16" t="s">
        <v>2459</v>
      </c>
      <c r="B914" s="16" t="s">
        <v>2460</v>
      </c>
    </row>
    <row r="915" spans="1:8" ht="15.75" customHeight="1" x14ac:dyDescent="0.25">
      <c r="A915" s="16" t="s">
        <v>2463</v>
      </c>
      <c r="B915" s="16" t="s">
        <v>2464</v>
      </c>
      <c r="C915" s="16" t="s">
        <v>7310</v>
      </c>
      <c r="E915" s="18" t="s">
        <v>7311</v>
      </c>
      <c r="F915" s="18" t="s">
        <v>7312</v>
      </c>
      <c r="G915" s="16" t="s">
        <v>7313</v>
      </c>
      <c r="H915" s="16" t="s">
        <v>7314</v>
      </c>
    </row>
    <row r="916" spans="1:8" ht="15.75" customHeight="1" x14ac:dyDescent="0.25">
      <c r="A916" s="16" t="s">
        <v>2463</v>
      </c>
      <c r="B916" s="16" t="s">
        <v>2464</v>
      </c>
      <c r="C916" s="16" t="s">
        <v>7310</v>
      </c>
      <c r="E916" s="18" t="s">
        <v>7311</v>
      </c>
      <c r="F916" s="18" t="s">
        <v>7315</v>
      </c>
      <c r="G916" s="16" t="s">
        <v>7316</v>
      </c>
      <c r="H916" s="16" t="s">
        <v>7317</v>
      </c>
    </row>
    <row r="917" spans="1:8" ht="15.75" customHeight="1" x14ac:dyDescent="0.25">
      <c r="A917" s="16" t="s">
        <v>2463</v>
      </c>
      <c r="B917" s="16" t="s">
        <v>2464</v>
      </c>
      <c r="C917" s="16" t="s">
        <v>7310</v>
      </c>
      <c r="E917" s="18" t="s">
        <v>7311</v>
      </c>
      <c r="F917" s="18" t="s">
        <v>7318</v>
      </c>
      <c r="G917" s="16" t="s">
        <v>7313</v>
      </c>
      <c r="H917" s="16" t="s">
        <v>7319</v>
      </c>
    </row>
    <row r="918" spans="1:8" ht="15.75" customHeight="1" x14ac:dyDescent="0.3">
      <c r="A918" s="16" t="s">
        <v>2463</v>
      </c>
      <c r="B918" s="16" t="s">
        <v>2464</v>
      </c>
      <c r="C918" s="16" t="s">
        <v>7310</v>
      </c>
      <c r="E918" s="18" t="s">
        <v>7311</v>
      </c>
      <c r="F918" s="18" t="s">
        <v>7320</v>
      </c>
      <c r="G918" s="16" t="s">
        <v>7321</v>
      </c>
      <c r="H918" s="17" t="s">
        <v>7322</v>
      </c>
    </row>
    <row r="919" spans="1:8" ht="15.75" customHeight="1" x14ac:dyDescent="0.25">
      <c r="A919" s="16" t="s">
        <v>2463</v>
      </c>
      <c r="B919" s="16" t="s">
        <v>2464</v>
      </c>
      <c r="C919" s="16" t="s">
        <v>7310</v>
      </c>
      <c r="E919" s="18" t="s">
        <v>7311</v>
      </c>
      <c r="F919" s="18" t="s">
        <v>7323</v>
      </c>
      <c r="G919" s="16" t="s">
        <v>7324</v>
      </c>
      <c r="H919" s="16" t="s">
        <v>7325</v>
      </c>
    </row>
    <row r="920" spans="1:8" ht="15.75" customHeight="1" x14ac:dyDescent="0.25">
      <c r="A920" s="16" t="s">
        <v>2463</v>
      </c>
      <c r="B920" s="16" t="s">
        <v>2464</v>
      </c>
      <c r="C920" s="16" t="s">
        <v>7310</v>
      </c>
      <c r="E920" s="18" t="s">
        <v>7311</v>
      </c>
      <c r="F920" s="18" t="s">
        <v>7326</v>
      </c>
      <c r="G920" s="16" t="s">
        <v>7327</v>
      </c>
      <c r="H920" s="16" t="s">
        <v>7328</v>
      </c>
    </row>
    <row r="921" spans="1:8" ht="15.75" customHeight="1" x14ac:dyDescent="0.25">
      <c r="A921" s="16" t="s">
        <v>2467</v>
      </c>
      <c r="B921" s="16" t="s">
        <v>2468</v>
      </c>
      <c r="C921" s="16" t="s">
        <v>7329</v>
      </c>
      <c r="E921" s="18" t="s">
        <v>7330</v>
      </c>
      <c r="F921" s="18" t="s">
        <v>7331</v>
      </c>
      <c r="G921" s="16" t="s">
        <v>7332</v>
      </c>
      <c r="H921" s="16" t="s">
        <v>7333</v>
      </c>
    </row>
    <row r="922" spans="1:8" ht="15.75" customHeight="1" x14ac:dyDescent="0.25">
      <c r="A922" s="16" t="s">
        <v>2467</v>
      </c>
      <c r="B922" s="16" t="s">
        <v>2468</v>
      </c>
      <c r="C922" s="16" t="s">
        <v>7329</v>
      </c>
      <c r="E922" s="18" t="s">
        <v>7330</v>
      </c>
      <c r="F922" s="18" t="s">
        <v>7334</v>
      </c>
      <c r="G922" s="16" t="s">
        <v>7335</v>
      </c>
      <c r="H922" s="16" t="s">
        <v>7336</v>
      </c>
    </row>
    <row r="923" spans="1:8" ht="15.75" customHeight="1" x14ac:dyDescent="0.25">
      <c r="A923" s="16" t="s">
        <v>2467</v>
      </c>
      <c r="B923" s="16" t="s">
        <v>2468</v>
      </c>
      <c r="C923" s="16" t="s">
        <v>7329</v>
      </c>
      <c r="E923" s="18" t="s">
        <v>7330</v>
      </c>
      <c r="F923" s="18" t="s">
        <v>7337</v>
      </c>
      <c r="G923" s="16" t="s">
        <v>7338</v>
      </c>
      <c r="H923" s="16" t="s">
        <v>7339</v>
      </c>
    </row>
    <row r="924" spans="1:8" ht="15.75" customHeight="1" x14ac:dyDescent="0.25">
      <c r="A924" s="16"/>
      <c r="B924" s="16"/>
      <c r="C924" s="16"/>
      <c r="E924" s="16"/>
    </row>
    <row r="925" spans="1:8" ht="15.75" customHeight="1" x14ac:dyDescent="0.25">
      <c r="A925" s="16" t="s">
        <v>2471</v>
      </c>
      <c r="B925" s="16" t="s">
        <v>2472</v>
      </c>
      <c r="C925" s="16" t="s">
        <v>7329</v>
      </c>
      <c r="E925" s="18" t="s">
        <v>7330</v>
      </c>
      <c r="F925" s="18" t="s">
        <v>7331</v>
      </c>
      <c r="G925" s="16" t="s">
        <v>7332</v>
      </c>
      <c r="H925" s="16" t="s">
        <v>7333</v>
      </c>
    </row>
    <row r="926" spans="1:8" ht="15.75" customHeight="1" x14ac:dyDescent="0.25">
      <c r="A926" s="16" t="s">
        <v>2471</v>
      </c>
      <c r="B926" s="16" t="s">
        <v>2472</v>
      </c>
      <c r="C926" s="16" t="s">
        <v>7329</v>
      </c>
      <c r="E926" s="18" t="s">
        <v>7330</v>
      </c>
      <c r="F926" s="18" t="s">
        <v>7334</v>
      </c>
      <c r="G926" s="16" t="s">
        <v>7335</v>
      </c>
      <c r="H926" s="16" t="s">
        <v>7336</v>
      </c>
    </row>
    <row r="927" spans="1:8" ht="15.75" customHeight="1" x14ac:dyDescent="0.25">
      <c r="A927" s="16" t="s">
        <v>2471</v>
      </c>
      <c r="B927" s="16" t="s">
        <v>2472</v>
      </c>
      <c r="C927" s="16" t="s">
        <v>7329</v>
      </c>
      <c r="E927" s="18" t="s">
        <v>7330</v>
      </c>
      <c r="F927" s="18" t="s">
        <v>7337</v>
      </c>
      <c r="G927" s="16" t="s">
        <v>7335</v>
      </c>
      <c r="H927" s="16" t="s">
        <v>7339</v>
      </c>
    </row>
    <row r="928" spans="1:8" ht="15.75" customHeight="1" x14ac:dyDescent="0.25">
      <c r="A928" s="16"/>
      <c r="B928" s="16"/>
      <c r="C928" s="16"/>
      <c r="E928" s="16"/>
    </row>
    <row r="929" spans="1:8" ht="15.75" customHeight="1" x14ac:dyDescent="0.25">
      <c r="A929" s="16" t="s">
        <v>2475</v>
      </c>
      <c r="B929" s="16" t="s">
        <v>2476</v>
      </c>
      <c r="C929" s="16" t="s">
        <v>7329</v>
      </c>
      <c r="E929" s="18" t="s">
        <v>7330</v>
      </c>
      <c r="F929" s="18" t="s">
        <v>7331</v>
      </c>
      <c r="G929" s="16" t="s">
        <v>7332</v>
      </c>
      <c r="H929" s="16" t="s">
        <v>7333</v>
      </c>
    </row>
    <row r="930" spans="1:8" ht="15.75" customHeight="1" x14ac:dyDescent="0.25">
      <c r="A930" s="16" t="s">
        <v>2475</v>
      </c>
      <c r="B930" s="16" t="s">
        <v>2476</v>
      </c>
      <c r="C930" s="16" t="s">
        <v>7329</v>
      </c>
      <c r="E930" s="18" t="s">
        <v>7330</v>
      </c>
      <c r="F930" s="18" t="s">
        <v>7334</v>
      </c>
      <c r="G930" s="16" t="s">
        <v>7335</v>
      </c>
      <c r="H930" s="16" t="s">
        <v>7336</v>
      </c>
    </row>
    <row r="931" spans="1:8" ht="15.75" customHeight="1" x14ac:dyDescent="0.25">
      <c r="A931" s="16" t="s">
        <v>2475</v>
      </c>
      <c r="B931" s="16" t="s">
        <v>2476</v>
      </c>
      <c r="C931" s="16" t="s">
        <v>7329</v>
      </c>
      <c r="E931" s="18" t="s">
        <v>7330</v>
      </c>
      <c r="F931" s="18" t="s">
        <v>7337</v>
      </c>
      <c r="G931" s="16" t="s">
        <v>7335</v>
      </c>
      <c r="H931" s="16" t="s">
        <v>7339</v>
      </c>
    </row>
    <row r="932" spans="1:8" ht="15.75" customHeight="1" x14ac:dyDescent="0.25">
      <c r="A932" s="16"/>
      <c r="B932" s="16"/>
      <c r="C932" s="16"/>
      <c r="E932" s="16"/>
    </row>
    <row r="933" spans="1:8" ht="15.75" customHeight="1" x14ac:dyDescent="0.25">
      <c r="A933" s="16" t="s">
        <v>2479</v>
      </c>
      <c r="B933" s="16" t="s">
        <v>2480</v>
      </c>
    </row>
    <row r="934" spans="1:8" ht="15.75" customHeight="1" x14ac:dyDescent="0.25">
      <c r="A934" s="16" t="s">
        <v>2483</v>
      </c>
      <c r="B934" s="16" t="s">
        <v>2484</v>
      </c>
      <c r="C934" s="16" t="s">
        <v>7340</v>
      </c>
      <c r="E934" s="18" t="s">
        <v>7341</v>
      </c>
      <c r="F934" s="18" t="s">
        <v>7342</v>
      </c>
      <c r="G934" s="16" t="s">
        <v>7343</v>
      </c>
      <c r="H934" s="16" t="s">
        <v>7344</v>
      </c>
    </row>
    <row r="935" spans="1:8" ht="15.75" customHeight="1" x14ac:dyDescent="0.25">
      <c r="A935" s="16" t="s">
        <v>2483</v>
      </c>
      <c r="B935" s="16" t="s">
        <v>2484</v>
      </c>
      <c r="C935" s="16" t="s">
        <v>7340</v>
      </c>
      <c r="E935" s="18" t="s">
        <v>7341</v>
      </c>
      <c r="F935" s="18" t="s">
        <v>7345</v>
      </c>
      <c r="G935" s="16" t="s">
        <v>7346</v>
      </c>
      <c r="H935" s="16" t="s">
        <v>7347</v>
      </c>
    </row>
    <row r="936" spans="1:8" ht="15.75" customHeight="1" x14ac:dyDescent="0.25">
      <c r="A936" s="16" t="s">
        <v>2483</v>
      </c>
      <c r="B936" s="16" t="s">
        <v>2484</v>
      </c>
      <c r="C936" s="16" t="s">
        <v>7340</v>
      </c>
      <c r="E936" s="18" t="s">
        <v>7341</v>
      </c>
      <c r="F936" s="18" t="s">
        <v>7348</v>
      </c>
      <c r="G936" s="16" t="s">
        <v>7349</v>
      </c>
      <c r="H936" s="16" t="s">
        <v>7350</v>
      </c>
    </row>
    <row r="937" spans="1:8" ht="15.75" customHeight="1" x14ac:dyDescent="0.25">
      <c r="A937" s="16"/>
      <c r="B937" s="16"/>
      <c r="C937" s="16"/>
      <c r="E937" s="16"/>
    </row>
    <row r="938" spans="1:8" ht="15.75" customHeight="1" x14ac:dyDescent="0.25">
      <c r="A938" s="16" t="s">
        <v>2486</v>
      </c>
      <c r="B938" s="16" t="s">
        <v>2487</v>
      </c>
    </row>
    <row r="939" spans="1:8" ht="15.75" customHeight="1" x14ac:dyDescent="0.25">
      <c r="A939" s="16" t="s">
        <v>2490</v>
      </c>
      <c r="B939" s="16" t="s">
        <v>2491</v>
      </c>
      <c r="C939" s="16" t="s">
        <v>7351</v>
      </c>
      <c r="E939" s="18" t="s">
        <v>7352</v>
      </c>
      <c r="F939" s="18" t="s">
        <v>7353</v>
      </c>
      <c r="G939" s="16" t="s">
        <v>7354</v>
      </c>
      <c r="H939" s="16" t="s">
        <v>7355</v>
      </c>
    </row>
    <row r="940" spans="1:8" ht="15.75" customHeight="1" x14ac:dyDescent="0.25">
      <c r="A940" s="16" t="s">
        <v>2492</v>
      </c>
      <c r="B940" s="16" t="s">
        <v>2493</v>
      </c>
      <c r="C940" s="16" t="s">
        <v>7293</v>
      </c>
      <c r="E940" s="18" t="s">
        <v>7294</v>
      </c>
      <c r="F940" s="18" t="s">
        <v>7295</v>
      </c>
      <c r="G940" s="16" t="s">
        <v>7296</v>
      </c>
      <c r="H940" s="16" t="s">
        <v>7297</v>
      </c>
    </row>
    <row r="941" spans="1:8" ht="15.75" customHeight="1" x14ac:dyDescent="0.25">
      <c r="A941" s="16" t="s">
        <v>2492</v>
      </c>
      <c r="B941" s="16" t="s">
        <v>2493</v>
      </c>
      <c r="C941" s="16" t="s">
        <v>7293</v>
      </c>
      <c r="E941" s="18" t="s">
        <v>7294</v>
      </c>
      <c r="F941" s="18" t="s">
        <v>7298</v>
      </c>
      <c r="G941" s="16" t="s">
        <v>6888</v>
      </c>
      <c r="H941" s="16" t="s">
        <v>7299</v>
      </c>
    </row>
    <row r="942" spans="1:8" ht="15.75" customHeight="1" x14ac:dyDescent="0.25">
      <c r="B942" s="16" t="s">
        <v>2494</v>
      </c>
    </row>
    <row r="943" spans="1:8" ht="15.75" customHeight="1" x14ac:dyDescent="0.25">
      <c r="A943" s="16" t="s">
        <v>2497</v>
      </c>
      <c r="B943" s="16" t="s">
        <v>2498</v>
      </c>
    </row>
    <row r="944" spans="1:8" ht="15.75" customHeight="1" x14ac:dyDescent="0.25">
      <c r="A944" s="16" t="s">
        <v>2500</v>
      </c>
      <c r="B944" s="16" t="s">
        <v>2501</v>
      </c>
    </row>
    <row r="945" spans="1:8" ht="15.75" customHeight="1" x14ac:dyDescent="0.25">
      <c r="B945" s="16" t="s">
        <v>2503</v>
      </c>
    </row>
    <row r="946" spans="1:8" ht="15.75" customHeight="1" x14ac:dyDescent="0.25">
      <c r="A946" s="16" t="s">
        <v>2505</v>
      </c>
      <c r="B946" s="16" t="s">
        <v>2506</v>
      </c>
    </row>
    <row r="947" spans="1:8" ht="15.75" customHeight="1" x14ac:dyDescent="0.25">
      <c r="A947" s="16" t="s">
        <v>2508</v>
      </c>
      <c r="B947" s="16" t="s">
        <v>2509</v>
      </c>
    </row>
    <row r="948" spans="1:8" ht="15.75" customHeight="1" x14ac:dyDescent="0.25">
      <c r="A948" s="16" t="s">
        <v>2511</v>
      </c>
      <c r="B948" s="16" t="s">
        <v>2512</v>
      </c>
      <c r="C948" s="16" t="s">
        <v>6251</v>
      </c>
      <c r="E948" s="18" t="s">
        <v>6252</v>
      </c>
      <c r="F948" s="18" t="s">
        <v>6253</v>
      </c>
      <c r="G948" s="16" t="s">
        <v>6254</v>
      </c>
      <c r="H948" s="16" t="s">
        <v>6255</v>
      </c>
    </row>
    <row r="949" spans="1:8" ht="15.75" customHeight="1" x14ac:dyDescent="0.25">
      <c r="A949" s="16" t="s">
        <v>2515</v>
      </c>
      <c r="B949" s="16" t="s">
        <v>2516</v>
      </c>
    </row>
    <row r="950" spans="1:8" ht="15.75" customHeight="1" x14ac:dyDescent="0.25">
      <c r="A950" s="16" t="s">
        <v>2519</v>
      </c>
      <c r="B950" s="16" t="s">
        <v>2520</v>
      </c>
      <c r="C950" s="16" t="s">
        <v>7356</v>
      </c>
      <c r="E950" s="18" t="s">
        <v>7357</v>
      </c>
    </row>
    <row r="951" spans="1:8" ht="15.75" customHeight="1" x14ac:dyDescent="0.25">
      <c r="A951" s="16" t="s">
        <v>2523</v>
      </c>
      <c r="B951" s="16" t="s">
        <v>2524</v>
      </c>
      <c r="C951" s="16" t="s">
        <v>7358</v>
      </c>
      <c r="E951" s="18" t="s">
        <v>7359</v>
      </c>
      <c r="F951" s="18" t="s">
        <v>7360</v>
      </c>
      <c r="G951" s="16" t="s">
        <v>7361</v>
      </c>
      <c r="H951" s="16" t="s">
        <v>7362</v>
      </c>
    </row>
    <row r="952" spans="1:8" ht="15.75" customHeight="1" x14ac:dyDescent="0.25">
      <c r="A952" s="16" t="s">
        <v>2523</v>
      </c>
      <c r="B952" s="16" t="s">
        <v>2524</v>
      </c>
      <c r="C952" s="16" t="s">
        <v>7358</v>
      </c>
      <c r="E952" s="18" t="s">
        <v>7359</v>
      </c>
      <c r="F952" s="18" t="s">
        <v>7363</v>
      </c>
      <c r="G952" s="16" t="s">
        <v>7364</v>
      </c>
      <c r="H952" s="16" t="s">
        <v>7049</v>
      </c>
    </row>
    <row r="953" spans="1:8" ht="15.75" customHeight="1" x14ac:dyDescent="0.25">
      <c r="A953" s="16" t="s">
        <v>2523</v>
      </c>
      <c r="B953" s="16" t="s">
        <v>2524</v>
      </c>
      <c r="C953" s="16" t="s">
        <v>7358</v>
      </c>
      <c r="E953" s="18" t="s">
        <v>7359</v>
      </c>
      <c r="F953" s="18" t="s">
        <v>7365</v>
      </c>
      <c r="G953" s="16" t="s">
        <v>7366</v>
      </c>
      <c r="H953" s="16" t="s">
        <v>6641</v>
      </c>
    </row>
    <row r="954" spans="1:8" ht="15.75" customHeight="1" x14ac:dyDescent="0.25">
      <c r="A954" s="16" t="s">
        <v>2523</v>
      </c>
      <c r="B954" s="16" t="s">
        <v>2524</v>
      </c>
      <c r="C954" s="16" t="s">
        <v>7358</v>
      </c>
      <c r="E954" s="18" t="s">
        <v>7359</v>
      </c>
      <c r="F954" s="18" t="s">
        <v>7367</v>
      </c>
      <c r="G954" s="16" t="s">
        <v>7368</v>
      </c>
      <c r="H954" s="16" t="s">
        <v>7055</v>
      </c>
    </row>
    <row r="955" spans="1:8" ht="15.75" customHeight="1" x14ac:dyDescent="0.25">
      <c r="A955" s="16" t="s">
        <v>2523</v>
      </c>
      <c r="B955" s="16" t="s">
        <v>2524</v>
      </c>
      <c r="C955" s="16" t="s">
        <v>7358</v>
      </c>
      <c r="E955" s="18" t="s">
        <v>7359</v>
      </c>
      <c r="F955" s="18" t="s">
        <v>7369</v>
      </c>
      <c r="G955" s="16" t="s">
        <v>7370</v>
      </c>
      <c r="H955" s="16" t="s">
        <v>7371</v>
      </c>
    </row>
    <row r="956" spans="1:8" ht="15.75" customHeight="1" x14ac:dyDescent="0.25">
      <c r="A956" s="16" t="s">
        <v>2525</v>
      </c>
      <c r="B956" s="16" t="s">
        <v>2526</v>
      </c>
    </row>
    <row r="957" spans="1:8" ht="15.75" customHeight="1" x14ac:dyDescent="0.25">
      <c r="A957" s="16" t="s">
        <v>2527</v>
      </c>
      <c r="B957" s="16" t="s">
        <v>2528</v>
      </c>
    </row>
    <row r="958" spans="1:8" ht="15.75" customHeight="1" x14ac:dyDescent="0.25">
      <c r="A958" s="16" t="s">
        <v>2531</v>
      </c>
      <c r="B958" s="16" t="s">
        <v>2532</v>
      </c>
    </row>
    <row r="959" spans="1:8" ht="15.75" customHeight="1" x14ac:dyDescent="0.25">
      <c r="A959" s="16" t="s">
        <v>2535</v>
      </c>
      <c r="B959" s="16" t="s">
        <v>2536</v>
      </c>
    </row>
    <row r="960" spans="1:8" ht="15.75" customHeight="1" x14ac:dyDescent="0.25">
      <c r="A960" s="16" t="s">
        <v>2539</v>
      </c>
      <c r="B960" s="16" t="s">
        <v>2540</v>
      </c>
      <c r="C960" s="16" t="s">
        <v>7372</v>
      </c>
      <c r="E960" s="18" t="s">
        <v>7373</v>
      </c>
      <c r="F960" s="18" t="s">
        <v>7374</v>
      </c>
      <c r="G960" s="16" t="s">
        <v>7375</v>
      </c>
      <c r="H960" s="16" t="s">
        <v>7376</v>
      </c>
    </row>
    <row r="961" spans="1:8" ht="15.75" customHeight="1" x14ac:dyDescent="0.3">
      <c r="A961" s="16" t="s">
        <v>2539</v>
      </c>
      <c r="B961" s="16" t="s">
        <v>2540</v>
      </c>
      <c r="C961" s="16" t="s">
        <v>7372</v>
      </c>
      <c r="E961" s="18" t="s">
        <v>7373</v>
      </c>
      <c r="F961" s="18" t="s">
        <v>6666</v>
      </c>
      <c r="G961" s="17" t="s">
        <v>6667</v>
      </c>
      <c r="H961" s="16" t="s">
        <v>6663</v>
      </c>
    </row>
    <row r="962" spans="1:8" ht="15.75" customHeight="1" x14ac:dyDescent="0.3">
      <c r="A962" s="16" t="s">
        <v>2539</v>
      </c>
      <c r="B962" s="16" t="s">
        <v>2540</v>
      </c>
      <c r="C962" s="16" t="s">
        <v>7372</v>
      </c>
      <c r="E962" s="18" t="s">
        <v>7373</v>
      </c>
      <c r="F962" s="18" t="s">
        <v>6668</v>
      </c>
      <c r="G962" s="17" t="s">
        <v>6669</v>
      </c>
      <c r="H962" s="16" t="s">
        <v>6670</v>
      </c>
    </row>
    <row r="963" spans="1:8" ht="15.75" customHeight="1" x14ac:dyDescent="0.25">
      <c r="A963" s="16" t="s">
        <v>2539</v>
      </c>
      <c r="B963" s="16" t="s">
        <v>2540</v>
      </c>
      <c r="C963" s="16" t="s">
        <v>7372</v>
      </c>
      <c r="E963" s="18" t="s">
        <v>7373</v>
      </c>
      <c r="F963" s="18" t="s">
        <v>7377</v>
      </c>
      <c r="G963" s="16" t="s">
        <v>7378</v>
      </c>
      <c r="H963" s="16" t="s">
        <v>7379</v>
      </c>
    </row>
    <row r="964" spans="1:8" ht="15.75" customHeight="1" x14ac:dyDescent="0.25">
      <c r="A964" s="16" t="s">
        <v>2541</v>
      </c>
      <c r="B964" s="16" t="s">
        <v>2542</v>
      </c>
    </row>
    <row r="965" spans="1:8" ht="15.75" customHeight="1" x14ac:dyDescent="0.25">
      <c r="A965" s="16" t="s">
        <v>2545</v>
      </c>
      <c r="B965" s="16" t="s">
        <v>2546</v>
      </c>
    </row>
    <row r="966" spans="1:8" ht="15.75" customHeight="1" x14ac:dyDescent="0.25">
      <c r="B966" s="16" t="s">
        <v>2548</v>
      </c>
    </row>
    <row r="967" spans="1:8" ht="15.75" customHeight="1" x14ac:dyDescent="0.25">
      <c r="A967" s="16" t="s">
        <v>2551</v>
      </c>
      <c r="B967" s="16" t="s">
        <v>2552</v>
      </c>
      <c r="C967" s="16" t="s">
        <v>7380</v>
      </c>
      <c r="E967" s="18" t="s">
        <v>7381</v>
      </c>
      <c r="F967" s="18" t="s">
        <v>7382</v>
      </c>
      <c r="G967" s="16" t="s">
        <v>7383</v>
      </c>
      <c r="H967" s="16" t="s">
        <v>7384</v>
      </c>
    </row>
    <row r="968" spans="1:8" ht="15.75" customHeight="1" x14ac:dyDescent="0.25">
      <c r="A968" s="16" t="s">
        <v>2555</v>
      </c>
      <c r="B968" s="16" t="s">
        <v>2556</v>
      </c>
    </row>
    <row r="969" spans="1:8" ht="15.75" customHeight="1" x14ac:dyDescent="0.25">
      <c r="A969" s="16" t="s">
        <v>2558</v>
      </c>
      <c r="B969" s="16" t="s">
        <v>2559</v>
      </c>
    </row>
    <row r="970" spans="1:8" ht="15.75" customHeight="1" x14ac:dyDescent="0.25">
      <c r="A970" s="16" t="s">
        <v>2561</v>
      </c>
      <c r="B970" s="16" t="s">
        <v>2562</v>
      </c>
    </row>
    <row r="971" spans="1:8" ht="15.75" customHeight="1" x14ac:dyDescent="0.25">
      <c r="A971" s="16" t="s">
        <v>2564</v>
      </c>
      <c r="B971" s="16" t="s">
        <v>2565</v>
      </c>
    </row>
    <row r="972" spans="1:8" ht="15.75" customHeight="1" x14ac:dyDescent="0.25">
      <c r="A972" s="16" t="s">
        <v>2566</v>
      </c>
      <c r="B972" s="16" t="s">
        <v>2567</v>
      </c>
    </row>
    <row r="973" spans="1:8" ht="15.75" customHeight="1" x14ac:dyDescent="0.25">
      <c r="B973" s="16" t="s">
        <v>2568</v>
      </c>
    </row>
    <row r="974" spans="1:8" ht="15.75" customHeight="1" x14ac:dyDescent="0.25">
      <c r="B974" s="16" t="s">
        <v>2569</v>
      </c>
    </row>
    <row r="975" spans="1:8" ht="15.75" customHeight="1" x14ac:dyDescent="0.25">
      <c r="B975" s="16" t="s">
        <v>2570</v>
      </c>
    </row>
    <row r="976" spans="1:8" ht="15.75" customHeight="1" x14ac:dyDescent="0.25">
      <c r="A976" s="16" t="s">
        <v>2573</v>
      </c>
      <c r="B976" s="16" t="s">
        <v>2574</v>
      </c>
      <c r="C976" s="16" t="s">
        <v>6251</v>
      </c>
      <c r="E976" s="18" t="s">
        <v>6252</v>
      </c>
      <c r="F976" s="18" t="s">
        <v>6253</v>
      </c>
      <c r="G976" s="16" t="s">
        <v>6254</v>
      </c>
      <c r="H976" s="16" t="s">
        <v>6255</v>
      </c>
    </row>
    <row r="977" spans="1:3" ht="15.75" customHeight="1" x14ac:dyDescent="0.25">
      <c r="A977" s="16" t="s">
        <v>2577</v>
      </c>
      <c r="B977" s="16" t="s">
        <v>2578</v>
      </c>
      <c r="C977" s="16" t="s">
        <v>7385</v>
      </c>
    </row>
    <row r="978" spans="1:3" ht="15.75" customHeight="1" x14ac:dyDescent="0.25">
      <c r="A978" s="16" t="s">
        <v>2581</v>
      </c>
      <c r="B978" s="16" t="s">
        <v>2582</v>
      </c>
      <c r="C978" s="16" t="s">
        <v>7385</v>
      </c>
    </row>
    <row r="979" spans="1:3" ht="15.75" customHeight="1" x14ac:dyDescent="0.25">
      <c r="A979" s="16" t="s">
        <v>2585</v>
      </c>
      <c r="B979" s="16" t="s">
        <v>2586</v>
      </c>
    </row>
    <row r="980" spans="1:3" ht="15.75" customHeight="1" x14ac:dyDescent="0.25">
      <c r="A980" s="16" t="s">
        <v>2589</v>
      </c>
      <c r="B980" s="16" t="s">
        <v>2590</v>
      </c>
    </row>
    <row r="981" spans="1:3" ht="15.75" customHeight="1" x14ac:dyDescent="0.25">
      <c r="A981" s="16" t="s">
        <v>2592</v>
      </c>
      <c r="B981" s="16" t="s">
        <v>2593</v>
      </c>
    </row>
    <row r="982" spans="1:3" ht="15.75" customHeight="1" x14ac:dyDescent="0.25">
      <c r="A982" s="16" t="s">
        <v>2595</v>
      </c>
      <c r="B982" s="16" t="s">
        <v>2596</v>
      </c>
    </row>
    <row r="983" spans="1:3" ht="15.75" customHeight="1" x14ac:dyDescent="0.25">
      <c r="A983" s="16" t="s">
        <v>2599</v>
      </c>
      <c r="B983" s="16" t="s">
        <v>2600</v>
      </c>
      <c r="C983" s="16" t="s">
        <v>6811</v>
      </c>
    </row>
    <row r="984" spans="1:3" ht="15.75" customHeight="1" x14ac:dyDescent="0.25">
      <c r="A984" s="16" t="s">
        <v>2603</v>
      </c>
      <c r="B984" s="16" t="s">
        <v>2604</v>
      </c>
      <c r="C984" s="16" t="s">
        <v>7170</v>
      </c>
    </row>
    <row r="985" spans="1:3" ht="15.75" customHeight="1" x14ac:dyDescent="0.25">
      <c r="A985" s="16" t="s">
        <v>2606</v>
      </c>
      <c r="B985" s="16" t="s">
        <v>2607</v>
      </c>
    </row>
    <row r="986" spans="1:3" ht="15.75" customHeight="1" x14ac:dyDescent="0.25">
      <c r="A986" s="16" t="s">
        <v>2609</v>
      </c>
      <c r="B986" s="16" t="s">
        <v>2610</v>
      </c>
    </row>
    <row r="987" spans="1:3" ht="15.75" customHeight="1" x14ac:dyDescent="0.25">
      <c r="B987" s="16" t="s">
        <v>2611</v>
      </c>
    </row>
    <row r="988" spans="1:3" ht="15.75" customHeight="1" x14ac:dyDescent="0.25">
      <c r="B988" s="16" t="s">
        <v>2613</v>
      </c>
    </row>
    <row r="989" spans="1:3" ht="15.75" customHeight="1" x14ac:dyDescent="0.25">
      <c r="B989" s="16" t="s">
        <v>2614</v>
      </c>
    </row>
    <row r="990" spans="1:3" ht="15.75" customHeight="1" x14ac:dyDescent="0.25">
      <c r="B990" s="16" t="s">
        <v>2615</v>
      </c>
    </row>
    <row r="991" spans="1:3" ht="15.75" customHeight="1" x14ac:dyDescent="0.25">
      <c r="B991" s="16" t="s">
        <v>2616</v>
      </c>
    </row>
    <row r="992" spans="1:3" ht="15.75" customHeight="1" x14ac:dyDescent="0.25">
      <c r="B992" s="16" t="s">
        <v>2617</v>
      </c>
    </row>
    <row r="993" spans="1:8" ht="15.75" customHeight="1" x14ac:dyDescent="0.25">
      <c r="B993" s="16" t="s">
        <v>2618</v>
      </c>
    </row>
    <row r="994" spans="1:8" ht="15.75" customHeight="1" x14ac:dyDescent="0.25">
      <c r="B994" s="16" t="s">
        <v>2619</v>
      </c>
    </row>
    <row r="995" spans="1:8" ht="15.75" customHeight="1" x14ac:dyDescent="0.25">
      <c r="A995" s="16" t="s">
        <v>2622</v>
      </c>
      <c r="B995" s="16" t="s">
        <v>2623</v>
      </c>
    </row>
    <row r="996" spans="1:8" ht="15.75" customHeight="1" x14ac:dyDescent="0.25">
      <c r="A996" s="16" t="s">
        <v>2625</v>
      </c>
      <c r="B996" s="16" t="s">
        <v>2626</v>
      </c>
    </row>
    <row r="997" spans="1:8" ht="15.75" customHeight="1" x14ac:dyDescent="0.25">
      <c r="A997" s="16" t="s">
        <v>2628</v>
      </c>
      <c r="B997" s="16" t="s">
        <v>2629</v>
      </c>
    </row>
    <row r="998" spans="1:8" ht="15.75" customHeight="1" x14ac:dyDescent="0.3">
      <c r="A998" s="16" t="s">
        <v>2631</v>
      </c>
      <c r="B998" s="16" t="s">
        <v>2632</v>
      </c>
      <c r="C998" s="16" t="s">
        <v>7386</v>
      </c>
      <c r="E998" s="18" t="s">
        <v>7387</v>
      </c>
      <c r="F998" s="18" t="s">
        <v>7388</v>
      </c>
      <c r="G998" s="17" t="s">
        <v>7389</v>
      </c>
      <c r="H998" s="16" t="s">
        <v>7390</v>
      </c>
    </row>
    <row r="999" spans="1:8" ht="15.75" customHeight="1" x14ac:dyDescent="0.25">
      <c r="A999" s="16" t="s">
        <v>2631</v>
      </c>
      <c r="B999" s="16" t="s">
        <v>2632</v>
      </c>
      <c r="C999" s="16" t="s">
        <v>7386</v>
      </c>
      <c r="E999" s="18" t="s">
        <v>7387</v>
      </c>
      <c r="F999" s="18" t="s">
        <v>7391</v>
      </c>
      <c r="G999" s="16" t="s">
        <v>7392</v>
      </c>
      <c r="H999" s="16" t="s">
        <v>7393</v>
      </c>
    </row>
    <row r="1000" spans="1:8" ht="15.75" customHeight="1" x14ac:dyDescent="0.3">
      <c r="A1000" s="16" t="s">
        <v>2635</v>
      </c>
      <c r="B1000" s="16" t="s">
        <v>2636</v>
      </c>
      <c r="C1000" s="16" t="s">
        <v>7394</v>
      </c>
      <c r="E1000" s="18" t="s">
        <v>7395</v>
      </c>
      <c r="F1000" s="18" t="s">
        <v>7396</v>
      </c>
      <c r="G1000" s="17" t="s">
        <v>7397</v>
      </c>
      <c r="H1000" s="16" t="s">
        <v>7398</v>
      </c>
    </row>
    <row r="1001" spans="1:8" ht="15.75" customHeight="1" x14ac:dyDescent="0.3">
      <c r="A1001" s="16" t="s">
        <v>2635</v>
      </c>
      <c r="B1001" s="16" t="s">
        <v>2636</v>
      </c>
      <c r="C1001" s="16" t="s">
        <v>7394</v>
      </c>
      <c r="E1001" s="18" t="s">
        <v>7395</v>
      </c>
      <c r="F1001" s="18" t="s">
        <v>7399</v>
      </c>
      <c r="G1001" s="17" t="s">
        <v>7400</v>
      </c>
      <c r="H1001" s="16" t="s">
        <v>7401</v>
      </c>
    </row>
    <row r="1002" spans="1:8" ht="15.75" customHeight="1" x14ac:dyDescent="0.3">
      <c r="A1002" s="16" t="s">
        <v>2639</v>
      </c>
      <c r="B1002" s="16" t="s">
        <v>2640</v>
      </c>
      <c r="C1002" s="16" t="s">
        <v>7402</v>
      </c>
      <c r="E1002" s="18" t="s">
        <v>7403</v>
      </c>
      <c r="F1002" s="18" t="s">
        <v>7404</v>
      </c>
      <c r="G1002" s="17" t="s">
        <v>7405</v>
      </c>
      <c r="H1002" s="16" t="s">
        <v>7406</v>
      </c>
    </row>
    <row r="1003" spans="1:8" ht="15.75" customHeight="1" x14ac:dyDescent="0.25">
      <c r="A1003" s="16" t="s">
        <v>2642</v>
      </c>
      <c r="B1003" s="16" t="s">
        <v>2643</v>
      </c>
    </row>
    <row r="1004" spans="1:8" ht="15.75" customHeight="1" x14ac:dyDescent="0.25">
      <c r="A1004" s="16" t="s">
        <v>2645</v>
      </c>
      <c r="B1004" s="16" t="s">
        <v>2646</v>
      </c>
    </row>
    <row r="1005" spans="1:8" ht="15.75" customHeight="1" x14ac:dyDescent="0.25">
      <c r="A1005" s="16" t="s">
        <v>2649</v>
      </c>
      <c r="B1005" s="16" t="s">
        <v>2650</v>
      </c>
      <c r="C1005" s="16" t="s">
        <v>7407</v>
      </c>
      <c r="E1005" s="18" t="s">
        <v>7408</v>
      </c>
      <c r="F1005" s="18" t="s">
        <v>7409</v>
      </c>
      <c r="G1005" s="16" t="s">
        <v>7410</v>
      </c>
      <c r="H1005" s="16" t="s">
        <v>7411</v>
      </c>
    </row>
    <row r="1006" spans="1:8" ht="15.75" customHeight="1" x14ac:dyDescent="0.25">
      <c r="A1006" s="16" t="s">
        <v>2649</v>
      </c>
      <c r="B1006" s="16" t="s">
        <v>2650</v>
      </c>
      <c r="C1006" s="16" t="s">
        <v>7412</v>
      </c>
      <c r="E1006" s="18" t="s">
        <v>7413</v>
      </c>
      <c r="F1006" s="18" t="s">
        <v>7414</v>
      </c>
      <c r="G1006" s="16" t="s">
        <v>7415</v>
      </c>
      <c r="H1006" s="16" t="s">
        <v>7416</v>
      </c>
    </row>
    <row r="1007" spans="1:8" ht="15.75" customHeight="1" x14ac:dyDescent="0.25">
      <c r="B1007" s="16" t="s">
        <v>2651</v>
      </c>
    </row>
    <row r="1008" spans="1:8" ht="15.75" customHeight="1" x14ac:dyDescent="0.25">
      <c r="B1008" s="16" t="s">
        <v>2652</v>
      </c>
    </row>
    <row r="1009" spans="1:8" ht="15.75" customHeight="1" x14ac:dyDescent="0.25">
      <c r="A1009" s="16" t="s">
        <v>2655</v>
      </c>
      <c r="B1009" s="16" t="s">
        <v>2656</v>
      </c>
    </row>
    <row r="1010" spans="1:8" ht="15.75" customHeight="1" x14ac:dyDescent="0.25">
      <c r="A1010" s="16" t="s">
        <v>2659</v>
      </c>
      <c r="B1010" s="16" t="s">
        <v>2660</v>
      </c>
      <c r="C1010" s="16" t="s">
        <v>7417</v>
      </c>
      <c r="E1010" s="18" t="s">
        <v>7418</v>
      </c>
      <c r="F1010" s="18" t="s">
        <v>7419</v>
      </c>
      <c r="G1010" s="16" t="s">
        <v>7420</v>
      </c>
      <c r="H1010" s="16" t="s">
        <v>7421</v>
      </c>
    </row>
    <row r="1011" spans="1:8" ht="15.75" customHeight="1" x14ac:dyDescent="0.25">
      <c r="A1011" s="16" t="s">
        <v>2659</v>
      </c>
      <c r="B1011" s="16" t="s">
        <v>2660</v>
      </c>
      <c r="C1011" s="16" t="s">
        <v>7417</v>
      </c>
      <c r="E1011" s="18" t="s">
        <v>7418</v>
      </c>
      <c r="F1011" s="18" t="s">
        <v>7422</v>
      </c>
      <c r="G1011" s="16" t="s">
        <v>7423</v>
      </c>
      <c r="H1011" s="16" t="s">
        <v>7424</v>
      </c>
    </row>
    <row r="1012" spans="1:8" ht="15.75" customHeight="1" x14ac:dyDescent="0.3">
      <c r="A1012" s="16" t="s">
        <v>2663</v>
      </c>
      <c r="B1012" s="16" t="s">
        <v>2664</v>
      </c>
      <c r="C1012" s="16" t="s">
        <v>7425</v>
      </c>
      <c r="E1012" s="18" t="s">
        <v>7426</v>
      </c>
      <c r="F1012" s="18" t="s">
        <v>7427</v>
      </c>
      <c r="G1012" s="17" t="s">
        <v>7428</v>
      </c>
      <c r="H1012" s="16" t="s">
        <v>7429</v>
      </c>
    </row>
    <row r="1013" spans="1:8" ht="15.75" customHeight="1" x14ac:dyDescent="0.25">
      <c r="A1013" s="16" t="s">
        <v>2667</v>
      </c>
      <c r="B1013" s="16" t="s">
        <v>2668</v>
      </c>
      <c r="C1013" s="16" t="s">
        <v>7430</v>
      </c>
      <c r="E1013" s="18" t="s">
        <v>7431</v>
      </c>
      <c r="F1013" s="18" t="s">
        <v>7432</v>
      </c>
      <c r="G1013" s="16" t="s">
        <v>7433</v>
      </c>
      <c r="H1013" s="16" t="s">
        <v>7434</v>
      </c>
    </row>
    <row r="1014" spans="1:8" ht="15.75" customHeight="1" x14ac:dyDescent="0.25">
      <c r="A1014" s="16" t="s">
        <v>2667</v>
      </c>
      <c r="B1014" s="16" t="s">
        <v>2668</v>
      </c>
      <c r="C1014" s="16" t="s">
        <v>7430</v>
      </c>
      <c r="E1014" s="18" t="s">
        <v>7431</v>
      </c>
      <c r="F1014" s="18" t="s">
        <v>7435</v>
      </c>
      <c r="G1014" s="16" t="s">
        <v>7436</v>
      </c>
      <c r="H1014" s="16" t="s">
        <v>7437</v>
      </c>
    </row>
    <row r="1015" spans="1:8" ht="15.75" customHeight="1" x14ac:dyDescent="0.25">
      <c r="A1015" s="16" t="s">
        <v>2671</v>
      </c>
      <c r="B1015" s="16" t="s">
        <v>2672</v>
      </c>
      <c r="C1015" s="16" t="s">
        <v>7438</v>
      </c>
      <c r="E1015" s="18" t="s">
        <v>7439</v>
      </c>
      <c r="F1015" s="18" t="s">
        <v>7440</v>
      </c>
      <c r="G1015" s="16" t="s">
        <v>7441</v>
      </c>
      <c r="H1015" s="16" t="s">
        <v>7442</v>
      </c>
    </row>
    <row r="1016" spans="1:8" ht="15.75" customHeight="1" x14ac:dyDescent="0.25">
      <c r="A1016" s="16" t="s">
        <v>2674</v>
      </c>
      <c r="B1016" s="16" t="s">
        <v>2675</v>
      </c>
    </row>
    <row r="1017" spans="1:8" ht="15.75" customHeight="1" x14ac:dyDescent="0.25">
      <c r="A1017" s="16" t="s">
        <v>2678</v>
      </c>
      <c r="B1017" s="16" t="s">
        <v>2679</v>
      </c>
    </row>
    <row r="1018" spans="1:8" ht="15.75" customHeight="1" x14ac:dyDescent="0.25">
      <c r="A1018" s="16" t="s">
        <v>2682</v>
      </c>
      <c r="B1018" s="16" t="s">
        <v>2683</v>
      </c>
      <c r="C1018" s="16" t="s">
        <v>7443</v>
      </c>
      <c r="E1018" s="18" t="s">
        <v>7444</v>
      </c>
    </row>
    <row r="1019" spans="1:8" ht="15.75" customHeight="1" x14ac:dyDescent="0.25">
      <c r="A1019" s="16" t="s">
        <v>2682</v>
      </c>
      <c r="B1019" s="16" t="s">
        <v>2683</v>
      </c>
      <c r="C1019" s="16" t="s">
        <v>7445</v>
      </c>
      <c r="E1019" s="18" t="s">
        <v>7446</v>
      </c>
    </row>
    <row r="1020" spans="1:8" ht="15.75" customHeight="1" x14ac:dyDescent="0.25">
      <c r="A1020" s="16" t="s">
        <v>2685</v>
      </c>
      <c r="B1020" s="16" t="s">
        <v>2686</v>
      </c>
      <c r="C1020" s="16" t="s">
        <v>7447</v>
      </c>
      <c r="E1020" s="18" t="s">
        <v>7448</v>
      </c>
    </row>
    <row r="1021" spans="1:8" ht="15.75" customHeight="1" x14ac:dyDescent="0.25">
      <c r="A1021" s="16" t="s">
        <v>2688</v>
      </c>
      <c r="B1021" s="16" t="s">
        <v>2689</v>
      </c>
    </row>
    <row r="1022" spans="1:8" ht="15.75" customHeight="1" x14ac:dyDescent="0.25">
      <c r="A1022" s="16" t="s">
        <v>2691</v>
      </c>
      <c r="B1022" s="16" t="s">
        <v>2692</v>
      </c>
    </row>
    <row r="1023" spans="1:8" ht="15.75" customHeight="1" x14ac:dyDescent="0.25">
      <c r="A1023" s="16" t="s">
        <v>2693</v>
      </c>
      <c r="B1023" s="16" t="s">
        <v>2694</v>
      </c>
    </row>
    <row r="1024" spans="1:8" ht="15.75" customHeight="1" x14ac:dyDescent="0.25">
      <c r="A1024" s="16" t="s">
        <v>2697</v>
      </c>
      <c r="B1024" s="16" t="s">
        <v>2698</v>
      </c>
    </row>
    <row r="1025" spans="1:8" ht="15.75" customHeight="1" x14ac:dyDescent="0.3">
      <c r="A1025" s="16" t="s">
        <v>2701</v>
      </c>
      <c r="B1025" s="16" t="s">
        <v>2702</v>
      </c>
      <c r="C1025" s="16" t="s">
        <v>7449</v>
      </c>
      <c r="E1025" s="18" t="s">
        <v>7450</v>
      </c>
      <c r="F1025" s="18" t="s">
        <v>7451</v>
      </c>
      <c r="G1025" s="17" t="s">
        <v>7452</v>
      </c>
      <c r="H1025" s="16" t="s">
        <v>7453</v>
      </c>
    </row>
    <row r="1026" spans="1:8" ht="15.75" customHeight="1" x14ac:dyDescent="0.25">
      <c r="B1026" s="16" t="s">
        <v>2703</v>
      </c>
    </row>
    <row r="1027" spans="1:8" ht="15.75" customHeight="1" x14ac:dyDescent="0.25">
      <c r="B1027" s="16" t="s">
        <v>2704</v>
      </c>
    </row>
    <row r="1028" spans="1:8" ht="15.75" customHeight="1" x14ac:dyDescent="0.25">
      <c r="B1028" s="16" t="s">
        <v>2705</v>
      </c>
    </row>
    <row r="1029" spans="1:8" ht="15.75" customHeight="1" x14ac:dyDescent="0.25">
      <c r="B1029" s="16" t="s">
        <v>2706</v>
      </c>
    </row>
    <row r="1030" spans="1:8" ht="15.75" customHeight="1" x14ac:dyDescent="0.25">
      <c r="B1030" s="16" t="s">
        <v>2707</v>
      </c>
    </row>
    <row r="1031" spans="1:8" ht="15.75" customHeight="1" x14ac:dyDescent="0.25">
      <c r="A1031" s="16" t="s">
        <v>2710</v>
      </c>
      <c r="B1031" s="16" t="s">
        <v>2711</v>
      </c>
    </row>
    <row r="1032" spans="1:8" ht="15.75" customHeight="1" x14ac:dyDescent="0.25">
      <c r="A1032" s="16" t="s">
        <v>2713</v>
      </c>
      <c r="B1032" s="16" t="s">
        <v>2714</v>
      </c>
    </row>
    <row r="1033" spans="1:8" ht="15.75" customHeight="1" x14ac:dyDescent="0.25">
      <c r="A1033" s="16" t="s">
        <v>2715</v>
      </c>
      <c r="B1033" s="16" t="s">
        <v>2716</v>
      </c>
    </row>
    <row r="1034" spans="1:8" ht="15.75" customHeight="1" x14ac:dyDescent="0.3">
      <c r="A1034" s="16" t="s">
        <v>2719</v>
      </c>
      <c r="B1034" s="16" t="s">
        <v>2720</v>
      </c>
      <c r="C1034" s="16" t="s">
        <v>7454</v>
      </c>
      <c r="E1034" s="18" t="s">
        <v>7455</v>
      </c>
      <c r="F1034" s="18" t="s">
        <v>7456</v>
      </c>
      <c r="G1034" s="17" t="s">
        <v>7457</v>
      </c>
      <c r="H1034" s="16" t="s">
        <v>7458</v>
      </c>
    </row>
    <row r="1035" spans="1:8" ht="15.75" customHeight="1" x14ac:dyDescent="0.25">
      <c r="A1035" s="16" t="s">
        <v>2722</v>
      </c>
      <c r="B1035" s="16" t="s">
        <v>2723</v>
      </c>
    </row>
    <row r="1036" spans="1:8" ht="15.75" customHeight="1" x14ac:dyDescent="0.25">
      <c r="A1036" s="16" t="s">
        <v>2726</v>
      </c>
      <c r="B1036" s="16" t="s">
        <v>2727</v>
      </c>
    </row>
    <row r="1037" spans="1:8" ht="15.75" customHeight="1" x14ac:dyDescent="0.25">
      <c r="A1037" s="16" t="s">
        <v>2730</v>
      </c>
      <c r="B1037" s="16" t="s">
        <v>2731</v>
      </c>
      <c r="C1037" s="16" t="s">
        <v>6696</v>
      </c>
      <c r="E1037" s="18" t="s">
        <v>6697</v>
      </c>
    </row>
    <row r="1038" spans="1:8" ht="15.75" customHeight="1" x14ac:dyDescent="0.25">
      <c r="A1038" s="16" t="s">
        <v>2734</v>
      </c>
      <c r="B1038" s="16" t="s">
        <v>2735</v>
      </c>
      <c r="C1038" s="16" t="s">
        <v>7459</v>
      </c>
      <c r="E1038" s="18" t="s">
        <v>7460</v>
      </c>
      <c r="F1038" s="18" t="s">
        <v>7461</v>
      </c>
      <c r="G1038" s="16" t="s">
        <v>7462</v>
      </c>
      <c r="H1038" s="16" t="s">
        <v>7463</v>
      </c>
    </row>
    <row r="1039" spans="1:8" ht="15.75" customHeight="1" x14ac:dyDescent="0.25">
      <c r="A1039" s="16" t="s">
        <v>2738</v>
      </c>
      <c r="B1039" s="16" t="s">
        <v>2739</v>
      </c>
    </row>
    <row r="1040" spans="1:8" ht="15.75" customHeight="1" x14ac:dyDescent="0.25">
      <c r="A1040" s="16" t="s">
        <v>2741</v>
      </c>
      <c r="B1040" s="16" t="s">
        <v>2742</v>
      </c>
    </row>
    <row r="1041" spans="1:8" ht="15.75" customHeight="1" x14ac:dyDescent="0.25">
      <c r="A1041" s="16" t="s">
        <v>2744</v>
      </c>
      <c r="B1041" s="16" t="s">
        <v>2745</v>
      </c>
      <c r="C1041" s="16" t="s">
        <v>7464</v>
      </c>
      <c r="E1041" s="18" t="s">
        <v>7465</v>
      </c>
      <c r="F1041" s="18" t="s">
        <v>7466</v>
      </c>
      <c r="G1041" s="16" t="s">
        <v>7467</v>
      </c>
      <c r="H1041" s="16" t="s">
        <v>7468</v>
      </c>
    </row>
    <row r="1042" spans="1:8" ht="15.75" customHeight="1" x14ac:dyDescent="0.25">
      <c r="A1042" s="16" t="s">
        <v>2744</v>
      </c>
      <c r="B1042" s="16" t="s">
        <v>2745</v>
      </c>
      <c r="C1042" s="16" t="s">
        <v>7464</v>
      </c>
      <c r="E1042" s="18" t="s">
        <v>7465</v>
      </c>
      <c r="F1042" s="18" t="s">
        <v>7469</v>
      </c>
      <c r="G1042" s="16" t="s">
        <v>7470</v>
      </c>
      <c r="H1042" s="16" t="s">
        <v>7471</v>
      </c>
    </row>
    <row r="1043" spans="1:8" ht="15.75" customHeight="1" x14ac:dyDescent="0.25">
      <c r="A1043" s="16" t="s">
        <v>2744</v>
      </c>
      <c r="B1043" s="16" t="s">
        <v>2745</v>
      </c>
      <c r="C1043" s="16" t="s">
        <v>7464</v>
      </c>
      <c r="E1043" s="18" t="s">
        <v>7465</v>
      </c>
      <c r="F1043" s="18" t="s">
        <v>7472</v>
      </c>
      <c r="G1043" s="16" t="s">
        <v>7473</v>
      </c>
      <c r="H1043" s="16" t="s">
        <v>7474</v>
      </c>
    </row>
    <row r="1044" spans="1:8" ht="15.75" customHeight="1" x14ac:dyDescent="0.3">
      <c r="A1044" s="16" t="s">
        <v>2748</v>
      </c>
      <c r="B1044" s="16" t="s">
        <v>2749</v>
      </c>
      <c r="C1044" s="16" t="s">
        <v>7475</v>
      </c>
      <c r="E1044" s="18" t="s">
        <v>7476</v>
      </c>
      <c r="F1044" s="18" t="s">
        <v>7477</v>
      </c>
      <c r="G1044" s="17" t="s">
        <v>7478</v>
      </c>
      <c r="H1044" s="16" t="s">
        <v>7479</v>
      </c>
    </row>
    <row r="1045" spans="1:8" ht="15.75" customHeight="1" x14ac:dyDescent="0.25">
      <c r="A1045" s="16" t="s">
        <v>2751</v>
      </c>
      <c r="B1045" s="16" t="s">
        <v>2752</v>
      </c>
    </row>
    <row r="1046" spans="1:8" ht="15.75" customHeight="1" x14ac:dyDescent="0.25">
      <c r="A1046" s="16" t="s">
        <v>2754</v>
      </c>
      <c r="B1046" s="16" t="s">
        <v>2755</v>
      </c>
    </row>
    <row r="1047" spans="1:8" ht="15.75" customHeight="1" x14ac:dyDescent="0.25">
      <c r="A1047" s="16" t="s">
        <v>2756</v>
      </c>
      <c r="B1047" s="16" t="s">
        <v>2757</v>
      </c>
    </row>
    <row r="1048" spans="1:8" ht="15.75" customHeight="1" x14ac:dyDescent="0.25">
      <c r="A1048" s="16" t="s">
        <v>2760</v>
      </c>
      <c r="B1048" s="16" t="s">
        <v>2761</v>
      </c>
      <c r="C1048" s="16" t="s">
        <v>7480</v>
      </c>
      <c r="E1048" s="18" t="s">
        <v>7481</v>
      </c>
      <c r="F1048" s="18" t="s">
        <v>7482</v>
      </c>
      <c r="G1048" s="16" t="s">
        <v>7483</v>
      </c>
      <c r="H1048" s="16" t="s">
        <v>7484</v>
      </c>
    </row>
    <row r="1049" spans="1:8" ht="15.75" customHeight="1" x14ac:dyDescent="0.3">
      <c r="A1049" s="16" t="s">
        <v>2760</v>
      </c>
      <c r="B1049" s="16" t="s">
        <v>2761</v>
      </c>
      <c r="C1049" s="16" t="s">
        <v>7480</v>
      </c>
      <c r="E1049" s="18" t="s">
        <v>7481</v>
      </c>
      <c r="F1049" s="18" t="s">
        <v>7485</v>
      </c>
      <c r="G1049" s="17" t="s">
        <v>7486</v>
      </c>
      <c r="H1049" s="16" t="s">
        <v>7484</v>
      </c>
    </row>
    <row r="1050" spans="1:8" ht="15.75" customHeight="1" x14ac:dyDescent="0.3">
      <c r="A1050" s="16" t="s">
        <v>2760</v>
      </c>
      <c r="B1050" s="16" t="s">
        <v>2761</v>
      </c>
      <c r="C1050" s="16" t="s">
        <v>7480</v>
      </c>
      <c r="E1050" s="18" t="s">
        <v>7481</v>
      </c>
      <c r="F1050" s="18" t="s">
        <v>7487</v>
      </c>
      <c r="G1050" s="17" t="s">
        <v>7488</v>
      </c>
      <c r="H1050" s="16" t="s">
        <v>7489</v>
      </c>
    </row>
    <row r="1051" spans="1:8" ht="15.75" customHeight="1" x14ac:dyDescent="0.25">
      <c r="A1051" s="16" t="s">
        <v>2764</v>
      </c>
      <c r="B1051" s="16" t="s">
        <v>2765</v>
      </c>
      <c r="C1051" s="16" t="s">
        <v>7490</v>
      </c>
      <c r="E1051" s="18" t="s">
        <v>7491</v>
      </c>
      <c r="F1051" s="18" t="s">
        <v>7492</v>
      </c>
      <c r="G1051" s="16" t="s">
        <v>7493</v>
      </c>
      <c r="H1051" s="16" t="s">
        <v>7494</v>
      </c>
    </row>
    <row r="1052" spans="1:8" ht="15.75" customHeight="1" x14ac:dyDescent="0.25">
      <c r="A1052" s="16" t="s">
        <v>2764</v>
      </c>
      <c r="B1052" s="16" t="s">
        <v>2765</v>
      </c>
      <c r="C1052" s="16" t="s">
        <v>7490</v>
      </c>
      <c r="E1052" s="18" t="s">
        <v>7491</v>
      </c>
      <c r="F1052" s="18" t="s">
        <v>7495</v>
      </c>
      <c r="G1052" s="16" t="s">
        <v>7496</v>
      </c>
      <c r="H1052" s="16" t="s">
        <v>7494</v>
      </c>
    </row>
    <row r="1053" spans="1:8" ht="15.75" customHeight="1" x14ac:dyDescent="0.3">
      <c r="A1053" s="16" t="s">
        <v>2764</v>
      </c>
      <c r="B1053" s="16" t="s">
        <v>2765</v>
      </c>
      <c r="C1053" s="16" t="s">
        <v>7490</v>
      </c>
      <c r="E1053" s="18" t="s">
        <v>7491</v>
      </c>
      <c r="F1053" s="18" t="s">
        <v>7497</v>
      </c>
      <c r="G1053" s="17" t="s">
        <v>7498</v>
      </c>
      <c r="H1053" s="16" t="s">
        <v>7499</v>
      </c>
    </row>
    <row r="1054" spans="1:8" ht="15.75" customHeight="1" x14ac:dyDescent="0.25">
      <c r="A1054" s="16" t="s">
        <v>2764</v>
      </c>
      <c r="B1054" s="16" t="s">
        <v>2765</v>
      </c>
      <c r="C1054" s="16" t="s">
        <v>7490</v>
      </c>
      <c r="E1054" s="18" t="s">
        <v>7491</v>
      </c>
      <c r="F1054" s="18" t="s">
        <v>6661</v>
      </c>
      <c r="G1054" s="16" t="s">
        <v>6662</v>
      </c>
      <c r="H1054" s="16" t="s">
        <v>6663</v>
      </c>
    </row>
    <row r="1055" spans="1:8" ht="15.75" customHeight="1" x14ac:dyDescent="0.25">
      <c r="A1055" s="16" t="s">
        <v>2764</v>
      </c>
      <c r="B1055" s="16" t="s">
        <v>2765</v>
      </c>
      <c r="C1055" s="16" t="s">
        <v>7490</v>
      </c>
      <c r="E1055" s="18" t="s">
        <v>7491</v>
      </c>
      <c r="F1055" s="18" t="s">
        <v>6671</v>
      </c>
      <c r="G1055" s="16" t="s">
        <v>6672</v>
      </c>
      <c r="H1055" s="16" t="s">
        <v>6673</v>
      </c>
    </row>
    <row r="1056" spans="1:8" ht="15.75" customHeight="1" x14ac:dyDescent="0.3">
      <c r="A1056" s="16" t="s">
        <v>2768</v>
      </c>
      <c r="B1056" s="16" t="s">
        <v>2769</v>
      </c>
      <c r="C1056" s="16" t="s">
        <v>6344</v>
      </c>
      <c r="E1056" s="18" t="s">
        <v>6345</v>
      </c>
      <c r="F1056" s="18" t="s">
        <v>6346</v>
      </c>
      <c r="G1056" s="17" t="s">
        <v>6347</v>
      </c>
      <c r="H1056" s="17" t="s">
        <v>6348</v>
      </c>
    </row>
    <row r="1057" spans="1:8" ht="15.75" customHeight="1" x14ac:dyDescent="0.25">
      <c r="A1057" s="16" t="s">
        <v>2768</v>
      </c>
      <c r="B1057" s="16" t="s">
        <v>2769</v>
      </c>
      <c r="C1057" s="16" t="s">
        <v>6344</v>
      </c>
      <c r="E1057" s="18" t="s">
        <v>6345</v>
      </c>
      <c r="F1057" s="18" t="s">
        <v>6349</v>
      </c>
      <c r="G1057" s="16" t="s">
        <v>6350</v>
      </c>
      <c r="H1057" s="16" t="s">
        <v>6348</v>
      </c>
    </row>
    <row r="1058" spans="1:8" ht="15.75" customHeight="1" x14ac:dyDescent="0.25">
      <c r="A1058" s="16" t="s">
        <v>2768</v>
      </c>
      <c r="B1058" s="16" t="s">
        <v>2769</v>
      </c>
      <c r="C1058" s="16" t="s">
        <v>6344</v>
      </c>
      <c r="E1058" s="18" t="s">
        <v>6345</v>
      </c>
      <c r="F1058" s="18" t="s">
        <v>6351</v>
      </c>
      <c r="G1058" s="16" t="s">
        <v>6352</v>
      </c>
      <c r="H1058" s="16" t="s">
        <v>6348</v>
      </c>
    </row>
    <row r="1059" spans="1:8" ht="15.75" customHeight="1" x14ac:dyDescent="0.25">
      <c r="A1059" s="16" t="s">
        <v>2768</v>
      </c>
      <c r="B1059" s="16" t="s">
        <v>2769</v>
      </c>
      <c r="C1059" s="16" t="s">
        <v>6344</v>
      </c>
      <c r="E1059" s="18" t="s">
        <v>6345</v>
      </c>
      <c r="F1059" s="18" t="s">
        <v>6353</v>
      </c>
      <c r="G1059" s="16" t="s">
        <v>6354</v>
      </c>
      <c r="H1059" s="16" t="s">
        <v>6348</v>
      </c>
    </row>
    <row r="1060" spans="1:8" ht="15.75" customHeight="1" x14ac:dyDescent="0.3">
      <c r="A1060" s="16" t="s">
        <v>2768</v>
      </c>
      <c r="B1060" s="16" t="s">
        <v>2769</v>
      </c>
      <c r="C1060" s="16" t="s">
        <v>6344</v>
      </c>
      <c r="E1060" s="18" t="s">
        <v>6345</v>
      </c>
      <c r="F1060" s="18" t="s">
        <v>6355</v>
      </c>
      <c r="G1060" s="17" t="s">
        <v>6356</v>
      </c>
      <c r="H1060" s="16" t="s">
        <v>6348</v>
      </c>
    </row>
    <row r="1061" spans="1:8" ht="15.75" customHeight="1" x14ac:dyDescent="0.25">
      <c r="A1061" s="16" t="s">
        <v>2768</v>
      </c>
      <c r="B1061" s="16" t="s">
        <v>2769</v>
      </c>
      <c r="C1061" s="16" t="s">
        <v>6344</v>
      </c>
      <c r="E1061" s="18" t="s">
        <v>6345</v>
      </c>
      <c r="F1061" s="18" t="s">
        <v>6357</v>
      </c>
      <c r="G1061" s="16" t="s">
        <v>6358</v>
      </c>
      <c r="H1061" s="16" t="s">
        <v>6359</v>
      </c>
    </row>
    <row r="1062" spans="1:8" ht="15.75" customHeight="1" x14ac:dyDescent="0.25">
      <c r="A1062" s="16" t="s">
        <v>2771</v>
      </c>
      <c r="B1062" s="16" t="s">
        <v>2772</v>
      </c>
    </row>
    <row r="1063" spans="1:8" ht="15.75" customHeight="1" x14ac:dyDescent="0.25">
      <c r="A1063" s="16" t="s">
        <v>2775</v>
      </c>
      <c r="B1063" s="16" t="s">
        <v>2776</v>
      </c>
    </row>
    <row r="1064" spans="1:8" ht="15.75" customHeight="1" x14ac:dyDescent="0.25">
      <c r="A1064" s="16" t="s">
        <v>2778</v>
      </c>
      <c r="B1064" s="16" t="s">
        <v>2779</v>
      </c>
    </row>
    <row r="1065" spans="1:8" ht="15.75" customHeight="1" x14ac:dyDescent="0.25">
      <c r="A1065" s="16" t="s">
        <v>2780</v>
      </c>
      <c r="B1065" s="16" t="s">
        <v>2781</v>
      </c>
    </row>
    <row r="1066" spans="1:8" ht="15.75" customHeight="1" x14ac:dyDescent="0.25">
      <c r="A1066" s="16" t="s">
        <v>2783</v>
      </c>
      <c r="B1066" s="16" t="s">
        <v>2784</v>
      </c>
    </row>
    <row r="1067" spans="1:8" ht="15.75" customHeight="1" x14ac:dyDescent="0.25">
      <c r="A1067" s="16" t="s">
        <v>2787</v>
      </c>
      <c r="B1067" s="16" t="s">
        <v>2788</v>
      </c>
      <c r="C1067" s="16" t="s">
        <v>6604</v>
      </c>
      <c r="E1067" s="18" t="s">
        <v>6605</v>
      </c>
      <c r="F1067" s="18" t="s">
        <v>6606</v>
      </c>
      <c r="G1067" s="16" t="s">
        <v>6607</v>
      </c>
      <c r="H1067" s="16" t="s">
        <v>6608</v>
      </c>
    </row>
    <row r="1068" spans="1:8" ht="15.75" customHeight="1" x14ac:dyDescent="0.25">
      <c r="A1068" s="16" t="s">
        <v>2787</v>
      </c>
      <c r="B1068" s="16" t="s">
        <v>2788</v>
      </c>
      <c r="C1068" s="16" t="s">
        <v>6604</v>
      </c>
      <c r="E1068" s="18" t="s">
        <v>6605</v>
      </c>
      <c r="F1068" s="18" t="s">
        <v>6609</v>
      </c>
      <c r="G1068" s="16" t="s">
        <v>6610</v>
      </c>
      <c r="H1068" s="16" t="s">
        <v>6611</v>
      </c>
    </row>
    <row r="1069" spans="1:8" ht="15.75" customHeight="1" x14ac:dyDescent="0.25">
      <c r="A1069" s="16" t="s">
        <v>2787</v>
      </c>
      <c r="B1069" s="16" t="s">
        <v>2788</v>
      </c>
      <c r="C1069" s="16" t="s">
        <v>6604</v>
      </c>
      <c r="E1069" s="18" t="s">
        <v>6605</v>
      </c>
      <c r="F1069" s="18" t="s">
        <v>6612</v>
      </c>
      <c r="G1069" s="16" t="s">
        <v>6613</v>
      </c>
      <c r="H1069" s="16" t="s">
        <v>6614</v>
      </c>
    </row>
    <row r="1070" spans="1:8" ht="15.75" customHeight="1" x14ac:dyDescent="0.25">
      <c r="A1070" s="16" t="s">
        <v>2791</v>
      </c>
      <c r="B1070" s="16" t="s">
        <v>2792</v>
      </c>
      <c r="C1070" s="16" t="s">
        <v>7500</v>
      </c>
      <c r="E1070" s="18" t="s">
        <v>7501</v>
      </c>
    </row>
    <row r="1071" spans="1:8" ht="15.75" customHeight="1" x14ac:dyDescent="0.25">
      <c r="A1071" s="16" t="s">
        <v>2795</v>
      </c>
      <c r="B1071" s="16" t="s">
        <v>2796</v>
      </c>
      <c r="C1071" s="16" t="s">
        <v>7502</v>
      </c>
      <c r="E1071" s="18" t="s">
        <v>7503</v>
      </c>
      <c r="F1071" s="18" t="s">
        <v>7504</v>
      </c>
      <c r="G1071" s="16" t="s">
        <v>7505</v>
      </c>
      <c r="H1071" s="16" t="s">
        <v>7457</v>
      </c>
    </row>
    <row r="1072" spans="1:8" ht="15.75" customHeight="1" x14ac:dyDescent="0.25">
      <c r="A1072" s="16" t="s">
        <v>2799</v>
      </c>
      <c r="B1072" s="16" t="s">
        <v>2800</v>
      </c>
      <c r="C1072" s="16" t="s">
        <v>7506</v>
      </c>
    </row>
    <row r="1073" spans="1:8" ht="15.75" customHeight="1" x14ac:dyDescent="0.25">
      <c r="B1073" s="16" t="s">
        <v>2801</v>
      </c>
    </row>
    <row r="1074" spans="1:8" ht="15.75" customHeight="1" x14ac:dyDescent="0.25">
      <c r="A1074" s="16" t="s">
        <v>2804</v>
      </c>
      <c r="B1074" s="16" t="s">
        <v>2805</v>
      </c>
      <c r="C1074" s="16" t="s">
        <v>7507</v>
      </c>
      <c r="E1074" s="18" t="s">
        <v>7508</v>
      </c>
      <c r="F1074" s="18" t="s">
        <v>7509</v>
      </c>
      <c r="G1074" s="16" t="s">
        <v>7510</v>
      </c>
      <c r="H1074" s="16" t="s">
        <v>7511</v>
      </c>
    </row>
    <row r="1075" spans="1:8" ht="15.75" customHeight="1" x14ac:dyDescent="0.25">
      <c r="A1075" s="16" t="s">
        <v>2806</v>
      </c>
      <c r="B1075" s="16" t="s">
        <v>2807</v>
      </c>
    </row>
    <row r="1076" spans="1:8" ht="15.75" customHeight="1" x14ac:dyDescent="0.25">
      <c r="A1076" s="16" t="s">
        <v>2809</v>
      </c>
      <c r="B1076" s="16" t="s">
        <v>2810</v>
      </c>
    </row>
    <row r="1077" spans="1:8" ht="15.75" customHeight="1" x14ac:dyDescent="0.25">
      <c r="A1077" s="16" t="s">
        <v>2812</v>
      </c>
      <c r="B1077" s="16" t="s">
        <v>2813</v>
      </c>
    </row>
    <row r="1078" spans="1:8" ht="15.75" customHeight="1" x14ac:dyDescent="0.25">
      <c r="A1078" s="16" t="s">
        <v>2815</v>
      </c>
      <c r="B1078" s="16" t="s">
        <v>2816</v>
      </c>
    </row>
    <row r="1079" spans="1:8" ht="15.75" customHeight="1" x14ac:dyDescent="0.25">
      <c r="A1079" s="16" t="s">
        <v>2818</v>
      </c>
      <c r="B1079" s="16" t="s">
        <v>2819</v>
      </c>
      <c r="C1079" s="16" t="s">
        <v>7512</v>
      </c>
      <c r="E1079" s="18" t="s">
        <v>7513</v>
      </c>
      <c r="F1079" s="18" t="s">
        <v>7514</v>
      </c>
      <c r="G1079" s="16" t="s">
        <v>7515</v>
      </c>
      <c r="H1079" s="16" t="s">
        <v>7516</v>
      </c>
    </row>
    <row r="1080" spans="1:8" ht="15.75" customHeight="1" x14ac:dyDescent="0.25">
      <c r="A1080" s="16" t="s">
        <v>2822</v>
      </c>
      <c r="B1080" s="16" t="s">
        <v>2823</v>
      </c>
    </row>
    <row r="1081" spans="1:8" ht="15.75" customHeight="1" x14ac:dyDescent="0.25">
      <c r="A1081" s="16" t="s">
        <v>2826</v>
      </c>
      <c r="B1081" s="16" t="s">
        <v>2827</v>
      </c>
      <c r="C1081" s="16" t="s">
        <v>7517</v>
      </c>
      <c r="E1081" s="18" t="s">
        <v>7518</v>
      </c>
    </row>
    <row r="1082" spans="1:8" ht="15.75" customHeight="1" x14ac:dyDescent="0.25">
      <c r="A1082" s="16" t="s">
        <v>2829</v>
      </c>
      <c r="B1082" s="16" t="s">
        <v>2830</v>
      </c>
    </row>
    <row r="1083" spans="1:8" ht="15.75" customHeight="1" x14ac:dyDescent="0.25">
      <c r="A1083" s="16" t="s">
        <v>2833</v>
      </c>
      <c r="B1083" s="16" t="s">
        <v>2834</v>
      </c>
      <c r="C1083" s="16" t="s">
        <v>6302</v>
      </c>
    </row>
    <row r="1084" spans="1:8" ht="15.75" customHeight="1" x14ac:dyDescent="0.25">
      <c r="B1084" s="16" t="s">
        <v>2836</v>
      </c>
    </row>
    <row r="1085" spans="1:8" ht="15.75" customHeight="1" x14ac:dyDescent="0.25">
      <c r="B1085" s="16" t="s">
        <v>2838</v>
      </c>
    </row>
    <row r="1086" spans="1:8" ht="15.75" customHeight="1" x14ac:dyDescent="0.25">
      <c r="A1086" s="16" t="s">
        <v>2840</v>
      </c>
      <c r="B1086" s="16" t="s">
        <v>2841</v>
      </c>
    </row>
    <row r="1087" spans="1:8" ht="15.75" customHeight="1" x14ac:dyDescent="0.25">
      <c r="A1087" s="16" t="s">
        <v>2844</v>
      </c>
      <c r="B1087" s="16" t="s">
        <v>2845</v>
      </c>
      <c r="C1087" s="16" t="s">
        <v>7519</v>
      </c>
      <c r="E1087" s="18" t="s">
        <v>7520</v>
      </c>
      <c r="F1087" s="18" t="s">
        <v>7521</v>
      </c>
      <c r="G1087" s="16" t="s">
        <v>7522</v>
      </c>
      <c r="H1087" s="16" t="s">
        <v>7523</v>
      </c>
    </row>
    <row r="1088" spans="1:8" ht="15.75" customHeight="1" x14ac:dyDescent="0.25">
      <c r="A1088" s="16" t="s">
        <v>2844</v>
      </c>
      <c r="B1088" s="16" t="s">
        <v>2845</v>
      </c>
      <c r="C1088" s="16" t="s">
        <v>7524</v>
      </c>
      <c r="E1088" s="18" t="s">
        <v>7525</v>
      </c>
      <c r="F1088" s="18" t="s">
        <v>7526</v>
      </c>
      <c r="G1088" s="16" t="s">
        <v>7527</v>
      </c>
      <c r="H1088" s="16" t="s">
        <v>7528</v>
      </c>
    </row>
    <row r="1089" spans="1:8" ht="15.75" customHeight="1" x14ac:dyDescent="0.25">
      <c r="A1089" s="16" t="s">
        <v>2844</v>
      </c>
      <c r="B1089" s="16" t="s">
        <v>2845</v>
      </c>
      <c r="C1089" s="16" t="s">
        <v>7524</v>
      </c>
      <c r="E1089" s="18" t="s">
        <v>7525</v>
      </c>
      <c r="F1089" s="18" t="s">
        <v>7529</v>
      </c>
      <c r="G1089" s="16" t="s">
        <v>7530</v>
      </c>
      <c r="H1089" s="16" t="s">
        <v>7531</v>
      </c>
    </row>
    <row r="1090" spans="1:8" ht="15.75" customHeight="1" x14ac:dyDescent="0.25">
      <c r="A1090" s="16" t="s">
        <v>2848</v>
      </c>
      <c r="B1090" s="16" t="s">
        <v>2849</v>
      </c>
      <c r="C1090" s="16" t="s">
        <v>7532</v>
      </c>
      <c r="E1090" s="18" t="s">
        <v>7533</v>
      </c>
      <c r="F1090" s="18" t="s">
        <v>7534</v>
      </c>
      <c r="G1090" s="16" t="s">
        <v>6912</v>
      </c>
      <c r="H1090" s="16" t="s">
        <v>7535</v>
      </c>
    </row>
    <row r="1091" spans="1:8" ht="15.75" customHeight="1" x14ac:dyDescent="0.25">
      <c r="A1091" s="16" t="s">
        <v>2850</v>
      </c>
      <c r="B1091" s="16" t="s">
        <v>2851</v>
      </c>
    </row>
    <row r="1092" spans="1:8" ht="15.75" customHeight="1" x14ac:dyDescent="0.25">
      <c r="A1092" s="16" t="s">
        <v>2854</v>
      </c>
      <c r="B1092" s="16" t="s">
        <v>2855</v>
      </c>
      <c r="C1092" s="16" t="s">
        <v>6750</v>
      </c>
    </row>
    <row r="1093" spans="1:8" ht="15.75" customHeight="1" x14ac:dyDescent="0.25">
      <c r="A1093" s="16" t="s">
        <v>2854</v>
      </c>
      <c r="B1093" s="16" t="s">
        <v>2855</v>
      </c>
      <c r="C1093" s="16" t="s">
        <v>7536</v>
      </c>
      <c r="E1093" s="18" t="s">
        <v>7537</v>
      </c>
    </row>
    <row r="1094" spans="1:8" ht="15.75" customHeight="1" x14ac:dyDescent="0.25">
      <c r="A1094" s="16" t="s">
        <v>2858</v>
      </c>
      <c r="B1094" s="16" t="s">
        <v>2859</v>
      </c>
      <c r="C1094" s="16" t="s">
        <v>7538</v>
      </c>
      <c r="E1094" s="18" t="s">
        <v>7539</v>
      </c>
      <c r="F1094" s="18" t="s">
        <v>6297</v>
      </c>
      <c r="G1094" s="16" t="s">
        <v>6298</v>
      </c>
      <c r="H1094" s="16" t="s">
        <v>6299</v>
      </c>
    </row>
    <row r="1095" spans="1:8" ht="15.75" customHeight="1" x14ac:dyDescent="0.25">
      <c r="A1095" s="16" t="s">
        <v>2862</v>
      </c>
      <c r="B1095" s="16" t="s">
        <v>2863</v>
      </c>
    </row>
    <row r="1096" spans="1:8" ht="15.75" customHeight="1" x14ac:dyDescent="0.25">
      <c r="A1096" s="16" t="s">
        <v>2866</v>
      </c>
      <c r="B1096" s="16" t="s">
        <v>2867</v>
      </c>
    </row>
    <row r="1097" spans="1:8" ht="15.75" customHeight="1" x14ac:dyDescent="0.25">
      <c r="A1097" s="16" t="s">
        <v>2870</v>
      </c>
      <c r="B1097" s="16" t="s">
        <v>2871</v>
      </c>
    </row>
    <row r="1098" spans="1:8" ht="15.75" customHeight="1" x14ac:dyDescent="0.25">
      <c r="A1098" s="16" t="s">
        <v>2873</v>
      </c>
      <c r="B1098" s="16" t="s">
        <v>2874</v>
      </c>
    </row>
    <row r="1099" spans="1:8" ht="15.75" customHeight="1" x14ac:dyDescent="0.25">
      <c r="A1099" s="16" t="s">
        <v>2876</v>
      </c>
      <c r="B1099" s="16" t="s">
        <v>2877</v>
      </c>
    </row>
    <row r="1100" spans="1:8" ht="15.75" customHeight="1" x14ac:dyDescent="0.25">
      <c r="A1100" s="16" t="s">
        <v>2879</v>
      </c>
      <c r="B1100" s="16" t="s">
        <v>2880</v>
      </c>
    </row>
    <row r="1101" spans="1:8" ht="15.75" customHeight="1" x14ac:dyDescent="0.25">
      <c r="A1101" s="16" t="s">
        <v>2883</v>
      </c>
      <c r="B1101" s="16" t="s">
        <v>2884</v>
      </c>
    </row>
    <row r="1102" spans="1:8" ht="15.75" customHeight="1" x14ac:dyDescent="0.25">
      <c r="A1102" s="16" t="s">
        <v>2885</v>
      </c>
      <c r="B1102" s="16" t="s">
        <v>2886</v>
      </c>
    </row>
    <row r="1103" spans="1:8" ht="15.75" customHeight="1" x14ac:dyDescent="0.25">
      <c r="A1103" s="16" t="s">
        <v>2889</v>
      </c>
      <c r="B1103" s="16" t="s">
        <v>2890</v>
      </c>
    </row>
    <row r="1104" spans="1:8" ht="15.75" customHeight="1" x14ac:dyDescent="0.25">
      <c r="A1104" s="16" t="s">
        <v>2893</v>
      </c>
      <c r="B1104" s="16" t="s">
        <v>2894</v>
      </c>
    </row>
    <row r="1105" spans="1:2" ht="15.75" customHeight="1" x14ac:dyDescent="0.25">
      <c r="A1105" s="16" t="s">
        <v>2897</v>
      </c>
      <c r="B1105" s="16" t="s">
        <v>2898</v>
      </c>
    </row>
    <row r="1106" spans="1:2" ht="15.75" customHeight="1" x14ac:dyDescent="0.25">
      <c r="A1106" s="16" t="s">
        <v>2901</v>
      </c>
      <c r="B1106" s="16" t="s">
        <v>2902</v>
      </c>
    </row>
    <row r="1107" spans="1:2" ht="15.75" customHeight="1" x14ac:dyDescent="0.25">
      <c r="A1107" s="16" t="s">
        <v>2905</v>
      </c>
      <c r="B1107" s="16" t="s">
        <v>2906</v>
      </c>
    </row>
    <row r="1108" spans="1:2" ht="15.75" customHeight="1" x14ac:dyDescent="0.25">
      <c r="A1108" s="16" t="s">
        <v>2909</v>
      </c>
      <c r="B1108" s="16" t="s">
        <v>2910</v>
      </c>
    </row>
    <row r="1109" spans="1:2" ht="15.75" customHeight="1" x14ac:dyDescent="0.25">
      <c r="A1109" s="16" t="s">
        <v>2913</v>
      </c>
      <c r="B1109" s="16" t="s">
        <v>2914</v>
      </c>
    </row>
    <row r="1110" spans="1:2" ht="15.75" customHeight="1" x14ac:dyDescent="0.25">
      <c r="A1110" s="16" t="s">
        <v>2917</v>
      </c>
      <c r="B1110" s="16" t="s">
        <v>2918</v>
      </c>
    </row>
    <row r="1111" spans="1:2" ht="15.75" customHeight="1" x14ac:dyDescent="0.25">
      <c r="A1111" s="16" t="s">
        <v>2921</v>
      </c>
      <c r="B1111" s="16" t="s">
        <v>2922</v>
      </c>
    </row>
    <row r="1112" spans="1:2" ht="15.75" customHeight="1" x14ac:dyDescent="0.25">
      <c r="A1112" s="16" t="s">
        <v>2925</v>
      </c>
      <c r="B1112" s="16" t="s">
        <v>2926</v>
      </c>
    </row>
    <row r="1113" spans="1:2" ht="15.75" customHeight="1" x14ac:dyDescent="0.25">
      <c r="A1113" s="16" t="s">
        <v>2929</v>
      </c>
      <c r="B1113" s="16" t="s">
        <v>2930</v>
      </c>
    </row>
    <row r="1114" spans="1:2" ht="15.75" customHeight="1" x14ac:dyDescent="0.25">
      <c r="A1114" s="16" t="s">
        <v>2931</v>
      </c>
      <c r="B1114" s="16" t="s">
        <v>2932</v>
      </c>
    </row>
    <row r="1115" spans="1:2" ht="15.75" customHeight="1" x14ac:dyDescent="0.25">
      <c r="A1115" s="16" t="s">
        <v>2935</v>
      </c>
      <c r="B1115" s="16" t="s">
        <v>2936</v>
      </c>
    </row>
    <row r="1116" spans="1:2" ht="15.75" customHeight="1" x14ac:dyDescent="0.25">
      <c r="A1116" s="16" t="s">
        <v>2939</v>
      </c>
      <c r="B1116" s="16" t="s">
        <v>2940</v>
      </c>
    </row>
    <row r="1117" spans="1:2" ht="15.75" customHeight="1" x14ac:dyDescent="0.25">
      <c r="A1117" s="16" t="s">
        <v>2943</v>
      </c>
      <c r="B1117" s="16" t="s">
        <v>2944</v>
      </c>
    </row>
    <row r="1118" spans="1:2" ht="15.75" customHeight="1" x14ac:dyDescent="0.25">
      <c r="A1118" s="16" t="s">
        <v>2947</v>
      </c>
      <c r="B1118" s="16" t="s">
        <v>2948</v>
      </c>
    </row>
    <row r="1119" spans="1:2" ht="15.75" customHeight="1" x14ac:dyDescent="0.25">
      <c r="A1119" s="16" t="s">
        <v>2951</v>
      </c>
      <c r="B1119" s="16" t="s">
        <v>2952</v>
      </c>
    </row>
    <row r="1120" spans="1:2" ht="15.75" customHeight="1" x14ac:dyDescent="0.25">
      <c r="A1120" s="16" t="s">
        <v>2955</v>
      </c>
      <c r="B1120" s="16" t="s">
        <v>2956</v>
      </c>
    </row>
    <row r="1121" spans="1:8" ht="15.75" customHeight="1" x14ac:dyDescent="0.25">
      <c r="A1121" s="16" t="s">
        <v>2959</v>
      </c>
      <c r="B1121" s="16" t="s">
        <v>2960</v>
      </c>
    </row>
    <row r="1122" spans="1:8" ht="15.75" customHeight="1" x14ac:dyDescent="0.25">
      <c r="A1122" s="16" t="s">
        <v>2963</v>
      </c>
      <c r="B1122" s="16" t="s">
        <v>2964</v>
      </c>
    </row>
    <row r="1123" spans="1:8" ht="15.75" customHeight="1" x14ac:dyDescent="0.25">
      <c r="A1123" s="16" t="s">
        <v>2967</v>
      </c>
      <c r="B1123" s="16" t="s">
        <v>2968</v>
      </c>
    </row>
    <row r="1124" spans="1:8" ht="15.75" customHeight="1" x14ac:dyDescent="0.25">
      <c r="A1124" s="16" t="s">
        <v>2971</v>
      </c>
      <c r="B1124" s="16" t="s">
        <v>2972</v>
      </c>
    </row>
    <row r="1125" spans="1:8" ht="15.75" customHeight="1" x14ac:dyDescent="0.25">
      <c r="A1125" s="16" t="s">
        <v>2975</v>
      </c>
      <c r="B1125" s="16" t="s">
        <v>2976</v>
      </c>
    </row>
    <row r="1126" spans="1:8" ht="15.75" customHeight="1" x14ac:dyDescent="0.25">
      <c r="A1126" s="16" t="s">
        <v>2979</v>
      </c>
      <c r="B1126" s="16" t="s">
        <v>2980</v>
      </c>
    </row>
    <row r="1127" spans="1:8" ht="15.75" customHeight="1" x14ac:dyDescent="0.25">
      <c r="A1127" s="16" t="s">
        <v>2983</v>
      </c>
      <c r="B1127" s="16" t="s">
        <v>2984</v>
      </c>
    </row>
    <row r="1128" spans="1:8" ht="15.75" customHeight="1" x14ac:dyDescent="0.25">
      <c r="A1128" s="16" t="s">
        <v>2987</v>
      </c>
      <c r="B1128" s="16" t="s">
        <v>2988</v>
      </c>
    </row>
    <row r="1129" spans="1:8" ht="15.75" customHeight="1" x14ac:dyDescent="0.25">
      <c r="A1129" s="16" t="s">
        <v>2991</v>
      </c>
      <c r="B1129" s="16" t="s">
        <v>2992</v>
      </c>
    </row>
    <row r="1130" spans="1:8" ht="15.75" customHeight="1" x14ac:dyDescent="0.25">
      <c r="A1130" s="16" t="s">
        <v>2995</v>
      </c>
      <c r="B1130" s="16" t="s">
        <v>2996</v>
      </c>
      <c r="C1130" s="16" t="s">
        <v>7030</v>
      </c>
      <c r="E1130" s="18" t="s">
        <v>7031</v>
      </c>
      <c r="F1130" s="18" t="s">
        <v>7032</v>
      </c>
      <c r="G1130" s="16" t="s">
        <v>7033</v>
      </c>
      <c r="H1130" s="16" t="s">
        <v>6207</v>
      </c>
    </row>
    <row r="1131" spans="1:8" ht="15.75" customHeight="1" x14ac:dyDescent="0.25">
      <c r="A1131" s="16" t="s">
        <v>2995</v>
      </c>
      <c r="B1131" s="16" t="s">
        <v>2996</v>
      </c>
      <c r="C1131" s="16" t="s">
        <v>7030</v>
      </c>
      <c r="E1131" s="18" t="s">
        <v>7031</v>
      </c>
      <c r="F1131" s="18" t="s">
        <v>6205</v>
      </c>
      <c r="G1131" s="16" t="s">
        <v>6206</v>
      </c>
      <c r="H1131" s="16" t="s">
        <v>6207</v>
      </c>
    </row>
    <row r="1132" spans="1:8" ht="15.75" customHeight="1" x14ac:dyDescent="0.25">
      <c r="A1132" s="16" t="s">
        <v>2995</v>
      </c>
      <c r="B1132" s="16" t="s">
        <v>2996</v>
      </c>
      <c r="C1132" s="16" t="s">
        <v>7030</v>
      </c>
      <c r="E1132" s="18" t="s">
        <v>7031</v>
      </c>
      <c r="F1132" s="18" t="s">
        <v>7034</v>
      </c>
      <c r="G1132" s="16" t="s">
        <v>7035</v>
      </c>
      <c r="H1132" s="16" t="s">
        <v>6207</v>
      </c>
    </row>
    <row r="1133" spans="1:8" ht="15.75" customHeight="1" x14ac:dyDescent="0.25">
      <c r="A1133" s="16" t="s">
        <v>2995</v>
      </c>
      <c r="B1133" s="16" t="s">
        <v>2996</v>
      </c>
      <c r="C1133" s="16" t="s">
        <v>7030</v>
      </c>
      <c r="E1133" s="18" t="s">
        <v>7031</v>
      </c>
      <c r="F1133" s="18" t="s">
        <v>7036</v>
      </c>
      <c r="G1133" s="16" t="s">
        <v>7037</v>
      </c>
      <c r="H1133" s="16" t="s">
        <v>6207</v>
      </c>
    </row>
    <row r="1134" spans="1:8" ht="15.75" customHeight="1" x14ac:dyDescent="0.25">
      <c r="A1134" s="16" t="s">
        <v>2995</v>
      </c>
      <c r="B1134" s="16" t="s">
        <v>2996</v>
      </c>
      <c r="C1134" s="16" t="s">
        <v>7030</v>
      </c>
      <c r="E1134" s="18" t="s">
        <v>7031</v>
      </c>
      <c r="F1134" s="18" t="s">
        <v>7038</v>
      </c>
      <c r="G1134" s="16" t="s">
        <v>7039</v>
      </c>
      <c r="H1134" s="16" t="s">
        <v>6207</v>
      </c>
    </row>
    <row r="1135" spans="1:8" ht="15.75" customHeight="1" x14ac:dyDescent="0.3">
      <c r="A1135" s="16" t="s">
        <v>2995</v>
      </c>
      <c r="B1135" s="16" t="s">
        <v>2996</v>
      </c>
      <c r="C1135" s="16" t="s">
        <v>7030</v>
      </c>
      <c r="E1135" s="18" t="s">
        <v>7031</v>
      </c>
      <c r="F1135" s="18" t="s">
        <v>7040</v>
      </c>
      <c r="G1135" s="17" t="s">
        <v>7041</v>
      </c>
      <c r="H1135" s="17" t="s">
        <v>7042</v>
      </c>
    </row>
    <row r="1136" spans="1:8" ht="15.75" customHeight="1" x14ac:dyDescent="0.25">
      <c r="E1136" s="16"/>
    </row>
    <row r="1137" spans="1:8" ht="15.75" customHeight="1" x14ac:dyDescent="0.25">
      <c r="A1137" s="16" t="s">
        <v>2999</v>
      </c>
      <c r="B1137" s="16" t="s">
        <v>3000</v>
      </c>
    </row>
    <row r="1138" spans="1:8" ht="15.75" customHeight="1" x14ac:dyDescent="0.25">
      <c r="A1138" s="16" t="s">
        <v>3002</v>
      </c>
      <c r="B1138" s="16" t="s">
        <v>3003</v>
      </c>
    </row>
    <row r="1139" spans="1:8" ht="15.75" customHeight="1" x14ac:dyDescent="0.25">
      <c r="B1139" s="16" t="s">
        <v>3004</v>
      </c>
    </row>
    <row r="1140" spans="1:8" ht="15.75" customHeight="1" x14ac:dyDescent="0.25">
      <c r="A1140" s="16" t="s">
        <v>3006</v>
      </c>
      <c r="B1140" s="16" t="s">
        <v>3007</v>
      </c>
    </row>
    <row r="1141" spans="1:8" ht="15.75" customHeight="1" x14ac:dyDescent="0.25">
      <c r="A1141" s="16" t="s">
        <v>3010</v>
      </c>
      <c r="B1141" s="16" t="s">
        <v>3011</v>
      </c>
      <c r="C1141" s="16" t="s">
        <v>7540</v>
      </c>
      <c r="E1141" s="18" t="s">
        <v>7541</v>
      </c>
      <c r="F1141" s="18" t="s">
        <v>7542</v>
      </c>
      <c r="G1141" s="16" t="s">
        <v>7543</v>
      </c>
      <c r="H1141" s="16" t="s">
        <v>7544</v>
      </c>
    </row>
    <row r="1142" spans="1:8" ht="15.75" customHeight="1" x14ac:dyDescent="0.25">
      <c r="A1142" s="16" t="s">
        <v>3014</v>
      </c>
      <c r="B1142" s="16" t="s">
        <v>3015</v>
      </c>
    </row>
    <row r="1143" spans="1:8" ht="15.75" customHeight="1" x14ac:dyDescent="0.25">
      <c r="A1143" s="16" t="s">
        <v>3018</v>
      </c>
      <c r="B1143" s="16" t="s">
        <v>3019</v>
      </c>
      <c r="C1143" s="16" t="s">
        <v>7545</v>
      </c>
      <c r="E1143" s="18" t="s">
        <v>7546</v>
      </c>
      <c r="F1143" s="18" t="s">
        <v>7547</v>
      </c>
      <c r="G1143" s="16" t="s">
        <v>7548</v>
      </c>
      <c r="H1143" s="16" t="s">
        <v>7549</v>
      </c>
    </row>
    <row r="1144" spans="1:8" ht="15.75" customHeight="1" x14ac:dyDescent="0.25">
      <c r="A1144" s="16" t="s">
        <v>3022</v>
      </c>
      <c r="B1144" s="16" t="s">
        <v>3023</v>
      </c>
    </row>
    <row r="1145" spans="1:8" ht="15.75" customHeight="1" x14ac:dyDescent="0.25">
      <c r="A1145" s="16" t="s">
        <v>3026</v>
      </c>
      <c r="B1145" s="16" t="s">
        <v>3027</v>
      </c>
      <c r="C1145" s="16" t="s">
        <v>7550</v>
      </c>
      <c r="E1145" s="18" t="s">
        <v>7551</v>
      </c>
      <c r="F1145" s="18" t="s">
        <v>7552</v>
      </c>
      <c r="G1145" s="16" t="s">
        <v>7553</v>
      </c>
      <c r="H1145" s="16" t="s">
        <v>7554</v>
      </c>
    </row>
    <row r="1146" spans="1:8" ht="15.75" customHeight="1" x14ac:dyDescent="0.25">
      <c r="A1146" s="16" t="s">
        <v>3030</v>
      </c>
      <c r="B1146" s="16" t="s">
        <v>3031</v>
      </c>
      <c r="C1146" s="16" t="s">
        <v>7555</v>
      </c>
      <c r="E1146" s="18" t="s">
        <v>7556</v>
      </c>
      <c r="F1146" s="18" t="s">
        <v>7557</v>
      </c>
      <c r="G1146" s="16" t="s">
        <v>7558</v>
      </c>
      <c r="H1146" s="16" t="s">
        <v>7559</v>
      </c>
    </row>
    <row r="1147" spans="1:8" ht="15.75" customHeight="1" x14ac:dyDescent="0.25">
      <c r="A1147" s="16" t="s">
        <v>3034</v>
      </c>
      <c r="B1147" s="16" t="s">
        <v>3035</v>
      </c>
    </row>
    <row r="1148" spans="1:8" ht="15.75" customHeight="1" x14ac:dyDescent="0.25">
      <c r="A1148" s="16" t="s">
        <v>3038</v>
      </c>
      <c r="B1148" s="16" t="s">
        <v>3039</v>
      </c>
      <c r="C1148" s="16" t="s">
        <v>7560</v>
      </c>
      <c r="E1148" s="18" t="s">
        <v>7561</v>
      </c>
      <c r="F1148" s="18" t="s">
        <v>7562</v>
      </c>
      <c r="G1148" s="16" t="s">
        <v>7563</v>
      </c>
      <c r="H1148" s="16" t="s">
        <v>7564</v>
      </c>
    </row>
    <row r="1149" spans="1:8" ht="15.75" customHeight="1" x14ac:dyDescent="0.25">
      <c r="A1149" s="16" t="s">
        <v>3042</v>
      </c>
      <c r="B1149" s="16" t="s">
        <v>3043</v>
      </c>
    </row>
    <row r="1150" spans="1:8" ht="15.75" customHeight="1" x14ac:dyDescent="0.25">
      <c r="A1150" s="16" t="s">
        <v>3046</v>
      </c>
      <c r="B1150" s="16" t="s">
        <v>3047</v>
      </c>
      <c r="C1150" s="16" t="s">
        <v>7565</v>
      </c>
      <c r="E1150" s="18" t="s">
        <v>7566</v>
      </c>
    </row>
    <row r="1151" spans="1:8" ht="15.75" customHeight="1" x14ac:dyDescent="0.25">
      <c r="A1151" s="16" t="s">
        <v>3049</v>
      </c>
      <c r="B1151" s="16" t="s">
        <v>3050</v>
      </c>
    </row>
    <row r="1152" spans="1:8" ht="15.75" customHeight="1" x14ac:dyDescent="0.25">
      <c r="A1152" s="16" t="s">
        <v>3053</v>
      </c>
      <c r="B1152" s="16" t="s">
        <v>3054</v>
      </c>
    </row>
    <row r="1153" spans="1:8" ht="15.75" customHeight="1" x14ac:dyDescent="0.25">
      <c r="A1153" s="16" t="s">
        <v>3057</v>
      </c>
      <c r="B1153" s="16" t="s">
        <v>3058</v>
      </c>
      <c r="C1153" s="16" t="s">
        <v>7567</v>
      </c>
      <c r="E1153" s="18" t="s">
        <v>7568</v>
      </c>
      <c r="F1153" s="18" t="s">
        <v>7569</v>
      </c>
      <c r="G1153" s="16" t="s">
        <v>7570</v>
      </c>
      <c r="H1153" s="16" t="s">
        <v>7571</v>
      </c>
    </row>
    <row r="1154" spans="1:8" ht="15.75" customHeight="1" x14ac:dyDescent="0.25">
      <c r="A1154" s="16" t="s">
        <v>3061</v>
      </c>
      <c r="B1154" s="16" t="s">
        <v>3062</v>
      </c>
    </row>
    <row r="1155" spans="1:8" ht="15.75" customHeight="1" x14ac:dyDescent="0.25">
      <c r="A1155" s="16" t="s">
        <v>3063</v>
      </c>
      <c r="B1155" s="16" t="s">
        <v>3064</v>
      </c>
    </row>
    <row r="1156" spans="1:8" ht="15.75" customHeight="1" x14ac:dyDescent="0.25">
      <c r="A1156" s="16" t="s">
        <v>3067</v>
      </c>
      <c r="B1156" s="16" t="s">
        <v>3068</v>
      </c>
    </row>
    <row r="1157" spans="1:8" ht="15.75" customHeight="1" x14ac:dyDescent="0.25">
      <c r="A1157" s="16" t="s">
        <v>3071</v>
      </c>
      <c r="B1157" s="16" t="s">
        <v>3072</v>
      </c>
    </row>
    <row r="1158" spans="1:8" ht="15.75" customHeight="1" x14ac:dyDescent="0.25">
      <c r="A1158" s="16" t="s">
        <v>3075</v>
      </c>
      <c r="B1158" s="16" t="s">
        <v>3076</v>
      </c>
    </row>
    <row r="1159" spans="1:8" ht="15.75" customHeight="1" x14ac:dyDescent="0.25">
      <c r="A1159" s="16" t="s">
        <v>3077</v>
      </c>
      <c r="B1159" s="16" t="s">
        <v>3078</v>
      </c>
    </row>
    <row r="1160" spans="1:8" ht="15.75" customHeight="1" x14ac:dyDescent="0.25">
      <c r="A1160" s="16" t="s">
        <v>3080</v>
      </c>
      <c r="B1160" s="16" t="s">
        <v>3081</v>
      </c>
    </row>
    <row r="1161" spans="1:8" ht="15.75" customHeight="1" x14ac:dyDescent="0.25">
      <c r="A1161" s="16" t="s">
        <v>3084</v>
      </c>
      <c r="B1161" s="16" t="s">
        <v>3085</v>
      </c>
      <c r="C1161" s="16" t="s">
        <v>7572</v>
      </c>
      <c r="E1161" s="18" t="s">
        <v>7573</v>
      </c>
      <c r="F1161" s="18" t="s">
        <v>7574</v>
      </c>
      <c r="G1161" s="16" t="s">
        <v>7575</v>
      </c>
      <c r="H1161" s="16" t="s">
        <v>7576</v>
      </c>
    </row>
    <row r="1162" spans="1:8" ht="15.75" customHeight="1" x14ac:dyDescent="0.25">
      <c r="A1162" s="16" t="s">
        <v>3087</v>
      </c>
      <c r="B1162" s="16" t="s">
        <v>3088</v>
      </c>
    </row>
    <row r="1163" spans="1:8" ht="15.75" customHeight="1" x14ac:dyDescent="0.25">
      <c r="A1163" s="16" t="s">
        <v>3090</v>
      </c>
      <c r="B1163" s="16" t="s">
        <v>3091</v>
      </c>
    </row>
    <row r="1164" spans="1:8" ht="15.75" customHeight="1" x14ac:dyDescent="0.25">
      <c r="A1164" s="16" t="s">
        <v>3094</v>
      </c>
      <c r="B1164" s="16" t="s">
        <v>3095</v>
      </c>
    </row>
    <row r="1165" spans="1:8" ht="15.75" customHeight="1" x14ac:dyDescent="0.25">
      <c r="A1165" s="16" t="s">
        <v>3098</v>
      </c>
      <c r="B1165" s="16" t="s">
        <v>3099</v>
      </c>
      <c r="C1165" s="16" t="s">
        <v>7577</v>
      </c>
      <c r="E1165" s="18" t="s">
        <v>7578</v>
      </c>
    </row>
    <row r="1166" spans="1:8" ht="15.75" customHeight="1" x14ac:dyDescent="0.25">
      <c r="A1166" s="16" t="s">
        <v>3102</v>
      </c>
      <c r="B1166" s="16" t="s">
        <v>3103</v>
      </c>
      <c r="C1166" s="16" t="s">
        <v>7579</v>
      </c>
      <c r="E1166" s="18" t="s">
        <v>7580</v>
      </c>
    </row>
    <row r="1167" spans="1:8" ht="15.75" customHeight="1" x14ac:dyDescent="0.25">
      <c r="A1167" s="16" t="s">
        <v>3106</v>
      </c>
      <c r="B1167" s="16" t="s">
        <v>3107</v>
      </c>
      <c r="C1167" s="16" t="s">
        <v>7579</v>
      </c>
      <c r="E1167" s="18" t="s">
        <v>7580</v>
      </c>
    </row>
    <row r="1168" spans="1:8" ht="15.75" customHeight="1" x14ac:dyDescent="0.25">
      <c r="A1168" s="16" t="s">
        <v>3109</v>
      </c>
      <c r="B1168" s="16" t="s">
        <v>3110</v>
      </c>
    </row>
    <row r="1169" spans="1:8" ht="15.75" customHeight="1" x14ac:dyDescent="0.25">
      <c r="A1169" s="16" t="s">
        <v>3113</v>
      </c>
      <c r="B1169" s="16" t="s">
        <v>3114</v>
      </c>
      <c r="C1169" s="16" t="s">
        <v>7579</v>
      </c>
      <c r="E1169" s="18" t="s">
        <v>7580</v>
      </c>
    </row>
    <row r="1170" spans="1:8" ht="15.75" customHeight="1" x14ac:dyDescent="0.25">
      <c r="A1170" s="16" t="s">
        <v>3117</v>
      </c>
      <c r="B1170" s="16" t="s">
        <v>3118</v>
      </c>
      <c r="C1170" s="16" t="s">
        <v>7581</v>
      </c>
    </row>
    <row r="1171" spans="1:8" ht="15.75" customHeight="1" x14ac:dyDescent="0.25">
      <c r="A1171" s="16" t="s">
        <v>3119</v>
      </c>
      <c r="B1171" s="16" t="s">
        <v>3120</v>
      </c>
    </row>
    <row r="1172" spans="1:8" ht="15.75" customHeight="1" x14ac:dyDescent="0.25">
      <c r="A1172" s="16" t="s">
        <v>3123</v>
      </c>
      <c r="B1172" s="16" t="s">
        <v>3124</v>
      </c>
    </row>
    <row r="1173" spans="1:8" ht="15.75" customHeight="1" x14ac:dyDescent="0.25">
      <c r="A1173" s="16" t="s">
        <v>3127</v>
      </c>
      <c r="B1173" s="16" t="s">
        <v>3128</v>
      </c>
    </row>
    <row r="1174" spans="1:8" ht="15.75" customHeight="1" x14ac:dyDescent="0.25">
      <c r="A1174" s="16" t="s">
        <v>3130</v>
      </c>
      <c r="B1174" s="16" t="s">
        <v>3131</v>
      </c>
    </row>
    <row r="1175" spans="1:8" ht="15.75" customHeight="1" x14ac:dyDescent="0.25">
      <c r="A1175" s="16" t="s">
        <v>3133</v>
      </c>
      <c r="B1175" s="16" t="s">
        <v>3134</v>
      </c>
    </row>
    <row r="1176" spans="1:8" ht="15.75" customHeight="1" x14ac:dyDescent="0.25">
      <c r="A1176" s="16" t="s">
        <v>3136</v>
      </c>
      <c r="B1176" s="16" t="s">
        <v>3137</v>
      </c>
    </row>
    <row r="1177" spans="1:8" ht="15.75" customHeight="1" x14ac:dyDescent="0.25">
      <c r="A1177" s="16" t="s">
        <v>3140</v>
      </c>
      <c r="B1177" s="16" t="s">
        <v>3141</v>
      </c>
    </row>
    <row r="1178" spans="1:8" ht="15.75" customHeight="1" x14ac:dyDescent="0.25">
      <c r="A1178" s="16" t="s">
        <v>3143</v>
      </c>
      <c r="B1178" s="16" t="s">
        <v>3144</v>
      </c>
      <c r="C1178" s="16" t="s">
        <v>7582</v>
      </c>
      <c r="E1178" s="18" t="s">
        <v>7583</v>
      </c>
      <c r="F1178" s="18" t="s">
        <v>7584</v>
      </c>
      <c r="G1178" s="16" t="s">
        <v>7585</v>
      </c>
      <c r="H1178" s="16" t="s">
        <v>7586</v>
      </c>
    </row>
    <row r="1179" spans="1:8" ht="15.75" customHeight="1" x14ac:dyDescent="0.25">
      <c r="A1179" s="16" t="s">
        <v>3146</v>
      </c>
      <c r="B1179" s="16" t="s">
        <v>3147</v>
      </c>
    </row>
    <row r="1180" spans="1:8" ht="15.75" customHeight="1" x14ac:dyDescent="0.25">
      <c r="A1180" s="16" t="s">
        <v>3149</v>
      </c>
      <c r="B1180" s="16" t="s">
        <v>3150</v>
      </c>
    </row>
    <row r="1181" spans="1:8" ht="15.75" customHeight="1" x14ac:dyDescent="0.25">
      <c r="A1181" s="16" t="s">
        <v>3153</v>
      </c>
      <c r="B1181" s="16" t="s">
        <v>3154</v>
      </c>
      <c r="C1181" s="16" t="s">
        <v>7587</v>
      </c>
      <c r="E1181" s="18" t="s">
        <v>7588</v>
      </c>
      <c r="F1181" s="18" t="s">
        <v>7589</v>
      </c>
      <c r="G1181" s="16" t="s">
        <v>7590</v>
      </c>
      <c r="H1181" s="16" t="s">
        <v>7591</v>
      </c>
    </row>
    <row r="1182" spans="1:8" ht="15.75" customHeight="1" x14ac:dyDescent="0.25">
      <c r="A1182" s="16" t="s">
        <v>3155</v>
      </c>
      <c r="B1182" s="16" t="s">
        <v>3156</v>
      </c>
    </row>
    <row r="1183" spans="1:8" ht="15.75" customHeight="1" x14ac:dyDescent="0.25">
      <c r="A1183" s="16" t="s">
        <v>3158</v>
      </c>
      <c r="B1183" s="16" t="s">
        <v>3159</v>
      </c>
    </row>
    <row r="1184" spans="1:8" ht="15.75" customHeight="1" x14ac:dyDescent="0.25">
      <c r="B1184" s="16" t="s">
        <v>3160</v>
      </c>
    </row>
    <row r="1185" spans="1:8" ht="15.75" customHeight="1" x14ac:dyDescent="0.25">
      <c r="A1185" s="16" t="s">
        <v>3163</v>
      </c>
      <c r="B1185" s="16" t="s">
        <v>3164</v>
      </c>
    </row>
    <row r="1186" spans="1:8" ht="15.75" customHeight="1" x14ac:dyDescent="0.25">
      <c r="A1186" s="16" t="s">
        <v>3166</v>
      </c>
      <c r="B1186" s="16" t="s">
        <v>3167</v>
      </c>
    </row>
    <row r="1187" spans="1:8" ht="15.75" customHeight="1" x14ac:dyDescent="0.25">
      <c r="A1187" s="16" t="s">
        <v>3168</v>
      </c>
      <c r="B1187" s="16" t="s">
        <v>3169</v>
      </c>
    </row>
    <row r="1188" spans="1:8" ht="15.75" customHeight="1" x14ac:dyDescent="0.25">
      <c r="A1188" s="16" t="s">
        <v>3171</v>
      </c>
      <c r="B1188" s="16" t="s">
        <v>3172</v>
      </c>
      <c r="C1188" s="16" t="s">
        <v>7592</v>
      </c>
      <c r="E1188" s="18" t="s">
        <v>7593</v>
      </c>
      <c r="F1188" s="18" t="s">
        <v>7594</v>
      </c>
      <c r="G1188" s="16" t="s">
        <v>7595</v>
      </c>
      <c r="H1188" s="16" t="s">
        <v>7596</v>
      </c>
    </row>
    <row r="1189" spans="1:8" ht="15.75" customHeight="1" x14ac:dyDescent="0.25">
      <c r="A1189" s="16" t="s">
        <v>3174</v>
      </c>
      <c r="B1189" s="16" t="s">
        <v>3175</v>
      </c>
    </row>
    <row r="1190" spans="1:8" ht="15.75" customHeight="1" x14ac:dyDescent="0.3">
      <c r="A1190" s="16" t="s">
        <v>3178</v>
      </c>
      <c r="B1190" s="16" t="s">
        <v>3179</v>
      </c>
      <c r="C1190" s="16" t="s">
        <v>6344</v>
      </c>
      <c r="E1190" s="18" t="s">
        <v>6345</v>
      </c>
      <c r="F1190" s="18" t="s">
        <v>6346</v>
      </c>
      <c r="G1190" s="17" t="s">
        <v>6347</v>
      </c>
      <c r="H1190" s="17" t="s">
        <v>6348</v>
      </c>
    </row>
    <row r="1191" spans="1:8" ht="15.75" customHeight="1" x14ac:dyDescent="0.25">
      <c r="A1191" s="16" t="s">
        <v>3178</v>
      </c>
      <c r="B1191" s="16" t="s">
        <v>3179</v>
      </c>
      <c r="C1191" s="16" t="s">
        <v>6344</v>
      </c>
      <c r="E1191" s="18" t="s">
        <v>6345</v>
      </c>
      <c r="F1191" s="18" t="s">
        <v>6349</v>
      </c>
      <c r="G1191" s="16" t="s">
        <v>6350</v>
      </c>
      <c r="H1191" s="16" t="s">
        <v>6348</v>
      </c>
    </row>
    <row r="1192" spans="1:8" ht="15.75" customHeight="1" x14ac:dyDescent="0.25">
      <c r="A1192" s="16" t="s">
        <v>3178</v>
      </c>
      <c r="B1192" s="16" t="s">
        <v>3179</v>
      </c>
      <c r="C1192" s="16" t="s">
        <v>6344</v>
      </c>
      <c r="E1192" s="18" t="s">
        <v>6345</v>
      </c>
      <c r="F1192" s="18" t="s">
        <v>6351</v>
      </c>
      <c r="G1192" s="16" t="s">
        <v>6352</v>
      </c>
      <c r="H1192" s="16" t="s">
        <v>6348</v>
      </c>
    </row>
    <row r="1193" spans="1:8" ht="15.75" customHeight="1" x14ac:dyDescent="0.25">
      <c r="A1193" s="16" t="s">
        <v>3178</v>
      </c>
      <c r="B1193" s="16" t="s">
        <v>3179</v>
      </c>
      <c r="C1193" s="16" t="s">
        <v>6344</v>
      </c>
      <c r="E1193" s="18" t="s">
        <v>6345</v>
      </c>
      <c r="F1193" s="18" t="s">
        <v>6353</v>
      </c>
      <c r="G1193" s="16" t="s">
        <v>6354</v>
      </c>
      <c r="H1193" s="16" t="s">
        <v>6348</v>
      </c>
    </row>
    <row r="1194" spans="1:8" ht="15.75" customHeight="1" x14ac:dyDescent="0.25">
      <c r="A1194" s="16" t="s">
        <v>3178</v>
      </c>
      <c r="B1194" s="16" t="s">
        <v>3179</v>
      </c>
      <c r="C1194" s="16" t="s">
        <v>6344</v>
      </c>
      <c r="E1194" s="18" t="s">
        <v>6345</v>
      </c>
      <c r="F1194" s="18" t="s">
        <v>6355</v>
      </c>
      <c r="G1194" s="16" t="s">
        <v>6356</v>
      </c>
      <c r="H1194" s="16" t="s">
        <v>6348</v>
      </c>
    </row>
    <row r="1195" spans="1:8" ht="15.75" customHeight="1" x14ac:dyDescent="0.25">
      <c r="A1195" s="16" t="s">
        <v>3178</v>
      </c>
      <c r="B1195" s="16" t="s">
        <v>3179</v>
      </c>
      <c r="C1195" s="16" t="s">
        <v>6344</v>
      </c>
      <c r="E1195" s="18" t="s">
        <v>6345</v>
      </c>
      <c r="F1195" s="18" t="s">
        <v>6357</v>
      </c>
      <c r="G1195" s="16" t="s">
        <v>6358</v>
      </c>
      <c r="H1195" s="16" t="s">
        <v>6359</v>
      </c>
    </row>
    <row r="1196" spans="1:8" ht="15.75" customHeight="1" x14ac:dyDescent="0.25">
      <c r="A1196" s="16" t="s">
        <v>3181</v>
      </c>
      <c r="B1196" s="16" t="s">
        <v>3182</v>
      </c>
    </row>
    <row r="1197" spans="1:8" ht="15.75" customHeight="1" x14ac:dyDescent="0.25">
      <c r="B1197" s="16" t="s">
        <v>3186</v>
      </c>
    </row>
    <row r="1198" spans="1:8" ht="15.75" customHeight="1" x14ac:dyDescent="0.25">
      <c r="A1198" s="16" t="s">
        <v>3188</v>
      </c>
      <c r="B1198" s="16" t="s">
        <v>3189</v>
      </c>
      <c r="C1198" s="16" t="s">
        <v>7597</v>
      </c>
      <c r="E1198" s="18" t="s">
        <v>7598</v>
      </c>
      <c r="F1198" s="18" t="s">
        <v>7599</v>
      </c>
      <c r="G1198" s="16" t="s">
        <v>7600</v>
      </c>
      <c r="H1198" s="16" t="s">
        <v>7601</v>
      </c>
    </row>
    <row r="1199" spans="1:8" ht="15.75" customHeight="1" x14ac:dyDescent="0.25">
      <c r="A1199" s="16" t="s">
        <v>3192</v>
      </c>
      <c r="B1199" s="16" t="s">
        <v>3193</v>
      </c>
    </row>
    <row r="1200" spans="1:8" ht="15.75" customHeight="1" x14ac:dyDescent="0.25">
      <c r="A1200" s="16" t="s">
        <v>3196</v>
      </c>
      <c r="B1200" s="16" t="s">
        <v>3197</v>
      </c>
      <c r="C1200" s="16" t="s">
        <v>7602</v>
      </c>
      <c r="E1200" s="18" t="s">
        <v>7603</v>
      </c>
    </row>
    <row r="1201" spans="1:8" ht="15.75" customHeight="1" x14ac:dyDescent="0.25">
      <c r="A1201" s="16" t="s">
        <v>3200</v>
      </c>
      <c r="B1201" s="16" t="s">
        <v>3201</v>
      </c>
      <c r="C1201" s="16" t="s">
        <v>7604</v>
      </c>
      <c r="E1201" s="18" t="s">
        <v>7605</v>
      </c>
    </row>
    <row r="1202" spans="1:8" ht="15.75" customHeight="1" x14ac:dyDescent="0.25">
      <c r="A1202" s="16" t="s">
        <v>3203</v>
      </c>
      <c r="B1202" s="16" t="s">
        <v>3204</v>
      </c>
    </row>
    <row r="1203" spans="1:8" ht="15.75" customHeight="1" x14ac:dyDescent="0.25">
      <c r="A1203" s="16" t="s">
        <v>3207</v>
      </c>
      <c r="B1203" s="16" t="s">
        <v>3208</v>
      </c>
      <c r="C1203" s="16" t="s">
        <v>7606</v>
      </c>
      <c r="E1203" s="18" t="s">
        <v>7607</v>
      </c>
      <c r="F1203" s="18" t="s">
        <v>7608</v>
      </c>
      <c r="G1203" s="16" t="s">
        <v>7609</v>
      </c>
      <c r="H1203" s="16" t="s">
        <v>7610</v>
      </c>
    </row>
    <row r="1204" spans="1:8" ht="15.75" customHeight="1" x14ac:dyDescent="0.25">
      <c r="A1204" s="16" t="s">
        <v>3207</v>
      </c>
      <c r="B1204" s="16" t="s">
        <v>3208</v>
      </c>
      <c r="C1204" s="16" t="s">
        <v>7606</v>
      </c>
      <c r="E1204" s="18" t="s">
        <v>7607</v>
      </c>
      <c r="F1204" s="18" t="s">
        <v>7611</v>
      </c>
      <c r="G1204" s="16" t="s">
        <v>7612</v>
      </c>
      <c r="H1204" s="16" t="s">
        <v>7613</v>
      </c>
    </row>
    <row r="1205" spans="1:8" ht="15.75" customHeight="1" x14ac:dyDescent="0.25">
      <c r="A1205" s="16" t="s">
        <v>3207</v>
      </c>
      <c r="B1205" s="16" t="s">
        <v>3208</v>
      </c>
      <c r="C1205" s="16" t="s">
        <v>7606</v>
      </c>
      <c r="E1205" s="18" t="s">
        <v>7607</v>
      </c>
      <c r="F1205" s="18" t="s">
        <v>7614</v>
      </c>
      <c r="G1205" s="16" t="s">
        <v>7615</v>
      </c>
      <c r="H1205" s="16" t="s">
        <v>7616</v>
      </c>
    </row>
    <row r="1206" spans="1:8" ht="15.75" customHeight="1" x14ac:dyDescent="0.25">
      <c r="A1206" s="16" t="s">
        <v>3207</v>
      </c>
      <c r="B1206" s="16" t="s">
        <v>3208</v>
      </c>
      <c r="C1206" s="16" t="s">
        <v>7606</v>
      </c>
      <c r="E1206" s="18" t="s">
        <v>7607</v>
      </c>
      <c r="F1206" s="18" t="s">
        <v>7617</v>
      </c>
      <c r="G1206" s="16" t="s">
        <v>7618</v>
      </c>
      <c r="H1206" s="16" t="s">
        <v>7619</v>
      </c>
    </row>
    <row r="1207" spans="1:8" ht="15.75" customHeight="1" x14ac:dyDescent="0.25">
      <c r="A1207" s="16" t="s">
        <v>3211</v>
      </c>
      <c r="B1207" s="16" t="s">
        <v>3212</v>
      </c>
    </row>
    <row r="1208" spans="1:8" ht="15.75" customHeight="1" x14ac:dyDescent="0.25">
      <c r="A1208" s="16" t="s">
        <v>3213</v>
      </c>
      <c r="B1208" s="16" t="s">
        <v>3214</v>
      </c>
    </row>
    <row r="1209" spans="1:8" ht="15.75" customHeight="1" x14ac:dyDescent="0.25">
      <c r="A1209" s="16" t="s">
        <v>3215</v>
      </c>
      <c r="B1209" s="16" t="s">
        <v>3216</v>
      </c>
    </row>
    <row r="1210" spans="1:8" ht="15.75" customHeight="1" x14ac:dyDescent="0.25">
      <c r="A1210" s="16" t="s">
        <v>3219</v>
      </c>
      <c r="B1210" s="16" t="s">
        <v>3220</v>
      </c>
      <c r="C1210" s="16" t="s">
        <v>7620</v>
      </c>
      <c r="E1210" s="18" t="s">
        <v>7621</v>
      </c>
      <c r="F1210" s="18" t="s">
        <v>7622</v>
      </c>
      <c r="G1210" s="16" t="s">
        <v>7623</v>
      </c>
      <c r="H1210" s="16" t="s">
        <v>7624</v>
      </c>
    </row>
    <row r="1211" spans="1:8" ht="15.75" customHeight="1" x14ac:dyDescent="0.25">
      <c r="A1211" s="16" t="s">
        <v>3223</v>
      </c>
      <c r="B1211" s="16" t="s">
        <v>3224</v>
      </c>
      <c r="C1211" s="16" t="s">
        <v>7625</v>
      </c>
      <c r="E1211" s="18" t="s">
        <v>7626</v>
      </c>
      <c r="F1211" s="18" t="s">
        <v>7627</v>
      </c>
      <c r="G1211" s="16" t="s">
        <v>6748</v>
      </c>
      <c r="H1211" s="16" t="s">
        <v>7628</v>
      </c>
    </row>
    <row r="1212" spans="1:8" ht="15.75" customHeight="1" x14ac:dyDescent="0.25">
      <c r="A1212" s="16" t="s">
        <v>3227</v>
      </c>
      <c r="B1212" s="16" t="s">
        <v>3228</v>
      </c>
      <c r="C1212" s="16" t="s">
        <v>7629</v>
      </c>
      <c r="E1212" s="18" t="s">
        <v>7630</v>
      </c>
      <c r="F1212" s="18" t="s">
        <v>7631</v>
      </c>
      <c r="G1212" s="16" t="s">
        <v>7632</v>
      </c>
      <c r="H1212" s="16" t="s">
        <v>7633</v>
      </c>
    </row>
    <row r="1213" spans="1:8" ht="15.75" customHeight="1" x14ac:dyDescent="0.25">
      <c r="A1213" s="16" t="s">
        <v>3227</v>
      </c>
      <c r="B1213" s="16" t="s">
        <v>3228</v>
      </c>
      <c r="C1213" s="16" t="s">
        <v>7629</v>
      </c>
      <c r="E1213" s="18" t="s">
        <v>7630</v>
      </c>
      <c r="F1213" s="18" t="s">
        <v>7634</v>
      </c>
      <c r="G1213" s="16" t="s">
        <v>7635</v>
      </c>
      <c r="H1213" s="16" t="s">
        <v>7636</v>
      </c>
    </row>
    <row r="1214" spans="1:8" ht="15.75" customHeight="1" x14ac:dyDescent="0.25">
      <c r="A1214" s="16"/>
      <c r="B1214" s="16"/>
      <c r="C1214" s="16"/>
      <c r="E1214" s="16"/>
      <c r="F1214" s="16"/>
      <c r="G1214" s="16"/>
      <c r="H1214" s="16"/>
    </row>
    <row r="1215" spans="1:8" ht="15.75" customHeight="1" x14ac:dyDescent="0.25">
      <c r="A1215" s="16" t="s">
        <v>3231</v>
      </c>
      <c r="B1215" s="16" t="s">
        <v>3232</v>
      </c>
      <c r="C1215" s="16" t="s">
        <v>7637</v>
      </c>
      <c r="E1215" s="18" t="s">
        <v>7638</v>
      </c>
      <c r="F1215" s="18" t="s">
        <v>7639</v>
      </c>
      <c r="G1215" s="16" t="s">
        <v>7640</v>
      </c>
      <c r="H1215" s="16" t="s">
        <v>7641</v>
      </c>
    </row>
    <row r="1216" spans="1:8" ht="15.75" customHeight="1" x14ac:dyDescent="0.25">
      <c r="A1216" s="16" t="s">
        <v>3231</v>
      </c>
      <c r="B1216" s="16" t="s">
        <v>3232</v>
      </c>
      <c r="C1216" s="16" t="s">
        <v>7637</v>
      </c>
      <c r="E1216" s="18" t="s">
        <v>7638</v>
      </c>
      <c r="F1216" s="18" t="s">
        <v>7642</v>
      </c>
      <c r="G1216" s="16" t="s">
        <v>7643</v>
      </c>
      <c r="H1216" s="16" t="s">
        <v>7644</v>
      </c>
    </row>
    <row r="1217" spans="1:8" ht="15.75" customHeight="1" x14ac:dyDescent="0.3">
      <c r="A1217" s="16" t="s">
        <v>3231</v>
      </c>
      <c r="B1217" s="16" t="s">
        <v>3232</v>
      </c>
      <c r="C1217" s="16" t="s">
        <v>7637</v>
      </c>
      <c r="E1217" s="18" t="s">
        <v>7638</v>
      </c>
      <c r="F1217" s="18" t="s">
        <v>7645</v>
      </c>
      <c r="G1217" s="16" t="s">
        <v>7646</v>
      </c>
      <c r="H1217" s="17" t="s">
        <v>7647</v>
      </c>
    </row>
    <row r="1218" spans="1:8" ht="15.75" customHeight="1" x14ac:dyDescent="0.25">
      <c r="A1218" s="16" t="s">
        <v>3231</v>
      </c>
      <c r="B1218" s="16" t="s">
        <v>3232</v>
      </c>
      <c r="C1218" s="16" t="s">
        <v>7637</v>
      </c>
      <c r="E1218" s="18" t="s">
        <v>7638</v>
      </c>
      <c r="F1218" s="18" t="s">
        <v>7648</v>
      </c>
      <c r="G1218" s="16" t="s">
        <v>7649</v>
      </c>
      <c r="H1218" s="16" t="s">
        <v>7650</v>
      </c>
    </row>
    <row r="1219" spans="1:8" ht="15.75" customHeight="1" x14ac:dyDescent="0.25">
      <c r="A1219" s="16" t="s">
        <v>3231</v>
      </c>
      <c r="B1219" s="16" t="s">
        <v>3232</v>
      </c>
      <c r="C1219" s="16" t="s">
        <v>7637</v>
      </c>
      <c r="E1219" s="18" t="s">
        <v>7638</v>
      </c>
      <c r="F1219" s="18" t="s">
        <v>7651</v>
      </c>
      <c r="G1219" s="16" t="s">
        <v>7652</v>
      </c>
      <c r="H1219" s="16" t="s">
        <v>7653</v>
      </c>
    </row>
    <row r="1220" spans="1:8" ht="15.75" customHeight="1" x14ac:dyDescent="0.25">
      <c r="A1220" s="16" t="s">
        <v>3231</v>
      </c>
      <c r="B1220" s="16" t="s">
        <v>3232</v>
      </c>
      <c r="C1220" s="16" t="s">
        <v>7637</v>
      </c>
      <c r="E1220" s="18" t="s">
        <v>7638</v>
      </c>
      <c r="F1220" s="18" t="s">
        <v>7654</v>
      </c>
      <c r="G1220" s="16" t="s">
        <v>7655</v>
      </c>
      <c r="H1220" s="16" t="s">
        <v>7656</v>
      </c>
    </row>
    <row r="1221" spans="1:8" ht="15.75" customHeight="1" x14ac:dyDescent="0.25">
      <c r="A1221" s="16" t="s">
        <v>3231</v>
      </c>
      <c r="B1221" s="16" t="s">
        <v>3232</v>
      </c>
      <c r="C1221" s="16" t="s">
        <v>7637</v>
      </c>
      <c r="E1221" s="18" t="s">
        <v>7638</v>
      </c>
      <c r="F1221" s="18" t="s">
        <v>7657</v>
      </c>
      <c r="G1221" s="16" t="s">
        <v>7658</v>
      </c>
      <c r="H1221" s="16" t="s">
        <v>7659</v>
      </c>
    </row>
    <row r="1222" spans="1:8" ht="15.75" customHeight="1" x14ac:dyDescent="0.25">
      <c r="A1222" s="16" t="s">
        <v>3231</v>
      </c>
      <c r="B1222" s="16" t="s">
        <v>3232</v>
      </c>
      <c r="C1222" s="16" t="s">
        <v>7637</v>
      </c>
      <c r="E1222" s="18" t="s">
        <v>7638</v>
      </c>
      <c r="F1222" s="18" t="s">
        <v>7660</v>
      </c>
      <c r="G1222" s="16" t="s">
        <v>7661</v>
      </c>
      <c r="H1222" s="16" t="s">
        <v>7662</v>
      </c>
    </row>
    <row r="1223" spans="1:8" ht="15.75" customHeight="1" x14ac:dyDescent="0.25">
      <c r="A1223" s="16" t="s">
        <v>3231</v>
      </c>
      <c r="B1223" s="16" t="s">
        <v>3232</v>
      </c>
      <c r="C1223" s="16" t="s">
        <v>7637</v>
      </c>
      <c r="E1223" s="18" t="s">
        <v>7638</v>
      </c>
      <c r="F1223" s="18" t="s">
        <v>7663</v>
      </c>
      <c r="G1223" s="16" t="s">
        <v>7664</v>
      </c>
      <c r="H1223" s="16" t="s">
        <v>7665</v>
      </c>
    </row>
    <row r="1224" spans="1:8" ht="15.75" customHeight="1" x14ac:dyDescent="0.25">
      <c r="A1224" s="16" t="s">
        <v>3231</v>
      </c>
      <c r="B1224" s="16" t="s">
        <v>3232</v>
      </c>
      <c r="C1224" s="16" t="s">
        <v>7637</v>
      </c>
      <c r="E1224" s="18" t="s">
        <v>7638</v>
      </c>
      <c r="F1224" s="18" t="s">
        <v>7666</v>
      </c>
      <c r="G1224" s="16" t="s">
        <v>7667</v>
      </c>
      <c r="H1224" s="16" t="s">
        <v>7668</v>
      </c>
    </row>
    <row r="1225" spans="1:8" ht="15.75" customHeight="1" x14ac:dyDescent="0.25">
      <c r="A1225" s="16" t="s">
        <v>3231</v>
      </c>
      <c r="B1225" s="16" t="s">
        <v>3232</v>
      </c>
      <c r="C1225" s="16" t="s">
        <v>7637</v>
      </c>
      <c r="E1225" s="18" t="s">
        <v>7638</v>
      </c>
      <c r="F1225" s="18" t="s">
        <v>7669</v>
      </c>
      <c r="G1225" s="16" t="s">
        <v>7670</v>
      </c>
      <c r="H1225" s="16" t="s">
        <v>7671</v>
      </c>
    </row>
    <row r="1226" spans="1:8" ht="15.75" customHeight="1" x14ac:dyDescent="0.25">
      <c r="A1226" s="16" t="s">
        <v>3231</v>
      </c>
      <c r="B1226" s="16" t="s">
        <v>3232</v>
      </c>
      <c r="C1226" s="16" t="s">
        <v>7637</v>
      </c>
      <c r="E1226" s="18" t="s">
        <v>7638</v>
      </c>
      <c r="F1226" s="18" t="s">
        <v>7672</v>
      </c>
      <c r="G1226" s="16" t="s">
        <v>7673</v>
      </c>
      <c r="H1226" s="16" t="s">
        <v>7674</v>
      </c>
    </row>
    <row r="1227" spans="1:8" ht="15.75" customHeight="1" x14ac:dyDescent="0.25">
      <c r="A1227" s="16" t="s">
        <v>3231</v>
      </c>
      <c r="B1227" s="16" t="s">
        <v>3232</v>
      </c>
      <c r="C1227" s="16" t="s">
        <v>7637</v>
      </c>
      <c r="E1227" s="18" t="s">
        <v>7638</v>
      </c>
      <c r="F1227" s="18" t="s">
        <v>7675</v>
      </c>
      <c r="G1227" s="16" t="s">
        <v>7676</v>
      </c>
      <c r="H1227" s="16" t="s">
        <v>7677</v>
      </c>
    </row>
    <row r="1228" spans="1:8" ht="15.75" customHeight="1" x14ac:dyDescent="0.25">
      <c r="A1228" s="16" t="s">
        <v>3231</v>
      </c>
      <c r="B1228" s="16" t="s">
        <v>3232</v>
      </c>
      <c r="C1228" s="16" t="s">
        <v>7637</v>
      </c>
      <c r="E1228" s="18" t="s">
        <v>7638</v>
      </c>
      <c r="F1228" s="18" t="s">
        <v>7678</v>
      </c>
      <c r="G1228" s="16" t="s">
        <v>7679</v>
      </c>
      <c r="H1228" s="16" t="s">
        <v>7680</v>
      </c>
    </row>
    <row r="1229" spans="1:8" ht="15.75" customHeight="1" x14ac:dyDescent="0.25">
      <c r="A1229" s="16" t="s">
        <v>3231</v>
      </c>
      <c r="B1229" s="16" t="s">
        <v>3232</v>
      </c>
      <c r="C1229" s="16" t="s">
        <v>7637</v>
      </c>
      <c r="E1229" s="18" t="s">
        <v>7638</v>
      </c>
      <c r="F1229" s="18" t="s">
        <v>7681</v>
      </c>
      <c r="G1229" s="16" t="s">
        <v>7682</v>
      </c>
      <c r="H1229" s="16" t="s">
        <v>7683</v>
      </c>
    </row>
    <row r="1230" spans="1:8" ht="15.75" customHeight="1" x14ac:dyDescent="0.25">
      <c r="A1230" s="16" t="s">
        <v>3231</v>
      </c>
      <c r="B1230" s="16" t="s">
        <v>3232</v>
      </c>
      <c r="C1230" s="16" t="s">
        <v>7637</v>
      </c>
      <c r="E1230" s="18" t="s">
        <v>7638</v>
      </c>
      <c r="F1230" s="18" t="s">
        <v>7684</v>
      </c>
      <c r="G1230" s="16" t="s">
        <v>7685</v>
      </c>
      <c r="H1230" s="16" t="s">
        <v>7686</v>
      </c>
    </row>
    <row r="1231" spans="1:8" ht="15.75" customHeight="1" x14ac:dyDescent="0.25">
      <c r="A1231" s="16"/>
      <c r="B1231" s="16"/>
      <c r="C1231" s="16"/>
      <c r="E1231" s="16"/>
    </row>
    <row r="1232" spans="1:8" ht="15.75" customHeight="1" x14ac:dyDescent="0.25">
      <c r="A1232" s="16" t="s">
        <v>3235</v>
      </c>
      <c r="B1232" s="16" t="s">
        <v>3236</v>
      </c>
    </row>
    <row r="1233" spans="1:8" ht="15.75" customHeight="1" x14ac:dyDescent="0.25">
      <c r="A1233" s="16" t="s">
        <v>3238</v>
      </c>
      <c r="B1233" s="16" t="s">
        <v>3239</v>
      </c>
    </row>
    <row r="1234" spans="1:8" ht="15.75" customHeight="1" x14ac:dyDescent="0.25">
      <c r="A1234" s="16" t="s">
        <v>3242</v>
      </c>
      <c r="B1234" s="16" t="s">
        <v>3243</v>
      </c>
    </row>
    <row r="1235" spans="1:8" ht="15.75" customHeight="1" x14ac:dyDescent="0.25">
      <c r="A1235" s="16" t="s">
        <v>3246</v>
      </c>
      <c r="B1235" s="16" t="s">
        <v>3247</v>
      </c>
    </row>
    <row r="1236" spans="1:8" ht="15.75" customHeight="1" x14ac:dyDescent="0.3">
      <c r="A1236" s="16" t="s">
        <v>3250</v>
      </c>
      <c r="B1236" s="16" t="s">
        <v>3251</v>
      </c>
      <c r="C1236" s="16" t="s">
        <v>7687</v>
      </c>
      <c r="E1236" s="18" t="s">
        <v>7688</v>
      </c>
      <c r="F1236" s="18" t="s">
        <v>7689</v>
      </c>
      <c r="G1236" s="17" t="s">
        <v>7690</v>
      </c>
      <c r="H1236" s="17" t="s">
        <v>7691</v>
      </c>
    </row>
    <row r="1237" spans="1:8" ht="15.75" customHeight="1" x14ac:dyDescent="0.25">
      <c r="A1237" s="16" t="s">
        <v>3253</v>
      </c>
      <c r="B1237" s="16" t="s">
        <v>3254</v>
      </c>
    </row>
    <row r="1238" spans="1:8" ht="15.75" customHeight="1" x14ac:dyDescent="0.25">
      <c r="A1238" s="16" t="s">
        <v>3255</v>
      </c>
      <c r="B1238" s="16" t="s">
        <v>3256</v>
      </c>
    </row>
    <row r="1239" spans="1:8" ht="15.75" customHeight="1" x14ac:dyDescent="0.25">
      <c r="A1239" s="16" t="s">
        <v>3259</v>
      </c>
      <c r="B1239" s="16" t="s">
        <v>3260</v>
      </c>
    </row>
    <row r="1240" spans="1:8" ht="15.75" customHeight="1" x14ac:dyDescent="0.25">
      <c r="A1240" s="16" t="s">
        <v>3262</v>
      </c>
      <c r="B1240" s="16" t="s">
        <v>3263</v>
      </c>
    </row>
    <row r="1241" spans="1:8" ht="15.75" customHeight="1" x14ac:dyDescent="0.25">
      <c r="A1241" s="16" t="s">
        <v>3265</v>
      </c>
      <c r="B1241" s="16" t="s">
        <v>3266</v>
      </c>
    </row>
    <row r="1242" spans="1:8" ht="15.75" customHeight="1" x14ac:dyDescent="0.25">
      <c r="A1242" s="16" t="s">
        <v>3269</v>
      </c>
      <c r="B1242" s="16" t="s">
        <v>3270</v>
      </c>
      <c r="C1242" s="16" t="s">
        <v>7692</v>
      </c>
      <c r="E1242" s="18" t="s">
        <v>7693</v>
      </c>
      <c r="F1242" s="18" t="s">
        <v>7694</v>
      </c>
      <c r="G1242" s="16" t="s">
        <v>7695</v>
      </c>
      <c r="H1242" s="16" t="s">
        <v>7696</v>
      </c>
    </row>
    <row r="1243" spans="1:8" ht="15.75" customHeight="1" x14ac:dyDescent="0.25">
      <c r="A1243" s="16" t="s">
        <v>3269</v>
      </c>
      <c r="B1243" s="16" t="s">
        <v>3270</v>
      </c>
      <c r="C1243" s="16" t="s">
        <v>7697</v>
      </c>
      <c r="E1243" s="18" t="s">
        <v>7698</v>
      </c>
      <c r="F1243" s="18" t="s">
        <v>7699</v>
      </c>
      <c r="G1243" s="16" t="s">
        <v>7700</v>
      </c>
      <c r="H1243" s="16" t="s">
        <v>7701</v>
      </c>
    </row>
    <row r="1244" spans="1:8" ht="15.75" customHeight="1" x14ac:dyDescent="0.25">
      <c r="A1244" s="16" t="s">
        <v>3273</v>
      </c>
      <c r="B1244" s="16" t="s">
        <v>3274</v>
      </c>
      <c r="C1244" s="16" t="s">
        <v>7702</v>
      </c>
      <c r="E1244" s="18" t="s">
        <v>7703</v>
      </c>
    </row>
    <row r="1245" spans="1:8" ht="15.75" customHeight="1" x14ac:dyDescent="0.25">
      <c r="A1245" s="16" t="s">
        <v>3276</v>
      </c>
      <c r="B1245" s="16" t="s">
        <v>3277</v>
      </c>
    </row>
    <row r="1246" spans="1:8" ht="15.75" customHeight="1" x14ac:dyDescent="0.25">
      <c r="A1246" s="16" t="s">
        <v>3279</v>
      </c>
      <c r="B1246" s="16" t="s">
        <v>3280</v>
      </c>
    </row>
    <row r="1247" spans="1:8" ht="15.75" customHeight="1" x14ac:dyDescent="0.25">
      <c r="A1247" s="16" t="s">
        <v>3283</v>
      </c>
      <c r="B1247" s="16" t="s">
        <v>3284</v>
      </c>
      <c r="C1247" s="16" t="s">
        <v>7704</v>
      </c>
      <c r="E1247" s="18" t="s">
        <v>7705</v>
      </c>
      <c r="F1247" s="18" t="s">
        <v>7706</v>
      </c>
      <c r="G1247" s="16" t="s">
        <v>7707</v>
      </c>
      <c r="H1247" s="16" t="s">
        <v>7708</v>
      </c>
    </row>
    <row r="1248" spans="1:8" ht="15.75" customHeight="1" x14ac:dyDescent="0.25">
      <c r="A1248" s="16" t="s">
        <v>3287</v>
      </c>
      <c r="B1248" s="16" t="s">
        <v>3288</v>
      </c>
    </row>
    <row r="1249" spans="1:8" ht="15.75" customHeight="1" x14ac:dyDescent="0.25">
      <c r="A1249" s="16" t="s">
        <v>3291</v>
      </c>
      <c r="B1249" s="16" t="s">
        <v>3292</v>
      </c>
      <c r="C1249" s="16" t="s">
        <v>6832</v>
      </c>
      <c r="E1249" s="18" t="s">
        <v>6833</v>
      </c>
    </row>
    <row r="1250" spans="1:8" ht="15.75" customHeight="1" x14ac:dyDescent="0.25">
      <c r="A1250" s="16" t="s">
        <v>3294</v>
      </c>
      <c r="B1250" s="16" t="s">
        <v>3295</v>
      </c>
    </row>
    <row r="1251" spans="1:8" ht="15.75" customHeight="1" x14ac:dyDescent="0.25">
      <c r="A1251" s="16" t="s">
        <v>3297</v>
      </c>
      <c r="B1251" s="16" t="s">
        <v>3298</v>
      </c>
    </row>
    <row r="1252" spans="1:8" ht="15.75" customHeight="1" x14ac:dyDescent="0.25">
      <c r="A1252" s="16" t="s">
        <v>3300</v>
      </c>
      <c r="B1252" s="16" t="s">
        <v>3301</v>
      </c>
    </row>
    <row r="1253" spans="1:8" ht="15.75" customHeight="1" x14ac:dyDescent="0.25">
      <c r="A1253" s="16" t="s">
        <v>3304</v>
      </c>
      <c r="B1253" s="16" t="s">
        <v>3305</v>
      </c>
    </row>
    <row r="1254" spans="1:8" ht="15.75" customHeight="1" x14ac:dyDescent="0.25">
      <c r="A1254" s="16" t="s">
        <v>3307</v>
      </c>
      <c r="B1254" s="16" t="s">
        <v>3308</v>
      </c>
    </row>
    <row r="1255" spans="1:8" ht="15.75" customHeight="1" x14ac:dyDescent="0.25">
      <c r="A1255" s="16" t="s">
        <v>3310</v>
      </c>
      <c r="B1255" s="16" t="s">
        <v>3311</v>
      </c>
    </row>
    <row r="1256" spans="1:8" ht="15.75" customHeight="1" x14ac:dyDescent="0.25">
      <c r="A1256" s="16" t="s">
        <v>3314</v>
      </c>
      <c r="B1256" s="16" t="s">
        <v>3315</v>
      </c>
    </row>
    <row r="1257" spans="1:8" ht="15.75" customHeight="1" x14ac:dyDescent="0.25">
      <c r="A1257" s="16" t="s">
        <v>3318</v>
      </c>
      <c r="B1257" s="16" t="s">
        <v>3319</v>
      </c>
      <c r="C1257" s="16" t="s">
        <v>7709</v>
      </c>
      <c r="E1257" s="18" t="s">
        <v>7710</v>
      </c>
      <c r="F1257" s="18" t="s">
        <v>7711</v>
      </c>
      <c r="G1257" s="16" t="s">
        <v>7712</v>
      </c>
      <c r="H1257" s="16" t="s">
        <v>7713</v>
      </c>
    </row>
    <row r="1258" spans="1:8" ht="15.75" customHeight="1" x14ac:dyDescent="0.25">
      <c r="A1258" s="16" t="s">
        <v>3322</v>
      </c>
      <c r="B1258" s="16" t="s">
        <v>3323</v>
      </c>
      <c r="C1258" s="16" t="s">
        <v>6722</v>
      </c>
    </row>
    <row r="1259" spans="1:8" ht="15.75" customHeight="1" x14ac:dyDescent="0.25">
      <c r="A1259" s="16" t="s">
        <v>3324</v>
      </c>
      <c r="B1259" s="16" t="s">
        <v>3325</v>
      </c>
    </row>
    <row r="1260" spans="1:8" ht="15.75" customHeight="1" x14ac:dyDescent="0.25">
      <c r="A1260" s="16" t="s">
        <v>3328</v>
      </c>
      <c r="B1260" s="16" t="s">
        <v>3329</v>
      </c>
      <c r="C1260" s="16" t="s">
        <v>7714</v>
      </c>
      <c r="E1260" s="18" t="s">
        <v>7715</v>
      </c>
    </row>
    <row r="1261" spans="1:8" ht="15.75" customHeight="1" x14ac:dyDescent="0.25">
      <c r="A1261" s="16" t="s">
        <v>3331</v>
      </c>
      <c r="B1261" s="16" t="s">
        <v>3332</v>
      </c>
      <c r="C1261" s="16" t="s">
        <v>7716</v>
      </c>
      <c r="E1261" s="18" t="s">
        <v>7717</v>
      </c>
      <c r="F1261" s="18" t="s">
        <v>7718</v>
      </c>
      <c r="G1261" s="16" t="s">
        <v>7719</v>
      </c>
      <c r="H1261" s="16" t="s">
        <v>7720</v>
      </c>
    </row>
    <row r="1262" spans="1:8" ht="15.75" customHeight="1" x14ac:dyDescent="0.25">
      <c r="A1262" s="16" t="s">
        <v>3335</v>
      </c>
      <c r="B1262" s="16" t="s">
        <v>3336</v>
      </c>
      <c r="C1262" s="16" t="s">
        <v>7721</v>
      </c>
    </row>
    <row r="1263" spans="1:8" ht="15.75" customHeight="1" x14ac:dyDescent="0.25">
      <c r="A1263" s="16" t="s">
        <v>3338</v>
      </c>
      <c r="B1263" s="16" t="s">
        <v>3339</v>
      </c>
    </row>
    <row r="1264" spans="1:8" ht="15.75" customHeight="1" x14ac:dyDescent="0.25">
      <c r="A1264" s="16" t="s">
        <v>3342</v>
      </c>
      <c r="B1264" s="16" t="s">
        <v>3343</v>
      </c>
    </row>
    <row r="1265" spans="1:8" ht="15.75" customHeight="1" x14ac:dyDescent="0.25">
      <c r="A1265" s="16" t="s">
        <v>3346</v>
      </c>
      <c r="B1265" s="16" t="s">
        <v>3347</v>
      </c>
    </row>
    <row r="1266" spans="1:8" ht="15.75" customHeight="1" x14ac:dyDescent="0.25">
      <c r="A1266" s="16" t="s">
        <v>3350</v>
      </c>
      <c r="B1266" s="16" t="s">
        <v>3351</v>
      </c>
    </row>
    <row r="1267" spans="1:8" ht="15.75" customHeight="1" x14ac:dyDescent="0.25">
      <c r="A1267" s="16" t="s">
        <v>3353</v>
      </c>
      <c r="B1267" s="16" t="s">
        <v>3354</v>
      </c>
    </row>
    <row r="1268" spans="1:8" ht="15.75" customHeight="1" x14ac:dyDescent="0.25">
      <c r="A1268" s="16" t="s">
        <v>3356</v>
      </c>
      <c r="B1268" s="16" t="s">
        <v>3357</v>
      </c>
    </row>
    <row r="1269" spans="1:8" ht="15.75" customHeight="1" x14ac:dyDescent="0.25">
      <c r="A1269" s="16" t="s">
        <v>3360</v>
      </c>
      <c r="B1269" s="16" t="s">
        <v>3361</v>
      </c>
    </row>
    <row r="1270" spans="1:8" ht="15.75" customHeight="1" x14ac:dyDescent="0.25">
      <c r="A1270" s="16" t="s">
        <v>3364</v>
      </c>
      <c r="B1270" s="16" t="s">
        <v>3365</v>
      </c>
    </row>
    <row r="1271" spans="1:8" ht="15.75" customHeight="1" x14ac:dyDescent="0.3">
      <c r="A1271" s="16" t="s">
        <v>3368</v>
      </c>
      <c r="B1271" s="16" t="s">
        <v>3369</v>
      </c>
      <c r="C1271" s="16" t="s">
        <v>7722</v>
      </c>
      <c r="E1271" s="18" t="s">
        <v>7723</v>
      </c>
      <c r="F1271" s="18" t="s">
        <v>7724</v>
      </c>
      <c r="G1271" s="16" t="s">
        <v>7725</v>
      </c>
      <c r="H1271" s="17" t="s">
        <v>7726</v>
      </c>
    </row>
    <row r="1272" spans="1:8" ht="15.75" customHeight="1" x14ac:dyDescent="0.25">
      <c r="A1272" s="16" t="s">
        <v>3368</v>
      </c>
      <c r="B1272" s="16" t="s">
        <v>3369</v>
      </c>
      <c r="C1272" s="16" t="s">
        <v>7722</v>
      </c>
      <c r="E1272" s="18" t="s">
        <v>7723</v>
      </c>
      <c r="F1272" s="18" t="s">
        <v>7727</v>
      </c>
      <c r="G1272" s="16" t="s">
        <v>7728</v>
      </c>
      <c r="H1272" s="16" t="s">
        <v>7729</v>
      </c>
    </row>
    <row r="1273" spans="1:8" ht="15.75" customHeight="1" x14ac:dyDescent="0.25">
      <c r="A1273" s="16" t="s">
        <v>3371</v>
      </c>
      <c r="B1273" s="16" t="s">
        <v>3372</v>
      </c>
    </row>
    <row r="1274" spans="1:8" ht="15.75" customHeight="1" x14ac:dyDescent="0.25">
      <c r="A1274" s="16" t="s">
        <v>3375</v>
      </c>
      <c r="B1274" s="16" t="s">
        <v>3376</v>
      </c>
    </row>
    <row r="1275" spans="1:8" ht="15.75" customHeight="1" x14ac:dyDescent="0.25">
      <c r="A1275" s="16" t="s">
        <v>3379</v>
      </c>
      <c r="B1275" s="16" t="s">
        <v>3380</v>
      </c>
    </row>
    <row r="1276" spans="1:8" ht="15.75" customHeight="1" x14ac:dyDescent="0.25">
      <c r="A1276" s="16" t="s">
        <v>3382</v>
      </c>
      <c r="B1276" s="16" t="s">
        <v>3383</v>
      </c>
      <c r="C1276" s="16" t="s">
        <v>7730</v>
      </c>
      <c r="E1276" s="18" t="s">
        <v>7731</v>
      </c>
      <c r="F1276" s="18" t="s">
        <v>7732</v>
      </c>
      <c r="G1276" s="16" t="s">
        <v>7733</v>
      </c>
      <c r="H1276" s="16" t="s">
        <v>7734</v>
      </c>
    </row>
    <row r="1277" spans="1:8" ht="15.75" customHeight="1" x14ac:dyDescent="0.25">
      <c r="A1277" s="16" t="s">
        <v>3386</v>
      </c>
      <c r="B1277" s="16" t="s">
        <v>3387</v>
      </c>
      <c r="C1277" s="16" t="s">
        <v>7735</v>
      </c>
      <c r="E1277" s="18" t="s">
        <v>7736</v>
      </c>
      <c r="F1277" s="18" t="s">
        <v>7737</v>
      </c>
      <c r="G1277" s="16" t="s">
        <v>7690</v>
      </c>
      <c r="H1277" s="16" t="s">
        <v>7738</v>
      </c>
    </row>
    <row r="1278" spans="1:8" ht="15.75" customHeight="1" x14ac:dyDescent="0.25">
      <c r="A1278" s="16" t="s">
        <v>3390</v>
      </c>
      <c r="B1278" s="16" t="s">
        <v>3391</v>
      </c>
      <c r="C1278" s="16" t="s">
        <v>7739</v>
      </c>
      <c r="E1278" s="18" t="s">
        <v>7740</v>
      </c>
      <c r="F1278" s="18" t="s">
        <v>7741</v>
      </c>
      <c r="G1278" s="16" t="s">
        <v>7742</v>
      </c>
      <c r="H1278" s="16" t="s">
        <v>7743</v>
      </c>
    </row>
    <row r="1279" spans="1:8" ht="15.75" customHeight="1" x14ac:dyDescent="0.25">
      <c r="A1279" s="16" t="s">
        <v>3394</v>
      </c>
      <c r="B1279" s="16" t="s">
        <v>3395</v>
      </c>
    </row>
    <row r="1280" spans="1:8" ht="15.75" customHeight="1" x14ac:dyDescent="0.3">
      <c r="A1280" s="16" t="s">
        <v>3398</v>
      </c>
      <c r="B1280" s="16" t="s">
        <v>3399</v>
      </c>
      <c r="C1280" s="16" t="s">
        <v>6344</v>
      </c>
      <c r="E1280" s="18" t="s">
        <v>6345</v>
      </c>
      <c r="F1280" s="18" t="s">
        <v>6346</v>
      </c>
      <c r="G1280" s="17" t="s">
        <v>6347</v>
      </c>
      <c r="H1280" s="17" t="s">
        <v>6348</v>
      </c>
    </row>
    <row r="1281" spans="1:8" ht="16.5" customHeight="1" x14ac:dyDescent="0.25">
      <c r="A1281" s="16" t="s">
        <v>3398</v>
      </c>
      <c r="B1281" s="16" t="s">
        <v>3399</v>
      </c>
      <c r="C1281" s="16" t="s">
        <v>6344</v>
      </c>
      <c r="E1281" s="18" t="s">
        <v>6345</v>
      </c>
      <c r="F1281" s="18" t="s">
        <v>6349</v>
      </c>
      <c r="G1281" s="16" t="s">
        <v>6350</v>
      </c>
      <c r="H1281" s="16" t="s">
        <v>6348</v>
      </c>
    </row>
    <row r="1282" spans="1:8" ht="15.75" customHeight="1" x14ac:dyDescent="0.25">
      <c r="A1282" s="16" t="s">
        <v>3398</v>
      </c>
      <c r="B1282" s="16" t="s">
        <v>3399</v>
      </c>
      <c r="C1282" s="16" t="s">
        <v>6344</v>
      </c>
      <c r="E1282" s="18" t="s">
        <v>6345</v>
      </c>
      <c r="F1282" s="18" t="s">
        <v>6351</v>
      </c>
      <c r="G1282" s="16" t="s">
        <v>6352</v>
      </c>
      <c r="H1282" s="16" t="s">
        <v>6348</v>
      </c>
    </row>
    <row r="1283" spans="1:8" ht="15.75" customHeight="1" x14ac:dyDescent="0.25">
      <c r="A1283" s="16" t="s">
        <v>3398</v>
      </c>
      <c r="B1283" s="16" t="s">
        <v>3399</v>
      </c>
      <c r="C1283" s="16" t="s">
        <v>6344</v>
      </c>
      <c r="E1283" s="18" t="s">
        <v>6345</v>
      </c>
      <c r="F1283" s="18" t="s">
        <v>6353</v>
      </c>
      <c r="G1283" s="16" t="s">
        <v>6354</v>
      </c>
      <c r="H1283" s="16" t="s">
        <v>6348</v>
      </c>
    </row>
    <row r="1284" spans="1:8" ht="15.75" customHeight="1" x14ac:dyDescent="0.25">
      <c r="A1284" s="16" t="s">
        <v>3398</v>
      </c>
      <c r="B1284" s="16" t="s">
        <v>3399</v>
      </c>
      <c r="C1284" s="16" t="s">
        <v>6344</v>
      </c>
      <c r="E1284" s="18" t="s">
        <v>6345</v>
      </c>
      <c r="F1284" s="18" t="s">
        <v>6355</v>
      </c>
      <c r="G1284" s="16" t="s">
        <v>6356</v>
      </c>
      <c r="H1284" s="16" t="s">
        <v>6348</v>
      </c>
    </row>
    <row r="1285" spans="1:8" ht="15.75" customHeight="1" x14ac:dyDescent="0.25">
      <c r="A1285" s="16" t="s">
        <v>3398</v>
      </c>
      <c r="B1285" s="16" t="s">
        <v>3399</v>
      </c>
      <c r="C1285" s="16" t="s">
        <v>6344</v>
      </c>
      <c r="E1285" s="18" t="s">
        <v>6345</v>
      </c>
      <c r="F1285" s="18" t="s">
        <v>6357</v>
      </c>
      <c r="G1285" s="16" t="s">
        <v>6358</v>
      </c>
      <c r="H1285" s="16" t="s">
        <v>6359</v>
      </c>
    </row>
    <row r="1286" spans="1:8" ht="15.75" customHeight="1" x14ac:dyDescent="0.25">
      <c r="A1286" s="16"/>
      <c r="B1286" s="16"/>
      <c r="C1286" s="16"/>
    </row>
    <row r="1287" spans="1:8" ht="15.75" customHeight="1" x14ac:dyDescent="0.25">
      <c r="B1287" s="16" t="s">
        <v>3400</v>
      </c>
    </row>
    <row r="1288" spans="1:8" ht="15.75" customHeight="1" x14ac:dyDescent="0.25">
      <c r="A1288" s="16" t="s">
        <v>3403</v>
      </c>
      <c r="B1288" s="16" t="s">
        <v>3404</v>
      </c>
      <c r="C1288" s="16" t="s">
        <v>7744</v>
      </c>
      <c r="E1288" s="18" t="s">
        <v>7745</v>
      </c>
      <c r="F1288" s="18" t="s">
        <v>7746</v>
      </c>
      <c r="G1288" s="16" t="s">
        <v>7747</v>
      </c>
      <c r="H1288" s="16" t="s">
        <v>7748</v>
      </c>
    </row>
    <row r="1289" spans="1:8" ht="15.75" customHeight="1" x14ac:dyDescent="0.25">
      <c r="A1289" s="16" t="s">
        <v>3405</v>
      </c>
      <c r="B1289" s="16" t="s">
        <v>3406</v>
      </c>
    </row>
    <row r="1290" spans="1:8" ht="15.75" customHeight="1" x14ac:dyDescent="0.25">
      <c r="A1290" s="16" t="s">
        <v>3408</v>
      </c>
      <c r="B1290" s="16" t="s">
        <v>3409</v>
      </c>
    </row>
    <row r="1291" spans="1:8" ht="15.75" customHeight="1" x14ac:dyDescent="0.25">
      <c r="A1291" s="16" t="s">
        <v>3410</v>
      </c>
      <c r="B1291" s="16" t="s">
        <v>3411</v>
      </c>
    </row>
    <row r="1292" spans="1:8" ht="15.75" customHeight="1" x14ac:dyDescent="0.25">
      <c r="A1292" s="16" t="s">
        <v>3414</v>
      </c>
      <c r="B1292" s="16" t="s">
        <v>3415</v>
      </c>
      <c r="C1292" s="16" t="s">
        <v>7744</v>
      </c>
      <c r="E1292" s="18" t="s">
        <v>7745</v>
      </c>
      <c r="F1292" s="18" t="s">
        <v>7746</v>
      </c>
      <c r="G1292" s="16" t="s">
        <v>7747</v>
      </c>
      <c r="H1292" s="16" t="s">
        <v>7748</v>
      </c>
    </row>
    <row r="1293" spans="1:8" ht="15.75" customHeight="1" x14ac:dyDescent="0.25">
      <c r="A1293" s="16" t="s">
        <v>3417</v>
      </c>
      <c r="B1293" s="16" t="s">
        <v>3418</v>
      </c>
    </row>
    <row r="1294" spans="1:8" ht="15.75" customHeight="1" x14ac:dyDescent="0.25">
      <c r="A1294" s="16" t="s">
        <v>3420</v>
      </c>
      <c r="B1294" s="16" t="s">
        <v>3421</v>
      </c>
    </row>
    <row r="1295" spans="1:8" ht="15.75" customHeight="1" x14ac:dyDescent="0.25">
      <c r="A1295" s="16" t="s">
        <v>3422</v>
      </c>
      <c r="B1295" s="16" t="s">
        <v>3423</v>
      </c>
    </row>
    <row r="1296" spans="1:8" ht="15.75" customHeight="1" x14ac:dyDescent="0.25">
      <c r="A1296" s="16" t="s">
        <v>3425</v>
      </c>
      <c r="B1296" s="16" t="s">
        <v>3426</v>
      </c>
    </row>
    <row r="1297" spans="1:8" ht="15.75" customHeight="1" x14ac:dyDescent="0.25">
      <c r="A1297" s="16" t="s">
        <v>3429</v>
      </c>
      <c r="B1297" s="16" t="s">
        <v>3430</v>
      </c>
      <c r="C1297" s="16" t="s">
        <v>7749</v>
      </c>
      <c r="E1297" s="18" t="s">
        <v>7750</v>
      </c>
      <c r="F1297" s="18" t="s">
        <v>7751</v>
      </c>
      <c r="G1297" s="16" t="s">
        <v>7752</v>
      </c>
      <c r="H1297" s="16" t="s">
        <v>7753</v>
      </c>
    </row>
    <row r="1298" spans="1:8" ht="15.75" customHeight="1" x14ac:dyDescent="0.25">
      <c r="A1298" s="16" t="s">
        <v>3429</v>
      </c>
      <c r="B1298" s="16" t="s">
        <v>3430</v>
      </c>
      <c r="C1298" s="16" t="s">
        <v>7749</v>
      </c>
      <c r="E1298" s="18" t="s">
        <v>7750</v>
      </c>
      <c r="F1298" s="18" t="s">
        <v>7754</v>
      </c>
      <c r="G1298" s="16" t="s">
        <v>7755</v>
      </c>
      <c r="H1298" s="16" t="s">
        <v>7756</v>
      </c>
    </row>
    <row r="1299" spans="1:8" ht="15.75" customHeight="1" x14ac:dyDescent="0.25">
      <c r="A1299" s="16" t="s">
        <v>3431</v>
      </c>
      <c r="B1299" s="16" t="s">
        <v>3432</v>
      </c>
    </row>
    <row r="1300" spans="1:8" ht="15.75" customHeight="1" x14ac:dyDescent="0.25">
      <c r="A1300" s="16" t="s">
        <v>3435</v>
      </c>
      <c r="B1300" s="16" t="s">
        <v>3436</v>
      </c>
    </row>
    <row r="1301" spans="1:8" ht="15.75" customHeight="1" x14ac:dyDescent="0.25">
      <c r="A1301" s="16" t="s">
        <v>3438</v>
      </c>
      <c r="B1301" s="16" t="s">
        <v>3439</v>
      </c>
    </row>
    <row r="1302" spans="1:8" ht="15.75" customHeight="1" x14ac:dyDescent="0.25">
      <c r="A1302" s="16" t="s">
        <v>3442</v>
      </c>
      <c r="B1302" s="16" t="s">
        <v>3443</v>
      </c>
    </row>
    <row r="1303" spans="1:8" ht="15.75" customHeight="1" x14ac:dyDescent="0.25">
      <c r="A1303" s="16" t="s">
        <v>3446</v>
      </c>
      <c r="B1303" s="16" t="s">
        <v>3447</v>
      </c>
      <c r="C1303" s="16" t="s">
        <v>7757</v>
      </c>
      <c r="E1303" s="18" t="s">
        <v>7758</v>
      </c>
      <c r="F1303" s="18" t="s">
        <v>7759</v>
      </c>
      <c r="G1303" s="16" t="s">
        <v>7760</v>
      </c>
      <c r="H1303" s="16" t="s">
        <v>7761</v>
      </c>
    </row>
    <row r="1304" spans="1:8" ht="15.75" customHeight="1" x14ac:dyDescent="0.25">
      <c r="A1304" s="16" t="s">
        <v>3446</v>
      </c>
      <c r="B1304" s="16" t="s">
        <v>3447</v>
      </c>
      <c r="C1304" s="16" t="s">
        <v>7757</v>
      </c>
      <c r="E1304" s="18" t="s">
        <v>7758</v>
      </c>
      <c r="F1304" s="18" t="s">
        <v>7762</v>
      </c>
      <c r="G1304" s="16" t="s">
        <v>7763</v>
      </c>
      <c r="H1304" s="16" t="s">
        <v>7761</v>
      </c>
    </row>
    <row r="1305" spans="1:8" ht="15.75" customHeight="1" x14ac:dyDescent="0.25">
      <c r="A1305" s="16" t="s">
        <v>3446</v>
      </c>
      <c r="B1305" s="16" t="s">
        <v>3447</v>
      </c>
      <c r="C1305" s="16" t="s">
        <v>7757</v>
      </c>
      <c r="E1305" s="18" t="s">
        <v>7758</v>
      </c>
      <c r="F1305" s="18" t="s">
        <v>7764</v>
      </c>
      <c r="G1305" s="16" t="s">
        <v>7765</v>
      </c>
      <c r="H1305" s="16" t="s">
        <v>7761</v>
      </c>
    </row>
    <row r="1306" spans="1:8" ht="15.75" customHeight="1" x14ac:dyDescent="0.25">
      <c r="A1306" s="16" t="s">
        <v>3446</v>
      </c>
      <c r="B1306" s="16" t="s">
        <v>3447</v>
      </c>
      <c r="C1306" s="16" t="s">
        <v>7757</v>
      </c>
      <c r="E1306" s="18" t="s">
        <v>7758</v>
      </c>
      <c r="F1306" s="18" t="s">
        <v>7766</v>
      </c>
      <c r="G1306" s="16" t="s">
        <v>7767</v>
      </c>
      <c r="H1306" s="16" t="s">
        <v>7761</v>
      </c>
    </row>
    <row r="1307" spans="1:8" ht="15.75" customHeight="1" x14ac:dyDescent="0.25">
      <c r="A1307" s="16" t="s">
        <v>3449</v>
      </c>
      <c r="B1307" s="16" t="s">
        <v>3450</v>
      </c>
    </row>
    <row r="1308" spans="1:8" ht="15.75" customHeight="1" x14ac:dyDescent="0.25">
      <c r="A1308" s="16" t="s">
        <v>3452</v>
      </c>
      <c r="B1308" s="16" t="s">
        <v>3453</v>
      </c>
    </row>
    <row r="1309" spans="1:8" ht="15.75" customHeight="1" x14ac:dyDescent="0.25">
      <c r="A1309" s="16" t="s">
        <v>3455</v>
      </c>
      <c r="B1309" s="16" t="s">
        <v>3456</v>
      </c>
    </row>
    <row r="1310" spans="1:8" ht="15.75" customHeight="1" x14ac:dyDescent="0.25">
      <c r="A1310" s="16" t="s">
        <v>3458</v>
      </c>
      <c r="B1310" s="16" t="s">
        <v>3459</v>
      </c>
    </row>
    <row r="1311" spans="1:8" ht="15.75" customHeight="1" x14ac:dyDescent="0.25">
      <c r="A1311" s="16" t="s">
        <v>3462</v>
      </c>
      <c r="B1311" s="16" t="s">
        <v>3463</v>
      </c>
      <c r="C1311" s="16" t="s">
        <v>7768</v>
      </c>
      <c r="E1311" s="18" t="s">
        <v>7769</v>
      </c>
    </row>
    <row r="1312" spans="1:8" ht="15.75" customHeight="1" x14ac:dyDescent="0.25">
      <c r="A1312" s="16" t="s">
        <v>3466</v>
      </c>
      <c r="B1312" s="16" t="s">
        <v>3467</v>
      </c>
    </row>
    <row r="1313" spans="1:8" ht="15.75" customHeight="1" x14ac:dyDescent="0.25">
      <c r="A1313" s="16" t="s">
        <v>3470</v>
      </c>
      <c r="B1313" s="16" t="s">
        <v>3471</v>
      </c>
    </row>
    <row r="1314" spans="1:8" ht="15.75" customHeight="1" x14ac:dyDescent="0.25">
      <c r="A1314" s="16" t="s">
        <v>3474</v>
      </c>
      <c r="B1314" s="16" t="s">
        <v>3475</v>
      </c>
    </row>
    <row r="1315" spans="1:8" ht="15.75" customHeight="1" x14ac:dyDescent="0.25">
      <c r="A1315" s="16" t="s">
        <v>3478</v>
      </c>
      <c r="B1315" s="16" t="s">
        <v>3479</v>
      </c>
      <c r="C1315" s="16" t="s">
        <v>7770</v>
      </c>
      <c r="E1315" s="18" t="s">
        <v>7771</v>
      </c>
    </row>
    <row r="1316" spans="1:8" ht="15.75" customHeight="1" x14ac:dyDescent="0.25">
      <c r="A1316" s="16" t="s">
        <v>3482</v>
      </c>
      <c r="B1316" s="16" t="s">
        <v>3483</v>
      </c>
      <c r="C1316" s="16" t="s">
        <v>7772</v>
      </c>
      <c r="E1316" s="18" t="s">
        <v>7773</v>
      </c>
      <c r="F1316" s="18" t="s">
        <v>7774</v>
      </c>
      <c r="G1316" s="16" t="s">
        <v>7775</v>
      </c>
      <c r="H1316" s="16" t="s">
        <v>7776</v>
      </c>
    </row>
    <row r="1317" spans="1:8" ht="15.75" customHeight="1" x14ac:dyDescent="0.25">
      <c r="A1317" s="16" t="s">
        <v>3486</v>
      </c>
      <c r="B1317" s="16" t="s">
        <v>3487</v>
      </c>
    </row>
    <row r="1318" spans="1:8" ht="15.75" customHeight="1" x14ac:dyDescent="0.25">
      <c r="A1318" s="16" t="s">
        <v>3490</v>
      </c>
      <c r="B1318" s="16" t="s">
        <v>3491</v>
      </c>
    </row>
    <row r="1319" spans="1:8" ht="15.75" customHeight="1" x14ac:dyDescent="0.25">
      <c r="A1319" s="16" t="s">
        <v>3493</v>
      </c>
      <c r="B1319" s="16" t="s">
        <v>3494</v>
      </c>
      <c r="C1319" s="16" t="s">
        <v>7777</v>
      </c>
      <c r="E1319" s="18" t="s">
        <v>7778</v>
      </c>
      <c r="F1319" s="18" t="s">
        <v>7779</v>
      </c>
      <c r="G1319" s="16" t="s">
        <v>7780</v>
      </c>
      <c r="H1319" s="16" t="s">
        <v>7781</v>
      </c>
    </row>
    <row r="1320" spans="1:8" ht="15.75" customHeight="1" x14ac:dyDescent="0.25">
      <c r="A1320" s="16" t="s">
        <v>3497</v>
      </c>
      <c r="B1320" s="16" t="s">
        <v>3498</v>
      </c>
    </row>
    <row r="1321" spans="1:8" ht="15.75" customHeight="1" x14ac:dyDescent="0.25">
      <c r="A1321" s="16" t="s">
        <v>3501</v>
      </c>
      <c r="B1321" s="16" t="s">
        <v>3502</v>
      </c>
    </row>
    <row r="1322" spans="1:8" ht="15.75" customHeight="1" x14ac:dyDescent="0.25">
      <c r="A1322" s="16" t="s">
        <v>3505</v>
      </c>
      <c r="B1322" s="16" t="s">
        <v>3506</v>
      </c>
    </row>
    <row r="1323" spans="1:8" ht="15.75" customHeight="1" x14ac:dyDescent="0.25">
      <c r="A1323" s="16" t="s">
        <v>3509</v>
      </c>
      <c r="B1323" s="16" t="s">
        <v>3510</v>
      </c>
      <c r="C1323" s="16" t="s">
        <v>7782</v>
      </c>
      <c r="E1323" s="18" t="s">
        <v>7783</v>
      </c>
      <c r="F1323" s="18" t="s">
        <v>7784</v>
      </c>
      <c r="G1323" s="16" t="s">
        <v>7785</v>
      </c>
      <c r="H1323" s="16" t="s">
        <v>7786</v>
      </c>
    </row>
    <row r="1324" spans="1:8" ht="15.75" customHeight="1" x14ac:dyDescent="0.25">
      <c r="A1324" s="16" t="s">
        <v>3509</v>
      </c>
      <c r="B1324" s="16" t="s">
        <v>3510</v>
      </c>
      <c r="C1324" s="16" t="s">
        <v>7787</v>
      </c>
      <c r="E1324" s="18" t="s">
        <v>7788</v>
      </c>
      <c r="F1324" s="18" t="s">
        <v>7789</v>
      </c>
      <c r="G1324" s="16" t="s">
        <v>7790</v>
      </c>
      <c r="H1324" s="16" t="s">
        <v>7791</v>
      </c>
    </row>
    <row r="1325" spans="1:8" ht="15.75" customHeight="1" x14ac:dyDescent="0.25">
      <c r="A1325" s="16" t="s">
        <v>3513</v>
      </c>
      <c r="B1325" s="16" t="s">
        <v>3514</v>
      </c>
      <c r="C1325" s="16" t="s">
        <v>7792</v>
      </c>
      <c r="E1325" s="18" t="s">
        <v>7793</v>
      </c>
      <c r="F1325" s="18" t="s">
        <v>7794</v>
      </c>
      <c r="G1325" s="16" t="s">
        <v>7795</v>
      </c>
      <c r="H1325" s="16" t="s">
        <v>7796</v>
      </c>
    </row>
    <row r="1326" spans="1:8" ht="15.75" customHeight="1" x14ac:dyDescent="0.25">
      <c r="A1326" s="16" t="s">
        <v>3513</v>
      </c>
      <c r="B1326" s="16" t="s">
        <v>3514</v>
      </c>
      <c r="C1326" s="16" t="s">
        <v>7792</v>
      </c>
      <c r="E1326" s="18" t="s">
        <v>7793</v>
      </c>
      <c r="F1326" s="18" t="s">
        <v>7797</v>
      </c>
      <c r="G1326" s="16" t="s">
        <v>7798</v>
      </c>
      <c r="H1326" s="16" t="s">
        <v>7799</v>
      </c>
    </row>
    <row r="1327" spans="1:8" ht="15.75" customHeight="1" x14ac:dyDescent="0.25">
      <c r="A1327" s="16" t="s">
        <v>3517</v>
      </c>
      <c r="B1327" s="16" t="s">
        <v>3518</v>
      </c>
    </row>
    <row r="1328" spans="1:8" ht="15.75" customHeight="1" x14ac:dyDescent="0.25">
      <c r="A1328" s="16" t="s">
        <v>3520</v>
      </c>
      <c r="B1328" s="16" t="s">
        <v>3521</v>
      </c>
    </row>
    <row r="1329" spans="1:8" ht="15.75" customHeight="1" x14ac:dyDescent="0.25">
      <c r="A1329" s="16" t="s">
        <v>3524</v>
      </c>
      <c r="B1329" s="16" t="s">
        <v>3525</v>
      </c>
    </row>
    <row r="1330" spans="1:8" ht="15.75" customHeight="1" x14ac:dyDescent="0.25">
      <c r="A1330" s="16" t="s">
        <v>3528</v>
      </c>
      <c r="B1330" s="16" t="s">
        <v>3529</v>
      </c>
      <c r="C1330" s="16" t="s">
        <v>7800</v>
      </c>
      <c r="E1330" s="18" t="s">
        <v>7801</v>
      </c>
    </row>
    <row r="1331" spans="1:8" ht="15.75" customHeight="1" x14ac:dyDescent="0.25">
      <c r="A1331" s="16" t="s">
        <v>3532</v>
      </c>
      <c r="B1331" s="16" t="s">
        <v>3533</v>
      </c>
      <c r="C1331" s="16" t="s">
        <v>7802</v>
      </c>
      <c r="E1331" s="18" t="s">
        <v>7803</v>
      </c>
      <c r="F1331" s="18" t="s">
        <v>7804</v>
      </c>
      <c r="G1331" s="16" t="s">
        <v>7805</v>
      </c>
      <c r="H1331" s="16" t="s">
        <v>7806</v>
      </c>
    </row>
    <row r="1332" spans="1:8" ht="15.75" customHeight="1" x14ac:dyDescent="0.25">
      <c r="A1332" s="16" t="s">
        <v>3532</v>
      </c>
      <c r="B1332" s="16" t="s">
        <v>3533</v>
      </c>
      <c r="C1332" s="16" t="s">
        <v>7802</v>
      </c>
      <c r="E1332" s="18" t="s">
        <v>7803</v>
      </c>
      <c r="F1332" s="18" t="s">
        <v>7807</v>
      </c>
      <c r="G1332" s="16" t="s">
        <v>7808</v>
      </c>
      <c r="H1332" s="16" t="s">
        <v>7809</v>
      </c>
    </row>
    <row r="1333" spans="1:8" ht="15.75" customHeight="1" x14ac:dyDescent="0.25">
      <c r="A1333" s="16" t="s">
        <v>3532</v>
      </c>
      <c r="B1333" s="16" t="s">
        <v>3533</v>
      </c>
      <c r="C1333" s="16" t="s">
        <v>7802</v>
      </c>
      <c r="E1333" s="18" t="s">
        <v>7803</v>
      </c>
      <c r="F1333" s="18" t="s">
        <v>7810</v>
      </c>
      <c r="G1333" s="16" t="s">
        <v>7811</v>
      </c>
      <c r="H1333" s="16" t="s">
        <v>7812</v>
      </c>
    </row>
    <row r="1334" spans="1:8" ht="15.75" customHeight="1" x14ac:dyDescent="0.25">
      <c r="A1334" s="16" t="s">
        <v>3532</v>
      </c>
      <c r="B1334" s="16" t="s">
        <v>3533</v>
      </c>
      <c r="C1334" s="16" t="s">
        <v>7802</v>
      </c>
      <c r="E1334" s="18" t="s">
        <v>7803</v>
      </c>
      <c r="F1334" s="18" t="s">
        <v>7813</v>
      </c>
      <c r="G1334" s="16" t="s">
        <v>7814</v>
      </c>
      <c r="H1334" s="16" t="s">
        <v>7815</v>
      </c>
    </row>
    <row r="1335" spans="1:8" ht="15.75" customHeight="1" x14ac:dyDescent="0.25">
      <c r="A1335" s="16" t="s">
        <v>3532</v>
      </c>
      <c r="B1335" s="16" t="s">
        <v>3533</v>
      </c>
      <c r="C1335" s="16" t="s">
        <v>7802</v>
      </c>
      <c r="E1335" s="18" t="s">
        <v>7803</v>
      </c>
      <c r="F1335" s="18" t="s">
        <v>7816</v>
      </c>
      <c r="G1335" s="16" t="s">
        <v>7817</v>
      </c>
      <c r="H1335" s="16" t="s">
        <v>7818</v>
      </c>
    </row>
    <row r="1336" spans="1:8" ht="15.75" customHeight="1" x14ac:dyDescent="0.25">
      <c r="A1336" s="16" t="s">
        <v>3532</v>
      </c>
      <c r="B1336" s="16" t="s">
        <v>3533</v>
      </c>
      <c r="C1336" s="16" t="s">
        <v>7802</v>
      </c>
      <c r="E1336" s="18" t="s">
        <v>7803</v>
      </c>
      <c r="F1336" s="18" t="s">
        <v>7819</v>
      </c>
      <c r="G1336" s="16" t="s">
        <v>7820</v>
      </c>
      <c r="H1336" s="16" t="s">
        <v>7821</v>
      </c>
    </row>
    <row r="1337" spans="1:8" ht="15.75" customHeight="1" x14ac:dyDescent="0.25">
      <c r="A1337" s="16" t="s">
        <v>3532</v>
      </c>
      <c r="B1337" s="16" t="s">
        <v>3533</v>
      </c>
      <c r="C1337" s="16" t="s">
        <v>7802</v>
      </c>
      <c r="E1337" s="18" t="s">
        <v>7803</v>
      </c>
      <c r="F1337" s="18" t="s">
        <v>7822</v>
      </c>
      <c r="G1337" s="16" t="s">
        <v>7823</v>
      </c>
      <c r="H1337" s="16" t="s">
        <v>7824</v>
      </c>
    </row>
    <row r="1338" spans="1:8" ht="15.75" customHeight="1" x14ac:dyDescent="0.25">
      <c r="A1338" s="16" t="s">
        <v>3532</v>
      </c>
      <c r="B1338" s="16" t="s">
        <v>3533</v>
      </c>
      <c r="C1338" s="16" t="s">
        <v>7802</v>
      </c>
      <c r="E1338" s="18" t="s">
        <v>7803</v>
      </c>
      <c r="F1338" s="18" t="s">
        <v>7825</v>
      </c>
      <c r="G1338" s="16" t="s">
        <v>7826</v>
      </c>
      <c r="H1338" s="16" t="s">
        <v>7806</v>
      </c>
    </row>
    <row r="1339" spans="1:8" ht="15.75" customHeight="1" x14ac:dyDescent="0.25">
      <c r="A1339" s="16" t="s">
        <v>3532</v>
      </c>
      <c r="B1339" s="16" t="s">
        <v>3533</v>
      </c>
      <c r="C1339" s="16" t="s">
        <v>7802</v>
      </c>
      <c r="E1339" s="18" t="s">
        <v>7803</v>
      </c>
      <c r="F1339" s="18" t="s">
        <v>7827</v>
      </c>
      <c r="G1339" s="16" t="s">
        <v>7828</v>
      </c>
      <c r="H1339" s="16" t="s">
        <v>7829</v>
      </c>
    </row>
    <row r="1340" spans="1:8" ht="15.75" customHeight="1" x14ac:dyDescent="0.25">
      <c r="A1340" s="16" t="s">
        <v>3532</v>
      </c>
      <c r="B1340" s="16" t="s">
        <v>3533</v>
      </c>
      <c r="C1340" s="16" t="s">
        <v>7802</v>
      </c>
      <c r="E1340" s="18" t="s">
        <v>7803</v>
      </c>
      <c r="F1340" s="18" t="s">
        <v>7830</v>
      </c>
      <c r="G1340" s="16" t="s">
        <v>7831</v>
      </c>
      <c r="H1340" s="16" t="s">
        <v>7832</v>
      </c>
    </row>
    <row r="1341" spans="1:8" ht="15.75" customHeight="1" x14ac:dyDescent="0.25">
      <c r="A1341" s="16" t="s">
        <v>3532</v>
      </c>
      <c r="B1341" s="16" t="s">
        <v>3533</v>
      </c>
      <c r="C1341" s="16" t="s">
        <v>7802</v>
      </c>
      <c r="E1341" s="18" t="s">
        <v>7803</v>
      </c>
      <c r="F1341" s="18" t="s">
        <v>7833</v>
      </c>
      <c r="G1341" s="16" t="s">
        <v>7834</v>
      </c>
      <c r="H1341" s="16" t="s">
        <v>7835</v>
      </c>
    </row>
    <row r="1342" spans="1:8" ht="15.75" customHeight="1" x14ac:dyDescent="0.25">
      <c r="A1342" s="16" t="s">
        <v>3532</v>
      </c>
      <c r="B1342" s="16" t="s">
        <v>3533</v>
      </c>
      <c r="C1342" s="16" t="s">
        <v>7802</v>
      </c>
      <c r="E1342" s="18" t="s">
        <v>7803</v>
      </c>
      <c r="F1342" s="18" t="s">
        <v>7836</v>
      </c>
      <c r="G1342" s="16" t="s">
        <v>7837</v>
      </c>
      <c r="H1342" s="16" t="s">
        <v>7838</v>
      </c>
    </row>
    <row r="1343" spans="1:8" ht="15.75" customHeight="1" x14ac:dyDescent="0.25">
      <c r="A1343" s="16" t="s">
        <v>3532</v>
      </c>
      <c r="B1343" s="16" t="s">
        <v>3533</v>
      </c>
      <c r="C1343" s="16" t="s">
        <v>7802</v>
      </c>
      <c r="E1343" s="18" t="s">
        <v>7803</v>
      </c>
      <c r="F1343" s="18" t="s">
        <v>7839</v>
      </c>
      <c r="G1343" s="16" t="s">
        <v>7840</v>
      </c>
      <c r="H1343" s="16" t="s">
        <v>7841</v>
      </c>
    </row>
    <row r="1344" spans="1:8" ht="15.75" customHeight="1" x14ac:dyDescent="0.25">
      <c r="A1344" s="16" t="s">
        <v>3532</v>
      </c>
      <c r="B1344" s="16" t="s">
        <v>3533</v>
      </c>
      <c r="C1344" s="16" t="s">
        <v>7802</v>
      </c>
      <c r="E1344" s="18" t="s">
        <v>7803</v>
      </c>
      <c r="F1344" s="18" t="s">
        <v>7842</v>
      </c>
      <c r="G1344" s="16" t="s">
        <v>7843</v>
      </c>
      <c r="H1344" s="16" t="s">
        <v>7844</v>
      </c>
    </row>
    <row r="1345" spans="1:8" ht="15.75" customHeight="1" x14ac:dyDescent="0.25">
      <c r="A1345" s="16" t="s">
        <v>3532</v>
      </c>
      <c r="B1345" s="16" t="s">
        <v>3533</v>
      </c>
      <c r="C1345" s="16" t="s">
        <v>7802</v>
      </c>
      <c r="E1345" s="18" t="s">
        <v>7803</v>
      </c>
      <c r="F1345" s="18" t="s">
        <v>7845</v>
      </c>
      <c r="G1345" s="16" t="s">
        <v>7846</v>
      </c>
      <c r="H1345" s="16" t="s">
        <v>7847</v>
      </c>
    </row>
    <row r="1346" spans="1:8" ht="15.75" customHeight="1" x14ac:dyDescent="0.25">
      <c r="A1346" s="16" t="s">
        <v>3535</v>
      </c>
      <c r="B1346" s="16" t="s">
        <v>3536</v>
      </c>
    </row>
    <row r="1347" spans="1:8" ht="15.75" customHeight="1" x14ac:dyDescent="0.25">
      <c r="A1347" s="16" t="s">
        <v>3539</v>
      </c>
      <c r="B1347" s="16" t="s">
        <v>3540</v>
      </c>
      <c r="C1347" s="16" t="s">
        <v>7848</v>
      </c>
    </row>
    <row r="1348" spans="1:8" ht="15.75" customHeight="1" x14ac:dyDescent="0.25">
      <c r="A1348" s="16" t="s">
        <v>3543</v>
      </c>
      <c r="B1348" s="16" t="s">
        <v>3544</v>
      </c>
      <c r="C1348" s="16" t="s">
        <v>7849</v>
      </c>
      <c r="E1348" s="18" t="s">
        <v>7850</v>
      </c>
      <c r="F1348" s="18" t="s">
        <v>7851</v>
      </c>
      <c r="G1348" s="16" t="s">
        <v>7852</v>
      </c>
      <c r="H1348" s="16" t="s">
        <v>7853</v>
      </c>
    </row>
    <row r="1349" spans="1:8" ht="15.75" customHeight="1" x14ac:dyDescent="0.25">
      <c r="A1349" s="16" t="s">
        <v>3547</v>
      </c>
      <c r="B1349" s="16" t="s">
        <v>3548</v>
      </c>
      <c r="C1349" s="16" t="s">
        <v>7854</v>
      </c>
      <c r="E1349" s="18" t="s">
        <v>7855</v>
      </c>
      <c r="F1349" s="18" t="s">
        <v>7856</v>
      </c>
      <c r="G1349" s="16" t="s">
        <v>7857</v>
      </c>
      <c r="H1349" s="16" t="s">
        <v>7858</v>
      </c>
    </row>
    <row r="1350" spans="1:8" ht="15.75" customHeight="1" x14ac:dyDescent="0.25">
      <c r="A1350" s="16" t="s">
        <v>3547</v>
      </c>
      <c r="B1350" s="16" t="s">
        <v>3548</v>
      </c>
      <c r="C1350" s="16" t="s">
        <v>7859</v>
      </c>
      <c r="E1350" s="18" t="s">
        <v>7860</v>
      </c>
      <c r="F1350" s="18" t="s">
        <v>7861</v>
      </c>
      <c r="G1350" s="16" t="s">
        <v>7862</v>
      </c>
      <c r="H1350" s="16" t="s">
        <v>7863</v>
      </c>
    </row>
    <row r="1351" spans="1:8" ht="15.75" customHeight="1" x14ac:dyDescent="0.25">
      <c r="A1351" s="16" t="s">
        <v>3551</v>
      </c>
      <c r="B1351" s="16" t="s">
        <v>3552</v>
      </c>
    </row>
    <row r="1352" spans="1:8" ht="15.75" customHeight="1" x14ac:dyDescent="0.25">
      <c r="A1352" s="16" t="s">
        <v>3555</v>
      </c>
      <c r="B1352" s="16" t="s">
        <v>3556</v>
      </c>
    </row>
    <row r="1353" spans="1:8" ht="15.75" customHeight="1" x14ac:dyDescent="0.25">
      <c r="A1353" s="16" t="s">
        <v>3558</v>
      </c>
      <c r="B1353" s="16" t="s">
        <v>3559</v>
      </c>
    </row>
    <row r="1354" spans="1:8" ht="15.75" customHeight="1" x14ac:dyDescent="0.25">
      <c r="A1354" s="16" t="s">
        <v>3562</v>
      </c>
      <c r="B1354" s="16" t="s">
        <v>3563</v>
      </c>
      <c r="C1354" s="16" t="s">
        <v>7864</v>
      </c>
      <c r="E1354" s="18" t="s">
        <v>7865</v>
      </c>
      <c r="F1354" s="18" t="s">
        <v>7866</v>
      </c>
      <c r="G1354" s="16" t="s">
        <v>7867</v>
      </c>
      <c r="H1354" s="16" t="s">
        <v>7868</v>
      </c>
    </row>
    <row r="1355" spans="1:8" ht="15.75" customHeight="1" x14ac:dyDescent="0.25">
      <c r="A1355" s="16" t="s">
        <v>3562</v>
      </c>
      <c r="B1355" s="16" t="s">
        <v>3563</v>
      </c>
      <c r="C1355" s="16" t="s">
        <v>7864</v>
      </c>
      <c r="E1355" s="18" t="s">
        <v>7865</v>
      </c>
      <c r="F1355" s="18" t="s">
        <v>7869</v>
      </c>
      <c r="G1355" s="16" t="s">
        <v>7867</v>
      </c>
      <c r="H1355" s="16" t="s">
        <v>7870</v>
      </c>
    </row>
    <row r="1356" spans="1:8" ht="15.75" customHeight="1" x14ac:dyDescent="0.25">
      <c r="A1356" s="16" t="s">
        <v>3566</v>
      </c>
      <c r="B1356" s="16" t="s">
        <v>3567</v>
      </c>
      <c r="C1356" s="16" t="s">
        <v>7871</v>
      </c>
      <c r="E1356" s="18" t="s">
        <v>7872</v>
      </c>
      <c r="F1356" s="18" t="s">
        <v>7873</v>
      </c>
      <c r="G1356" s="16" t="s">
        <v>7874</v>
      </c>
      <c r="H1356" s="16" t="s">
        <v>7875</v>
      </c>
    </row>
    <row r="1357" spans="1:8" ht="15.75" customHeight="1" x14ac:dyDescent="0.25">
      <c r="A1357" s="16" t="s">
        <v>3570</v>
      </c>
      <c r="B1357" s="16" t="s">
        <v>3571</v>
      </c>
      <c r="C1357" s="16" t="s">
        <v>7876</v>
      </c>
      <c r="E1357" s="18" t="s">
        <v>7877</v>
      </c>
      <c r="F1357" s="18" t="s">
        <v>7878</v>
      </c>
      <c r="G1357" s="16" t="s">
        <v>7879</v>
      </c>
      <c r="H1357" s="16" t="s">
        <v>7880</v>
      </c>
    </row>
    <row r="1358" spans="1:8" ht="15.75" customHeight="1" x14ac:dyDescent="0.25">
      <c r="A1358" s="16" t="s">
        <v>3574</v>
      </c>
      <c r="B1358" s="16" t="s">
        <v>3575</v>
      </c>
      <c r="C1358" s="16" t="s">
        <v>7881</v>
      </c>
      <c r="E1358" s="18" t="s">
        <v>7882</v>
      </c>
      <c r="F1358" s="18" t="s">
        <v>7883</v>
      </c>
      <c r="G1358" s="16" t="s">
        <v>7884</v>
      </c>
      <c r="H1358" s="16" t="s">
        <v>7885</v>
      </c>
    </row>
    <row r="1359" spans="1:8" ht="15.75" customHeight="1" x14ac:dyDescent="0.25">
      <c r="A1359" s="16" t="s">
        <v>3578</v>
      </c>
      <c r="B1359" s="16" t="s">
        <v>3579</v>
      </c>
      <c r="C1359" s="16" t="s">
        <v>7886</v>
      </c>
      <c r="E1359" s="18" t="s">
        <v>7887</v>
      </c>
      <c r="F1359" s="18" t="s">
        <v>7888</v>
      </c>
      <c r="G1359" s="16" t="s">
        <v>7889</v>
      </c>
      <c r="H1359" s="16" t="s">
        <v>7890</v>
      </c>
    </row>
    <row r="1360" spans="1:8" ht="15.75" customHeight="1" x14ac:dyDescent="0.25">
      <c r="A1360" s="16" t="s">
        <v>3581</v>
      </c>
      <c r="B1360" s="16" t="s">
        <v>3582</v>
      </c>
    </row>
    <row r="1361" spans="1:8" ht="15.75" customHeight="1" x14ac:dyDescent="0.25">
      <c r="A1361" s="16" t="s">
        <v>3585</v>
      </c>
      <c r="B1361" s="16" t="s">
        <v>3586</v>
      </c>
    </row>
    <row r="1362" spans="1:8" ht="15.75" customHeight="1" x14ac:dyDescent="0.25">
      <c r="A1362" s="16" t="s">
        <v>3588</v>
      </c>
      <c r="B1362" s="16" t="s">
        <v>3589</v>
      </c>
    </row>
    <row r="1363" spans="1:8" ht="15.75" customHeight="1" x14ac:dyDescent="0.25">
      <c r="A1363" s="16" t="s">
        <v>3592</v>
      </c>
      <c r="B1363" s="16" t="s">
        <v>3593</v>
      </c>
    </row>
    <row r="1364" spans="1:8" ht="15.75" customHeight="1" x14ac:dyDescent="0.25">
      <c r="A1364" s="16" t="s">
        <v>3596</v>
      </c>
      <c r="B1364" s="16" t="s">
        <v>3597</v>
      </c>
      <c r="C1364" s="16" t="s">
        <v>7223</v>
      </c>
    </row>
    <row r="1365" spans="1:8" ht="15.75" customHeight="1" x14ac:dyDescent="0.25">
      <c r="A1365" s="16" t="s">
        <v>3600</v>
      </c>
      <c r="B1365" s="16" t="s">
        <v>3601</v>
      </c>
    </row>
    <row r="1366" spans="1:8" ht="15.75" customHeight="1" x14ac:dyDescent="0.25">
      <c r="A1366" s="16" t="s">
        <v>3604</v>
      </c>
      <c r="B1366" s="16" t="s">
        <v>3605</v>
      </c>
    </row>
    <row r="1367" spans="1:8" ht="15.75" customHeight="1" x14ac:dyDescent="0.25">
      <c r="A1367" s="16" t="s">
        <v>3608</v>
      </c>
      <c r="B1367" s="16" t="s">
        <v>3609</v>
      </c>
      <c r="C1367" s="16" t="s">
        <v>7891</v>
      </c>
      <c r="E1367" s="18" t="s">
        <v>7892</v>
      </c>
      <c r="F1367" s="18" t="s">
        <v>7893</v>
      </c>
      <c r="G1367" s="16" t="s">
        <v>7894</v>
      </c>
      <c r="H1367" s="16" t="s">
        <v>6862</v>
      </c>
    </row>
    <row r="1368" spans="1:8" ht="15.75" customHeight="1" x14ac:dyDescent="0.25">
      <c r="A1368" s="16" t="s">
        <v>3608</v>
      </c>
      <c r="B1368" s="16" t="s">
        <v>3609</v>
      </c>
      <c r="C1368" s="16" t="s">
        <v>7891</v>
      </c>
      <c r="E1368" s="18" t="s">
        <v>7892</v>
      </c>
      <c r="F1368" s="18" t="s">
        <v>7895</v>
      </c>
      <c r="G1368" s="16" t="s">
        <v>7896</v>
      </c>
      <c r="H1368" s="16" t="s">
        <v>6860</v>
      </c>
    </row>
    <row r="1369" spans="1:8" ht="15.75" customHeight="1" x14ac:dyDescent="0.25">
      <c r="A1369" s="16" t="s">
        <v>3608</v>
      </c>
      <c r="B1369" s="16" t="s">
        <v>3609</v>
      </c>
      <c r="C1369" s="16" t="s">
        <v>7891</v>
      </c>
      <c r="E1369" s="18" t="s">
        <v>7892</v>
      </c>
      <c r="F1369" s="18" t="s">
        <v>7897</v>
      </c>
      <c r="G1369" s="16" t="s">
        <v>7898</v>
      </c>
      <c r="H1369" s="16" t="s">
        <v>7899</v>
      </c>
    </row>
    <row r="1370" spans="1:8" ht="15.75" customHeight="1" x14ac:dyDescent="0.25">
      <c r="A1370" s="16" t="s">
        <v>3608</v>
      </c>
      <c r="B1370" s="16" t="s">
        <v>3609</v>
      </c>
      <c r="C1370" s="16" t="s">
        <v>7891</v>
      </c>
      <c r="E1370" s="18" t="s">
        <v>7892</v>
      </c>
      <c r="F1370" s="18" t="s">
        <v>7900</v>
      </c>
      <c r="G1370" s="16" t="s">
        <v>7901</v>
      </c>
      <c r="H1370" s="16" t="s">
        <v>7902</v>
      </c>
    </row>
    <row r="1371" spans="1:8" ht="15.75" customHeight="1" x14ac:dyDescent="0.25">
      <c r="A1371" s="16" t="s">
        <v>3608</v>
      </c>
      <c r="B1371" s="16" t="s">
        <v>3609</v>
      </c>
      <c r="C1371" s="16" t="s">
        <v>7891</v>
      </c>
      <c r="E1371" s="18" t="s">
        <v>7892</v>
      </c>
      <c r="F1371" s="18" t="s">
        <v>7903</v>
      </c>
      <c r="G1371" s="16" t="s">
        <v>7904</v>
      </c>
      <c r="H1371" s="16" t="s">
        <v>7905</v>
      </c>
    </row>
    <row r="1372" spans="1:8" ht="15.75" customHeight="1" x14ac:dyDescent="0.25">
      <c r="A1372" s="16" t="s">
        <v>3608</v>
      </c>
      <c r="B1372" s="16" t="s">
        <v>3609</v>
      </c>
      <c r="C1372" s="16" t="s">
        <v>7891</v>
      </c>
      <c r="E1372" s="18" t="s">
        <v>7892</v>
      </c>
      <c r="F1372" s="18" t="s">
        <v>7906</v>
      </c>
      <c r="G1372" s="16" t="s">
        <v>7907</v>
      </c>
      <c r="H1372" s="16" t="s">
        <v>7908</v>
      </c>
    </row>
    <row r="1373" spans="1:8" ht="15.75" customHeight="1" x14ac:dyDescent="0.25">
      <c r="A1373" s="16" t="s">
        <v>3608</v>
      </c>
      <c r="B1373" s="16" t="s">
        <v>3609</v>
      </c>
      <c r="C1373" s="16" t="s">
        <v>7891</v>
      </c>
      <c r="E1373" s="18" t="s">
        <v>7892</v>
      </c>
      <c r="F1373" s="18" t="s">
        <v>6863</v>
      </c>
      <c r="G1373" s="16" t="s">
        <v>6864</v>
      </c>
      <c r="H1373" s="16" t="s">
        <v>6865</v>
      </c>
    </row>
    <row r="1374" spans="1:8" ht="15.75" customHeight="1" x14ac:dyDescent="0.25">
      <c r="A1374" s="16" t="s">
        <v>3608</v>
      </c>
      <c r="B1374" s="16" t="s">
        <v>3609</v>
      </c>
      <c r="C1374" s="16" t="s">
        <v>7891</v>
      </c>
      <c r="E1374" s="18" t="s">
        <v>7892</v>
      </c>
      <c r="F1374" s="18" t="s">
        <v>7909</v>
      </c>
      <c r="G1374" s="16" t="s">
        <v>7910</v>
      </c>
      <c r="H1374" s="16" t="s">
        <v>7911</v>
      </c>
    </row>
    <row r="1375" spans="1:8" ht="15.75" customHeight="1" x14ac:dyDescent="0.25">
      <c r="A1375" s="16" t="s">
        <v>3608</v>
      </c>
      <c r="B1375" s="16" t="s">
        <v>3609</v>
      </c>
      <c r="C1375" s="16" t="s">
        <v>7891</v>
      </c>
      <c r="E1375" s="18" t="s">
        <v>7892</v>
      </c>
      <c r="F1375" s="18" t="s">
        <v>7912</v>
      </c>
      <c r="G1375" s="16" t="s">
        <v>7913</v>
      </c>
      <c r="H1375" s="16" t="s">
        <v>7914</v>
      </c>
    </row>
    <row r="1376" spans="1:8" ht="15.75" customHeight="1" x14ac:dyDescent="0.25">
      <c r="A1376" s="16" t="s">
        <v>3608</v>
      </c>
      <c r="B1376" s="16" t="s">
        <v>3609</v>
      </c>
      <c r="C1376" s="16" t="s">
        <v>7891</v>
      </c>
      <c r="E1376" s="18" t="s">
        <v>7892</v>
      </c>
      <c r="F1376" s="18" t="s">
        <v>7915</v>
      </c>
      <c r="G1376" s="16" t="s">
        <v>7916</v>
      </c>
      <c r="H1376" s="16" t="s">
        <v>7917</v>
      </c>
    </row>
    <row r="1377" spans="1:8" ht="15.75" customHeight="1" x14ac:dyDescent="0.25">
      <c r="A1377" s="16" t="s">
        <v>3610</v>
      </c>
      <c r="B1377" s="16" t="s">
        <v>3611</v>
      </c>
    </row>
    <row r="1378" spans="1:8" ht="15.75" customHeight="1" x14ac:dyDescent="0.25">
      <c r="A1378" s="16" t="s">
        <v>3614</v>
      </c>
      <c r="B1378" s="16" t="s">
        <v>3615</v>
      </c>
    </row>
    <row r="1379" spans="1:8" ht="15.75" customHeight="1" x14ac:dyDescent="0.25">
      <c r="A1379" s="16" t="s">
        <v>3618</v>
      </c>
      <c r="B1379" s="16" t="s">
        <v>3619</v>
      </c>
    </row>
    <row r="1380" spans="1:8" ht="15.75" customHeight="1" x14ac:dyDescent="0.25">
      <c r="A1380" s="16" t="s">
        <v>3622</v>
      </c>
      <c r="B1380" s="16" t="s">
        <v>3623</v>
      </c>
      <c r="C1380" s="16" t="s">
        <v>7918</v>
      </c>
      <c r="E1380" s="18" t="s">
        <v>7919</v>
      </c>
      <c r="F1380" s="18" t="s">
        <v>7920</v>
      </c>
      <c r="G1380" s="16" t="s">
        <v>7921</v>
      </c>
      <c r="H1380" s="16" t="s">
        <v>7922</v>
      </c>
    </row>
    <row r="1381" spans="1:8" ht="15.75" customHeight="1" x14ac:dyDescent="0.25">
      <c r="A1381" s="16" t="s">
        <v>3626</v>
      </c>
      <c r="B1381" s="16" t="s">
        <v>3627</v>
      </c>
      <c r="C1381" s="16" t="s">
        <v>7923</v>
      </c>
      <c r="E1381" s="18" t="s">
        <v>7924</v>
      </c>
      <c r="F1381" s="18" t="s">
        <v>7925</v>
      </c>
      <c r="G1381" s="16" t="s">
        <v>7926</v>
      </c>
      <c r="H1381" s="16" t="s">
        <v>7927</v>
      </c>
    </row>
    <row r="1382" spans="1:8" ht="15.75" customHeight="1" x14ac:dyDescent="0.25">
      <c r="A1382" s="16" t="s">
        <v>3626</v>
      </c>
      <c r="B1382" s="16" t="s">
        <v>3627</v>
      </c>
      <c r="C1382" s="16" t="s">
        <v>7923</v>
      </c>
      <c r="E1382" s="18" t="s">
        <v>7924</v>
      </c>
      <c r="F1382" s="18" t="s">
        <v>7928</v>
      </c>
      <c r="G1382" s="16" t="s">
        <v>7929</v>
      </c>
      <c r="H1382" s="16" t="s">
        <v>7930</v>
      </c>
    </row>
    <row r="1383" spans="1:8" ht="15.75" customHeight="1" x14ac:dyDescent="0.25">
      <c r="A1383" s="16" t="s">
        <v>3626</v>
      </c>
      <c r="B1383" s="16" t="s">
        <v>3627</v>
      </c>
      <c r="C1383" s="16" t="s">
        <v>7923</v>
      </c>
      <c r="E1383" s="18" t="s">
        <v>7924</v>
      </c>
      <c r="F1383" s="18" t="s">
        <v>7931</v>
      </c>
      <c r="G1383" s="16" t="s">
        <v>7929</v>
      </c>
      <c r="H1383" s="16" t="s">
        <v>7932</v>
      </c>
    </row>
    <row r="1384" spans="1:8" ht="15.75" customHeight="1" x14ac:dyDescent="0.25">
      <c r="A1384" s="16" t="s">
        <v>3626</v>
      </c>
      <c r="B1384" s="16" t="s">
        <v>3627</v>
      </c>
      <c r="C1384" s="16" t="s">
        <v>7923</v>
      </c>
      <c r="E1384" s="18" t="s">
        <v>7924</v>
      </c>
      <c r="F1384" s="18" t="s">
        <v>7933</v>
      </c>
      <c r="G1384" s="16" t="s">
        <v>7934</v>
      </c>
      <c r="H1384" s="16" t="s">
        <v>7935</v>
      </c>
    </row>
    <row r="1385" spans="1:8" ht="15.75" customHeight="1" x14ac:dyDescent="0.25">
      <c r="A1385" s="16" t="s">
        <v>3630</v>
      </c>
      <c r="B1385" s="16" t="s">
        <v>3631</v>
      </c>
      <c r="C1385" s="16" t="s">
        <v>7936</v>
      </c>
      <c r="E1385" s="18" t="s">
        <v>7937</v>
      </c>
      <c r="F1385" s="18" t="s">
        <v>7938</v>
      </c>
      <c r="G1385" s="16" t="s">
        <v>7939</v>
      </c>
      <c r="H1385" s="16" t="s">
        <v>7940</v>
      </c>
    </row>
    <row r="1386" spans="1:8" ht="15.75" customHeight="1" x14ac:dyDescent="0.25">
      <c r="A1386" s="16" t="s">
        <v>3630</v>
      </c>
      <c r="B1386" s="16" t="s">
        <v>3631</v>
      </c>
      <c r="C1386" s="16" t="s">
        <v>7936</v>
      </c>
      <c r="E1386" s="18" t="s">
        <v>7937</v>
      </c>
      <c r="F1386" s="18" t="s">
        <v>7941</v>
      </c>
      <c r="G1386" s="16" t="s">
        <v>7942</v>
      </c>
      <c r="H1386" s="16" t="s">
        <v>7940</v>
      </c>
    </row>
    <row r="1387" spans="1:8" ht="15.75" customHeight="1" x14ac:dyDescent="0.25">
      <c r="A1387" s="16" t="s">
        <v>3630</v>
      </c>
      <c r="B1387" s="16" t="s">
        <v>3631</v>
      </c>
      <c r="C1387" s="16" t="s">
        <v>7936</v>
      </c>
      <c r="E1387" s="18" t="s">
        <v>7937</v>
      </c>
      <c r="F1387" s="18" t="s">
        <v>7943</v>
      </c>
      <c r="G1387" s="16" t="s">
        <v>7942</v>
      </c>
      <c r="H1387" s="16" t="s">
        <v>7939</v>
      </c>
    </row>
    <row r="1388" spans="1:8" ht="15.75" customHeight="1" x14ac:dyDescent="0.25">
      <c r="A1388" s="16" t="s">
        <v>3634</v>
      </c>
      <c r="B1388" s="16" t="s">
        <v>3635</v>
      </c>
      <c r="C1388" s="16" t="s">
        <v>7936</v>
      </c>
      <c r="E1388" s="18" t="s">
        <v>7937</v>
      </c>
      <c r="F1388" s="18" t="s">
        <v>7938</v>
      </c>
      <c r="G1388" s="16" t="s">
        <v>7939</v>
      </c>
      <c r="H1388" s="16" t="s">
        <v>7940</v>
      </c>
    </row>
    <row r="1389" spans="1:8" ht="15.75" customHeight="1" x14ac:dyDescent="0.25">
      <c r="A1389" s="16" t="s">
        <v>3634</v>
      </c>
      <c r="B1389" s="16" t="s">
        <v>3635</v>
      </c>
      <c r="C1389" s="16" t="s">
        <v>7936</v>
      </c>
      <c r="E1389" s="18" t="s">
        <v>7937</v>
      </c>
      <c r="F1389" s="18" t="s">
        <v>7941</v>
      </c>
      <c r="G1389" s="16" t="s">
        <v>7942</v>
      </c>
      <c r="H1389" s="16" t="s">
        <v>7940</v>
      </c>
    </row>
    <row r="1390" spans="1:8" ht="15.75" customHeight="1" x14ac:dyDescent="0.25">
      <c r="A1390" s="16" t="s">
        <v>3634</v>
      </c>
      <c r="B1390" s="16" t="s">
        <v>3635</v>
      </c>
      <c r="C1390" s="16" t="s">
        <v>7936</v>
      </c>
      <c r="E1390" s="18" t="s">
        <v>7937</v>
      </c>
      <c r="F1390" s="18" t="s">
        <v>7943</v>
      </c>
      <c r="G1390" s="16" t="s">
        <v>7942</v>
      </c>
      <c r="H1390" s="16" t="s">
        <v>7939</v>
      </c>
    </row>
    <row r="1391" spans="1:8" ht="15.75" customHeight="1" x14ac:dyDescent="0.25">
      <c r="A1391" s="16" t="s">
        <v>3637</v>
      </c>
      <c r="B1391" s="16" t="s">
        <v>3638</v>
      </c>
    </row>
    <row r="1392" spans="1:8" ht="15.75" customHeight="1" x14ac:dyDescent="0.25">
      <c r="A1392" s="16" t="s">
        <v>3641</v>
      </c>
      <c r="B1392" s="16" t="s">
        <v>3642</v>
      </c>
    </row>
    <row r="1393" spans="1:8" ht="15.75" customHeight="1" x14ac:dyDescent="0.3">
      <c r="A1393" s="16" t="s">
        <v>3645</v>
      </c>
      <c r="B1393" s="16" t="s">
        <v>3646</v>
      </c>
      <c r="C1393" s="16" t="s">
        <v>6344</v>
      </c>
      <c r="E1393" s="18" t="s">
        <v>6345</v>
      </c>
      <c r="F1393" s="18" t="s">
        <v>6346</v>
      </c>
      <c r="G1393" s="17" t="s">
        <v>6347</v>
      </c>
      <c r="H1393" s="17" t="s">
        <v>6348</v>
      </c>
    </row>
    <row r="1394" spans="1:8" ht="15.75" customHeight="1" x14ac:dyDescent="0.25">
      <c r="A1394" s="16" t="s">
        <v>3645</v>
      </c>
      <c r="B1394" s="16" t="s">
        <v>3646</v>
      </c>
      <c r="C1394" s="16" t="s">
        <v>6344</v>
      </c>
      <c r="E1394" s="18" t="s">
        <v>6345</v>
      </c>
      <c r="F1394" s="18" t="s">
        <v>6349</v>
      </c>
      <c r="G1394" s="16" t="s">
        <v>6350</v>
      </c>
      <c r="H1394" s="16" t="s">
        <v>6348</v>
      </c>
    </row>
    <row r="1395" spans="1:8" ht="15.75" customHeight="1" x14ac:dyDescent="0.25">
      <c r="A1395" s="16" t="s">
        <v>3645</v>
      </c>
      <c r="B1395" s="16" t="s">
        <v>3646</v>
      </c>
      <c r="C1395" s="16" t="s">
        <v>6344</v>
      </c>
      <c r="E1395" s="18" t="s">
        <v>6345</v>
      </c>
      <c r="F1395" s="18" t="s">
        <v>6351</v>
      </c>
      <c r="G1395" s="16" t="s">
        <v>6352</v>
      </c>
      <c r="H1395" s="16" t="s">
        <v>6348</v>
      </c>
    </row>
    <row r="1396" spans="1:8" ht="15.75" customHeight="1" x14ac:dyDescent="0.25">
      <c r="A1396" s="16" t="s">
        <v>3645</v>
      </c>
      <c r="B1396" s="16" t="s">
        <v>3646</v>
      </c>
      <c r="C1396" s="16" t="s">
        <v>6344</v>
      </c>
      <c r="E1396" s="18" t="s">
        <v>6345</v>
      </c>
      <c r="F1396" s="18" t="s">
        <v>6353</v>
      </c>
      <c r="G1396" s="16" t="s">
        <v>6354</v>
      </c>
      <c r="H1396" s="16" t="s">
        <v>6348</v>
      </c>
    </row>
    <row r="1397" spans="1:8" ht="15.75" customHeight="1" x14ac:dyDescent="0.25">
      <c r="A1397" s="16" t="s">
        <v>3645</v>
      </c>
      <c r="B1397" s="16" t="s">
        <v>3646</v>
      </c>
      <c r="C1397" s="16" t="s">
        <v>6344</v>
      </c>
      <c r="E1397" s="18" t="s">
        <v>6345</v>
      </c>
      <c r="F1397" s="18" t="s">
        <v>6355</v>
      </c>
      <c r="G1397" s="16" t="s">
        <v>6356</v>
      </c>
      <c r="H1397" s="16" t="s">
        <v>6348</v>
      </c>
    </row>
    <row r="1398" spans="1:8" ht="15.75" customHeight="1" x14ac:dyDescent="0.25">
      <c r="A1398" s="16" t="s">
        <v>3645</v>
      </c>
      <c r="B1398" s="16" t="s">
        <v>3646</v>
      </c>
      <c r="C1398" s="16" t="s">
        <v>6344</v>
      </c>
      <c r="E1398" s="18" t="s">
        <v>6345</v>
      </c>
      <c r="F1398" s="18" t="s">
        <v>6357</v>
      </c>
      <c r="G1398" s="16" t="s">
        <v>6358</v>
      </c>
      <c r="H1398" s="16" t="s">
        <v>6359</v>
      </c>
    </row>
    <row r="1399" spans="1:8" ht="15.75" customHeight="1" x14ac:dyDescent="0.25">
      <c r="A1399" s="16" t="s">
        <v>3649</v>
      </c>
      <c r="B1399" s="16" t="s">
        <v>3650</v>
      </c>
    </row>
    <row r="1400" spans="1:8" ht="15.75" customHeight="1" x14ac:dyDescent="0.25">
      <c r="A1400" s="16" t="s">
        <v>3653</v>
      </c>
      <c r="B1400" s="16" t="s">
        <v>3654</v>
      </c>
    </row>
    <row r="1401" spans="1:8" ht="15.75" customHeight="1" x14ac:dyDescent="0.25">
      <c r="A1401" s="16" t="s">
        <v>3656</v>
      </c>
      <c r="B1401" s="16" t="s">
        <v>3657</v>
      </c>
    </row>
    <row r="1402" spans="1:8" ht="15.75" customHeight="1" x14ac:dyDescent="0.25">
      <c r="A1402" s="16" t="s">
        <v>3659</v>
      </c>
      <c r="B1402" s="16" t="s">
        <v>3660</v>
      </c>
    </row>
    <row r="1403" spans="1:8" ht="15.75" customHeight="1" x14ac:dyDescent="0.25">
      <c r="A1403" s="16" t="s">
        <v>3663</v>
      </c>
      <c r="B1403" s="16" t="s">
        <v>3664</v>
      </c>
    </row>
    <row r="1404" spans="1:8" ht="15.75" customHeight="1" x14ac:dyDescent="0.25">
      <c r="A1404" s="16" t="s">
        <v>3667</v>
      </c>
      <c r="B1404" s="16" t="s">
        <v>3668</v>
      </c>
      <c r="C1404" s="16" t="s">
        <v>7944</v>
      </c>
      <c r="E1404" s="18" t="s">
        <v>7945</v>
      </c>
    </row>
    <row r="1405" spans="1:8" ht="15.75" customHeight="1" x14ac:dyDescent="0.25">
      <c r="A1405" s="16" t="s">
        <v>3671</v>
      </c>
      <c r="B1405" s="16" t="s">
        <v>3672</v>
      </c>
    </row>
    <row r="1406" spans="1:8" ht="15.75" customHeight="1" x14ac:dyDescent="0.25">
      <c r="A1406" s="16" t="s">
        <v>3675</v>
      </c>
      <c r="B1406" s="16" t="s">
        <v>3676</v>
      </c>
    </row>
    <row r="1407" spans="1:8" ht="15.75" customHeight="1" x14ac:dyDescent="0.25">
      <c r="A1407" s="16" t="s">
        <v>3679</v>
      </c>
      <c r="B1407" s="16" t="s">
        <v>3680</v>
      </c>
      <c r="C1407" s="16" t="s">
        <v>7946</v>
      </c>
    </row>
    <row r="1408" spans="1:8" ht="15.75" customHeight="1" x14ac:dyDescent="0.25">
      <c r="A1408" s="16" t="s">
        <v>3682</v>
      </c>
      <c r="B1408" s="16" t="s">
        <v>3683</v>
      </c>
    </row>
    <row r="1409" spans="1:8" ht="15.75" customHeight="1" x14ac:dyDescent="0.25">
      <c r="A1409" s="16" t="s">
        <v>3685</v>
      </c>
      <c r="B1409" s="16" t="s">
        <v>3686</v>
      </c>
    </row>
    <row r="1410" spans="1:8" ht="15.75" customHeight="1" x14ac:dyDescent="0.25">
      <c r="A1410" s="16" t="s">
        <v>3689</v>
      </c>
      <c r="B1410" s="16" t="s">
        <v>3690</v>
      </c>
      <c r="C1410" s="16" t="s">
        <v>7947</v>
      </c>
      <c r="E1410" s="18" t="s">
        <v>7948</v>
      </c>
    </row>
    <row r="1411" spans="1:8" ht="15.75" customHeight="1" x14ac:dyDescent="0.25">
      <c r="A1411" s="16" t="s">
        <v>3693</v>
      </c>
      <c r="B1411" s="16" t="s">
        <v>3694</v>
      </c>
      <c r="C1411" s="16" t="s">
        <v>7949</v>
      </c>
      <c r="E1411" s="18" t="s">
        <v>7950</v>
      </c>
      <c r="F1411" s="18" t="s">
        <v>7951</v>
      </c>
      <c r="G1411" s="16" t="s">
        <v>7952</v>
      </c>
      <c r="H1411" s="16" t="s">
        <v>7953</v>
      </c>
    </row>
    <row r="1412" spans="1:8" ht="15.75" customHeight="1" x14ac:dyDescent="0.25">
      <c r="A1412" s="16" t="s">
        <v>3693</v>
      </c>
      <c r="B1412" s="16" t="s">
        <v>3694</v>
      </c>
      <c r="C1412" s="16" t="s">
        <v>7949</v>
      </c>
      <c r="E1412" s="18" t="s">
        <v>7950</v>
      </c>
      <c r="F1412" s="18" t="s">
        <v>7954</v>
      </c>
      <c r="G1412" s="16" t="s">
        <v>7955</v>
      </c>
      <c r="H1412" s="16" t="s">
        <v>7952</v>
      </c>
    </row>
    <row r="1413" spans="1:8" ht="15.75" customHeight="1" x14ac:dyDescent="0.25">
      <c r="A1413" s="16" t="s">
        <v>3696</v>
      </c>
      <c r="B1413" s="16" t="s">
        <v>3697</v>
      </c>
    </row>
    <row r="1414" spans="1:8" ht="15.75" customHeight="1" x14ac:dyDescent="0.25">
      <c r="A1414" s="16" t="s">
        <v>3700</v>
      </c>
      <c r="B1414" s="16" t="s">
        <v>3701</v>
      </c>
    </row>
    <row r="1415" spans="1:8" ht="15.75" customHeight="1" x14ac:dyDescent="0.25">
      <c r="A1415" s="16" t="s">
        <v>3704</v>
      </c>
      <c r="B1415" s="16" t="s">
        <v>3705</v>
      </c>
    </row>
    <row r="1416" spans="1:8" ht="15.75" customHeight="1" x14ac:dyDescent="0.25">
      <c r="A1416" s="16" t="s">
        <v>3708</v>
      </c>
      <c r="B1416" s="16" t="s">
        <v>3709</v>
      </c>
      <c r="C1416" s="16" t="s">
        <v>7956</v>
      </c>
      <c r="E1416" s="18" t="s">
        <v>7957</v>
      </c>
    </row>
    <row r="1417" spans="1:8" ht="15.75" customHeight="1" x14ac:dyDescent="0.25">
      <c r="A1417" s="16" t="s">
        <v>3712</v>
      </c>
      <c r="B1417" s="16" t="s">
        <v>3713</v>
      </c>
      <c r="C1417" s="16" t="s">
        <v>7958</v>
      </c>
      <c r="E1417" s="18" t="s">
        <v>7959</v>
      </c>
      <c r="F1417" s="18" t="s">
        <v>7960</v>
      </c>
      <c r="G1417" s="16" t="s">
        <v>7961</v>
      </c>
      <c r="H1417" s="16" t="s">
        <v>7962</v>
      </c>
    </row>
    <row r="1418" spans="1:8" ht="15.75" customHeight="1" x14ac:dyDescent="0.25">
      <c r="A1418" s="16" t="s">
        <v>3716</v>
      </c>
      <c r="B1418" s="16" t="s">
        <v>3717</v>
      </c>
      <c r="C1418" s="16" t="s">
        <v>7963</v>
      </c>
      <c r="E1418" s="18" t="s">
        <v>7964</v>
      </c>
      <c r="F1418" s="18" t="s">
        <v>7965</v>
      </c>
      <c r="G1418" s="16" t="s">
        <v>7966</v>
      </c>
      <c r="H1418" s="16" t="s">
        <v>7967</v>
      </c>
    </row>
    <row r="1419" spans="1:8" ht="15.75" customHeight="1" x14ac:dyDescent="0.25">
      <c r="A1419" s="16" t="s">
        <v>3716</v>
      </c>
      <c r="B1419" s="16" t="s">
        <v>3717</v>
      </c>
      <c r="C1419" s="16" t="s">
        <v>7963</v>
      </c>
      <c r="E1419" s="18" t="s">
        <v>7964</v>
      </c>
      <c r="F1419" s="18" t="s">
        <v>7968</v>
      </c>
      <c r="G1419" s="16" t="s">
        <v>7969</v>
      </c>
      <c r="H1419" s="16" t="s">
        <v>7970</v>
      </c>
    </row>
    <row r="1420" spans="1:8" ht="15.75" customHeight="1" x14ac:dyDescent="0.25">
      <c r="A1420" s="16" t="s">
        <v>3716</v>
      </c>
      <c r="B1420" s="16" t="s">
        <v>3717</v>
      </c>
      <c r="C1420" s="16" t="s">
        <v>7963</v>
      </c>
      <c r="E1420" s="18" t="s">
        <v>7964</v>
      </c>
      <c r="F1420" s="18" t="s">
        <v>7971</v>
      </c>
      <c r="G1420" s="16" t="s">
        <v>7972</v>
      </c>
      <c r="H1420" s="16" t="s">
        <v>7970</v>
      </c>
    </row>
    <row r="1421" spans="1:8" ht="15.75" customHeight="1" x14ac:dyDescent="0.25">
      <c r="A1421" s="16" t="s">
        <v>3716</v>
      </c>
      <c r="B1421" s="16" t="s">
        <v>3717</v>
      </c>
      <c r="C1421" s="16" t="s">
        <v>7963</v>
      </c>
      <c r="E1421" s="18" t="s">
        <v>7964</v>
      </c>
      <c r="F1421" s="18" t="s">
        <v>7973</v>
      </c>
      <c r="G1421" s="16" t="s">
        <v>7974</v>
      </c>
      <c r="H1421" s="16" t="s">
        <v>7975</v>
      </c>
    </row>
    <row r="1422" spans="1:8" ht="15.75" customHeight="1" x14ac:dyDescent="0.25">
      <c r="A1422" s="16" t="s">
        <v>3716</v>
      </c>
      <c r="B1422" s="16" t="s">
        <v>3717</v>
      </c>
      <c r="C1422" s="16" t="s">
        <v>7963</v>
      </c>
      <c r="E1422" s="18" t="s">
        <v>7964</v>
      </c>
      <c r="F1422" s="18" t="s">
        <v>7976</v>
      </c>
      <c r="G1422" s="16" t="s">
        <v>7977</v>
      </c>
      <c r="H1422" s="16" t="s">
        <v>7978</v>
      </c>
    </row>
    <row r="1423" spans="1:8" ht="15.75" customHeight="1" x14ac:dyDescent="0.25">
      <c r="A1423" s="16" t="s">
        <v>3716</v>
      </c>
      <c r="B1423" s="16" t="s">
        <v>3717</v>
      </c>
      <c r="C1423" s="16" t="s">
        <v>7963</v>
      </c>
      <c r="E1423" s="18" t="s">
        <v>7964</v>
      </c>
      <c r="F1423" s="18" t="s">
        <v>7979</v>
      </c>
      <c r="G1423" s="16" t="s">
        <v>7980</v>
      </c>
      <c r="H1423" s="16" t="s">
        <v>7981</v>
      </c>
    </row>
    <row r="1424" spans="1:8" ht="15.75" customHeight="1" x14ac:dyDescent="0.25">
      <c r="A1424" s="16" t="s">
        <v>3720</v>
      </c>
      <c r="B1424" s="16" t="s">
        <v>3721</v>
      </c>
      <c r="C1424" s="16" t="s">
        <v>7982</v>
      </c>
      <c r="E1424" s="18" t="s">
        <v>7983</v>
      </c>
      <c r="F1424" s="18" t="s">
        <v>7984</v>
      </c>
      <c r="G1424" s="16" t="s">
        <v>7985</v>
      </c>
      <c r="H1424" s="16" t="s">
        <v>7986</v>
      </c>
    </row>
    <row r="1425" spans="1:8" ht="15.75" customHeight="1" x14ac:dyDescent="0.25">
      <c r="A1425" s="16" t="s">
        <v>3720</v>
      </c>
      <c r="B1425" s="16" t="s">
        <v>3721</v>
      </c>
      <c r="C1425" s="16" t="s">
        <v>7982</v>
      </c>
      <c r="E1425" s="18" t="s">
        <v>7983</v>
      </c>
      <c r="F1425" s="18" t="s">
        <v>7987</v>
      </c>
      <c r="G1425" s="16" t="s">
        <v>7988</v>
      </c>
      <c r="H1425" s="16" t="s">
        <v>7989</v>
      </c>
    </row>
    <row r="1426" spans="1:8" ht="15.75" customHeight="1" x14ac:dyDescent="0.25">
      <c r="A1426" s="16" t="s">
        <v>3723</v>
      </c>
      <c r="B1426" s="16" t="s">
        <v>3724</v>
      </c>
    </row>
    <row r="1427" spans="1:8" ht="15.75" customHeight="1" x14ac:dyDescent="0.25">
      <c r="A1427" s="16" t="s">
        <v>3727</v>
      </c>
      <c r="B1427" s="16" t="s">
        <v>3728</v>
      </c>
    </row>
    <row r="1428" spans="1:8" ht="15.75" customHeight="1" x14ac:dyDescent="0.25">
      <c r="A1428" s="16" t="s">
        <v>3730</v>
      </c>
      <c r="B1428" s="16" t="s">
        <v>3731</v>
      </c>
    </row>
    <row r="1429" spans="1:8" ht="15.75" customHeight="1" x14ac:dyDescent="0.25">
      <c r="A1429" s="16" t="s">
        <v>3733</v>
      </c>
      <c r="B1429" s="16" t="s">
        <v>3734</v>
      </c>
    </row>
    <row r="1430" spans="1:8" ht="15.75" customHeight="1" x14ac:dyDescent="0.25">
      <c r="A1430" s="16" t="s">
        <v>3736</v>
      </c>
      <c r="B1430" s="16" t="s">
        <v>3737</v>
      </c>
    </row>
    <row r="1431" spans="1:8" ht="15.75" customHeight="1" x14ac:dyDescent="0.25">
      <c r="A1431" s="16" t="s">
        <v>3739</v>
      </c>
      <c r="B1431" s="16" t="s">
        <v>3740</v>
      </c>
    </row>
    <row r="1432" spans="1:8" ht="15.75" customHeight="1" x14ac:dyDescent="0.25">
      <c r="B1432" s="16" t="s">
        <v>3741</v>
      </c>
    </row>
    <row r="1433" spans="1:8" ht="15.75" customHeight="1" x14ac:dyDescent="0.25">
      <c r="A1433" s="16" t="s">
        <v>3742</v>
      </c>
      <c r="B1433" s="16" t="s">
        <v>3743</v>
      </c>
    </row>
    <row r="1434" spans="1:8" ht="15.75" customHeight="1" x14ac:dyDescent="0.25">
      <c r="A1434" s="16" t="s">
        <v>3746</v>
      </c>
      <c r="B1434" s="16" t="s">
        <v>3747</v>
      </c>
    </row>
    <row r="1435" spans="1:8" ht="15.75" customHeight="1" x14ac:dyDescent="0.25">
      <c r="A1435" s="16" t="s">
        <v>3749</v>
      </c>
      <c r="B1435" s="16" t="s">
        <v>3750</v>
      </c>
    </row>
    <row r="1436" spans="1:8" ht="15.75" customHeight="1" x14ac:dyDescent="0.25">
      <c r="A1436" s="16" t="s">
        <v>3753</v>
      </c>
      <c r="B1436" s="16" t="s">
        <v>3754</v>
      </c>
      <c r="C1436" s="16" t="s">
        <v>7990</v>
      </c>
      <c r="E1436" s="18" t="s">
        <v>7991</v>
      </c>
      <c r="F1436" s="18" t="s">
        <v>7992</v>
      </c>
      <c r="G1436" s="16" t="s">
        <v>7993</v>
      </c>
      <c r="H1436" s="16" t="s">
        <v>7994</v>
      </c>
    </row>
    <row r="1437" spans="1:8" ht="15.75" customHeight="1" x14ac:dyDescent="0.25">
      <c r="A1437" s="16" t="s">
        <v>3756</v>
      </c>
      <c r="B1437" s="16" t="s">
        <v>3757</v>
      </c>
    </row>
    <row r="1438" spans="1:8" ht="15.75" customHeight="1" x14ac:dyDescent="0.25">
      <c r="A1438" s="16" t="s">
        <v>3759</v>
      </c>
      <c r="B1438" s="16" t="s">
        <v>3760</v>
      </c>
    </row>
    <row r="1439" spans="1:8" ht="15.75" customHeight="1" x14ac:dyDescent="0.25">
      <c r="A1439" s="16" t="s">
        <v>3761</v>
      </c>
      <c r="B1439" s="16" t="s">
        <v>3762</v>
      </c>
    </row>
    <row r="1440" spans="1:8" ht="15.75" customHeight="1" x14ac:dyDescent="0.25">
      <c r="A1440" s="16" t="s">
        <v>3763</v>
      </c>
      <c r="B1440" s="16" t="s">
        <v>3764</v>
      </c>
    </row>
    <row r="1441" spans="1:8" ht="15.75" customHeight="1" x14ac:dyDescent="0.25">
      <c r="A1441" s="16" t="s">
        <v>3765</v>
      </c>
      <c r="B1441" s="16" t="s">
        <v>3766</v>
      </c>
    </row>
    <row r="1442" spans="1:8" ht="15.75" customHeight="1" x14ac:dyDescent="0.25">
      <c r="A1442" s="16" t="s">
        <v>3768</v>
      </c>
      <c r="B1442" s="16" t="s">
        <v>3769</v>
      </c>
    </row>
    <row r="1443" spans="1:8" ht="15.75" customHeight="1" x14ac:dyDescent="0.25">
      <c r="A1443" s="16" t="s">
        <v>3771</v>
      </c>
      <c r="B1443" s="16" t="s">
        <v>3772</v>
      </c>
    </row>
    <row r="1444" spans="1:8" ht="15.75" customHeight="1" x14ac:dyDescent="0.25">
      <c r="A1444" s="16" t="s">
        <v>3773</v>
      </c>
      <c r="B1444" s="16" t="s">
        <v>3774</v>
      </c>
    </row>
    <row r="1445" spans="1:8" ht="15.75" customHeight="1" x14ac:dyDescent="0.25">
      <c r="A1445" s="16" t="s">
        <v>3775</v>
      </c>
      <c r="B1445" s="16" t="s">
        <v>3776</v>
      </c>
    </row>
    <row r="1446" spans="1:8" ht="15.75" customHeight="1" x14ac:dyDescent="0.25">
      <c r="A1446" s="16" t="s">
        <v>3777</v>
      </c>
      <c r="B1446" s="16" t="s">
        <v>3778</v>
      </c>
    </row>
    <row r="1447" spans="1:8" ht="15.75" customHeight="1" x14ac:dyDescent="0.25">
      <c r="A1447" s="16" t="s">
        <v>3779</v>
      </c>
      <c r="B1447" s="16" t="s">
        <v>3780</v>
      </c>
    </row>
    <row r="1448" spans="1:8" ht="15.75" customHeight="1" x14ac:dyDescent="0.25">
      <c r="A1448" s="16" t="s">
        <v>3783</v>
      </c>
      <c r="B1448" s="16" t="s">
        <v>3784</v>
      </c>
      <c r="C1448" s="16" t="s">
        <v>6360</v>
      </c>
      <c r="E1448" s="18" t="s">
        <v>6361</v>
      </c>
    </row>
    <row r="1449" spans="1:8" ht="15.75" customHeight="1" x14ac:dyDescent="0.25">
      <c r="A1449" s="16" t="s">
        <v>3787</v>
      </c>
      <c r="B1449" s="16" t="s">
        <v>3788</v>
      </c>
      <c r="C1449" s="16" t="s">
        <v>7995</v>
      </c>
      <c r="E1449" s="18" t="s">
        <v>7996</v>
      </c>
      <c r="F1449" s="18" t="s">
        <v>7997</v>
      </c>
      <c r="G1449" s="16" t="s">
        <v>7998</v>
      </c>
      <c r="H1449" s="16" t="s">
        <v>7999</v>
      </c>
    </row>
    <row r="1450" spans="1:8" ht="15.75" customHeight="1" x14ac:dyDescent="0.25">
      <c r="A1450" s="16" t="s">
        <v>3791</v>
      </c>
      <c r="B1450" s="16" t="s">
        <v>3792</v>
      </c>
      <c r="C1450" s="16" t="s">
        <v>8000</v>
      </c>
      <c r="E1450" s="18" t="s">
        <v>8001</v>
      </c>
      <c r="F1450" s="18" t="s">
        <v>8002</v>
      </c>
      <c r="G1450" s="16" t="s">
        <v>8003</v>
      </c>
      <c r="H1450" s="16" t="s">
        <v>8004</v>
      </c>
    </row>
    <row r="1451" spans="1:8" ht="15.75" customHeight="1" x14ac:dyDescent="0.25">
      <c r="A1451" s="16" t="s">
        <v>3791</v>
      </c>
      <c r="B1451" s="16" t="s">
        <v>3792</v>
      </c>
      <c r="C1451" s="16" t="s">
        <v>8000</v>
      </c>
      <c r="E1451" s="18" t="s">
        <v>8001</v>
      </c>
      <c r="F1451" s="18" t="s">
        <v>8005</v>
      </c>
      <c r="G1451" s="16" t="s">
        <v>8006</v>
      </c>
      <c r="H1451" s="16" t="s">
        <v>8007</v>
      </c>
    </row>
    <row r="1452" spans="1:8" ht="15.75" customHeight="1" x14ac:dyDescent="0.25">
      <c r="A1452" s="16" t="s">
        <v>3795</v>
      </c>
      <c r="B1452" s="16" t="s">
        <v>3796</v>
      </c>
      <c r="C1452" s="16" t="s">
        <v>8008</v>
      </c>
      <c r="E1452" s="18" t="s">
        <v>8009</v>
      </c>
      <c r="F1452" s="18" t="s">
        <v>8010</v>
      </c>
      <c r="G1452" s="16" t="s">
        <v>8011</v>
      </c>
      <c r="H1452" s="16" t="s">
        <v>8012</v>
      </c>
    </row>
    <row r="1453" spans="1:8" ht="15.75" customHeight="1" x14ac:dyDescent="0.25">
      <c r="A1453" s="16" t="s">
        <v>3795</v>
      </c>
      <c r="B1453" s="16" t="s">
        <v>3796</v>
      </c>
      <c r="C1453" s="16" t="s">
        <v>8008</v>
      </c>
      <c r="E1453" s="18" t="s">
        <v>8009</v>
      </c>
      <c r="F1453" s="18" t="s">
        <v>8013</v>
      </c>
      <c r="G1453" s="16" t="s">
        <v>8014</v>
      </c>
      <c r="H1453" s="16" t="s">
        <v>8015</v>
      </c>
    </row>
    <row r="1454" spans="1:8" ht="15.75" customHeight="1" x14ac:dyDescent="0.25">
      <c r="A1454" s="16" t="s">
        <v>3795</v>
      </c>
      <c r="B1454" s="16" t="s">
        <v>3796</v>
      </c>
      <c r="C1454" s="16" t="s">
        <v>8008</v>
      </c>
      <c r="E1454" s="18" t="s">
        <v>8009</v>
      </c>
      <c r="F1454" s="18" t="s">
        <v>8016</v>
      </c>
      <c r="G1454" s="16" t="s">
        <v>8017</v>
      </c>
      <c r="H1454" s="16" t="s">
        <v>8018</v>
      </c>
    </row>
    <row r="1455" spans="1:8" ht="15.75" customHeight="1" x14ac:dyDescent="0.25">
      <c r="A1455" s="16" t="s">
        <v>3795</v>
      </c>
      <c r="B1455" s="16" t="s">
        <v>3796</v>
      </c>
      <c r="C1455" s="16" t="s">
        <v>8008</v>
      </c>
      <c r="E1455" s="18" t="s">
        <v>8009</v>
      </c>
      <c r="F1455" s="18" t="s">
        <v>8019</v>
      </c>
      <c r="G1455" s="16" t="s">
        <v>8020</v>
      </c>
      <c r="H1455" s="16" t="s">
        <v>8021</v>
      </c>
    </row>
    <row r="1456" spans="1:8" ht="15.75" customHeight="1" x14ac:dyDescent="0.25">
      <c r="A1456" s="16" t="s">
        <v>3795</v>
      </c>
      <c r="B1456" s="16" t="s">
        <v>3796</v>
      </c>
      <c r="C1456" s="16" t="s">
        <v>8008</v>
      </c>
      <c r="E1456" s="18" t="s">
        <v>8009</v>
      </c>
      <c r="F1456" s="18" t="s">
        <v>8022</v>
      </c>
      <c r="G1456" s="16" t="s">
        <v>8023</v>
      </c>
      <c r="H1456" s="16" t="s">
        <v>8024</v>
      </c>
    </row>
    <row r="1457" spans="1:8" ht="15.75" customHeight="1" x14ac:dyDescent="0.25">
      <c r="A1457" s="16" t="s">
        <v>3795</v>
      </c>
      <c r="B1457" s="16" t="s">
        <v>3796</v>
      </c>
      <c r="C1457" s="16" t="s">
        <v>8008</v>
      </c>
      <c r="E1457" s="18" t="s">
        <v>8009</v>
      </c>
      <c r="F1457" s="18" t="s">
        <v>8025</v>
      </c>
      <c r="G1457" s="16" t="s">
        <v>8026</v>
      </c>
      <c r="H1457" s="16" t="s">
        <v>8027</v>
      </c>
    </row>
    <row r="1458" spans="1:8" ht="15.75" customHeight="1" x14ac:dyDescent="0.25">
      <c r="A1458" s="16" t="s">
        <v>3795</v>
      </c>
      <c r="B1458" s="16" t="s">
        <v>3796</v>
      </c>
      <c r="C1458" s="16" t="s">
        <v>8008</v>
      </c>
      <c r="E1458" s="18" t="s">
        <v>8009</v>
      </c>
      <c r="F1458" s="18" t="s">
        <v>8028</v>
      </c>
      <c r="G1458" s="16" t="s">
        <v>8029</v>
      </c>
      <c r="H1458" s="16" t="s">
        <v>8030</v>
      </c>
    </row>
    <row r="1459" spans="1:8" ht="15.75" customHeight="1" x14ac:dyDescent="0.25">
      <c r="A1459" s="16" t="s">
        <v>3795</v>
      </c>
      <c r="B1459" s="16" t="s">
        <v>3796</v>
      </c>
      <c r="C1459" s="16" t="s">
        <v>8008</v>
      </c>
      <c r="E1459" s="18" t="s">
        <v>8009</v>
      </c>
      <c r="F1459" s="18" t="s">
        <v>8031</v>
      </c>
      <c r="G1459" s="16" t="s">
        <v>8032</v>
      </c>
      <c r="H1459" s="16" t="s">
        <v>8033</v>
      </c>
    </row>
    <row r="1460" spans="1:8" ht="15.75" customHeight="1" x14ac:dyDescent="0.25">
      <c r="A1460" s="16" t="s">
        <v>3795</v>
      </c>
      <c r="B1460" s="16" t="s">
        <v>3796</v>
      </c>
      <c r="C1460" s="16" t="s">
        <v>8008</v>
      </c>
      <c r="E1460" s="18" t="s">
        <v>8009</v>
      </c>
      <c r="F1460" s="18" t="s">
        <v>8034</v>
      </c>
      <c r="G1460" s="16" t="s">
        <v>8035</v>
      </c>
      <c r="H1460" s="16" t="s">
        <v>8036</v>
      </c>
    </row>
    <row r="1461" spans="1:8" ht="15.75" customHeight="1" x14ac:dyDescent="0.25">
      <c r="A1461" s="16" t="s">
        <v>3795</v>
      </c>
      <c r="B1461" s="16" t="s">
        <v>3796</v>
      </c>
      <c r="C1461" s="16" t="s">
        <v>8008</v>
      </c>
      <c r="E1461" s="18" t="s">
        <v>8009</v>
      </c>
      <c r="F1461" s="18" t="s">
        <v>8037</v>
      </c>
      <c r="G1461" s="16" t="s">
        <v>8038</v>
      </c>
      <c r="H1461" s="16" t="s">
        <v>8039</v>
      </c>
    </row>
    <row r="1462" spans="1:8" ht="15.75" customHeight="1" x14ac:dyDescent="0.25">
      <c r="A1462" s="16" t="s">
        <v>3797</v>
      </c>
      <c r="B1462" s="16" t="s">
        <v>3798</v>
      </c>
    </row>
    <row r="1463" spans="1:8" ht="15.75" customHeight="1" x14ac:dyDescent="0.25">
      <c r="A1463" s="16" t="s">
        <v>3801</v>
      </c>
      <c r="B1463" s="16" t="s">
        <v>3802</v>
      </c>
      <c r="C1463" s="16" t="s">
        <v>8040</v>
      </c>
      <c r="E1463" s="18" t="s">
        <v>8041</v>
      </c>
      <c r="F1463" s="18" t="s">
        <v>8042</v>
      </c>
      <c r="G1463" s="16" t="s">
        <v>8043</v>
      </c>
      <c r="H1463" s="16" t="s">
        <v>8044</v>
      </c>
    </row>
    <row r="1464" spans="1:8" ht="15.75" customHeight="1" x14ac:dyDescent="0.25">
      <c r="A1464" s="16" t="s">
        <v>3805</v>
      </c>
      <c r="B1464" s="16" t="s">
        <v>3806</v>
      </c>
      <c r="C1464" s="16" t="s">
        <v>8045</v>
      </c>
      <c r="E1464" s="18" t="s">
        <v>8046</v>
      </c>
      <c r="F1464" s="18" t="s">
        <v>8047</v>
      </c>
      <c r="G1464" s="16" t="s">
        <v>8048</v>
      </c>
      <c r="H1464" s="16" t="s">
        <v>8049</v>
      </c>
    </row>
    <row r="1465" spans="1:8" ht="15.75" customHeight="1" x14ac:dyDescent="0.25">
      <c r="A1465" s="16" t="s">
        <v>3809</v>
      </c>
      <c r="B1465" s="16" t="s">
        <v>3810</v>
      </c>
      <c r="C1465" s="16" t="s">
        <v>8045</v>
      </c>
      <c r="E1465" s="18" t="s">
        <v>8046</v>
      </c>
      <c r="F1465" s="18" t="s">
        <v>8047</v>
      </c>
      <c r="G1465" s="16" t="s">
        <v>8048</v>
      </c>
      <c r="H1465" s="16" t="s">
        <v>8049</v>
      </c>
    </row>
    <row r="1466" spans="1:8" ht="15.75" customHeight="1" x14ac:dyDescent="0.25">
      <c r="A1466" s="16" t="s">
        <v>3813</v>
      </c>
      <c r="B1466" s="16" t="s">
        <v>3814</v>
      </c>
      <c r="C1466" s="16" t="s">
        <v>8045</v>
      </c>
      <c r="E1466" s="18" t="s">
        <v>8046</v>
      </c>
      <c r="F1466" s="18" t="s">
        <v>8047</v>
      </c>
      <c r="G1466" s="16" t="s">
        <v>8048</v>
      </c>
      <c r="H1466" s="16" t="s">
        <v>8049</v>
      </c>
    </row>
    <row r="1467" spans="1:8" ht="15.75" customHeight="1" x14ac:dyDescent="0.25">
      <c r="A1467" s="16" t="s">
        <v>3817</v>
      </c>
      <c r="B1467" s="16" t="s">
        <v>3818</v>
      </c>
    </row>
    <row r="1468" spans="1:8" ht="15.75" customHeight="1" x14ac:dyDescent="0.25">
      <c r="A1468" s="16" t="s">
        <v>3821</v>
      </c>
      <c r="B1468" s="16" t="s">
        <v>3822</v>
      </c>
      <c r="C1468" s="16" t="s">
        <v>6832</v>
      </c>
      <c r="E1468" s="18" t="s">
        <v>6833</v>
      </c>
    </row>
    <row r="1469" spans="1:8" ht="15.75" customHeight="1" x14ac:dyDescent="0.25">
      <c r="A1469" s="16" t="s">
        <v>3824</v>
      </c>
      <c r="B1469" s="16" t="s">
        <v>3825</v>
      </c>
    </row>
    <row r="1470" spans="1:8" ht="15.75" customHeight="1" x14ac:dyDescent="0.25">
      <c r="A1470" s="16" t="s">
        <v>3827</v>
      </c>
      <c r="B1470" s="16" t="s">
        <v>3828</v>
      </c>
    </row>
    <row r="1471" spans="1:8" ht="15.75" customHeight="1" x14ac:dyDescent="0.25">
      <c r="A1471" s="16" t="s">
        <v>3831</v>
      </c>
      <c r="B1471" s="16" t="s">
        <v>3832</v>
      </c>
    </row>
    <row r="1472" spans="1:8" ht="15.75" customHeight="1" x14ac:dyDescent="0.25">
      <c r="A1472" s="16" t="s">
        <v>3834</v>
      </c>
      <c r="B1472" s="16" t="s">
        <v>3835</v>
      </c>
      <c r="C1472" s="16" t="s">
        <v>8050</v>
      </c>
    </row>
    <row r="1473" spans="1:8" ht="15.75" customHeight="1" x14ac:dyDescent="0.25">
      <c r="A1473" s="16" t="s">
        <v>3838</v>
      </c>
      <c r="B1473" s="16" t="s">
        <v>3839</v>
      </c>
      <c r="C1473" s="16" t="s">
        <v>8051</v>
      </c>
      <c r="E1473" s="18" t="s">
        <v>8052</v>
      </c>
      <c r="F1473" s="18" t="s">
        <v>6548</v>
      </c>
      <c r="G1473" s="16" t="s">
        <v>6962</v>
      </c>
      <c r="H1473" s="16" t="s">
        <v>6963</v>
      </c>
    </row>
    <row r="1474" spans="1:8" ht="15.75" customHeight="1" x14ac:dyDescent="0.25">
      <c r="A1474" s="16" t="s">
        <v>3838</v>
      </c>
      <c r="B1474" s="16" t="s">
        <v>3839</v>
      </c>
      <c r="C1474" s="16" t="s">
        <v>8051</v>
      </c>
      <c r="E1474" s="18" t="s">
        <v>8052</v>
      </c>
      <c r="F1474" s="18" t="s">
        <v>8053</v>
      </c>
      <c r="G1474" s="16" t="s">
        <v>8054</v>
      </c>
      <c r="H1474" s="16" t="s">
        <v>8055</v>
      </c>
    </row>
    <row r="1475" spans="1:8" ht="15.75" customHeight="1" x14ac:dyDescent="0.25">
      <c r="A1475" s="16" t="s">
        <v>3838</v>
      </c>
      <c r="B1475" s="16" t="s">
        <v>3839</v>
      </c>
      <c r="C1475" s="16" t="s">
        <v>8051</v>
      </c>
      <c r="E1475" s="18" t="s">
        <v>8052</v>
      </c>
      <c r="F1475" s="18" t="s">
        <v>8056</v>
      </c>
      <c r="G1475" s="16" t="s">
        <v>8057</v>
      </c>
      <c r="H1475" s="16" t="s">
        <v>8058</v>
      </c>
    </row>
    <row r="1476" spans="1:8" ht="15.75" customHeight="1" x14ac:dyDescent="0.25">
      <c r="A1476" s="16" t="s">
        <v>3842</v>
      </c>
      <c r="B1476" s="16" t="s">
        <v>3843</v>
      </c>
    </row>
    <row r="1477" spans="1:8" ht="15.75" customHeight="1" x14ac:dyDescent="0.25">
      <c r="A1477" s="16" t="s">
        <v>3845</v>
      </c>
      <c r="B1477" s="16" t="s">
        <v>3846</v>
      </c>
    </row>
    <row r="1478" spans="1:8" ht="15.75" customHeight="1" x14ac:dyDescent="0.25">
      <c r="A1478" s="16" t="s">
        <v>3848</v>
      </c>
      <c r="B1478" s="16" t="s">
        <v>3849</v>
      </c>
    </row>
    <row r="1479" spans="1:8" ht="15.75" customHeight="1" x14ac:dyDescent="0.25">
      <c r="A1479" s="16" t="s">
        <v>3851</v>
      </c>
      <c r="B1479" s="16" t="s">
        <v>3852</v>
      </c>
    </row>
    <row r="1480" spans="1:8" ht="15.75" customHeight="1" x14ac:dyDescent="0.25">
      <c r="A1480" s="16" t="s">
        <v>3855</v>
      </c>
      <c r="B1480" s="16" t="s">
        <v>3856</v>
      </c>
      <c r="C1480" s="16" t="s">
        <v>8059</v>
      </c>
      <c r="E1480" s="18" t="s">
        <v>8060</v>
      </c>
      <c r="F1480" s="18" t="s">
        <v>8061</v>
      </c>
      <c r="G1480" s="16" t="s">
        <v>8062</v>
      </c>
      <c r="H1480" s="16" t="s">
        <v>8063</v>
      </c>
    </row>
    <row r="1481" spans="1:8" ht="15.75" customHeight="1" x14ac:dyDescent="0.25">
      <c r="A1481" s="16" t="s">
        <v>3858</v>
      </c>
      <c r="B1481" s="16" t="s">
        <v>3859</v>
      </c>
    </row>
    <row r="1482" spans="1:8" ht="15.75" customHeight="1" x14ac:dyDescent="0.25">
      <c r="A1482" s="16" t="s">
        <v>3861</v>
      </c>
      <c r="B1482" s="16" t="s">
        <v>3862</v>
      </c>
    </row>
    <row r="1483" spans="1:8" ht="15.75" customHeight="1" x14ac:dyDescent="0.25">
      <c r="A1483" s="16" t="s">
        <v>3865</v>
      </c>
      <c r="B1483" s="16" t="s">
        <v>3866</v>
      </c>
    </row>
    <row r="1484" spans="1:8" ht="15.75" customHeight="1" x14ac:dyDescent="0.25">
      <c r="A1484" s="16" t="s">
        <v>3869</v>
      </c>
      <c r="B1484" s="16" t="s">
        <v>3870</v>
      </c>
    </row>
    <row r="1485" spans="1:8" ht="15.75" customHeight="1" x14ac:dyDescent="0.25">
      <c r="A1485" s="16" t="s">
        <v>3873</v>
      </c>
      <c r="B1485" s="16" t="s">
        <v>3874</v>
      </c>
    </row>
    <row r="1486" spans="1:8" ht="15.75" customHeight="1" x14ac:dyDescent="0.25">
      <c r="A1486" s="16" t="s">
        <v>3877</v>
      </c>
      <c r="B1486" s="16" t="s">
        <v>3878</v>
      </c>
    </row>
    <row r="1487" spans="1:8" ht="15.75" customHeight="1" x14ac:dyDescent="0.25">
      <c r="A1487" s="16" t="s">
        <v>3881</v>
      </c>
      <c r="B1487" s="16" t="s">
        <v>3882</v>
      </c>
      <c r="C1487" s="16" t="s">
        <v>8064</v>
      </c>
      <c r="E1487" s="18" t="s">
        <v>8065</v>
      </c>
      <c r="F1487" s="18" t="s">
        <v>8066</v>
      </c>
      <c r="G1487" s="16" t="s">
        <v>8067</v>
      </c>
      <c r="H1487" s="16" t="s">
        <v>8068</v>
      </c>
    </row>
    <row r="1488" spans="1:8" ht="15.75" customHeight="1" x14ac:dyDescent="0.25">
      <c r="A1488" s="16" t="s">
        <v>3885</v>
      </c>
      <c r="B1488" s="16" t="s">
        <v>3886</v>
      </c>
      <c r="C1488" s="16" t="s">
        <v>8069</v>
      </c>
    </row>
    <row r="1489" spans="1:8" ht="15.75" customHeight="1" x14ac:dyDescent="0.25">
      <c r="A1489" s="16" t="s">
        <v>3889</v>
      </c>
      <c r="B1489" s="16" t="s">
        <v>3890</v>
      </c>
      <c r="C1489" s="16" t="s">
        <v>8069</v>
      </c>
    </row>
    <row r="1490" spans="1:8" ht="15.75" customHeight="1" x14ac:dyDescent="0.25">
      <c r="A1490" s="16" t="s">
        <v>3892</v>
      </c>
      <c r="B1490" s="16" t="s">
        <v>3893</v>
      </c>
    </row>
    <row r="1491" spans="1:8" ht="15.75" customHeight="1" x14ac:dyDescent="0.25">
      <c r="A1491" s="16" t="s">
        <v>3896</v>
      </c>
      <c r="B1491" s="16" t="s">
        <v>3897</v>
      </c>
      <c r="C1491" s="16" t="s">
        <v>8069</v>
      </c>
    </row>
    <row r="1492" spans="1:8" ht="15.75" customHeight="1" x14ac:dyDescent="0.25">
      <c r="A1492" s="16" t="s">
        <v>3900</v>
      </c>
      <c r="B1492" s="16" t="s">
        <v>3901</v>
      </c>
    </row>
    <row r="1493" spans="1:8" ht="15.75" customHeight="1" x14ac:dyDescent="0.25">
      <c r="A1493" s="16" t="s">
        <v>3903</v>
      </c>
      <c r="B1493" s="16" t="s">
        <v>3904</v>
      </c>
    </row>
    <row r="1494" spans="1:8" ht="15.75" customHeight="1" x14ac:dyDescent="0.25">
      <c r="A1494" s="16" t="s">
        <v>3905</v>
      </c>
      <c r="B1494" s="16" t="s">
        <v>3906</v>
      </c>
    </row>
    <row r="1495" spans="1:8" ht="15.75" customHeight="1" x14ac:dyDescent="0.25">
      <c r="A1495" s="16" t="s">
        <v>3908</v>
      </c>
      <c r="B1495" s="16" t="s">
        <v>3909</v>
      </c>
    </row>
    <row r="1496" spans="1:8" ht="15.75" customHeight="1" x14ac:dyDescent="0.25">
      <c r="A1496" s="16" t="s">
        <v>3912</v>
      </c>
      <c r="B1496" s="16" t="s">
        <v>3913</v>
      </c>
    </row>
    <row r="1497" spans="1:8" ht="15.75" customHeight="1" x14ac:dyDescent="0.25">
      <c r="A1497" s="16" t="s">
        <v>3914</v>
      </c>
      <c r="B1497" s="16" t="s">
        <v>3915</v>
      </c>
    </row>
    <row r="1498" spans="1:8" ht="15.75" customHeight="1" x14ac:dyDescent="0.25">
      <c r="A1498" s="16" t="s">
        <v>3916</v>
      </c>
      <c r="B1498" s="16" t="s">
        <v>3917</v>
      </c>
    </row>
    <row r="1499" spans="1:8" ht="15.75" customHeight="1" x14ac:dyDescent="0.25">
      <c r="A1499" s="16" t="s">
        <v>3920</v>
      </c>
      <c r="B1499" s="16" t="s">
        <v>3921</v>
      </c>
      <c r="C1499" s="16" t="s">
        <v>8070</v>
      </c>
      <c r="E1499" s="18" t="s">
        <v>8071</v>
      </c>
      <c r="F1499" s="18" t="s">
        <v>8072</v>
      </c>
      <c r="G1499" s="16" t="s">
        <v>8073</v>
      </c>
      <c r="H1499" s="16" t="s">
        <v>8074</v>
      </c>
    </row>
    <row r="1500" spans="1:8" ht="15.75" customHeight="1" x14ac:dyDescent="0.25">
      <c r="A1500" s="16" t="s">
        <v>3924</v>
      </c>
      <c r="B1500" s="16" t="s">
        <v>3925</v>
      </c>
    </row>
    <row r="1501" spans="1:8" ht="15.75" customHeight="1" x14ac:dyDescent="0.25">
      <c r="A1501" s="16" t="s">
        <v>3928</v>
      </c>
      <c r="B1501" s="16" t="s">
        <v>3929</v>
      </c>
    </row>
    <row r="1502" spans="1:8" ht="15.75" customHeight="1" x14ac:dyDescent="0.25">
      <c r="A1502" s="16" t="s">
        <v>3932</v>
      </c>
      <c r="B1502" s="16" t="s">
        <v>3933</v>
      </c>
      <c r="C1502" s="16" t="s">
        <v>8075</v>
      </c>
      <c r="E1502" s="18" t="s">
        <v>8076</v>
      </c>
      <c r="F1502" s="18" t="s">
        <v>8077</v>
      </c>
      <c r="G1502" s="16" t="s">
        <v>8078</v>
      </c>
      <c r="H1502" s="16" t="s">
        <v>8079</v>
      </c>
    </row>
    <row r="1503" spans="1:8" ht="15.75" customHeight="1" x14ac:dyDescent="0.25">
      <c r="A1503" s="16" t="s">
        <v>3932</v>
      </c>
      <c r="B1503" s="16" t="s">
        <v>3933</v>
      </c>
      <c r="C1503" s="16" t="s">
        <v>8075</v>
      </c>
      <c r="E1503" s="18" t="s">
        <v>8076</v>
      </c>
      <c r="F1503" s="18" t="s">
        <v>8080</v>
      </c>
      <c r="G1503" s="16" t="s">
        <v>8081</v>
      </c>
      <c r="H1503" s="16" t="s">
        <v>8082</v>
      </c>
    </row>
    <row r="1504" spans="1:8" ht="15.75" customHeight="1" x14ac:dyDescent="0.25">
      <c r="A1504" s="16" t="s">
        <v>3932</v>
      </c>
      <c r="B1504" s="16" t="s">
        <v>3933</v>
      </c>
      <c r="C1504" s="16" t="s">
        <v>8075</v>
      </c>
      <c r="E1504" s="18" t="s">
        <v>8076</v>
      </c>
      <c r="F1504" s="18" t="s">
        <v>8083</v>
      </c>
      <c r="G1504" s="16" t="s">
        <v>8084</v>
      </c>
      <c r="H1504" s="16" t="s">
        <v>8085</v>
      </c>
    </row>
    <row r="1505" spans="1:8" ht="15.75" customHeight="1" x14ac:dyDescent="0.25">
      <c r="A1505" s="16" t="s">
        <v>3932</v>
      </c>
      <c r="B1505" s="16" t="s">
        <v>3933</v>
      </c>
      <c r="C1505" s="16" t="s">
        <v>8075</v>
      </c>
      <c r="E1505" s="18" t="s">
        <v>8076</v>
      </c>
      <c r="F1505" s="18" t="s">
        <v>8086</v>
      </c>
      <c r="G1505" s="16" t="s">
        <v>8087</v>
      </c>
      <c r="H1505" s="16" t="s">
        <v>8088</v>
      </c>
    </row>
    <row r="1506" spans="1:8" ht="15.75" customHeight="1" x14ac:dyDescent="0.25">
      <c r="A1506" s="16" t="s">
        <v>3934</v>
      </c>
      <c r="B1506" s="16" t="s">
        <v>3935</v>
      </c>
    </row>
    <row r="1507" spans="1:8" ht="15.75" customHeight="1" x14ac:dyDescent="0.25">
      <c r="A1507" s="16" t="s">
        <v>3938</v>
      </c>
      <c r="B1507" s="16" t="s">
        <v>3939</v>
      </c>
    </row>
    <row r="1508" spans="1:8" ht="15.75" customHeight="1" x14ac:dyDescent="0.25">
      <c r="A1508" s="16" t="s">
        <v>3941</v>
      </c>
      <c r="B1508" s="16" t="s">
        <v>3942</v>
      </c>
    </row>
    <row r="1509" spans="1:8" ht="15.75" customHeight="1" x14ac:dyDescent="0.25">
      <c r="A1509" s="16" t="s">
        <v>3945</v>
      </c>
      <c r="B1509" s="16" t="s">
        <v>3946</v>
      </c>
    </row>
    <row r="1510" spans="1:8" ht="15.75" customHeight="1" x14ac:dyDescent="0.25">
      <c r="A1510" s="16" t="s">
        <v>3947</v>
      </c>
      <c r="B1510" s="16" t="s">
        <v>3948</v>
      </c>
    </row>
    <row r="1511" spans="1:8" ht="15.75" customHeight="1" x14ac:dyDescent="0.25">
      <c r="A1511" s="16" t="s">
        <v>3951</v>
      </c>
      <c r="B1511" s="16" t="s">
        <v>3952</v>
      </c>
      <c r="C1511" s="16" t="s">
        <v>8089</v>
      </c>
      <c r="E1511" s="18" t="s">
        <v>8090</v>
      </c>
      <c r="F1511" s="18" t="s">
        <v>8091</v>
      </c>
      <c r="G1511" s="16" t="s">
        <v>8092</v>
      </c>
      <c r="H1511" s="16" t="s">
        <v>8093</v>
      </c>
    </row>
    <row r="1512" spans="1:8" ht="15.75" customHeight="1" x14ac:dyDescent="0.25">
      <c r="A1512" s="16" t="s">
        <v>3951</v>
      </c>
      <c r="B1512" s="16" t="s">
        <v>3952</v>
      </c>
      <c r="C1512" s="16" t="s">
        <v>8089</v>
      </c>
      <c r="E1512" s="18" t="s">
        <v>8090</v>
      </c>
      <c r="F1512" s="18" t="s">
        <v>8094</v>
      </c>
      <c r="G1512" s="16" t="s">
        <v>8095</v>
      </c>
      <c r="H1512" s="16" t="s">
        <v>8096</v>
      </c>
    </row>
    <row r="1513" spans="1:8" ht="15.75" customHeight="1" x14ac:dyDescent="0.25">
      <c r="A1513" s="16" t="s">
        <v>3951</v>
      </c>
      <c r="B1513" s="16" t="s">
        <v>3952</v>
      </c>
      <c r="C1513" s="16" t="s">
        <v>8089</v>
      </c>
      <c r="E1513" s="18" t="s">
        <v>8090</v>
      </c>
      <c r="F1513" s="18" t="s">
        <v>8097</v>
      </c>
      <c r="G1513" s="16" t="s">
        <v>8095</v>
      </c>
      <c r="H1513" s="16" t="s">
        <v>8098</v>
      </c>
    </row>
    <row r="1514" spans="1:8" ht="15.75" customHeight="1" x14ac:dyDescent="0.25">
      <c r="A1514" s="16" t="s">
        <v>3951</v>
      </c>
      <c r="B1514" s="16" t="s">
        <v>3952</v>
      </c>
      <c r="C1514" s="16" t="s">
        <v>8089</v>
      </c>
      <c r="E1514" s="18" t="s">
        <v>8090</v>
      </c>
      <c r="F1514" s="18" t="s">
        <v>8099</v>
      </c>
      <c r="G1514" s="16" t="s">
        <v>8100</v>
      </c>
      <c r="H1514" s="16" t="s">
        <v>8101</v>
      </c>
    </row>
    <row r="1515" spans="1:8" ht="15.75" customHeight="1" x14ac:dyDescent="0.25">
      <c r="A1515" s="16" t="s">
        <v>3955</v>
      </c>
      <c r="B1515" s="16" t="s">
        <v>3956</v>
      </c>
      <c r="C1515" s="16" t="s">
        <v>8102</v>
      </c>
      <c r="E1515" s="18" t="s">
        <v>8103</v>
      </c>
      <c r="F1515" s="18" t="s">
        <v>8104</v>
      </c>
      <c r="G1515" s="16" t="s">
        <v>8105</v>
      </c>
      <c r="H1515" s="16" t="s">
        <v>8106</v>
      </c>
    </row>
    <row r="1516" spans="1:8" ht="15.75" customHeight="1" x14ac:dyDescent="0.25">
      <c r="A1516" s="16" t="s">
        <v>3959</v>
      </c>
      <c r="B1516" s="16" t="s">
        <v>3960</v>
      </c>
      <c r="C1516" s="16" t="s">
        <v>8107</v>
      </c>
      <c r="E1516" s="18" t="s">
        <v>8108</v>
      </c>
      <c r="F1516" s="18" t="s">
        <v>8109</v>
      </c>
      <c r="G1516" s="16" t="s">
        <v>8110</v>
      </c>
      <c r="H1516" s="16" t="s">
        <v>8111</v>
      </c>
    </row>
    <row r="1517" spans="1:8" ht="15.75" customHeight="1" x14ac:dyDescent="0.25">
      <c r="A1517" s="16" t="s">
        <v>3962</v>
      </c>
      <c r="B1517" s="16" t="s">
        <v>3963</v>
      </c>
    </row>
    <row r="1518" spans="1:8" ht="15.75" customHeight="1" x14ac:dyDescent="0.25">
      <c r="A1518" s="16" t="s">
        <v>3966</v>
      </c>
      <c r="B1518" s="16" t="s">
        <v>3967</v>
      </c>
      <c r="C1518" s="16" t="s">
        <v>8112</v>
      </c>
      <c r="E1518" s="18" t="s">
        <v>8113</v>
      </c>
      <c r="F1518" s="18" t="s">
        <v>8114</v>
      </c>
      <c r="G1518" s="16" t="s">
        <v>8115</v>
      </c>
      <c r="H1518" s="16" t="s">
        <v>8116</v>
      </c>
    </row>
    <row r="1519" spans="1:8" ht="15.75" customHeight="1" x14ac:dyDescent="0.25">
      <c r="A1519" s="16" t="s">
        <v>3969</v>
      </c>
      <c r="B1519" s="16" t="s">
        <v>3970</v>
      </c>
    </row>
    <row r="1520" spans="1:8" ht="15.75" customHeight="1" x14ac:dyDescent="0.25">
      <c r="A1520" s="16" t="s">
        <v>3973</v>
      </c>
      <c r="B1520" s="16" t="s">
        <v>3974</v>
      </c>
    </row>
    <row r="1521" spans="1:8" ht="15.75" customHeight="1" x14ac:dyDescent="0.25">
      <c r="A1521" s="16" t="s">
        <v>3975</v>
      </c>
      <c r="B1521" s="16" t="s">
        <v>3976</v>
      </c>
    </row>
    <row r="1522" spans="1:8" ht="15.75" customHeight="1" x14ac:dyDescent="0.25">
      <c r="A1522" s="16" t="s">
        <v>3979</v>
      </c>
      <c r="B1522" s="16" t="s">
        <v>3980</v>
      </c>
    </row>
    <row r="1523" spans="1:8" ht="15.75" customHeight="1" x14ac:dyDescent="0.25">
      <c r="A1523" s="16" t="s">
        <v>3981</v>
      </c>
      <c r="B1523" s="16" t="s">
        <v>3982</v>
      </c>
    </row>
    <row r="1524" spans="1:8" ht="15.75" customHeight="1" x14ac:dyDescent="0.25">
      <c r="A1524" s="16" t="s">
        <v>3985</v>
      </c>
      <c r="B1524" s="16" t="s">
        <v>3986</v>
      </c>
      <c r="C1524" s="16" t="s">
        <v>8117</v>
      </c>
    </row>
    <row r="1525" spans="1:8" ht="15.75" customHeight="1" x14ac:dyDescent="0.25">
      <c r="A1525" s="16" t="s">
        <v>3989</v>
      </c>
      <c r="B1525" s="16" t="s">
        <v>3990</v>
      </c>
      <c r="C1525" s="16" t="s">
        <v>8117</v>
      </c>
    </row>
    <row r="1526" spans="1:8" ht="15.75" customHeight="1" x14ac:dyDescent="0.25">
      <c r="A1526" s="16" t="s">
        <v>3991</v>
      </c>
      <c r="B1526" s="16" t="s">
        <v>3992</v>
      </c>
    </row>
    <row r="1527" spans="1:8" ht="15.75" customHeight="1" x14ac:dyDescent="0.25">
      <c r="A1527" s="16" t="s">
        <v>3995</v>
      </c>
      <c r="B1527" s="16" t="s">
        <v>3996</v>
      </c>
      <c r="C1527" s="16" t="s">
        <v>8118</v>
      </c>
      <c r="E1527" s="18" t="s">
        <v>8119</v>
      </c>
      <c r="F1527" s="18" t="s">
        <v>8120</v>
      </c>
      <c r="G1527" s="16" t="s">
        <v>7966</v>
      </c>
      <c r="H1527" s="16" t="s">
        <v>8121</v>
      </c>
    </row>
    <row r="1528" spans="1:8" ht="15.75" customHeight="1" x14ac:dyDescent="0.25">
      <c r="A1528" s="16" t="s">
        <v>3995</v>
      </c>
      <c r="B1528" s="16" t="s">
        <v>3996</v>
      </c>
      <c r="C1528" s="16" t="s">
        <v>8118</v>
      </c>
      <c r="E1528" s="18" t="s">
        <v>8119</v>
      </c>
      <c r="F1528" s="18" t="s">
        <v>8122</v>
      </c>
      <c r="G1528" s="16" t="s">
        <v>7966</v>
      </c>
      <c r="H1528" s="16" t="s">
        <v>8123</v>
      </c>
    </row>
    <row r="1529" spans="1:8" ht="15.75" customHeight="1" x14ac:dyDescent="0.25">
      <c r="A1529" s="16" t="s">
        <v>3998</v>
      </c>
      <c r="B1529" s="16" t="s">
        <v>3999</v>
      </c>
    </row>
    <row r="1530" spans="1:8" ht="15.75" customHeight="1" x14ac:dyDescent="0.25">
      <c r="A1530" s="16" t="s">
        <v>4001</v>
      </c>
      <c r="B1530" s="16" t="s">
        <v>4002</v>
      </c>
    </row>
    <row r="1531" spans="1:8" ht="15.75" customHeight="1" x14ac:dyDescent="0.25">
      <c r="A1531" s="16" t="s">
        <v>4005</v>
      </c>
      <c r="B1531" s="16" t="s">
        <v>4006</v>
      </c>
    </row>
    <row r="1532" spans="1:8" ht="15.75" customHeight="1" x14ac:dyDescent="0.25">
      <c r="A1532" s="16" t="s">
        <v>4009</v>
      </c>
      <c r="B1532" s="16" t="s">
        <v>4010</v>
      </c>
      <c r="C1532" s="16" t="s">
        <v>8124</v>
      </c>
      <c r="E1532" s="18" t="s">
        <v>8125</v>
      </c>
    </row>
    <row r="1533" spans="1:8" ht="15.75" customHeight="1" x14ac:dyDescent="0.25">
      <c r="A1533" s="16" t="s">
        <v>4013</v>
      </c>
      <c r="B1533" s="16" t="s">
        <v>4014</v>
      </c>
    </row>
    <row r="1534" spans="1:8" ht="15.75" customHeight="1" x14ac:dyDescent="0.25">
      <c r="A1534" s="16" t="s">
        <v>4016</v>
      </c>
      <c r="B1534" s="16" t="s">
        <v>4017</v>
      </c>
    </row>
    <row r="1535" spans="1:8" ht="15.75" customHeight="1" x14ac:dyDescent="0.25">
      <c r="A1535" s="16" t="s">
        <v>4020</v>
      </c>
      <c r="B1535" s="16" t="s">
        <v>4021</v>
      </c>
      <c r="C1535" s="16" t="s">
        <v>8126</v>
      </c>
      <c r="E1535" s="18" t="s">
        <v>8127</v>
      </c>
      <c r="F1535" s="18" t="s">
        <v>8128</v>
      </c>
      <c r="G1535" s="16" t="s">
        <v>8129</v>
      </c>
      <c r="H1535" s="16" t="s">
        <v>6308</v>
      </c>
    </row>
    <row r="1536" spans="1:8" ht="15.75" customHeight="1" x14ac:dyDescent="0.25">
      <c r="A1536" s="16" t="s">
        <v>4024</v>
      </c>
      <c r="B1536" s="16" t="s">
        <v>4025</v>
      </c>
      <c r="C1536" s="16" t="s">
        <v>8130</v>
      </c>
      <c r="E1536" s="18" t="s">
        <v>8131</v>
      </c>
      <c r="F1536" s="18" t="s">
        <v>8132</v>
      </c>
      <c r="G1536" s="16" t="s">
        <v>8133</v>
      </c>
      <c r="H1536" s="16" t="s">
        <v>8134</v>
      </c>
    </row>
    <row r="1537" spans="1:8" ht="15.75" customHeight="1" x14ac:dyDescent="0.25">
      <c r="A1537" s="16" t="s">
        <v>4024</v>
      </c>
      <c r="B1537" s="16" t="s">
        <v>4025</v>
      </c>
      <c r="C1537" s="16" t="s">
        <v>8130</v>
      </c>
      <c r="E1537" s="18" t="s">
        <v>8131</v>
      </c>
      <c r="F1537" s="18" t="s">
        <v>8135</v>
      </c>
      <c r="G1537" s="16" t="s">
        <v>8136</v>
      </c>
      <c r="H1537" s="16" t="s">
        <v>8137</v>
      </c>
    </row>
    <row r="1538" spans="1:8" ht="15.75" customHeight="1" x14ac:dyDescent="0.25">
      <c r="A1538" s="16" t="s">
        <v>4028</v>
      </c>
      <c r="B1538" s="16" t="s">
        <v>4029</v>
      </c>
      <c r="C1538" s="16" t="s">
        <v>8138</v>
      </c>
      <c r="E1538" s="18" t="s">
        <v>8139</v>
      </c>
      <c r="F1538" s="18" t="s">
        <v>8140</v>
      </c>
      <c r="G1538" s="16" t="s">
        <v>8141</v>
      </c>
      <c r="H1538" s="16" t="s">
        <v>8142</v>
      </c>
    </row>
    <row r="1539" spans="1:8" ht="15.75" customHeight="1" x14ac:dyDescent="0.25">
      <c r="A1539" s="16" t="s">
        <v>4028</v>
      </c>
      <c r="B1539" s="16" t="s">
        <v>4029</v>
      </c>
      <c r="C1539" s="16" t="s">
        <v>8138</v>
      </c>
      <c r="E1539" s="18" t="s">
        <v>8139</v>
      </c>
      <c r="F1539" s="18" t="s">
        <v>8143</v>
      </c>
      <c r="G1539" s="16" t="s">
        <v>8144</v>
      </c>
      <c r="H1539" s="16" t="s">
        <v>8145</v>
      </c>
    </row>
    <row r="1540" spans="1:8" ht="15.75" customHeight="1" x14ac:dyDescent="0.25">
      <c r="A1540" s="16" t="s">
        <v>4032</v>
      </c>
      <c r="B1540" s="16" t="s">
        <v>4033</v>
      </c>
      <c r="C1540" s="16" t="s">
        <v>8146</v>
      </c>
      <c r="E1540" s="22" t="s">
        <v>8147</v>
      </c>
      <c r="F1540" s="18" t="s">
        <v>8148</v>
      </c>
      <c r="G1540" s="16" t="s">
        <v>8149</v>
      </c>
      <c r="H1540" s="16" t="s">
        <v>8150</v>
      </c>
    </row>
    <row r="1541" spans="1:8" ht="15.75" customHeight="1" x14ac:dyDescent="0.25">
      <c r="A1541" s="16" t="s">
        <v>4036</v>
      </c>
      <c r="B1541" s="16" t="s">
        <v>4037</v>
      </c>
    </row>
    <row r="1542" spans="1:8" ht="15.75" customHeight="1" x14ac:dyDescent="0.25">
      <c r="A1542" s="16" t="s">
        <v>4040</v>
      </c>
      <c r="B1542" s="16" t="s">
        <v>4041</v>
      </c>
      <c r="C1542" s="16" t="s">
        <v>8151</v>
      </c>
      <c r="E1542" s="18" t="s">
        <v>8152</v>
      </c>
      <c r="F1542" s="18" t="s">
        <v>8153</v>
      </c>
      <c r="G1542" s="16" t="s">
        <v>8154</v>
      </c>
      <c r="H1542" s="16" t="s">
        <v>8155</v>
      </c>
    </row>
    <row r="1543" spans="1:8" ht="15.75" customHeight="1" x14ac:dyDescent="0.25">
      <c r="A1543" s="16" t="s">
        <v>4040</v>
      </c>
      <c r="B1543" s="16" t="s">
        <v>4041</v>
      </c>
      <c r="C1543" s="16" t="s">
        <v>8151</v>
      </c>
      <c r="E1543" s="18" t="s">
        <v>8152</v>
      </c>
      <c r="F1543" s="18" t="s">
        <v>8156</v>
      </c>
      <c r="G1543" s="16" t="s">
        <v>8157</v>
      </c>
      <c r="H1543" s="16" t="s">
        <v>8158</v>
      </c>
    </row>
    <row r="1544" spans="1:8" ht="15.75" customHeight="1" x14ac:dyDescent="0.25">
      <c r="A1544" s="16" t="s">
        <v>4040</v>
      </c>
      <c r="B1544" s="16" t="s">
        <v>4041</v>
      </c>
      <c r="C1544" s="16" t="s">
        <v>8151</v>
      </c>
      <c r="E1544" s="18" t="s">
        <v>8152</v>
      </c>
      <c r="F1544" s="18" t="s">
        <v>8159</v>
      </c>
      <c r="G1544" s="16" t="s">
        <v>8160</v>
      </c>
      <c r="H1544" s="16" t="s">
        <v>8161</v>
      </c>
    </row>
    <row r="1545" spans="1:8" ht="15.75" customHeight="1" x14ac:dyDescent="0.25">
      <c r="A1545" s="16" t="s">
        <v>4040</v>
      </c>
      <c r="B1545" s="16" t="s">
        <v>4041</v>
      </c>
      <c r="C1545" s="16" t="s">
        <v>8151</v>
      </c>
      <c r="E1545" s="18" t="s">
        <v>8152</v>
      </c>
      <c r="F1545" s="18" t="s">
        <v>8162</v>
      </c>
      <c r="G1545" s="16" t="s">
        <v>8163</v>
      </c>
      <c r="H1545" s="16" t="s">
        <v>8164</v>
      </c>
    </row>
    <row r="1546" spans="1:8" ht="15.75" customHeight="1" x14ac:dyDescent="0.25">
      <c r="A1546" s="16" t="s">
        <v>4040</v>
      </c>
      <c r="B1546" s="16" t="s">
        <v>4041</v>
      </c>
      <c r="C1546" s="16" t="s">
        <v>8151</v>
      </c>
      <c r="E1546" s="18" t="s">
        <v>8152</v>
      </c>
      <c r="F1546" s="18" t="s">
        <v>8165</v>
      </c>
      <c r="G1546" s="16" t="s">
        <v>8166</v>
      </c>
      <c r="H1546" s="16" t="s">
        <v>8167</v>
      </c>
    </row>
    <row r="1547" spans="1:8" ht="15.75" customHeight="1" x14ac:dyDescent="0.25">
      <c r="A1547" s="16" t="s">
        <v>4044</v>
      </c>
      <c r="B1547" s="16" t="s">
        <v>4045</v>
      </c>
      <c r="C1547" s="16" t="s">
        <v>8168</v>
      </c>
      <c r="E1547" s="18" t="s">
        <v>8169</v>
      </c>
      <c r="F1547" s="18" t="s">
        <v>8170</v>
      </c>
      <c r="G1547" s="16" t="s">
        <v>8171</v>
      </c>
      <c r="H1547" s="16" t="s">
        <v>8172</v>
      </c>
    </row>
    <row r="1548" spans="1:8" ht="15.75" customHeight="1" x14ac:dyDescent="0.25">
      <c r="A1548" s="16" t="s">
        <v>4047</v>
      </c>
      <c r="B1548" s="16" t="s">
        <v>4048</v>
      </c>
    </row>
    <row r="1549" spans="1:8" ht="15.75" customHeight="1" x14ac:dyDescent="0.25">
      <c r="A1549" s="16" t="s">
        <v>4050</v>
      </c>
      <c r="B1549" s="16" t="s">
        <v>4051</v>
      </c>
    </row>
    <row r="1550" spans="1:8" ht="15.75" customHeight="1" x14ac:dyDescent="0.25">
      <c r="A1550" s="16" t="s">
        <v>4054</v>
      </c>
      <c r="B1550" s="16" t="s">
        <v>4055</v>
      </c>
    </row>
    <row r="1551" spans="1:8" ht="15.75" customHeight="1" x14ac:dyDescent="0.25">
      <c r="A1551" s="16" t="s">
        <v>4058</v>
      </c>
      <c r="B1551" s="16" t="s">
        <v>4059</v>
      </c>
    </row>
    <row r="1552" spans="1:8" ht="15.75" customHeight="1" x14ac:dyDescent="0.25">
      <c r="A1552" s="16" t="s">
        <v>4062</v>
      </c>
      <c r="B1552" s="16" t="s">
        <v>4063</v>
      </c>
      <c r="C1552" s="16" t="s">
        <v>8173</v>
      </c>
      <c r="E1552" s="18" t="s">
        <v>8174</v>
      </c>
      <c r="F1552" s="18" t="s">
        <v>8175</v>
      </c>
      <c r="G1552" s="16" t="s">
        <v>8176</v>
      </c>
      <c r="H1552" s="16" t="s">
        <v>8177</v>
      </c>
    </row>
    <row r="1553" spans="1:8" ht="15.75" customHeight="1" x14ac:dyDescent="0.25">
      <c r="A1553" s="16" t="s">
        <v>4062</v>
      </c>
      <c r="B1553" s="16" t="s">
        <v>4063</v>
      </c>
      <c r="C1553" s="16" t="s">
        <v>8173</v>
      </c>
      <c r="E1553" s="18" t="s">
        <v>8174</v>
      </c>
      <c r="F1553" s="18" t="s">
        <v>8178</v>
      </c>
      <c r="G1553" s="16" t="s">
        <v>8179</v>
      </c>
    </row>
    <row r="1554" spans="1:8" ht="15.75" customHeight="1" x14ac:dyDescent="0.25">
      <c r="A1554" s="16" t="s">
        <v>4066</v>
      </c>
      <c r="B1554" s="16" t="s">
        <v>4067</v>
      </c>
      <c r="C1554" s="16" t="s">
        <v>8180</v>
      </c>
      <c r="E1554" s="18" t="s">
        <v>8181</v>
      </c>
      <c r="F1554" s="18" t="s">
        <v>8182</v>
      </c>
      <c r="G1554" s="16" t="s">
        <v>8183</v>
      </c>
      <c r="H1554" s="16" t="s">
        <v>8184</v>
      </c>
    </row>
    <row r="1555" spans="1:8" ht="15.75" customHeight="1" x14ac:dyDescent="0.25">
      <c r="A1555" s="16" t="s">
        <v>4066</v>
      </c>
      <c r="B1555" s="16" t="s">
        <v>4067</v>
      </c>
      <c r="C1555" s="16" t="s">
        <v>8180</v>
      </c>
      <c r="E1555" s="18" t="s">
        <v>8181</v>
      </c>
      <c r="F1555" s="18" t="s">
        <v>8185</v>
      </c>
      <c r="G1555" s="16" t="s">
        <v>8186</v>
      </c>
      <c r="H1555" s="16" t="s">
        <v>8187</v>
      </c>
    </row>
    <row r="1556" spans="1:8" ht="15.75" customHeight="1" x14ac:dyDescent="0.25">
      <c r="A1556" s="16" t="s">
        <v>4070</v>
      </c>
      <c r="B1556" s="16" t="s">
        <v>4071</v>
      </c>
    </row>
    <row r="1557" spans="1:8" ht="15.75" customHeight="1" x14ac:dyDescent="0.25">
      <c r="A1557" s="16" t="s">
        <v>4074</v>
      </c>
      <c r="B1557" s="16" t="s">
        <v>4075</v>
      </c>
    </row>
    <row r="1558" spans="1:8" ht="15.75" customHeight="1" x14ac:dyDescent="0.25">
      <c r="A1558" s="16" t="s">
        <v>4078</v>
      </c>
      <c r="B1558" s="16" t="s">
        <v>4079</v>
      </c>
      <c r="C1558" s="16" t="s">
        <v>6201</v>
      </c>
      <c r="E1558" s="18" t="s">
        <v>6202</v>
      </c>
    </row>
    <row r="1559" spans="1:8" ht="15.75" customHeight="1" x14ac:dyDescent="0.25">
      <c r="A1559" s="16" t="s">
        <v>4082</v>
      </c>
      <c r="B1559" s="16" t="s">
        <v>4083</v>
      </c>
    </row>
    <row r="1560" spans="1:8" ht="15.75" customHeight="1" x14ac:dyDescent="0.25">
      <c r="A1560" s="16" t="s">
        <v>4086</v>
      </c>
      <c r="B1560" s="16" t="s">
        <v>4087</v>
      </c>
    </row>
    <row r="1561" spans="1:8" ht="15.75" customHeight="1" x14ac:dyDescent="0.25">
      <c r="A1561" s="16" t="s">
        <v>4089</v>
      </c>
      <c r="B1561" s="16" t="s">
        <v>4090</v>
      </c>
    </row>
    <row r="1562" spans="1:8" ht="15.75" customHeight="1" x14ac:dyDescent="0.25">
      <c r="A1562" s="16" t="s">
        <v>4093</v>
      </c>
      <c r="B1562" s="16" t="s">
        <v>4094</v>
      </c>
      <c r="C1562" s="16" t="s">
        <v>6811</v>
      </c>
    </row>
    <row r="1563" spans="1:8" ht="15.75" customHeight="1" x14ac:dyDescent="0.25">
      <c r="A1563" s="16" t="s">
        <v>4097</v>
      </c>
      <c r="B1563" s="16" t="s">
        <v>4098</v>
      </c>
      <c r="C1563" s="16" t="s">
        <v>8188</v>
      </c>
      <c r="E1563" s="18" t="s">
        <v>8189</v>
      </c>
      <c r="F1563" s="18" t="s">
        <v>8190</v>
      </c>
      <c r="G1563" s="16" t="s">
        <v>8191</v>
      </c>
      <c r="H1563" s="16" t="s">
        <v>8192</v>
      </c>
    </row>
    <row r="1564" spans="1:8" ht="15.75" customHeight="1" x14ac:dyDescent="0.25">
      <c r="A1564" s="16" t="s">
        <v>4100</v>
      </c>
      <c r="B1564" s="16" t="s">
        <v>4101</v>
      </c>
    </row>
    <row r="1565" spans="1:8" ht="15.75" customHeight="1" x14ac:dyDescent="0.25">
      <c r="A1565" s="16" t="s">
        <v>4104</v>
      </c>
      <c r="B1565" s="16" t="s">
        <v>4105</v>
      </c>
      <c r="C1565" s="16" t="s">
        <v>8193</v>
      </c>
    </row>
    <row r="1566" spans="1:8" ht="15.75" customHeight="1" x14ac:dyDescent="0.25">
      <c r="B1566" s="16" t="s">
        <v>4109</v>
      </c>
    </row>
    <row r="1567" spans="1:8" ht="15.75" customHeight="1" x14ac:dyDescent="0.25">
      <c r="A1567" s="16" t="s">
        <v>4111</v>
      </c>
      <c r="B1567" s="16" t="s">
        <v>4112</v>
      </c>
      <c r="C1567" s="16" t="s">
        <v>8117</v>
      </c>
    </row>
    <row r="1568" spans="1:8" ht="15.75" customHeight="1" x14ac:dyDescent="0.25">
      <c r="A1568" s="16" t="s">
        <v>4115</v>
      </c>
      <c r="B1568" s="16" t="s">
        <v>4116</v>
      </c>
      <c r="C1568" s="16" t="s">
        <v>8117</v>
      </c>
    </row>
    <row r="1569" spans="1:8" ht="15.75" customHeight="1" x14ac:dyDescent="0.25">
      <c r="A1569" s="16" t="s">
        <v>4119</v>
      </c>
      <c r="B1569" s="16" t="s">
        <v>4120</v>
      </c>
      <c r="C1569" s="16" t="s">
        <v>8194</v>
      </c>
      <c r="E1569" s="18" t="s">
        <v>8195</v>
      </c>
      <c r="F1569" s="18" t="s">
        <v>8196</v>
      </c>
      <c r="G1569" s="16" t="s">
        <v>8197</v>
      </c>
      <c r="H1569" s="16" t="s">
        <v>8198</v>
      </c>
    </row>
    <row r="1570" spans="1:8" ht="15.75" customHeight="1" x14ac:dyDescent="0.25">
      <c r="A1570" s="16" t="s">
        <v>4119</v>
      </c>
      <c r="B1570" s="16" t="s">
        <v>4120</v>
      </c>
      <c r="C1570" s="16" t="s">
        <v>8194</v>
      </c>
      <c r="E1570" s="18" t="s">
        <v>8195</v>
      </c>
      <c r="F1570" s="18" t="s">
        <v>8199</v>
      </c>
      <c r="G1570" s="16" t="s">
        <v>8200</v>
      </c>
      <c r="H1570" s="16" t="s">
        <v>8201</v>
      </c>
    </row>
    <row r="1571" spans="1:8" ht="15.75" customHeight="1" x14ac:dyDescent="0.3">
      <c r="A1571" s="16" t="s">
        <v>4119</v>
      </c>
      <c r="B1571" s="16" t="s">
        <v>4120</v>
      </c>
      <c r="C1571" s="16" t="s">
        <v>8194</v>
      </c>
      <c r="E1571" s="18" t="s">
        <v>8195</v>
      </c>
      <c r="F1571" s="18" t="s">
        <v>8202</v>
      </c>
      <c r="G1571" s="17" t="s">
        <v>8203</v>
      </c>
      <c r="H1571" s="16" t="s">
        <v>8204</v>
      </c>
    </row>
    <row r="1572" spans="1:8" ht="15.75" customHeight="1" x14ac:dyDescent="0.3">
      <c r="A1572" s="16" t="s">
        <v>4119</v>
      </c>
      <c r="B1572" s="16" t="s">
        <v>4120</v>
      </c>
      <c r="C1572" s="16" t="s">
        <v>8194</v>
      </c>
      <c r="E1572" s="18" t="s">
        <v>8195</v>
      </c>
      <c r="F1572" s="18" t="s">
        <v>8205</v>
      </c>
      <c r="G1572" s="17" t="s">
        <v>8206</v>
      </c>
      <c r="H1572" s="16" t="s">
        <v>8207</v>
      </c>
    </row>
    <row r="1573" spans="1:8" ht="15.75" customHeight="1" x14ac:dyDescent="0.25">
      <c r="A1573" s="16" t="s">
        <v>4122</v>
      </c>
      <c r="B1573" s="16" t="s">
        <v>4123</v>
      </c>
    </row>
    <row r="1574" spans="1:8" ht="15.75" customHeight="1" x14ac:dyDescent="0.25">
      <c r="A1574" s="16" t="s">
        <v>4126</v>
      </c>
      <c r="B1574" s="16" t="s">
        <v>4127</v>
      </c>
      <c r="C1574" s="16" t="s">
        <v>8208</v>
      </c>
      <c r="E1574" s="18" t="s">
        <v>8209</v>
      </c>
    </row>
    <row r="1575" spans="1:8" ht="15.75" customHeight="1" x14ac:dyDescent="0.25">
      <c r="A1575" s="16" t="s">
        <v>4129</v>
      </c>
      <c r="B1575" s="16" t="s">
        <v>4130</v>
      </c>
    </row>
    <row r="1576" spans="1:8" ht="15.75" customHeight="1" x14ac:dyDescent="0.25">
      <c r="A1576" s="16" t="s">
        <v>4131</v>
      </c>
      <c r="B1576" s="16" t="s">
        <v>4132</v>
      </c>
    </row>
    <row r="1577" spans="1:8" ht="15.75" customHeight="1" x14ac:dyDescent="0.25">
      <c r="A1577" s="16" t="s">
        <v>4135</v>
      </c>
      <c r="B1577" s="16" t="s">
        <v>4136</v>
      </c>
    </row>
    <row r="1578" spans="1:8" ht="15.75" customHeight="1" x14ac:dyDescent="0.25">
      <c r="A1578" s="16" t="s">
        <v>4139</v>
      </c>
      <c r="B1578" s="16" t="s">
        <v>4140</v>
      </c>
    </row>
    <row r="1579" spans="1:8" ht="15.75" customHeight="1" x14ac:dyDescent="0.25">
      <c r="A1579" s="16" t="s">
        <v>4141</v>
      </c>
      <c r="B1579" s="16" t="s">
        <v>4142</v>
      </c>
      <c r="C1579" s="16" t="s">
        <v>6939</v>
      </c>
      <c r="E1579" s="18" t="s">
        <v>6940</v>
      </c>
      <c r="F1579" s="18" t="s">
        <v>6941</v>
      </c>
      <c r="G1579" s="16" t="s">
        <v>6942</v>
      </c>
      <c r="H1579" s="16" t="s">
        <v>6943</v>
      </c>
    </row>
    <row r="1580" spans="1:8" ht="15.75" customHeight="1" x14ac:dyDescent="0.25">
      <c r="A1580" s="16" t="s">
        <v>4141</v>
      </c>
      <c r="B1580" s="16" t="s">
        <v>4142</v>
      </c>
      <c r="C1580" s="16" t="s">
        <v>6939</v>
      </c>
      <c r="E1580" s="18" t="s">
        <v>6940</v>
      </c>
      <c r="F1580" s="18" t="s">
        <v>6944</v>
      </c>
      <c r="G1580" s="16" t="s">
        <v>6945</v>
      </c>
      <c r="H1580" s="16" t="s">
        <v>6946</v>
      </c>
    </row>
    <row r="1581" spans="1:8" ht="15.75" customHeight="1" x14ac:dyDescent="0.25">
      <c r="A1581" s="16" t="s">
        <v>4141</v>
      </c>
      <c r="B1581" s="16" t="s">
        <v>4142</v>
      </c>
      <c r="C1581" s="16" t="s">
        <v>6939</v>
      </c>
      <c r="E1581" s="18" t="s">
        <v>6940</v>
      </c>
      <c r="F1581" s="18" t="s">
        <v>6947</v>
      </c>
      <c r="G1581" s="16" t="s">
        <v>6948</v>
      </c>
      <c r="H1581" s="16" t="s">
        <v>6949</v>
      </c>
    </row>
    <row r="1582" spans="1:8" ht="15.75" customHeight="1" x14ac:dyDescent="0.25">
      <c r="A1582" s="16" t="s">
        <v>4145</v>
      </c>
      <c r="B1582" s="16" t="s">
        <v>4146</v>
      </c>
      <c r="C1582" s="16" t="s">
        <v>8210</v>
      </c>
      <c r="E1582" s="18" t="s">
        <v>8211</v>
      </c>
      <c r="F1582" s="18" t="s">
        <v>8212</v>
      </c>
      <c r="G1582" s="16" t="s">
        <v>8213</v>
      </c>
      <c r="H1582" s="16" t="s">
        <v>8214</v>
      </c>
    </row>
    <row r="1583" spans="1:8" ht="15.75" customHeight="1" x14ac:dyDescent="0.3">
      <c r="A1583" s="16" t="s">
        <v>4145</v>
      </c>
      <c r="B1583" s="16" t="s">
        <v>4146</v>
      </c>
      <c r="C1583" s="16" t="s">
        <v>8210</v>
      </c>
      <c r="E1583" s="18" t="s">
        <v>8211</v>
      </c>
      <c r="F1583" s="18" t="s">
        <v>8215</v>
      </c>
      <c r="G1583" s="17" t="s">
        <v>8216</v>
      </c>
      <c r="H1583" s="16" t="s">
        <v>8217</v>
      </c>
    </row>
    <row r="1584" spans="1:8" ht="15.75" customHeight="1" x14ac:dyDescent="0.25">
      <c r="A1584" s="16" t="s">
        <v>4148</v>
      </c>
      <c r="B1584" s="16" t="s">
        <v>4149</v>
      </c>
    </row>
    <row r="1585" spans="1:8" ht="15.75" customHeight="1" x14ac:dyDescent="0.25">
      <c r="A1585" s="16" t="s">
        <v>4151</v>
      </c>
      <c r="B1585" s="16" t="s">
        <v>4152</v>
      </c>
    </row>
    <row r="1586" spans="1:8" ht="15.75" customHeight="1" x14ac:dyDescent="0.25">
      <c r="A1586" s="16" t="s">
        <v>4153</v>
      </c>
      <c r="B1586" s="16" t="s">
        <v>4154</v>
      </c>
    </row>
    <row r="1587" spans="1:8" ht="15.75" customHeight="1" x14ac:dyDescent="0.25">
      <c r="A1587" s="16" t="s">
        <v>4156</v>
      </c>
      <c r="B1587" s="16" t="s">
        <v>4157</v>
      </c>
      <c r="C1587" s="16" t="s">
        <v>8218</v>
      </c>
      <c r="E1587" s="18" t="s">
        <v>8219</v>
      </c>
      <c r="F1587" s="18" t="s">
        <v>6548</v>
      </c>
      <c r="G1587" s="16" t="s">
        <v>6962</v>
      </c>
      <c r="H1587" s="16" t="s">
        <v>6963</v>
      </c>
    </row>
    <row r="1588" spans="1:8" ht="15.75" customHeight="1" x14ac:dyDescent="0.25">
      <c r="A1588" s="16" t="s">
        <v>4156</v>
      </c>
      <c r="B1588" s="16" t="s">
        <v>4157</v>
      </c>
      <c r="C1588" s="16" t="s">
        <v>8218</v>
      </c>
      <c r="E1588" s="18" t="s">
        <v>8219</v>
      </c>
      <c r="F1588" s="18" t="s">
        <v>8220</v>
      </c>
      <c r="G1588" s="16" t="s">
        <v>8221</v>
      </c>
      <c r="H1588" s="16" t="s">
        <v>8222</v>
      </c>
    </row>
    <row r="1589" spans="1:8" ht="15.75" customHeight="1" x14ac:dyDescent="0.25">
      <c r="A1589" s="16" t="s">
        <v>4156</v>
      </c>
      <c r="B1589" s="16" t="s">
        <v>4157</v>
      </c>
      <c r="C1589" s="16" t="s">
        <v>8218</v>
      </c>
      <c r="E1589" s="18" t="s">
        <v>8219</v>
      </c>
      <c r="F1589" s="18" t="s">
        <v>8223</v>
      </c>
      <c r="G1589" s="16" t="s">
        <v>8224</v>
      </c>
      <c r="H1589" s="16" t="s">
        <v>8225</v>
      </c>
    </row>
    <row r="1590" spans="1:8" ht="15.75" customHeight="1" x14ac:dyDescent="0.25">
      <c r="A1590" s="16" t="s">
        <v>4159</v>
      </c>
      <c r="B1590" s="16" t="s">
        <v>4160</v>
      </c>
    </row>
    <row r="1591" spans="1:8" ht="15.75" customHeight="1" x14ac:dyDescent="0.25">
      <c r="A1591" s="16" t="s">
        <v>4163</v>
      </c>
      <c r="B1591" s="16" t="s">
        <v>4164</v>
      </c>
      <c r="C1591" s="16" t="s">
        <v>8226</v>
      </c>
      <c r="E1591" s="18" t="s">
        <v>8227</v>
      </c>
      <c r="F1591" s="18" t="s">
        <v>8228</v>
      </c>
      <c r="G1591" s="16" t="s">
        <v>8229</v>
      </c>
      <c r="H1591" s="16" t="s">
        <v>8230</v>
      </c>
    </row>
    <row r="1592" spans="1:8" ht="15.75" customHeight="1" x14ac:dyDescent="0.25">
      <c r="A1592" s="16" t="s">
        <v>4163</v>
      </c>
      <c r="B1592" s="16" t="s">
        <v>4164</v>
      </c>
      <c r="C1592" s="16" t="s">
        <v>8226</v>
      </c>
      <c r="E1592" s="18" t="s">
        <v>8227</v>
      </c>
      <c r="F1592" s="18" t="s">
        <v>8231</v>
      </c>
      <c r="G1592" s="16" t="s">
        <v>8232</v>
      </c>
      <c r="H1592" s="16" t="s">
        <v>8233</v>
      </c>
    </row>
    <row r="1593" spans="1:8" ht="15.75" customHeight="1" x14ac:dyDescent="0.25">
      <c r="A1593" s="16" t="s">
        <v>4166</v>
      </c>
      <c r="B1593" s="16" t="s">
        <v>4167</v>
      </c>
    </row>
    <row r="1594" spans="1:8" ht="15.75" customHeight="1" x14ac:dyDescent="0.25">
      <c r="A1594" s="16" t="s">
        <v>4168</v>
      </c>
      <c r="B1594" s="16" t="s">
        <v>4169</v>
      </c>
    </row>
    <row r="1595" spans="1:8" ht="15.75" customHeight="1" x14ac:dyDescent="0.25">
      <c r="A1595" s="16" t="s">
        <v>4171</v>
      </c>
      <c r="B1595" s="16" t="s">
        <v>4172</v>
      </c>
    </row>
    <row r="1596" spans="1:8" ht="15.75" customHeight="1" x14ac:dyDescent="0.25">
      <c r="A1596" s="16" t="s">
        <v>4175</v>
      </c>
      <c r="B1596" s="16" t="s">
        <v>4176</v>
      </c>
      <c r="C1596" s="16" t="s">
        <v>8234</v>
      </c>
      <c r="E1596" s="18" t="s">
        <v>8235</v>
      </c>
    </row>
    <row r="1597" spans="1:8" ht="15.75" customHeight="1" x14ac:dyDescent="0.25">
      <c r="A1597" s="16" t="s">
        <v>4179</v>
      </c>
      <c r="B1597" s="16" t="s">
        <v>4180</v>
      </c>
      <c r="C1597" s="16" t="s">
        <v>8234</v>
      </c>
      <c r="E1597" s="18" t="s">
        <v>8235</v>
      </c>
    </row>
    <row r="1598" spans="1:8" ht="15.75" customHeight="1" x14ac:dyDescent="0.25">
      <c r="A1598" s="16" t="s">
        <v>4182</v>
      </c>
      <c r="B1598" s="16" t="s">
        <v>4183</v>
      </c>
    </row>
    <row r="1599" spans="1:8" ht="15.75" customHeight="1" x14ac:dyDescent="0.25">
      <c r="A1599" s="16" t="s">
        <v>4186</v>
      </c>
      <c r="B1599" s="16" t="s">
        <v>4187</v>
      </c>
      <c r="C1599" s="16" t="s">
        <v>8234</v>
      </c>
      <c r="E1599" s="18" t="s">
        <v>8235</v>
      </c>
    </row>
    <row r="1600" spans="1:8" ht="15.75" customHeight="1" x14ac:dyDescent="0.25">
      <c r="A1600" s="16" t="s">
        <v>4190</v>
      </c>
      <c r="B1600" s="16" t="s">
        <v>4191</v>
      </c>
      <c r="C1600" s="16" t="s">
        <v>8236</v>
      </c>
      <c r="E1600" s="18" t="s">
        <v>8237</v>
      </c>
      <c r="F1600" s="18" t="s">
        <v>8238</v>
      </c>
      <c r="G1600" s="16" t="s">
        <v>8239</v>
      </c>
      <c r="H1600" s="16" t="s">
        <v>8240</v>
      </c>
    </row>
    <row r="1601" spans="1:8" ht="15.75" customHeight="1" x14ac:dyDescent="0.25">
      <c r="A1601" s="16" t="s">
        <v>4190</v>
      </c>
      <c r="B1601" s="16" t="s">
        <v>4191</v>
      </c>
      <c r="C1601" s="16" t="s">
        <v>8236</v>
      </c>
      <c r="E1601" s="18" t="s">
        <v>8237</v>
      </c>
      <c r="F1601" s="18" t="s">
        <v>8241</v>
      </c>
      <c r="G1601" s="16" t="s">
        <v>8239</v>
      </c>
      <c r="H1601" s="16" t="s">
        <v>8242</v>
      </c>
    </row>
    <row r="1602" spans="1:8" ht="15.75" customHeight="1" x14ac:dyDescent="0.3">
      <c r="A1602" s="16" t="s">
        <v>4190</v>
      </c>
      <c r="B1602" s="16" t="s">
        <v>4191</v>
      </c>
      <c r="C1602" s="16" t="s">
        <v>8236</v>
      </c>
      <c r="E1602" s="18" t="s">
        <v>8237</v>
      </c>
      <c r="F1602" s="18" t="s">
        <v>8243</v>
      </c>
      <c r="G1602" s="17" t="s">
        <v>8239</v>
      </c>
      <c r="H1602" s="16" t="s">
        <v>8244</v>
      </c>
    </row>
    <row r="1603" spans="1:8" ht="15.75" customHeight="1" x14ac:dyDescent="0.25">
      <c r="A1603" s="16" t="s">
        <v>4193</v>
      </c>
      <c r="B1603" s="16" t="s">
        <v>4194</v>
      </c>
      <c r="C1603" s="16" t="s">
        <v>8245</v>
      </c>
      <c r="E1603" s="18" t="s">
        <v>8246</v>
      </c>
      <c r="F1603" s="18" t="s">
        <v>8247</v>
      </c>
      <c r="G1603" s="16" t="s">
        <v>8248</v>
      </c>
      <c r="H1603" s="16" t="s">
        <v>8249</v>
      </c>
    </row>
    <row r="1604" spans="1:8" ht="15.75" customHeight="1" x14ac:dyDescent="0.25">
      <c r="A1604" s="16" t="s">
        <v>4195</v>
      </c>
      <c r="B1604" s="16" t="s">
        <v>4196</v>
      </c>
    </row>
    <row r="1605" spans="1:8" ht="15.75" customHeight="1" x14ac:dyDescent="0.25">
      <c r="A1605" s="16" t="s">
        <v>4199</v>
      </c>
      <c r="B1605" s="16" t="s">
        <v>4200</v>
      </c>
      <c r="C1605" s="16" t="s">
        <v>8117</v>
      </c>
    </row>
    <row r="1606" spans="1:8" ht="15.75" customHeight="1" x14ac:dyDescent="0.25">
      <c r="A1606" s="16" t="s">
        <v>4202</v>
      </c>
      <c r="B1606" s="16" t="s">
        <v>4203</v>
      </c>
    </row>
    <row r="1607" spans="1:8" ht="15.75" customHeight="1" x14ac:dyDescent="0.25">
      <c r="A1607" s="16" t="s">
        <v>4204</v>
      </c>
      <c r="B1607" s="16" t="s">
        <v>4205</v>
      </c>
    </row>
    <row r="1608" spans="1:8" ht="15.75" customHeight="1" x14ac:dyDescent="0.25">
      <c r="A1608" s="16" t="s">
        <v>4208</v>
      </c>
      <c r="B1608" s="16" t="s">
        <v>4209</v>
      </c>
      <c r="C1608" s="16" t="s">
        <v>6696</v>
      </c>
      <c r="E1608" s="18" t="s">
        <v>6697</v>
      </c>
    </row>
    <row r="1609" spans="1:8" ht="15.75" customHeight="1" x14ac:dyDescent="0.25">
      <c r="A1609" s="16" t="s">
        <v>4211</v>
      </c>
      <c r="B1609" s="16" t="s">
        <v>4212</v>
      </c>
    </row>
    <row r="1610" spans="1:8" ht="15.75" customHeight="1" x14ac:dyDescent="0.25">
      <c r="A1610" s="16" t="s">
        <v>4215</v>
      </c>
      <c r="B1610" s="16" t="s">
        <v>4216</v>
      </c>
      <c r="C1610" s="16" t="s">
        <v>8250</v>
      </c>
      <c r="E1610" s="18" t="s">
        <v>8251</v>
      </c>
      <c r="F1610" s="18" t="s">
        <v>8252</v>
      </c>
      <c r="G1610" s="16" t="s">
        <v>8253</v>
      </c>
      <c r="H1610" s="16" t="s">
        <v>8254</v>
      </c>
    </row>
    <row r="1611" spans="1:8" ht="15.75" customHeight="1" x14ac:dyDescent="0.25">
      <c r="A1611" s="16" t="s">
        <v>4219</v>
      </c>
      <c r="B1611" s="16" t="s">
        <v>4220</v>
      </c>
      <c r="C1611" s="16" t="s">
        <v>8255</v>
      </c>
      <c r="E1611" s="18" t="s">
        <v>8256</v>
      </c>
      <c r="F1611" s="18" t="s">
        <v>8257</v>
      </c>
      <c r="G1611" s="16" t="s">
        <v>8258</v>
      </c>
      <c r="H1611" s="16" t="s">
        <v>8259</v>
      </c>
    </row>
    <row r="1612" spans="1:8" ht="15.75" customHeight="1" x14ac:dyDescent="0.25">
      <c r="A1612" s="16" t="s">
        <v>4221</v>
      </c>
      <c r="B1612" s="16" t="s">
        <v>4222</v>
      </c>
    </row>
    <row r="1613" spans="1:8" ht="15.75" customHeight="1" x14ac:dyDescent="0.3">
      <c r="A1613" s="16" t="s">
        <v>4225</v>
      </c>
      <c r="B1613" s="16" t="s">
        <v>4226</v>
      </c>
      <c r="C1613" s="16" t="s">
        <v>8260</v>
      </c>
      <c r="E1613" s="18" t="s">
        <v>8261</v>
      </c>
      <c r="F1613" s="18" t="s">
        <v>8262</v>
      </c>
      <c r="G1613" s="17" t="s">
        <v>8263</v>
      </c>
      <c r="H1613" s="16" t="s">
        <v>8264</v>
      </c>
    </row>
    <row r="1614" spans="1:8" ht="15.75" customHeight="1" x14ac:dyDescent="0.25">
      <c r="A1614" s="16" t="s">
        <v>4225</v>
      </c>
      <c r="B1614" s="16" t="s">
        <v>4226</v>
      </c>
      <c r="C1614" s="16" t="s">
        <v>8260</v>
      </c>
      <c r="E1614" s="18" t="s">
        <v>8261</v>
      </c>
      <c r="F1614" s="18" t="s">
        <v>8265</v>
      </c>
      <c r="G1614" s="16" t="s">
        <v>8266</v>
      </c>
      <c r="H1614" s="16" t="s">
        <v>8267</v>
      </c>
    </row>
    <row r="1615" spans="1:8" ht="15.75" customHeight="1" x14ac:dyDescent="0.25">
      <c r="A1615" s="16" t="s">
        <v>4225</v>
      </c>
      <c r="B1615" s="16" t="s">
        <v>4226</v>
      </c>
      <c r="C1615" s="16" t="s">
        <v>8260</v>
      </c>
      <c r="E1615" s="18" t="s">
        <v>8261</v>
      </c>
      <c r="F1615" s="18" t="s">
        <v>8268</v>
      </c>
      <c r="G1615" s="16" t="s">
        <v>8269</v>
      </c>
      <c r="H1615" s="16" t="s">
        <v>8270</v>
      </c>
    </row>
    <row r="1616" spans="1:8" ht="15.75" customHeight="1" x14ac:dyDescent="0.25">
      <c r="A1616" s="16" t="s">
        <v>4225</v>
      </c>
      <c r="B1616" s="16" t="s">
        <v>4226</v>
      </c>
      <c r="C1616" s="16" t="s">
        <v>8260</v>
      </c>
      <c r="E1616" s="18" t="s">
        <v>8261</v>
      </c>
      <c r="F1616" s="18" t="s">
        <v>8271</v>
      </c>
      <c r="G1616" s="16" t="s">
        <v>8272</v>
      </c>
      <c r="H1616" s="16" t="s">
        <v>8273</v>
      </c>
    </row>
    <row r="1617" spans="1:8" ht="15.75" customHeight="1" x14ac:dyDescent="0.25">
      <c r="A1617" s="16" t="s">
        <v>4228</v>
      </c>
      <c r="B1617" s="16" t="s">
        <v>4229</v>
      </c>
    </row>
    <row r="1618" spans="1:8" ht="15.75" customHeight="1" x14ac:dyDescent="0.25">
      <c r="A1618" s="16" t="s">
        <v>4232</v>
      </c>
      <c r="B1618" s="16" t="s">
        <v>4233</v>
      </c>
      <c r="C1618" s="16" t="s">
        <v>8274</v>
      </c>
      <c r="E1618" s="18" t="s">
        <v>8275</v>
      </c>
    </row>
    <row r="1619" spans="1:8" ht="15.75" customHeight="1" x14ac:dyDescent="0.25">
      <c r="A1619" s="16" t="s">
        <v>4236</v>
      </c>
      <c r="B1619" s="16" t="s">
        <v>4237</v>
      </c>
      <c r="C1619" s="16" t="s">
        <v>8276</v>
      </c>
      <c r="E1619" s="18" t="s">
        <v>8277</v>
      </c>
      <c r="F1619" s="18" t="s">
        <v>8278</v>
      </c>
      <c r="G1619" s="16" t="s">
        <v>8279</v>
      </c>
      <c r="H1619" s="16" t="s">
        <v>8280</v>
      </c>
    </row>
    <row r="1620" spans="1:8" ht="15.75" customHeight="1" x14ac:dyDescent="0.25">
      <c r="A1620" s="16" t="s">
        <v>4236</v>
      </c>
      <c r="B1620" s="16" t="s">
        <v>4237</v>
      </c>
      <c r="C1620" s="16" t="s">
        <v>8276</v>
      </c>
      <c r="E1620" s="18" t="s">
        <v>8277</v>
      </c>
      <c r="F1620" s="18" t="s">
        <v>8281</v>
      </c>
      <c r="G1620" s="16" t="s">
        <v>8282</v>
      </c>
      <c r="H1620" s="16" t="s">
        <v>8283</v>
      </c>
    </row>
    <row r="1621" spans="1:8" ht="15.75" customHeight="1" x14ac:dyDescent="0.25">
      <c r="A1621" s="16" t="s">
        <v>4236</v>
      </c>
      <c r="B1621" s="16" t="s">
        <v>4237</v>
      </c>
      <c r="C1621" s="16" t="s">
        <v>8276</v>
      </c>
      <c r="E1621" s="18" t="s">
        <v>8277</v>
      </c>
      <c r="F1621" s="18" t="s">
        <v>8278</v>
      </c>
      <c r="G1621" s="16" t="s">
        <v>8279</v>
      </c>
      <c r="H1621" s="16" t="s">
        <v>8280</v>
      </c>
    </row>
    <row r="1622" spans="1:8" ht="15.75" customHeight="1" x14ac:dyDescent="0.25">
      <c r="A1622" s="16" t="s">
        <v>4236</v>
      </c>
      <c r="B1622" s="16" t="s">
        <v>4237</v>
      </c>
      <c r="C1622" s="16" t="s">
        <v>8276</v>
      </c>
      <c r="E1622" s="18" t="s">
        <v>8277</v>
      </c>
      <c r="F1622" s="18" t="s">
        <v>8281</v>
      </c>
      <c r="G1622" s="16" t="s">
        <v>8282</v>
      </c>
      <c r="H1622" s="16" t="s">
        <v>8283</v>
      </c>
    </row>
    <row r="1623" spans="1:8" ht="15.75" customHeight="1" x14ac:dyDescent="0.25">
      <c r="A1623" s="16" t="s">
        <v>4242</v>
      </c>
      <c r="B1623" s="16" t="s">
        <v>4243</v>
      </c>
    </row>
    <row r="1624" spans="1:8" ht="15.75" customHeight="1" x14ac:dyDescent="0.25">
      <c r="A1624" s="16" t="s">
        <v>4246</v>
      </c>
      <c r="B1624" s="16" t="s">
        <v>4247</v>
      </c>
      <c r="C1624" s="16" t="s">
        <v>8284</v>
      </c>
      <c r="E1624" s="18" t="s">
        <v>8285</v>
      </c>
    </row>
    <row r="1625" spans="1:8" ht="15.75" customHeight="1" x14ac:dyDescent="0.25">
      <c r="A1625" s="16" t="s">
        <v>4250</v>
      </c>
      <c r="B1625" s="16" t="s">
        <v>4251</v>
      </c>
    </row>
    <row r="1626" spans="1:8" ht="15.75" customHeight="1" x14ac:dyDescent="0.25">
      <c r="A1626" s="16" t="s">
        <v>4254</v>
      </c>
      <c r="B1626" s="16" t="s">
        <v>4255</v>
      </c>
      <c r="C1626" s="16" t="s">
        <v>8286</v>
      </c>
      <c r="E1626" s="18" t="s">
        <v>8287</v>
      </c>
      <c r="F1626" s="18" t="s">
        <v>8288</v>
      </c>
      <c r="G1626" s="16" t="s">
        <v>8289</v>
      </c>
      <c r="H1626" s="16" t="s">
        <v>8290</v>
      </c>
    </row>
    <row r="1627" spans="1:8" ht="15.75" customHeight="1" x14ac:dyDescent="0.25">
      <c r="A1627" s="16" t="s">
        <v>4258</v>
      </c>
      <c r="B1627" s="16" t="s">
        <v>4259</v>
      </c>
    </row>
    <row r="1628" spans="1:8" ht="15.75" customHeight="1" x14ac:dyDescent="0.25">
      <c r="A1628" s="16" t="s">
        <v>4262</v>
      </c>
      <c r="B1628" s="16" t="s">
        <v>4263</v>
      </c>
      <c r="C1628" s="16" t="s">
        <v>8291</v>
      </c>
      <c r="E1628" s="18" t="s">
        <v>8292</v>
      </c>
      <c r="F1628" s="18" t="s">
        <v>8293</v>
      </c>
      <c r="G1628" s="16" t="s">
        <v>8294</v>
      </c>
      <c r="H1628" s="16" t="s">
        <v>8295</v>
      </c>
    </row>
    <row r="1629" spans="1:8" ht="15.75" customHeight="1" x14ac:dyDescent="0.25">
      <c r="A1629" s="16" t="s">
        <v>4265</v>
      </c>
      <c r="B1629" s="16" t="s">
        <v>4266</v>
      </c>
    </row>
    <row r="1630" spans="1:8" ht="15.75" customHeight="1" x14ac:dyDescent="0.25">
      <c r="A1630" s="16" t="s">
        <v>4268</v>
      </c>
      <c r="B1630" s="16" t="s">
        <v>4269</v>
      </c>
    </row>
    <row r="1631" spans="1:8" ht="15.75" customHeight="1" x14ac:dyDescent="0.25">
      <c r="A1631" s="16" t="s">
        <v>4271</v>
      </c>
      <c r="B1631" s="16" t="s">
        <v>4272</v>
      </c>
    </row>
    <row r="1632" spans="1:8" ht="15.75" customHeight="1" x14ac:dyDescent="0.25">
      <c r="A1632" s="16" t="s">
        <v>4275</v>
      </c>
      <c r="B1632" s="16" t="s">
        <v>4276</v>
      </c>
      <c r="C1632" s="16" t="s">
        <v>8296</v>
      </c>
      <c r="E1632" s="18" t="s">
        <v>8297</v>
      </c>
      <c r="F1632" s="18" t="s">
        <v>8298</v>
      </c>
      <c r="G1632" s="16" t="s">
        <v>8299</v>
      </c>
      <c r="H1632" s="16" t="s">
        <v>8300</v>
      </c>
    </row>
    <row r="1633" spans="1:8" ht="15.75" customHeight="1" x14ac:dyDescent="0.25">
      <c r="A1633" s="16" t="s">
        <v>4278</v>
      </c>
      <c r="B1633" s="16" t="s">
        <v>4279</v>
      </c>
    </row>
    <row r="1634" spans="1:8" ht="15.75" customHeight="1" x14ac:dyDescent="0.25">
      <c r="A1634" s="16" t="s">
        <v>4282</v>
      </c>
      <c r="B1634" s="16" t="s">
        <v>4283</v>
      </c>
    </row>
    <row r="1635" spans="1:8" ht="15.75" customHeight="1" x14ac:dyDescent="0.25">
      <c r="A1635" s="16" t="s">
        <v>4286</v>
      </c>
      <c r="B1635" s="16" t="s">
        <v>4287</v>
      </c>
      <c r="C1635" s="16" t="s">
        <v>8301</v>
      </c>
      <c r="E1635" s="18" t="s">
        <v>8302</v>
      </c>
      <c r="F1635" s="18" t="s">
        <v>8303</v>
      </c>
      <c r="G1635" s="16" t="s">
        <v>8304</v>
      </c>
      <c r="H1635" s="16" t="s">
        <v>8305</v>
      </c>
    </row>
    <row r="1636" spans="1:8" ht="15.75" customHeight="1" x14ac:dyDescent="0.25">
      <c r="A1636" s="16" t="s">
        <v>4286</v>
      </c>
      <c r="B1636" s="16" t="s">
        <v>4287</v>
      </c>
      <c r="C1636" s="16" t="s">
        <v>8301</v>
      </c>
      <c r="E1636" s="18" t="s">
        <v>8302</v>
      </c>
      <c r="F1636" s="18" t="s">
        <v>8306</v>
      </c>
      <c r="G1636" s="16" t="s">
        <v>8307</v>
      </c>
      <c r="H1636" s="16" t="s">
        <v>8308</v>
      </c>
    </row>
    <row r="1637" spans="1:8" ht="15.75" customHeight="1" x14ac:dyDescent="0.25">
      <c r="A1637" s="16" t="s">
        <v>4290</v>
      </c>
      <c r="B1637" s="16" t="s">
        <v>4291</v>
      </c>
      <c r="C1637" s="16" t="s">
        <v>8309</v>
      </c>
      <c r="E1637" s="18" t="s">
        <v>8310</v>
      </c>
      <c r="F1637" s="18" t="s">
        <v>8311</v>
      </c>
      <c r="G1637" s="16" t="s">
        <v>8312</v>
      </c>
      <c r="H1637" s="16" t="s">
        <v>8313</v>
      </c>
    </row>
    <row r="1638" spans="1:8" ht="15.75" customHeight="1" x14ac:dyDescent="0.25">
      <c r="A1638" s="16" t="s">
        <v>4294</v>
      </c>
      <c r="B1638" s="16" t="s">
        <v>4295</v>
      </c>
    </row>
    <row r="1639" spans="1:8" ht="15.75" customHeight="1" x14ac:dyDescent="0.25">
      <c r="A1639" s="16" t="s">
        <v>4298</v>
      </c>
      <c r="B1639" s="16" t="s">
        <v>4299</v>
      </c>
      <c r="C1639" s="16" t="s">
        <v>8314</v>
      </c>
      <c r="E1639" s="18" t="s">
        <v>8315</v>
      </c>
    </row>
    <row r="1640" spans="1:8" ht="15.75" customHeight="1" x14ac:dyDescent="0.25">
      <c r="A1640" s="16" t="s">
        <v>4302</v>
      </c>
      <c r="B1640" s="16" t="s">
        <v>4303</v>
      </c>
    </row>
    <row r="1641" spans="1:8" ht="15.75" customHeight="1" x14ac:dyDescent="0.25">
      <c r="A1641" s="16" t="s">
        <v>4305</v>
      </c>
      <c r="B1641" s="16" t="s">
        <v>4306</v>
      </c>
    </row>
    <row r="1642" spans="1:8" ht="15.75" customHeight="1" x14ac:dyDescent="0.25">
      <c r="A1642" s="16" t="s">
        <v>4308</v>
      </c>
      <c r="B1642" s="16" t="s">
        <v>4309</v>
      </c>
      <c r="C1642" s="16" t="s">
        <v>8316</v>
      </c>
      <c r="E1642" s="18" t="s">
        <v>8317</v>
      </c>
      <c r="F1642" s="18" t="s">
        <v>8318</v>
      </c>
      <c r="G1642" s="16" t="s">
        <v>8319</v>
      </c>
      <c r="H1642" s="16" t="s">
        <v>8320</v>
      </c>
    </row>
    <row r="1643" spans="1:8" ht="15.75" customHeight="1" x14ac:dyDescent="0.25">
      <c r="A1643" s="16" t="s">
        <v>4308</v>
      </c>
      <c r="B1643" s="16" t="s">
        <v>4309</v>
      </c>
      <c r="C1643" s="16" t="s">
        <v>8316</v>
      </c>
      <c r="E1643" s="18" t="s">
        <v>8317</v>
      </c>
      <c r="F1643" s="18" t="s">
        <v>8321</v>
      </c>
      <c r="G1643" s="16" t="s">
        <v>8322</v>
      </c>
      <c r="H1643" s="16" t="s">
        <v>8323</v>
      </c>
    </row>
    <row r="1644" spans="1:8" ht="15.75" customHeight="1" x14ac:dyDescent="0.25">
      <c r="A1644" s="16" t="s">
        <v>4308</v>
      </c>
      <c r="B1644" s="16" t="s">
        <v>4309</v>
      </c>
      <c r="C1644" s="16" t="s">
        <v>8316</v>
      </c>
      <c r="E1644" s="18" t="s">
        <v>8317</v>
      </c>
      <c r="F1644" s="18" t="s">
        <v>8324</v>
      </c>
      <c r="G1644" s="16" t="s">
        <v>8325</v>
      </c>
      <c r="H1644" s="16" t="s">
        <v>8326</v>
      </c>
    </row>
    <row r="1645" spans="1:8" ht="15.75" customHeight="1" x14ac:dyDescent="0.25">
      <c r="A1645" s="16" t="s">
        <v>4311</v>
      </c>
      <c r="B1645" s="16" t="s">
        <v>4312</v>
      </c>
    </row>
    <row r="1646" spans="1:8" ht="15.75" customHeight="1" x14ac:dyDescent="0.25">
      <c r="A1646" s="16" t="s">
        <v>4314</v>
      </c>
      <c r="B1646" s="16" t="s">
        <v>4315</v>
      </c>
    </row>
    <row r="1647" spans="1:8" ht="15.75" customHeight="1" x14ac:dyDescent="0.25">
      <c r="B1647" s="16" t="s">
        <v>4316</v>
      </c>
    </row>
    <row r="1648" spans="1:8" ht="15.75" customHeight="1" x14ac:dyDescent="0.25">
      <c r="A1648" s="16" t="s">
        <v>4319</v>
      </c>
      <c r="B1648" s="16" t="s">
        <v>4320</v>
      </c>
      <c r="C1648" s="16" t="s">
        <v>7270</v>
      </c>
      <c r="E1648" s="18" t="s">
        <v>7271</v>
      </c>
      <c r="F1648" s="18" t="s">
        <v>7272</v>
      </c>
      <c r="G1648" s="16" t="s">
        <v>7273</v>
      </c>
      <c r="H1648" s="16" t="s">
        <v>7274</v>
      </c>
    </row>
    <row r="1649" spans="1:8" ht="15.75" customHeight="1" x14ac:dyDescent="0.25">
      <c r="A1649" s="16" t="s">
        <v>4319</v>
      </c>
      <c r="B1649" s="16" t="s">
        <v>4320</v>
      </c>
      <c r="C1649" s="16" t="s">
        <v>7270</v>
      </c>
      <c r="E1649" s="18" t="s">
        <v>7271</v>
      </c>
      <c r="F1649" s="18" t="s">
        <v>7275</v>
      </c>
      <c r="G1649" s="16" t="s">
        <v>7276</v>
      </c>
      <c r="H1649" s="16" t="s">
        <v>7277</v>
      </c>
    </row>
    <row r="1650" spans="1:8" ht="15.75" customHeight="1" x14ac:dyDescent="0.25">
      <c r="A1650" s="16" t="s">
        <v>4319</v>
      </c>
      <c r="B1650" s="16" t="s">
        <v>4320</v>
      </c>
      <c r="C1650" s="16" t="s">
        <v>7270</v>
      </c>
      <c r="E1650" s="18" t="s">
        <v>7271</v>
      </c>
      <c r="F1650" s="18" t="s">
        <v>7278</v>
      </c>
      <c r="G1650" s="16" t="s">
        <v>7279</v>
      </c>
      <c r="H1650" s="16" t="s">
        <v>7280</v>
      </c>
    </row>
    <row r="1651" spans="1:8" ht="15.75" customHeight="1" x14ac:dyDescent="0.25">
      <c r="A1651" s="16" t="s">
        <v>4323</v>
      </c>
      <c r="B1651" s="16" t="s">
        <v>4324</v>
      </c>
      <c r="C1651" s="16" t="s">
        <v>8327</v>
      </c>
      <c r="E1651" s="18" t="s">
        <v>8328</v>
      </c>
      <c r="F1651" s="18" t="s">
        <v>8329</v>
      </c>
      <c r="G1651" s="16" t="s">
        <v>8330</v>
      </c>
      <c r="H1651" s="16" t="s">
        <v>8331</v>
      </c>
    </row>
    <row r="1652" spans="1:8" ht="15.75" customHeight="1" x14ac:dyDescent="0.25">
      <c r="A1652" s="16" t="s">
        <v>4326</v>
      </c>
      <c r="B1652" s="16" t="s">
        <v>4327</v>
      </c>
    </row>
    <row r="1653" spans="1:8" ht="15.75" customHeight="1" x14ac:dyDescent="0.25">
      <c r="A1653" s="16" t="s">
        <v>4328</v>
      </c>
      <c r="B1653" s="16" t="s">
        <v>4329</v>
      </c>
    </row>
    <row r="1654" spans="1:8" ht="15.75" customHeight="1" x14ac:dyDescent="0.25">
      <c r="A1654" s="16" t="s">
        <v>4330</v>
      </c>
      <c r="B1654" s="16" t="s">
        <v>4331</v>
      </c>
    </row>
    <row r="1655" spans="1:8" ht="15.75" customHeight="1" x14ac:dyDescent="0.25">
      <c r="A1655" s="16" t="s">
        <v>4332</v>
      </c>
      <c r="B1655" s="16" t="s">
        <v>4333</v>
      </c>
    </row>
    <row r="1656" spans="1:8" ht="15.75" customHeight="1" x14ac:dyDescent="0.25">
      <c r="A1656" s="16" t="s">
        <v>4334</v>
      </c>
      <c r="B1656" s="16" t="s">
        <v>4335</v>
      </c>
    </row>
    <row r="1657" spans="1:8" ht="15.75" customHeight="1" x14ac:dyDescent="0.25">
      <c r="A1657" s="16" t="s">
        <v>4336</v>
      </c>
      <c r="B1657" s="16" t="s">
        <v>4337</v>
      </c>
    </row>
    <row r="1658" spans="1:8" ht="15.75" customHeight="1" x14ac:dyDescent="0.25">
      <c r="A1658" s="16" t="s">
        <v>4339</v>
      </c>
      <c r="B1658" s="16" t="s">
        <v>4340</v>
      </c>
    </row>
    <row r="1659" spans="1:8" ht="15.75" customHeight="1" x14ac:dyDescent="0.25">
      <c r="A1659" s="16" t="s">
        <v>4343</v>
      </c>
      <c r="B1659" s="16" t="s">
        <v>4344</v>
      </c>
      <c r="C1659" s="16" t="s">
        <v>8332</v>
      </c>
      <c r="E1659" s="18" t="s">
        <v>8333</v>
      </c>
      <c r="F1659" s="18" t="s">
        <v>8334</v>
      </c>
      <c r="G1659" s="16" t="s">
        <v>8335</v>
      </c>
      <c r="H1659" s="16" t="s">
        <v>8336</v>
      </c>
    </row>
    <row r="1660" spans="1:8" ht="15.75" customHeight="1" x14ac:dyDescent="0.25">
      <c r="A1660" s="16" t="s">
        <v>4347</v>
      </c>
      <c r="B1660" s="16" t="s">
        <v>4348</v>
      </c>
    </row>
    <row r="1661" spans="1:8" ht="15.75" customHeight="1" x14ac:dyDescent="0.25">
      <c r="A1661" s="16" t="s">
        <v>4351</v>
      </c>
      <c r="B1661" s="16" t="s">
        <v>4352</v>
      </c>
      <c r="C1661" s="16" t="s">
        <v>8337</v>
      </c>
      <c r="E1661" s="18" t="s">
        <v>8338</v>
      </c>
      <c r="F1661" s="18" t="s">
        <v>8339</v>
      </c>
      <c r="G1661" s="16" t="s">
        <v>8340</v>
      </c>
      <c r="H1661" s="16" t="s">
        <v>8341</v>
      </c>
    </row>
    <row r="1662" spans="1:8" ht="15.75" customHeight="1" x14ac:dyDescent="0.25">
      <c r="A1662" s="16" t="s">
        <v>4355</v>
      </c>
      <c r="B1662" s="16" t="s">
        <v>4356</v>
      </c>
      <c r="C1662" s="16" t="s">
        <v>8342</v>
      </c>
      <c r="E1662" s="18" t="s">
        <v>8343</v>
      </c>
      <c r="F1662" s="18" t="s">
        <v>8344</v>
      </c>
      <c r="G1662" s="16" t="s">
        <v>8345</v>
      </c>
      <c r="H1662" s="16" t="s">
        <v>8346</v>
      </c>
    </row>
    <row r="1663" spans="1:8" ht="15.75" customHeight="1" x14ac:dyDescent="0.25">
      <c r="A1663" s="16" t="s">
        <v>4358</v>
      </c>
      <c r="B1663" s="16" t="s">
        <v>4359</v>
      </c>
    </row>
    <row r="1664" spans="1:8" ht="15.75" customHeight="1" x14ac:dyDescent="0.25">
      <c r="B1664" s="16" t="s">
        <v>4360</v>
      </c>
    </row>
    <row r="1665" spans="1:2" ht="15.75" customHeight="1" x14ac:dyDescent="0.25">
      <c r="B1665" s="16" t="s">
        <v>4361</v>
      </c>
    </row>
    <row r="1666" spans="1:2" ht="15.75" customHeight="1" x14ac:dyDescent="0.25">
      <c r="B1666" s="16" t="s">
        <v>4363</v>
      </c>
    </row>
    <row r="1667" spans="1:2" ht="15.75" customHeight="1" x14ac:dyDescent="0.25">
      <c r="B1667" s="16" t="s">
        <v>4364</v>
      </c>
    </row>
    <row r="1668" spans="1:2" ht="15.75" customHeight="1" x14ac:dyDescent="0.25">
      <c r="A1668" s="16" t="s">
        <v>4367</v>
      </c>
      <c r="B1668" s="16" t="s">
        <v>4368</v>
      </c>
    </row>
    <row r="1669" spans="1:2" ht="15.75" customHeight="1" x14ac:dyDescent="0.25">
      <c r="A1669" s="16" t="s">
        <v>4369</v>
      </c>
      <c r="B1669" s="16" t="s">
        <v>4370</v>
      </c>
    </row>
    <row r="1670" spans="1:2" ht="15.75" customHeight="1" x14ac:dyDescent="0.25">
      <c r="A1670" s="16" t="s">
        <v>4372</v>
      </c>
      <c r="B1670" s="16" t="s">
        <v>4373</v>
      </c>
    </row>
    <row r="1671" spans="1:2" ht="15.75" customHeight="1" x14ac:dyDescent="0.25">
      <c r="A1671" s="16" t="s">
        <v>4374</v>
      </c>
      <c r="B1671" s="16" t="s">
        <v>4375</v>
      </c>
    </row>
    <row r="1672" spans="1:2" ht="15.75" customHeight="1" x14ac:dyDescent="0.25">
      <c r="A1672" s="16" t="s">
        <v>4377</v>
      </c>
      <c r="B1672" s="16" t="s">
        <v>4378</v>
      </c>
    </row>
    <row r="1673" spans="1:2" ht="15.75" customHeight="1" x14ac:dyDescent="0.25">
      <c r="A1673" s="16" t="s">
        <v>4380</v>
      </c>
      <c r="B1673" s="16" t="s">
        <v>4381</v>
      </c>
    </row>
    <row r="1674" spans="1:2" ht="15.75" customHeight="1" x14ac:dyDescent="0.25">
      <c r="A1674" s="16" t="s">
        <v>4383</v>
      </c>
      <c r="B1674" s="16" t="s">
        <v>4384</v>
      </c>
    </row>
    <row r="1675" spans="1:2" ht="15.75" customHeight="1" x14ac:dyDescent="0.25">
      <c r="A1675" s="16" t="s">
        <v>4386</v>
      </c>
      <c r="B1675" s="16" t="s">
        <v>4387</v>
      </c>
    </row>
    <row r="1676" spans="1:2" ht="15.75" customHeight="1" x14ac:dyDescent="0.25">
      <c r="A1676" s="16" t="s">
        <v>4389</v>
      </c>
      <c r="B1676" s="16" t="s">
        <v>4390</v>
      </c>
    </row>
    <row r="1677" spans="1:2" ht="15.75" customHeight="1" x14ac:dyDescent="0.25">
      <c r="A1677" s="16" t="s">
        <v>4393</v>
      </c>
      <c r="B1677" s="16" t="s">
        <v>4394</v>
      </c>
    </row>
    <row r="1678" spans="1:2" ht="15.75" customHeight="1" x14ac:dyDescent="0.25">
      <c r="A1678" s="16" t="s">
        <v>4396</v>
      </c>
      <c r="B1678" s="16" t="s">
        <v>4397</v>
      </c>
    </row>
    <row r="1679" spans="1:2" ht="15.75" customHeight="1" x14ac:dyDescent="0.25">
      <c r="A1679" s="16" t="s">
        <v>4399</v>
      </c>
      <c r="B1679" s="16" t="s">
        <v>4400</v>
      </c>
    </row>
    <row r="1680" spans="1:2" ht="15.75" customHeight="1" x14ac:dyDescent="0.25">
      <c r="A1680" s="16" t="s">
        <v>4402</v>
      </c>
      <c r="B1680" s="16" t="s">
        <v>4403</v>
      </c>
    </row>
    <row r="1681" spans="1:8" ht="15.75" customHeight="1" x14ac:dyDescent="0.25">
      <c r="A1681" s="16" t="s">
        <v>4406</v>
      </c>
      <c r="B1681" s="16" t="s">
        <v>4407</v>
      </c>
      <c r="C1681" s="16" t="s">
        <v>8347</v>
      </c>
      <c r="E1681" s="18" t="s">
        <v>8348</v>
      </c>
      <c r="F1681" s="18" t="s">
        <v>8349</v>
      </c>
      <c r="G1681" s="16" t="s">
        <v>8350</v>
      </c>
      <c r="H1681" s="16" t="s">
        <v>8351</v>
      </c>
    </row>
    <row r="1682" spans="1:8" ht="15.75" customHeight="1" x14ac:dyDescent="0.25">
      <c r="A1682" s="16" t="s">
        <v>4410</v>
      </c>
      <c r="B1682" s="16" t="s">
        <v>4411</v>
      </c>
      <c r="C1682" s="16" t="s">
        <v>8352</v>
      </c>
      <c r="E1682" s="18" t="s">
        <v>8353</v>
      </c>
      <c r="F1682" s="18" t="s">
        <v>8354</v>
      </c>
      <c r="G1682" s="16" t="s">
        <v>8355</v>
      </c>
      <c r="H1682" s="16" t="s">
        <v>8356</v>
      </c>
    </row>
    <row r="1683" spans="1:8" ht="15.75" customHeight="1" x14ac:dyDescent="0.25">
      <c r="A1683" s="16" t="s">
        <v>4410</v>
      </c>
      <c r="B1683" s="16" t="s">
        <v>4411</v>
      </c>
      <c r="C1683" s="16" t="s">
        <v>8357</v>
      </c>
      <c r="E1683" s="18" t="s">
        <v>8358</v>
      </c>
      <c r="F1683" s="18" t="s">
        <v>8359</v>
      </c>
      <c r="G1683" s="16" t="s">
        <v>8360</v>
      </c>
      <c r="H1683" s="16" t="s">
        <v>8355</v>
      </c>
    </row>
    <row r="1684" spans="1:8" ht="15.75" customHeight="1" x14ac:dyDescent="0.25">
      <c r="A1684" s="16" t="s">
        <v>4413</v>
      </c>
      <c r="B1684" s="16" t="s">
        <v>4414</v>
      </c>
    </row>
    <row r="1685" spans="1:8" ht="15.75" customHeight="1" x14ac:dyDescent="0.25">
      <c r="A1685" s="16" t="s">
        <v>4416</v>
      </c>
      <c r="B1685" s="16" t="s">
        <v>4417</v>
      </c>
    </row>
    <row r="1686" spans="1:8" ht="15.75" customHeight="1" x14ac:dyDescent="0.3">
      <c r="A1686" s="16" t="s">
        <v>4420</v>
      </c>
      <c r="B1686" s="16" t="s">
        <v>4421</v>
      </c>
      <c r="C1686" s="16" t="s">
        <v>8361</v>
      </c>
      <c r="E1686" s="18" t="s">
        <v>8362</v>
      </c>
      <c r="F1686" s="18" t="s">
        <v>7631</v>
      </c>
      <c r="G1686" s="17" t="s">
        <v>7632</v>
      </c>
      <c r="H1686" s="16" t="s">
        <v>7633</v>
      </c>
    </row>
    <row r="1687" spans="1:8" ht="15.75" customHeight="1" x14ac:dyDescent="0.25">
      <c r="A1687" s="16" t="s">
        <v>4420</v>
      </c>
      <c r="B1687" s="16" t="s">
        <v>4421</v>
      </c>
      <c r="C1687" s="16" t="s">
        <v>8361</v>
      </c>
      <c r="E1687" s="18" t="s">
        <v>8362</v>
      </c>
      <c r="F1687" s="18" t="s">
        <v>7634</v>
      </c>
      <c r="G1687" s="16" t="s">
        <v>7635</v>
      </c>
      <c r="H1687" s="16" t="s">
        <v>7636</v>
      </c>
    </row>
    <row r="1688" spans="1:8" ht="15.75" customHeight="1" x14ac:dyDescent="0.3">
      <c r="A1688" s="16" t="s">
        <v>4424</v>
      </c>
      <c r="B1688" s="16" t="s">
        <v>4425</v>
      </c>
      <c r="C1688" s="16" t="s">
        <v>8363</v>
      </c>
      <c r="E1688" s="18" t="s">
        <v>8364</v>
      </c>
      <c r="F1688" s="18" t="s">
        <v>8365</v>
      </c>
      <c r="G1688" s="17" t="s">
        <v>8366</v>
      </c>
      <c r="H1688" s="16" t="s">
        <v>8367</v>
      </c>
    </row>
    <row r="1689" spans="1:8" ht="15.75" customHeight="1" x14ac:dyDescent="0.25">
      <c r="A1689" s="16" t="s">
        <v>4428</v>
      </c>
      <c r="B1689" s="16" t="s">
        <v>4429</v>
      </c>
    </row>
    <row r="1690" spans="1:8" ht="15.75" customHeight="1" x14ac:dyDescent="0.25">
      <c r="A1690" s="16" t="s">
        <v>4432</v>
      </c>
      <c r="B1690" s="16" t="s">
        <v>4433</v>
      </c>
    </row>
    <row r="1691" spans="1:8" ht="15.75" customHeight="1" x14ac:dyDescent="0.25">
      <c r="A1691" s="16" t="s">
        <v>4436</v>
      </c>
      <c r="B1691" s="16" t="s">
        <v>4437</v>
      </c>
      <c r="C1691" s="16" t="s">
        <v>8368</v>
      </c>
      <c r="E1691" s="18" t="s">
        <v>8369</v>
      </c>
      <c r="F1691" s="18" t="s">
        <v>8370</v>
      </c>
      <c r="G1691" s="16" t="s">
        <v>8371</v>
      </c>
      <c r="H1691" s="16" t="s">
        <v>8372</v>
      </c>
    </row>
    <row r="1692" spans="1:8" ht="15.75" customHeight="1" x14ac:dyDescent="0.25">
      <c r="A1692" s="16" t="s">
        <v>4439</v>
      </c>
      <c r="B1692" s="16" t="s">
        <v>4440</v>
      </c>
    </row>
    <row r="1693" spans="1:8" ht="15.75" customHeight="1" x14ac:dyDescent="0.25">
      <c r="A1693" s="16" t="s">
        <v>4443</v>
      </c>
      <c r="B1693" s="16" t="s">
        <v>4444</v>
      </c>
      <c r="C1693" s="16" t="s">
        <v>8373</v>
      </c>
      <c r="E1693" s="18" t="s">
        <v>8374</v>
      </c>
      <c r="F1693" s="18" t="s">
        <v>8375</v>
      </c>
      <c r="G1693" s="16" t="s">
        <v>8376</v>
      </c>
      <c r="H1693" s="16" t="s">
        <v>8377</v>
      </c>
    </row>
    <row r="1694" spans="1:8" ht="15.75" customHeight="1" x14ac:dyDescent="0.25">
      <c r="A1694" s="16" t="s">
        <v>4447</v>
      </c>
      <c r="B1694" s="16" t="s">
        <v>4448</v>
      </c>
    </row>
    <row r="1695" spans="1:8" ht="15.75" customHeight="1" x14ac:dyDescent="0.25">
      <c r="A1695" s="16" t="s">
        <v>4450</v>
      </c>
      <c r="B1695" s="16" t="s">
        <v>4451</v>
      </c>
      <c r="C1695" s="16" t="s">
        <v>8378</v>
      </c>
      <c r="E1695" s="18" t="s">
        <v>8379</v>
      </c>
      <c r="F1695" s="18" t="s">
        <v>8380</v>
      </c>
      <c r="G1695" s="16" t="s">
        <v>8381</v>
      </c>
      <c r="H1695" s="16" t="s">
        <v>8382</v>
      </c>
    </row>
    <row r="1696" spans="1:8" ht="15.75" customHeight="1" x14ac:dyDescent="0.25">
      <c r="A1696" s="16" t="s">
        <v>4450</v>
      </c>
      <c r="B1696" s="16" t="s">
        <v>4451</v>
      </c>
      <c r="C1696" s="16" t="s">
        <v>8378</v>
      </c>
      <c r="E1696" s="18" t="s">
        <v>8379</v>
      </c>
      <c r="F1696" s="18" t="s">
        <v>8383</v>
      </c>
      <c r="G1696" s="16" t="s">
        <v>8384</v>
      </c>
      <c r="H1696" s="16" t="s">
        <v>8385</v>
      </c>
    </row>
    <row r="1697" spans="1:8" ht="15.75" customHeight="1" x14ac:dyDescent="0.25">
      <c r="A1697" s="16" t="s">
        <v>4450</v>
      </c>
      <c r="B1697" s="16" t="s">
        <v>4451</v>
      </c>
      <c r="C1697" s="16" t="s">
        <v>8378</v>
      </c>
      <c r="E1697" s="18" t="s">
        <v>8379</v>
      </c>
      <c r="F1697" s="18" t="s">
        <v>8386</v>
      </c>
      <c r="G1697" s="16" t="s">
        <v>8387</v>
      </c>
      <c r="H1697" s="16" t="s">
        <v>8388</v>
      </c>
    </row>
    <row r="1698" spans="1:8" ht="15.75" customHeight="1" x14ac:dyDescent="0.25">
      <c r="A1698" s="16" t="s">
        <v>4450</v>
      </c>
      <c r="B1698" s="16" t="s">
        <v>4451</v>
      </c>
      <c r="C1698" s="16" t="s">
        <v>8378</v>
      </c>
      <c r="E1698" s="18" t="s">
        <v>8379</v>
      </c>
      <c r="F1698" s="18" t="s">
        <v>8389</v>
      </c>
      <c r="G1698" s="16" t="s">
        <v>8390</v>
      </c>
      <c r="H1698" s="16" t="s">
        <v>8382</v>
      </c>
    </row>
    <row r="1699" spans="1:8" ht="15.75" customHeight="1" x14ac:dyDescent="0.25">
      <c r="A1699" s="16" t="s">
        <v>4450</v>
      </c>
      <c r="B1699" s="16" t="s">
        <v>4451</v>
      </c>
      <c r="C1699" s="16" t="s">
        <v>8391</v>
      </c>
    </row>
    <row r="1700" spans="1:8" ht="15.75" customHeight="1" x14ac:dyDescent="0.25">
      <c r="A1700" s="16" t="s">
        <v>4450</v>
      </c>
      <c r="B1700" s="16" t="s">
        <v>4451</v>
      </c>
      <c r="C1700" s="16" t="s">
        <v>8392</v>
      </c>
    </row>
    <row r="1701" spans="1:8" ht="15.75" customHeight="1" x14ac:dyDescent="0.25">
      <c r="A1701" s="16" t="s">
        <v>4453</v>
      </c>
      <c r="B1701" s="16" t="s">
        <v>4454</v>
      </c>
    </row>
    <row r="1702" spans="1:8" ht="15.75" customHeight="1" x14ac:dyDescent="0.25">
      <c r="A1702" s="16" t="s">
        <v>4456</v>
      </c>
      <c r="B1702" s="16" t="s">
        <v>4457</v>
      </c>
    </row>
    <row r="1703" spans="1:8" ht="15.75" customHeight="1" x14ac:dyDescent="0.25">
      <c r="A1703" s="16" t="s">
        <v>4459</v>
      </c>
      <c r="B1703" s="16" t="s">
        <v>4460</v>
      </c>
    </row>
    <row r="1704" spans="1:8" ht="15.75" customHeight="1" x14ac:dyDescent="0.25">
      <c r="A1704" s="16" t="s">
        <v>4461</v>
      </c>
      <c r="B1704" s="16" t="s">
        <v>4462</v>
      </c>
    </row>
    <row r="1705" spans="1:8" ht="15.75" customHeight="1" x14ac:dyDescent="0.25">
      <c r="A1705" s="16" t="s">
        <v>4463</v>
      </c>
      <c r="B1705" s="16" t="s">
        <v>4464</v>
      </c>
    </row>
    <row r="1706" spans="1:8" ht="15.75" customHeight="1" x14ac:dyDescent="0.25">
      <c r="A1706" s="16" t="s">
        <v>4466</v>
      </c>
      <c r="B1706" s="16" t="s">
        <v>4467</v>
      </c>
    </row>
    <row r="1707" spans="1:8" ht="15.75" customHeight="1" x14ac:dyDescent="0.25">
      <c r="A1707" s="16" t="s">
        <v>4469</v>
      </c>
      <c r="B1707" s="16" t="s">
        <v>4470</v>
      </c>
    </row>
    <row r="1708" spans="1:8" ht="15.75" customHeight="1" x14ac:dyDescent="0.25">
      <c r="A1708" s="16" t="s">
        <v>4471</v>
      </c>
      <c r="B1708" s="16" t="s">
        <v>4472</v>
      </c>
    </row>
    <row r="1709" spans="1:8" ht="15.75" customHeight="1" x14ac:dyDescent="0.25">
      <c r="B1709" s="16" t="s">
        <v>4473</v>
      </c>
    </row>
    <row r="1710" spans="1:8" ht="15.75" customHeight="1" x14ac:dyDescent="0.25">
      <c r="A1710" s="16" t="s">
        <v>4474</v>
      </c>
      <c r="B1710" s="16" t="s">
        <v>4475</v>
      </c>
    </row>
    <row r="1711" spans="1:8" ht="15.75" customHeight="1" x14ac:dyDescent="0.25">
      <c r="A1711" s="16" t="s">
        <v>4477</v>
      </c>
      <c r="B1711" s="16" t="s">
        <v>4478</v>
      </c>
    </row>
    <row r="1712" spans="1:8" ht="15.75" customHeight="1" x14ac:dyDescent="0.25">
      <c r="A1712" s="16" t="s">
        <v>4480</v>
      </c>
      <c r="B1712" s="16" t="s">
        <v>4481</v>
      </c>
    </row>
    <row r="1713" spans="1:8" ht="15.75" customHeight="1" x14ac:dyDescent="0.25">
      <c r="A1713" s="16" t="s">
        <v>4484</v>
      </c>
      <c r="B1713" s="16" t="s">
        <v>4485</v>
      </c>
    </row>
    <row r="1714" spans="1:8" ht="15.75" customHeight="1" x14ac:dyDescent="0.25">
      <c r="A1714" s="16" t="s">
        <v>4486</v>
      </c>
      <c r="B1714" s="16" t="s">
        <v>4487</v>
      </c>
    </row>
    <row r="1715" spans="1:8" ht="15.75" customHeight="1" x14ac:dyDescent="0.25">
      <c r="A1715" s="16" t="s">
        <v>4489</v>
      </c>
      <c r="B1715" s="16" t="s">
        <v>4490</v>
      </c>
    </row>
    <row r="1716" spans="1:8" ht="15.75" customHeight="1" x14ac:dyDescent="0.25">
      <c r="A1716" s="16" t="s">
        <v>4493</v>
      </c>
      <c r="B1716" s="16" t="s">
        <v>4494</v>
      </c>
    </row>
    <row r="1717" spans="1:8" ht="15.75" customHeight="1" x14ac:dyDescent="0.25">
      <c r="A1717" s="16" t="s">
        <v>4497</v>
      </c>
      <c r="B1717" s="16" t="s">
        <v>4498</v>
      </c>
    </row>
    <row r="1718" spans="1:8" ht="15.75" customHeight="1" x14ac:dyDescent="0.25">
      <c r="A1718" s="16" t="s">
        <v>4500</v>
      </c>
      <c r="B1718" s="16" t="s">
        <v>4501</v>
      </c>
    </row>
    <row r="1719" spans="1:8" ht="15.75" customHeight="1" x14ac:dyDescent="0.25">
      <c r="A1719" s="16" t="s">
        <v>4504</v>
      </c>
      <c r="B1719" s="16" t="s">
        <v>4505</v>
      </c>
    </row>
    <row r="1720" spans="1:8" ht="15.75" customHeight="1" x14ac:dyDescent="0.25">
      <c r="A1720" s="16" t="s">
        <v>4507</v>
      </c>
      <c r="B1720" s="16" t="s">
        <v>4508</v>
      </c>
    </row>
    <row r="1721" spans="1:8" ht="15.75" customHeight="1" x14ac:dyDescent="0.25">
      <c r="A1721" s="16" t="s">
        <v>4511</v>
      </c>
      <c r="B1721" s="16" t="s">
        <v>4512</v>
      </c>
      <c r="C1721" s="16" t="s">
        <v>8393</v>
      </c>
      <c r="E1721" s="18" t="s">
        <v>8394</v>
      </c>
      <c r="F1721" s="18" t="s">
        <v>8395</v>
      </c>
      <c r="G1721" s="16" t="s">
        <v>8396</v>
      </c>
      <c r="H1721" s="16" t="s">
        <v>8397</v>
      </c>
    </row>
    <row r="1722" spans="1:8" ht="15.75" customHeight="1" x14ac:dyDescent="0.25">
      <c r="A1722" s="16" t="s">
        <v>4515</v>
      </c>
      <c r="B1722" s="16" t="s">
        <v>4516</v>
      </c>
      <c r="C1722" s="16" t="s">
        <v>8398</v>
      </c>
      <c r="E1722" s="18" t="s">
        <v>8399</v>
      </c>
      <c r="F1722" s="18" t="s">
        <v>8400</v>
      </c>
      <c r="G1722" s="16" t="s">
        <v>8401</v>
      </c>
      <c r="H1722" s="16" t="s">
        <v>8402</v>
      </c>
    </row>
    <row r="1723" spans="1:8" ht="15.75" customHeight="1" x14ac:dyDescent="0.25">
      <c r="A1723" s="16" t="s">
        <v>4518</v>
      </c>
      <c r="B1723" s="16" t="s">
        <v>4519</v>
      </c>
    </row>
    <row r="1724" spans="1:8" ht="15.75" customHeight="1" x14ac:dyDescent="0.25">
      <c r="A1724" s="16" t="s">
        <v>4521</v>
      </c>
      <c r="B1724" s="16" t="s">
        <v>4522</v>
      </c>
    </row>
    <row r="1725" spans="1:8" ht="15.75" customHeight="1" x14ac:dyDescent="0.25">
      <c r="A1725" s="16" t="s">
        <v>4524</v>
      </c>
      <c r="B1725" s="16" t="s">
        <v>4525</v>
      </c>
    </row>
    <row r="1726" spans="1:8" ht="15.75" customHeight="1" x14ac:dyDescent="0.25">
      <c r="A1726" s="16" t="s">
        <v>4528</v>
      </c>
      <c r="B1726" s="16" t="s">
        <v>4529</v>
      </c>
      <c r="C1726" s="16" t="s">
        <v>8403</v>
      </c>
      <c r="E1726" s="18" t="s">
        <v>8404</v>
      </c>
      <c r="F1726" s="18" t="s">
        <v>8405</v>
      </c>
      <c r="G1726" s="16" t="s">
        <v>8406</v>
      </c>
      <c r="H1726" s="16" t="s">
        <v>8407</v>
      </c>
    </row>
    <row r="1727" spans="1:8" ht="15.75" customHeight="1" x14ac:dyDescent="0.25">
      <c r="A1727" s="16" t="s">
        <v>4528</v>
      </c>
      <c r="B1727" s="16" t="s">
        <v>4529</v>
      </c>
      <c r="C1727" s="16" t="s">
        <v>8403</v>
      </c>
      <c r="E1727" s="18" t="s">
        <v>8404</v>
      </c>
      <c r="F1727" s="18" t="s">
        <v>8408</v>
      </c>
      <c r="G1727" s="16" t="s">
        <v>8409</v>
      </c>
      <c r="H1727" s="16" t="s">
        <v>8407</v>
      </c>
    </row>
    <row r="1728" spans="1:8" ht="15.75" customHeight="1" x14ac:dyDescent="0.25">
      <c r="A1728" s="16" t="s">
        <v>4528</v>
      </c>
      <c r="B1728" s="16" t="s">
        <v>4529</v>
      </c>
      <c r="C1728" s="16" t="s">
        <v>8403</v>
      </c>
      <c r="E1728" s="18" t="s">
        <v>8404</v>
      </c>
      <c r="F1728" s="18" t="s">
        <v>8410</v>
      </c>
      <c r="G1728" s="16" t="s">
        <v>8411</v>
      </c>
      <c r="H1728" s="16" t="s">
        <v>8412</v>
      </c>
    </row>
    <row r="1729" spans="1:8" ht="15.75" customHeight="1" x14ac:dyDescent="0.25">
      <c r="A1729" s="16" t="s">
        <v>4528</v>
      </c>
      <c r="B1729" s="16" t="s">
        <v>4529</v>
      </c>
      <c r="C1729" s="16" t="s">
        <v>8403</v>
      </c>
      <c r="E1729" s="18" t="s">
        <v>8404</v>
      </c>
      <c r="F1729" s="18" t="s">
        <v>8413</v>
      </c>
      <c r="G1729" s="16" t="s">
        <v>8414</v>
      </c>
      <c r="H1729" s="16" t="s">
        <v>8415</v>
      </c>
    </row>
    <row r="1730" spans="1:8" ht="15.75" customHeight="1" x14ac:dyDescent="0.3">
      <c r="A1730" s="16" t="s">
        <v>4528</v>
      </c>
      <c r="B1730" s="16" t="s">
        <v>4529</v>
      </c>
      <c r="C1730" s="16" t="s">
        <v>8403</v>
      </c>
      <c r="E1730" s="18" t="s">
        <v>8404</v>
      </c>
      <c r="F1730" s="18" t="s">
        <v>8416</v>
      </c>
      <c r="G1730" s="17" t="s">
        <v>8417</v>
      </c>
      <c r="H1730" s="16" t="s">
        <v>8415</v>
      </c>
    </row>
    <row r="1731" spans="1:8" ht="15.75" customHeight="1" x14ac:dyDescent="0.25">
      <c r="A1731" s="16" t="s">
        <v>4528</v>
      </c>
      <c r="B1731" s="16" t="s">
        <v>4529</v>
      </c>
      <c r="C1731" s="16" t="s">
        <v>8403</v>
      </c>
      <c r="E1731" s="18" t="s">
        <v>8404</v>
      </c>
      <c r="F1731" s="18" t="s">
        <v>8418</v>
      </c>
      <c r="G1731" s="16" t="s">
        <v>8419</v>
      </c>
      <c r="H1731" s="16" t="s">
        <v>8420</v>
      </c>
    </row>
    <row r="1732" spans="1:8" ht="15.75" customHeight="1" x14ac:dyDescent="0.25">
      <c r="A1732" s="16" t="s">
        <v>4528</v>
      </c>
      <c r="B1732" s="16" t="s">
        <v>4529</v>
      </c>
      <c r="C1732" s="16" t="s">
        <v>8403</v>
      </c>
      <c r="E1732" s="18" t="s">
        <v>8404</v>
      </c>
      <c r="F1732" s="18" t="s">
        <v>8421</v>
      </c>
      <c r="G1732" s="16" t="s">
        <v>8422</v>
      </c>
      <c r="H1732" s="16" t="s">
        <v>8423</v>
      </c>
    </row>
    <row r="1733" spans="1:8" ht="15.75" customHeight="1" x14ac:dyDescent="0.25"/>
    <row r="1734" spans="1:8" ht="15.75" customHeight="1" x14ac:dyDescent="0.25">
      <c r="A1734" s="16" t="s">
        <v>4532</v>
      </c>
      <c r="B1734" s="16" t="s">
        <v>4533</v>
      </c>
      <c r="C1734" s="16" t="s">
        <v>8424</v>
      </c>
      <c r="E1734" s="18" t="s">
        <v>8425</v>
      </c>
      <c r="F1734" s="18" t="s">
        <v>8426</v>
      </c>
      <c r="G1734" s="16" t="s">
        <v>8427</v>
      </c>
      <c r="H1734" s="16" t="s">
        <v>8428</v>
      </c>
    </row>
    <row r="1735" spans="1:8" ht="15.75" customHeight="1" x14ac:dyDescent="0.25">
      <c r="A1735" s="16" t="s">
        <v>4535</v>
      </c>
      <c r="B1735" s="16" t="s">
        <v>4536</v>
      </c>
    </row>
    <row r="1736" spans="1:8" ht="15.75" customHeight="1" x14ac:dyDescent="0.25">
      <c r="A1736" s="16" t="s">
        <v>4538</v>
      </c>
      <c r="B1736" s="16" t="s">
        <v>4539</v>
      </c>
    </row>
    <row r="1737" spans="1:8" ht="15.75" customHeight="1" x14ac:dyDescent="0.25">
      <c r="A1737" s="16" t="s">
        <v>4541</v>
      </c>
      <c r="B1737" s="16" t="s">
        <v>4542</v>
      </c>
    </row>
    <row r="1738" spans="1:8" ht="15.75" customHeight="1" x14ac:dyDescent="0.25">
      <c r="A1738" s="16" t="s">
        <v>4543</v>
      </c>
      <c r="B1738" s="16" t="s">
        <v>4544</v>
      </c>
    </row>
    <row r="1739" spans="1:8" ht="15.75" customHeight="1" x14ac:dyDescent="0.25">
      <c r="B1739" s="16" t="s">
        <v>4545</v>
      </c>
    </row>
    <row r="1740" spans="1:8" ht="15.75" customHeight="1" x14ac:dyDescent="0.25">
      <c r="A1740" s="16" t="s">
        <v>4547</v>
      </c>
      <c r="B1740" s="16" t="s">
        <v>4548</v>
      </c>
      <c r="C1740" s="16" t="s">
        <v>8429</v>
      </c>
      <c r="E1740" s="18" t="s">
        <v>8430</v>
      </c>
      <c r="F1740" s="18" t="s">
        <v>8431</v>
      </c>
      <c r="G1740" s="16" t="s">
        <v>8432</v>
      </c>
      <c r="H1740" s="16" t="s">
        <v>8433</v>
      </c>
    </row>
    <row r="1741" spans="1:8" ht="15.75" customHeight="1" x14ac:dyDescent="0.3">
      <c r="A1741" s="16" t="s">
        <v>4547</v>
      </c>
      <c r="B1741" s="16" t="s">
        <v>4548</v>
      </c>
      <c r="C1741" s="16" t="s">
        <v>8429</v>
      </c>
      <c r="E1741" s="18" t="s">
        <v>8430</v>
      </c>
      <c r="F1741" s="18" t="s">
        <v>8434</v>
      </c>
      <c r="G1741" s="17" t="s">
        <v>8435</v>
      </c>
      <c r="H1741" s="16" t="s">
        <v>8436</v>
      </c>
    </row>
    <row r="1742" spans="1:8" ht="15.75" customHeight="1" x14ac:dyDescent="0.25">
      <c r="A1742" s="16" t="s">
        <v>4547</v>
      </c>
      <c r="B1742" s="16" t="s">
        <v>4548</v>
      </c>
      <c r="C1742" s="16" t="s">
        <v>8429</v>
      </c>
      <c r="E1742" s="18" t="s">
        <v>8430</v>
      </c>
      <c r="F1742" s="18" t="s">
        <v>8437</v>
      </c>
      <c r="G1742" s="16" t="s">
        <v>8432</v>
      </c>
      <c r="H1742" s="16" t="s">
        <v>8438</v>
      </c>
    </row>
    <row r="1743" spans="1:8" ht="15.75" customHeight="1" x14ac:dyDescent="0.25">
      <c r="A1743" s="16" t="s">
        <v>4547</v>
      </c>
      <c r="B1743" s="16" t="s">
        <v>4548</v>
      </c>
      <c r="C1743" s="16" t="s">
        <v>8429</v>
      </c>
      <c r="E1743" s="18" t="s">
        <v>8430</v>
      </c>
      <c r="F1743" s="18" t="s">
        <v>8439</v>
      </c>
      <c r="G1743" s="16" t="s">
        <v>8438</v>
      </c>
      <c r="H1743" s="16" t="s">
        <v>8433</v>
      </c>
    </row>
    <row r="1744" spans="1:8" ht="15.75" customHeight="1" x14ac:dyDescent="0.25">
      <c r="A1744" s="16" t="s">
        <v>4547</v>
      </c>
      <c r="B1744" s="16" t="s">
        <v>4548</v>
      </c>
      <c r="C1744" s="16" t="s">
        <v>8429</v>
      </c>
      <c r="E1744" s="18" t="s">
        <v>8430</v>
      </c>
      <c r="F1744" s="18" t="s">
        <v>8440</v>
      </c>
      <c r="G1744" s="16" t="s">
        <v>8432</v>
      </c>
      <c r="H1744" s="16" t="s">
        <v>8436</v>
      </c>
    </row>
    <row r="1745" spans="1:8" ht="15.75" customHeight="1" x14ac:dyDescent="0.25">
      <c r="A1745" s="16" t="s">
        <v>4551</v>
      </c>
      <c r="B1745" s="16" t="s">
        <v>4552</v>
      </c>
      <c r="C1745" s="16" t="s">
        <v>8441</v>
      </c>
      <c r="E1745" s="18" t="s">
        <v>8442</v>
      </c>
      <c r="F1745" s="18" t="s">
        <v>8443</v>
      </c>
      <c r="G1745" s="16" t="s">
        <v>8444</v>
      </c>
      <c r="H1745" s="16" t="s">
        <v>8445</v>
      </c>
    </row>
    <row r="1746" spans="1:8" ht="15.75" customHeight="1" x14ac:dyDescent="0.25">
      <c r="A1746" s="16" t="s">
        <v>4554</v>
      </c>
      <c r="B1746" s="16" t="s">
        <v>4555</v>
      </c>
      <c r="C1746" s="16" t="s">
        <v>6696</v>
      </c>
      <c r="E1746" s="18" t="s">
        <v>6697</v>
      </c>
    </row>
    <row r="1747" spans="1:8" ht="15.75" customHeight="1" x14ac:dyDescent="0.25">
      <c r="A1747" s="16" t="s">
        <v>4558</v>
      </c>
      <c r="B1747" s="16" t="s">
        <v>4559</v>
      </c>
      <c r="C1747" s="16" t="s">
        <v>8446</v>
      </c>
      <c r="E1747" s="18" t="s">
        <v>8447</v>
      </c>
      <c r="F1747" s="18" t="s">
        <v>8448</v>
      </c>
      <c r="G1747" s="16" t="s">
        <v>8449</v>
      </c>
      <c r="H1747" s="16" t="s">
        <v>8450</v>
      </c>
    </row>
    <row r="1748" spans="1:8" ht="15.75" customHeight="1" x14ac:dyDescent="0.25">
      <c r="A1748" s="16" t="s">
        <v>4558</v>
      </c>
      <c r="B1748" s="16" t="s">
        <v>4559</v>
      </c>
      <c r="C1748" s="16" t="s">
        <v>8446</v>
      </c>
      <c r="E1748" s="18" t="s">
        <v>8447</v>
      </c>
      <c r="F1748" s="18" t="s">
        <v>8451</v>
      </c>
      <c r="G1748" s="16" t="s">
        <v>8452</v>
      </c>
      <c r="H1748" s="16" t="s">
        <v>8453</v>
      </c>
    </row>
    <row r="1749" spans="1:8" ht="15.75" customHeight="1" x14ac:dyDescent="0.25">
      <c r="A1749" s="16" t="s">
        <v>4558</v>
      </c>
      <c r="B1749" s="16" t="s">
        <v>4559</v>
      </c>
      <c r="C1749" s="16" t="s">
        <v>8446</v>
      </c>
      <c r="E1749" s="18" t="s">
        <v>8447</v>
      </c>
      <c r="F1749" s="18" t="s">
        <v>8454</v>
      </c>
      <c r="G1749" s="16" t="s">
        <v>8455</v>
      </c>
      <c r="H1749" s="16" t="s">
        <v>8456</v>
      </c>
    </row>
    <row r="1750" spans="1:8" ht="15.75" customHeight="1" x14ac:dyDescent="0.25">
      <c r="A1750" s="16" t="s">
        <v>4558</v>
      </c>
      <c r="B1750" s="16" t="s">
        <v>4559</v>
      </c>
      <c r="C1750" s="16" t="s">
        <v>8446</v>
      </c>
      <c r="E1750" s="18" t="s">
        <v>8447</v>
      </c>
      <c r="F1750" s="18" t="s">
        <v>8457</v>
      </c>
      <c r="G1750" s="16" t="s">
        <v>8458</v>
      </c>
      <c r="H1750" s="16" t="s">
        <v>8459</v>
      </c>
    </row>
    <row r="1751" spans="1:8" ht="15.75" customHeight="1" x14ac:dyDescent="0.25">
      <c r="A1751" s="16" t="s">
        <v>4558</v>
      </c>
      <c r="B1751" s="16" t="s">
        <v>4559</v>
      </c>
      <c r="C1751" s="16" t="s">
        <v>8446</v>
      </c>
      <c r="E1751" s="18" t="s">
        <v>8447</v>
      </c>
      <c r="F1751" s="18" t="s">
        <v>8460</v>
      </c>
      <c r="G1751" s="16" t="s">
        <v>8461</v>
      </c>
      <c r="H1751" s="16" t="s">
        <v>8462</v>
      </c>
    </row>
    <row r="1752" spans="1:8" ht="15.75" customHeight="1" x14ac:dyDescent="0.25">
      <c r="A1752" s="16" t="s">
        <v>4558</v>
      </c>
      <c r="B1752" s="16" t="s">
        <v>4559</v>
      </c>
      <c r="C1752" s="16" t="s">
        <v>8446</v>
      </c>
      <c r="E1752" s="18" t="s">
        <v>8447</v>
      </c>
      <c r="F1752" s="18" t="s">
        <v>8463</v>
      </c>
      <c r="G1752" s="16" t="s">
        <v>8464</v>
      </c>
      <c r="H1752" s="16" t="s">
        <v>8465</v>
      </c>
    </row>
    <row r="1753" spans="1:8" ht="15.75" customHeight="1" x14ac:dyDescent="0.25">
      <c r="A1753" s="16" t="s">
        <v>4558</v>
      </c>
      <c r="B1753" s="16" t="s">
        <v>4559</v>
      </c>
      <c r="C1753" s="16" t="s">
        <v>8446</v>
      </c>
      <c r="E1753" s="18" t="s">
        <v>8447</v>
      </c>
      <c r="F1753" s="18" t="s">
        <v>8466</v>
      </c>
      <c r="G1753" s="16" t="s">
        <v>8467</v>
      </c>
      <c r="H1753" s="16" t="s">
        <v>8468</v>
      </c>
    </row>
    <row r="1754" spans="1:8" ht="15.75" customHeight="1" x14ac:dyDescent="0.25">
      <c r="A1754" s="16" t="s">
        <v>4558</v>
      </c>
      <c r="B1754" s="16" t="s">
        <v>4559</v>
      </c>
      <c r="C1754" s="16" t="s">
        <v>8446</v>
      </c>
      <c r="E1754" s="18" t="s">
        <v>8447</v>
      </c>
      <c r="F1754" s="18" t="s">
        <v>8469</v>
      </c>
      <c r="G1754" s="16" t="s">
        <v>8470</v>
      </c>
      <c r="H1754" s="16" t="s">
        <v>8471</v>
      </c>
    </row>
    <row r="1755" spans="1:8" ht="15.75" customHeight="1" x14ac:dyDescent="0.25">
      <c r="B1755" s="16" t="s">
        <v>4560</v>
      </c>
    </row>
    <row r="1756" spans="1:8" ht="15.75" customHeight="1" x14ac:dyDescent="0.25">
      <c r="A1756" s="16" t="s">
        <v>4562</v>
      </c>
      <c r="B1756" s="16" t="s">
        <v>4563</v>
      </c>
    </row>
    <row r="1757" spans="1:8" ht="15.75" customHeight="1" x14ac:dyDescent="0.25">
      <c r="A1757" s="16" t="s">
        <v>4564</v>
      </c>
      <c r="B1757" s="16" t="s">
        <v>4565</v>
      </c>
    </row>
    <row r="1758" spans="1:8" ht="15.75" customHeight="1" x14ac:dyDescent="0.25">
      <c r="A1758" s="16" t="s">
        <v>4566</v>
      </c>
      <c r="B1758" s="16" t="s">
        <v>4567</v>
      </c>
    </row>
    <row r="1759" spans="1:8" ht="15.75" customHeight="1" x14ac:dyDescent="0.25">
      <c r="A1759" s="16" t="s">
        <v>4568</v>
      </c>
      <c r="B1759" s="16" t="s">
        <v>4569</v>
      </c>
    </row>
    <row r="1760" spans="1:8" ht="15.75" customHeight="1" x14ac:dyDescent="0.25">
      <c r="A1760" s="16" t="s">
        <v>4570</v>
      </c>
      <c r="B1760" s="16" t="s">
        <v>4571</v>
      </c>
    </row>
    <row r="1761" spans="1:8" ht="15.75" customHeight="1" x14ac:dyDescent="0.25">
      <c r="A1761" s="16" t="s">
        <v>4573</v>
      </c>
      <c r="B1761" s="16" t="s">
        <v>4574</v>
      </c>
    </row>
    <row r="1762" spans="1:8" ht="15.75" customHeight="1" x14ac:dyDescent="0.25">
      <c r="A1762" s="16" t="s">
        <v>4575</v>
      </c>
      <c r="B1762" s="16" t="s">
        <v>4576</v>
      </c>
    </row>
    <row r="1763" spans="1:8" ht="15.75" customHeight="1" x14ac:dyDescent="0.25">
      <c r="A1763" s="16" t="s">
        <v>4577</v>
      </c>
      <c r="B1763" s="16" t="s">
        <v>4578</v>
      </c>
    </row>
    <row r="1764" spans="1:8" ht="15.75" customHeight="1" x14ac:dyDescent="0.25">
      <c r="A1764" s="16" t="s">
        <v>4579</v>
      </c>
      <c r="B1764" s="16" t="s">
        <v>4580</v>
      </c>
    </row>
    <row r="1765" spans="1:8" ht="15.75" customHeight="1" x14ac:dyDescent="0.25">
      <c r="A1765" s="16" t="s">
        <v>4581</v>
      </c>
      <c r="B1765" s="16" t="s">
        <v>4582</v>
      </c>
    </row>
    <row r="1766" spans="1:8" ht="15.75" customHeight="1" x14ac:dyDescent="0.25">
      <c r="A1766" s="16" t="s">
        <v>4583</v>
      </c>
      <c r="B1766" s="16" t="s">
        <v>4584</v>
      </c>
    </row>
    <row r="1767" spans="1:8" ht="15.75" customHeight="1" x14ac:dyDescent="0.25">
      <c r="A1767" s="16" t="s">
        <v>4587</v>
      </c>
      <c r="B1767" s="16" t="s">
        <v>4588</v>
      </c>
    </row>
    <row r="1768" spans="1:8" ht="15.75" customHeight="1" x14ac:dyDescent="0.25">
      <c r="A1768" s="16" t="s">
        <v>4590</v>
      </c>
      <c r="B1768" s="16" t="s">
        <v>4591</v>
      </c>
    </row>
    <row r="1769" spans="1:8" ht="15.75" customHeight="1" x14ac:dyDescent="0.25">
      <c r="B1769" s="16" t="s">
        <v>4593</v>
      </c>
    </row>
    <row r="1770" spans="1:8" ht="15.75" customHeight="1" x14ac:dyDescent="0.25">
      <c r="B1770" s="16" t="s">
        <v>4594</v>
      </c>
    </row>
    <row r="1771" spans="1:8" ht="15.75" customHeight="1" x14ac:dyDescent="0.25">
      <c r="A1771" s="16" t="s">
        <v>4596</v>
      </c>
      <c r="B1771" s="16" t="s">
        <v>4597</v>
      </c>
    </row>
    <row r="1772" spans="1:8" ht="15.75" customHeight="1" x14ac:dyDescent="0.25">
      <c r="A1772" s="16" t="s">
        <v>4600</v>
      </c>
      <c r="B1772" s="16" t="s">
        <v>4601</v>
      </c>
      <c r="C1772" s="16" t="s">
        <v>8472</v>
      </c>
      <c r="E1772" s="18" t="s">
        <v>8473</v>
      </c>
      <c r="F1772" s="18" t="s">
        <v>8474</v>
      </c>
      <c r="G1772" s="16" t="s">
        <v>8475</v>
      </c>
      <c r="H1772" s="16" t="s">
        <v>8476</v>
      </c>
    </row>
    <row r="1773" spans="1:8" ht="15.75" customHeight="1" x14ac:dyDescent="0.25">
      <c r="A1773" s="16" t="s">
        <v>4602</v>
      </c>
      <c r="B1773" s="16" t="s">
        <v>4603</v>
      </c>
    </row>
    <row r="1774" spans="1:8" ht="15.75" customHeight="1" x14ac:dyDescent="0.25">
      <c r="A1774" s="16" t="s">
        <v>4605</v>
      </c>
      <c r="B1774" s="16" t="s">
        <v>4606</v>
      </c>
    </row>
    <row r="1775" spans="1:8" ht="15.75" customHeight="1" x14ac:dyDescent="0.25">
      <c r="A1775" s="16" t="s">
        <v>4609</v>
      </c>
      <c r="B1775" s="16" t="s">
        <v>4610</v>
      </c>
      <c r="C1775" s="16" t="s">
        <v>8477</v>
      </c>
      <c r="E1775" s="18" t="s">
        <v>8478</v>
      </c>
      <c r="F1775" s="18" t="s">
        <v>8479</v>
      </c>
      <c r="G1775" s="16" t="s">
        <v>8480</v>
      </c>
      <c r="H1775" s="16" t="s">
        <v>8481</v>
      </c>
    </row>
    <row r="1776" spans="1:8" ht="15.75" customHeight="1" x14ac:dyDescent="0.25">
      <c r="A1776" s="16" t="s">
        <v>4613</v>
      </c>
      <c r="B1776" s="16" t="s">
        <v>4614</v>
      </c>
      <c r="C1776" s="16" t="s">
        <v>8482</v>
      </c>
      <c r="E1776" s="18" t="s">
        <v>8483</v>
      </c>
      <c r="F1776" s="18" t="s">
        <v>8484</v>
      </c>
      <c r="G1776" s="16" t="s">
        <v>8485</v>
      </c>
      <c r="H1776" s="16" t="s">
        <v>8486</v>
      </c>
    </row>
    <row r="1777" spans="1:8" ht="15.75" customHeight="1" x14ac:dyDescent="0.25">
      <c r="A1777" s="16" t="s">
        <v>4613</v>
      </c>
      <c r="B1777" s="16" t="s">
        <v>4614</v>
      </c>
      <c r="C1777" s="16" t="s">
        <v>8482</v>
      </c>
      <c r="E1777" s="18" t="s">
        <v>8483</v>
      </c>
      <c r="F1777" s="18" t="s">
        <v>8487</v>
      </c>
      <c r="G1777" s="16" t="s">
        <v>8488</v>
      </c>
      <c r="H1777" s="16" t="s">
        <v>8489</v>
      </c>
    </row>
    <row r="1778" spans="1:8" ht="15.75" customHeight="1" x14ac:dyDescent="0.25">
      <c r="A1778" s="16" t="s">
        <v>4616</v>
      </c>
      <c r="B1778" s="16" t="s">
        <v>4617</v>
      </c>
    </row>
    <row r="1779" spans="1:8" ht="15.75" customHeight="1" x14ac:dyDescent="0.25">
      <c r="A1779" s="16" t="s">
        <v>4620</v>
      </c>
      <c r="B1779" s="16" t="s">
        <v>4621</v>
      </c>
      <c r="C1779" s="16" t="s">
        <v>8490</v>
      </c>
      <c r="E1779" s="18" t="s">
        <v>8491</v>
      </c>
      <c r="F1779" s="18" t="s">
        <v>8492</v>
      </c>
      <c r="G1779" s="16" t="s">
        <v>8493</v>
      </c>
      <c r="H1779" s="16" t="s">
        <v>8494</v>
      </c>
    </row>
    <row r="1780" spans="1:8" ht="15.75" customHeight="1" x14ac:dyDescent="0.25">
      <c r="A1780" s="16" t="s">
        <v>4624</v>
      </c>
      <c r="B1780" s="16" t="s">
        <v>4625</v>
      </c>
      <c r="C1780" s="16" t="s">
        <v>8495</v>
      </c>
      <c r="E1780" s="18" t="s">
        <v>8496</v>
      </c>
      <c r="F1780" s="18" t="s">
        <v>8497</v>
      </c>
      <c r="G1780" s="16" t="s">
        <v>8498</v>
      </c>
      <c r="H1780" s="16" t="s">
        <v>8499</v>
      </c>
    </row>
    <row r="1781" spans="1:8" ht="15.75" customHeight="1" x14ac:dyDescent="0.25">
      <c r="A1781" s="16" t="s">
        <v>4624</v>
      </c>
      <c r="B1781" s="16" t="s">
        <v>4625</v>
      </c>
      <c r="C1781" s="16" t="s">
        <v>8495</v>
      </c>
      <c r="E1781" s="18" t="s">
        <v>8496</v>
      </c>
      <c r="F1781" s="18" t="s">
        <v>8500</v>
      </c>
      <c r="G1781" s="16" t="s">
        <v>8501</v>
      </c>
      <c r="H1781" s="16" t="s">
        <v>8502</v>
      </c>
    </row>
    <row r="1782" spans="1:8" ht="15.75" customHeight="1" x14ac:dyDescent="0.25">
      <c r="A1782" s="16" t="s">
        <v>4624</v>
      </c>
      <c r="B1782" s="16" t="s">
        <v>4625</v>
      </c>
      <c r="C1782" s="16" t="s">
        <v>8495</v>
      </c>
      <c r="E1782" s="18" t="s">
        <v>8496</v>
      </c>
      <c r="F1782" s="18" t="s">
        <v>8503</v>
      </c>
      <c r="G1782" s="16" t="s">
        <v>8504</v>
      </c>
      <c r="H1782" s="16" t="s">
        <v>8505</v>
      </c>
    </row>
    <row r="1783" spans="1:8" ht="15.75" customHeight="1" x14ac:dyDescent="0.25">
      <c r="A1783" s="16" t="s">
        <v>4628</v>
      </c>
      <c r="B1783" s="16" t="s">
        <v>4629</v>
      </c>
    </row>
    <row r="1784" spans="1:8" ht="15.75" customHeight="1" x14ac:dyDescent="0.25">
      <c r="A1784" s="16" t="s">
        <v>4632</v>
      </c>
      <c r="B1784" s="16" t="s">
        <v>4633</v>
      </c>
    </row>
    <row r="1785" spans="1:8" ht="15.75" customHeight="1" x14ac:dyDescent="0.25">
      <c r="A1785" s="16" t="s">
        <v>4636</v>
      </c>
      <c r="B1785" s="16" t="s">
        <v>4637</v>
      </c>
      <c r="C1785" s="16" t="s">
        <v>8506</v>
      </c>
      <c r="E1785" s="18" t="s">
        <v>8507</v>
      </c>
      <c r="F1785" s="18" t="s">
        <v>8508</v>
      </c>
      <c r="G1785" s="16" t="s">
        <v>8509</v>
      </c>
      <c r="H1785" s="16" t="s">
        <v>8510</v>
      </c>
    </row>
    <row r="1786" spans="1:8" ht="15.75" customHeight="1" x14ac:dyDescent="0.25">
      <c r="A1786" s="16" t="s">
        <v>4639</v>
      </c>
      <c r="B1786" s="16" t="s">
        <v>4640</v>
      </c>
    </row>
    <row r="1787" spans="1:8" ht="15.75" customHeight="1" x14ac:dyDescent="0.25">
      <c r="A1787" s="16" t="s">
        <v>4643</v>
      </c>
      <c r="B1787" s="16" t="s">
        <v>4644</v>
      </c>
    </row>
    <row r="1788" spans="1:8" ht="15.75" customHeight="1" x14ac:dyDescent="0.25">
      <c r="A1788" s="16" t="s">
        <v>4645</v>
      </c>
      <c r="B1788" s="16" t="s">
        <v>4646</v>
      </c>
    </row>
    <row r="1789" spans="1:8" ht="15.75" customHeight="1" x14ac:dyDescent="0.25">
      <c r="A1789" s="16" t="s">
        <v>4648</v>
      </c>
      <c r="B1789" s="16" t="s">
        <v>4649</v>
      </c>
    </row>
    <row r="1790" spans="1:8" ht="15.75" customHeight="1" x14ac:dyDescent="0.25">
      <c r="A1790" s="16" t="s">
        <v>4651</v>
      </c>
      <c r="B1790" s="16" t="s">
        <v>4652</v>
      </c>
    </row>
    <row r="1791" spans="1:8" ht="15.75" customHeight="1" x14ac:dyDescent="0.25">
      <c r="A1791" s="16" t="s">
        <v>4655</v>
      </c>
      <c r="B1791" s="16" t="s">
        <v>4656</v>
      </c>
    </row>
    <row r="1792" spans="1:8" ht="15.75" customHeight="1" x14ac:dyDescent="0.25">
      <c r="A1792" s="16" t="s">
        <v>4659</v>
      </c>
      <c r="B1792" s="16" t="s">
        <v>4660</v>
      </c>
      <c r="C1792" s="16" t="s">
        <v>8511</v>
      </c>
    </row>
    <row r="1793" spans="1:8" ht="15.75" customHeight="1" x14ac:dyDescent="0.25">
      <c r="A1793" s="16" t="s">
        <v>4662</v>
      </c>
      <c r="B1793" s="16" t="s">
        <v>4663</v>
      </c>
    </row>
    <row r="1794" spans="1:8" ht="15.75" customHeight="1" x14ac:dyDescent="0.25">
      <c r="A1794" s="16" t="s">
        <v>4666</v>
      </c>
      <c r="B1794" s="16" t="s">
        <v>4667</v>
      </c>
    </row>
    <row r="1795" spans="1:8" ht="15.75" customHeight="1" x14ac:dyDescent="0.25">
      <c r="A1795" s="16" t="s">
        <v>4670</v>
      </c>
      <c r="B1795" s="16" t="s">
        <v>4671</v>
      </c>
    </row>
    <row r="1796" spans="1:8" ht="15.75" customHeight="1" x14ac:dyDescent="0.25">
      <c r="A1796" s="16" t="s">
        <v>4674</v>
      </c>
      <c r="B1796" s="16" t="s">
        <v>4675</v>
      </c>
    </row>
    <row r="1797" spans="1:8" ht="15.75" customHeight="1" x14ac:dyDescent="0.25">
      <c r="A1797" s="16" t="s">
        <v>4678</v>
      </c>
      <c r="B1797" s="16" t="s">
        <v>4679</v>
      </c>
      <c r="C1797" s="16" t="s">
        <v>8512</v>
      </c>
      <c r="E1797" s="18" t="s">
        <v>8513</v>
      </c>
      <c r="F1797" s="18" t="s">
        <v>8514</v>
      </c>
      <c r="G1797" s="16" t="s">
        <v>8515</v>
      </c>
      <c r="H1797" s="16" t="s">
        <v>8516</v>
      </c>
    </row>
    <row r="1798" spans="1:8" ht="15.75" customHeight="1" x14ac:dyDescent="0.25">
      <c r="A1798" s="16" t="s">
        <v>4678</v>
      </c>
      <c r="B1798" s="16" t="s">
        <v>4679</v>
      </c>
      <c r="C1798" s="16" t="s">
        <v>8512</v>
      </c>
      <c r="E1798" s="18" t="s">
        <v>8513</v>
      </c>
      <c r="F1798" s="18" t="s">
        <v>8517</v>
      </c>
      <c r="G1798" s="16" t="s">
        <v>8518</v>
      </c>
      <c r="H1798" s="16" t="s">
        <v>8519</v>
      </c>
    </row>
    <row r="1799" spans="1:8" ht="15.75" customHeight="1" x14ac:dyDescent="0.25">
      <c r="A1799" s="16" t="s">
        <v>4678</v>
      </c>
      <c r="B1799" s="16" t="s">
        <v>4679</v>
      </c>
      <c r="C1799" s="16" t="s">
        <v>8512</v>
      </c>
      <c r="E1799" s="18" t="s">
        <v>8513</v>
      </c>
      <c r="F1799" s="18" t="s">
        <v>8520</v>
      </c>
      <c r="G1799" s="16" t="s">
        <v>8521</v>
      </c>
      <c r="H1799" s="16" t="s">
        <v>8522</v>
      </c>
    </row>
    <row r="1800" spans="1:8" ht="15.75" customHeight="1" x14ac:dyDescent="0.25">
      <c r="A1800" s="16" t="s">
        <v>4678</v>
      </c>
      <c r="B1800" s="16" t="s">
        <v>4679</v>
      </c>
      <c r="C1800" s="16" t="s">
        <v>8512</v>
      </c>
      <c r="E1800" s="18" t="s">
        <v>8513</v>
      </c>
      <c r="F1800" s="18" t="s">
        <v>8523</v>
      </c>
      <c r="G1800" s="16" t="s">
        <v>8524</v>
      </c>
      <c r="H1800" s="16" t="s">
        <v>8525</v>
      </c>
    </row>
    <row r="1801" spans="1:8" ht="15.75" customHeight="1" x14ac:dyDescent="0.25">
      <c r="A1801" s="16" t="s">
        <v>4678</v>
      </c>
      <c r="B1801" s="16" t="s">
        <v>4679</v>
      </c>
      <c r="C1801" s="16" t="s">
        <v>8512</v>
      </c>
      <c r="E1801" s="18" t="s">
        <v>8513</v>
      </c>
      <c r="F1801" s="18" t="s">
        <v>8526</v>
      </c>
      <c r="G1801" s="16" t="s">
        <v>8527</v>
      </c>
      <c r="H1801" s="16" t="s">
        <v>8528</v>
      </c>
    </row>
    <row r="1802" spans="1:8" ht="15.75" customHeight="1" x14ac:dyDescent="0.25">
      <c r="A1802" s="16" t="s">
        <v>4678</v>
      </c>
      <c r="B1802" s="16" t="s">
        <v>4679</v>
      </c>
      <c r="C1802" s="16" t="s">
        <v>8512</v>
      </c>
      <c r="E1802" s="18" t="s">
        <v>8513</v>
      </c>
      <c r="F1802" s="18" t="s">
        <v>8529</v>
      </c>
      <c r="G1802" s="16" t="s">
        <v>8530</v>
      </c>
      <c r="H1802" s="16" t="s">
        <v>8531</v>
      </c>
    </row>
    <row r="1803" spans="1:8" ht="15.75" customHeight="1" x14ac:dyDescent="0.25">
      <c r="A1803" s="16" t="s">
        <v>4678</v>
      </c>
      <c r="B1803" s="16" t="s">
        <v>4679</v>
      </c>
      <c r="C1803" s="16" t="s">
        <v>8512</v>
      </c>
      <c r="E1803" s="18" t="s">
        <v>8513</v>
      </c>
      <c r="F1803" s="18" t="s">
        <v>8532</v>
      </c>
      <c r="G1803" s="16" t="s">
        <v>8533</v>
      </c>
      <c r="H1803" s="16" t="s">
        <v>8534</v>
      </c>
    </row>
    <row r="1804" spans="1:8" ht="15.75" customHeight="1" x14ac:dyDescent="0.25">
      <c r="A1804" s="16" t="s">
        <v>4678</v>
      </c>
      <c r="B1804" s="16" t="s">
        <v>4679</v>
      </c>
      <c r="C1804" s="16" t="s">
        <v>8512</v>
      </c>
      <c r="E1804" s="18" t="s">
        <v>8513</v>
      </c>
      <c r="F1804" s="18" t="s">
        <v>8535</v>
      </c>
      <c r="G1804" s="16" t="s">
        <v>8536</v>
      </c>
      <c r="H1804" s="16" t="s">
        <v>8537</v>
      </c>
    </row>
    <row r="1805" spans="1:8" ht="15.75" customHeight="1" x14ac:dyDescent="0.25">
      <c r="A1805" s="16" t="s">
        <v>4678</v>
      </c>
      <c r="B1805" s="16" t="s">
        <v>4679</v>
      </c>
      <c r="C1805" s="16" t="s">
        <v>8512</v>
      </c>
      <c r="E1805" s="18" t="s">
        <v>8513</v>
      </c>
      <c r="F1805" s="18" t="s">
        <v>8538</v>
      </c>
      <c r="G1805" s="16" t="s">
        <v>8539</v>
      </c>
      <c r="H1805" s="16" t="s">
        <v>8540</v>
      </c>
    </row>
    <row r="1806" spans="1:8" ht="15.75" customHeight="1" x14ac:dyDescent="0.25">
      <c r="A1806" s="16" t="s">
        <v>4678</v>
      </c>
      <c r="B1806" s="16" t="s">
        <v>4679</v>
      </c>
      <c r="C1806" s="16" t="s">
        <v>8512</v>
      </c>
      <c r="E1806" s="18" t="s">
        <v>8513</v>
      </c>
      <c r="F1806" s="18" t="s">
        <v>8541</v>
      </c>
      <c r="G1806" s="16" t="s">
        <v>8542</v>
      </c>
      <c r="H1806" s="16" t="s">
        <v>8543</v>
      </c>
    </row>
    <row r="1807" spans="1:8" ht="15.75" customHeight="1" x14ac:dyDescent="0.25">
      <c r="A1807" s="16" t="s">
        <v>4678</v>
      </c>
      <c r="B1807" s="16" t="s">
        <v>4679</v>
      </c>
      <c r="C1807" s="16" t="s">
        <v>8512</v>
      </c>
      <c r="E1807" s="18" t="s">
        <v>8513</v>
      </c>
      <c r="F1807" s="18" t="s">
        <v>8544</v>
      </c>
      <c r="G1807" s="16" t="s">
        <v>8545</v>
      </c>
      <c r="H1807" s="16" t="s">
        <v>8546</v>
      </c>
    </row>
    <row r="1808" spans="1:8" ht="15.75" customHeight="1" x14ac:dyDescent="0.25">
      <c r="A1808" s="16" t="s">
        <v>4681</v>
      </c>
      <c r="B1808" s="16" t="s">
        <v>4682</v>
      </c>
    </row>
    <row r="1809" spans="1:8" ht="15.75" customHeight="1" x14ac:dyDescent="0.25">
      <c r="A1809" s="16" t="s">
        <v>4684</v>
      </c>
      <c r="B1809" s="16" t="s">
        <v>4685</v>
      </c>
    </row>
    <row r="1810" spans="1:8" ht="15.75" customHeight="1" x14ac:dyDescent="0.25">
      <c r="A1810" s="16" t="s">
        <v>4688</v>
      </c>
      <c r="B1810" s="16" t="s">
        <v>4689</v>
      </c>
    </row>
    <row r="1811" spans="1:8" ht="15.75" customHeight="1" x14ac:dyDescent="0.25">
      <c r="A1811" s="16" t="s">
        <v>4692</v>
      </c>
      <c r="B1811" s="16" t="s">
        <v>4693</v>
      </c>
      <c r="C1811" s="16" t="s">
        <v>7168</v>
      </c>
      <c r="E1811" s="18" t="s">
        <v>7169</v>
      </c>
    </row>
    <row r="1812" spans="1:8" ht="15.75" customHeight="1" x14ac:dyDescent="0.25">
      <c r="A1812" s="16" t="s">
        <v>4696</v>
      </c>
      <c r="B1812" s="16" t="s">
        <v>4697</v>
      </c>
      <c r="C1812" s="16" t="s">
        <v>7168</v>
      </c>
      <c r="E1812" s="18" t="s">
        <v>7169</v>
      </c>
    </row>
    <row r="1813" spans="1:8" ht="15.75" customHeight="1" x14ac:dyDescent="0.25">
      <c r="A1813" s="16" t="s">
        <v>4700</v>
      </c>
      <c r="B1813" s="16" t="s">
        <v>4701</v>
      </c>
    </row>
    <row r="1814" spans="1:8" ht="15.75" customHeight="1" x14ac:dyDescent="0.25">
      <c r="A1814" s="16" t="s">
        <v>4704</v>
      </c>
      <c r="B1814" s="16" t="s">
        <v>4705</v>
      </c>
      <c r="C1814" s="16" t="s">
        <v>8547</v>
      </c>
      <c r="E1814" s="18" t="s">
        <v>8548</v>
      </c>
      <c r="F1814" s="18" t="s">
        <v>8549</v>
      </c>
      <c r="G1814" s="16" t="s">
        <v>8550</v>
      </c>
      <c r="H1814" s="16" t="s">
        <v>8551</v>
      </c>
    </row>
    <row r="1815" spans="1:8" ht="15.75" customHeight="1" x14ac:dyDescent="0.25">
      <c r="A1815" s="16" t="s">
        <v>4704</v>
      </c>
      <c r="B1815" s="16" t="s">
        <v>4705</v>
      </c>
      <c r="C1815" s="16" t="s">
        <v>8552</v>
      </c>
      <c r="E1815" s="18" t="s">
        <v>8553</v>
      </c>
      <c r="F1815" s="18" t="s">
        <v>8554</v>
      </c>
    </row>
    <row r="1816" spans="1:8" ht="15.75" customHeight="1" x14ac:dyDescent="0.25">
      <c r="A1816" s="16" t="s">
        <v>4706</v>
      </c>
      <c r="B1816" s="16" t="s">
        <v>4707</v>
      </c>
    </row>
    <row r="1817" spans="1:8" ht="15.75" customHeight="1" x14ac:dyDescent="0.25">
      <c r="A1817" s="16" t="s">
        <v>4709</v>
      </c>
      <c r="B1817" s="16" t="s">
        <v>4710</v>
      </c>
    </row>
    <row r="1818" spans="1:8" ht="15.75" customHeight="1" x14ac:dyDescent="0.25">
      <c r="B1818" s="16" t="s">
        <v>4711</v>
      </c>
    </row>
    <row r="1819" spans="1:8" ht="15.75" customHeight="1" x14ac:dyDescent="0.25">
      <c r="A1819" s="16" t="s">
        <v>4714</v>
      </c>
      <c r="B1819" s="16" t="s">
        <v>4715</v>
      </c>
    </row>
    <row r="1820" spans="1:8" ht="15.75" customHeight="1" x14ac:dyDescent="0.25">
      <c r="A1820" s="16" t="s">
        <v>4718</v>
      </c>
      <c r="B1820" s="16" t="s">
        <v>4719</v>
      </c>
      <c r="C1820" s="16" t="s">
        <v>8555</v>
      </c>
      <c r="E1820" s="18" t="s">
        <v>8556</v>
      </c>
      <c r="F1820" s="18" t="s">
        <v>8557</v>
      </c>
      <c r="G1820" s="16" t="s">
        <v>8558</v>
      </c>
      <c r="H1820" s="16" t="s">
        <v>8559</v>
      </c>
    </row>
    <row r="1821" spans="1:8" ht="15.75" customHeight="1" x14ac:dyDescent="0.25">
      <c r="A1821" s="16" t="s">
        <v>4721</v>
      </c>
      <c r="B1821" s="16" t="s">
        <v>4722</v>
      </c>
      <c r="C1821" s="16" t="s">
        <v>8560</v>
      </c>
      <c r="E1821" s="18" t="s">
        <v>8561</v>
      </c>
      <c r="F1821" s="18" t="s">
        <v>8562</v>
      </c>
      <c r="G1821" s="16" t="s">
        <v>8563</v>
      </c>
      <c r="H1821" s="16" t="s">
        <v>8564</v>
      </c>
    </row>
    <row r="1822" spans="1:8" ht="15.75" customHeight="1" x14ac:dyDescent="0.25">
      <c r="A1822" s="16" t="s">
        <v>4725</v>
      </c>
      <c r="B1822" s="16" t="s">
        <v>4726</v>
      </c>
    </row>
    <row r="1823" spans="1:8" ht="15.75" customHeight="1" x14ac:dyDescent="0.25">
      <c r="A1823" s="16" t="s">
        <v>4729</v>
      </c>
      <c r="B1823" s="16" t="s">
        <v>4730</v>
      </c>
      <c r="C1823" s="16" t="s">
        <v>8565</v>
      </c>
      <c r="E1823" s="18" t="s">
        <v>8566</v>
      </c>
      <c r="F1823" s="18" t="s">
        <v>8567</v>
      </c>
      <c r="G1823" s="16" t="s">
        <v>8568</v>
      </c>
      <c r="H1823" s="16" t="s">
        <v>8569</v>
      </c>
    </row>
    <row r="1824" spans="1:8" ht="15.75" customHeight="1" x14ac:dyDescent="0.25">
      <c r="A1824" s="16" t="s">
        <v>4732</v>
      </c>
      <c r="B1824" s="16" t="s">
        <v>4733</v>
      </c>
      <c r="C1824" s="16" t="s">
        <v>8570</v>
      </c>
      <c r="E1824" s="18" t="s">
        <v>8571</v>
      </c>
      <c r="F1824" s="18" t="s">
        <v>8572</v>
      </c>
      <c r="G1824" s="16" t="s">
        <v>8573</v>
      </c>
      <c r="H1824" s="16" t="s">
        <v>8574</v>
      </c>
    </row>
    <row r="1825" spans="1:8" ht="15.75" customHeight="1" x14ac:dyDescent="0.25">
      <c r="A1825" s="16" t="s">
        <v>4735</v>
      </c>
      <c r="B1825" s="16" t="s">
        <v>4736</v>
      </c>
    </row>
    <row r="1826" spans="1:8" ht="15.75" customHeight="1" x14ac:dyDescent="0.25">
      <c r="A1826" s="16" t="s">
        <v>4739</v>
      </c>
      <c r="B1826" s="16" t="s">
        <v>4740</v>
      </c>
      <c r="C1826" s="16" t="s">
        <v>8575</v>
      </c>
      <c r="E1826" s="18" t="s">
        <v>8576</v>
      </c>
      <c r="F1826" s="18" t="s">
        <v>8577</v>
      </c>
      <c r="G1826" s="16" t="s">
        <v>8578</v>
      </c>
      <c r="H1826" s="16" t="s">
        <v>8579</v>
      </c>
    </row>
    <row r="1827" spans="1:8" ht="15.75" customHeight="1" x14ac:dyDescent="0.25">
      <c r="A1827" s="16" t="s">
        <v>4739</v>
      </c>
      <c r="B1827" s="16" t="s">
        <v>4740</v>
      </c>
      <c r="C1827" s="16" t="s">
        <v>8575</v>
      </c>
      <c r="E1827" s="18" t="s">
        <v>8576</v>
      </c>
      <c r="F1827" s="18" t="s">
        <v>8580</v>
      </c>
      <c r="G1827" s="16" t="s">
        <v>8581</v>
      </c>
      <c r="H1827" s="16" t="s">
        <v>8582</v>
      </c>
    </row>
    <row r="1828" spans="1:8" ht="15.75" customHeight="1" x14ac:dyDescent="0.25">
      <c r="A1828" s="16" t="s">
        <v>4743</v>
      </c>
      <c r="B1828" s="16" t="s">
        <v>4744</v>
      </c>
    </row>
    <row r="1829" spans="1:8" ht="15.75" customHeight="1" x14ac:dyDescent="0.25">
      <c r="A1829" s="16" t="s">
        <v>4745</v>
      </c>
      <c r="B1829" s="16" t="s">
        <v>4746</v>
      </c>
    </row>
    <row r="1830" spans="1:8" ht="15.75" customHeight="1" x14ac:dyDescent="0.25">
      <c r="A1830" s="16" t="s">
        <v>4749</v>
      </c>
      <c r="B1830" s="16" t="s">
        <v>4750</v>
      </c>
      <c r="C1830" s="16" t="s">
        <v>8583</v>
      </c>
      <c r="E1830" s="18" t="s">
        <v>8584</v>
      </c>
      <c r="F1830" s="18" t="s">
        <v>8585</v>
      </c>
      <c r="G1830" s="16" t="s">
        <v>8586</v>
      </c>
      <c r="H1830" s="16" t="s">
        <v>8587</v>
      </c>
    </row>
    <row r="1831" spans="1:8" ht="15.75" customHeight="1" x14ac:dyDescent="0.25">
      <c r="A1831" s="16" t="s">
        <v>4753</v>
      </c>
      <c r="B1831" s="16" t="s">
        <v>4754</v>
      </c>
      <c r="C1831" s="16" t="s">
        <v>8583</v>
      </c>
      <c r="E1831" s="18" t="s">
        <v>8584</v>
      </c>
      <c r="F1831" s="18" t="s">
        <v>8585</v>
      </c>
      <c r="G1831" s="16" t="s">
        <v>8586</v>
      </c>
      <c r="H1831" s="16" t="s">
        <v>8587</v>
      </c>
    </row>
    <row r="1832" spans="1:8" ht="15.75" customHeight="1" x14ac:dyDescent="0.25">
      <c r="A1832" s="16" t="s">
        <v>4756</v>
      </c>
      <c r="B1832" s="16" t="s">
        <v>4757</v>
      </c>
    </row>
    <row r="1833" spans="1:8" ht="15.75" customHeight="1" x14ac:dyDescent="0.25">
      <c r="A1833" s="16" t="s">
        <v>4759</v>
      </c>
      <c r="B1833" s="16" t="s">
        <v>4760</v>
      </c>
    </row>
    <row r="1834" spans="1:8" ht="15.75" customHeight="1" x14ac:dyDescent="0.25">
      <c r="A1834" s="16" t="s">
        <v>4762</v>
      </c>
      <c r="B1834" s="16" t="s">
        <v>4763</v>
      </c>
    </row>
    <row r="1835" spans="1:8" ht="15.75" customHeight="1" x14ac:dyDescent="0.25">
      <c r="A1835" s="16" t="s">
        <v>4764</v>
      </c>
      <c r="B1835" s="16" t="s">
        <v>4765</v>
      </c>
    </row>
    <row r="1836" spans="1:8" ht="15.75" customHeight="1" x14ac:dyDescent="0.25">
      <c r="A1836" s="16" t="s">
        <v>4767</v>
      </c>
      <c r="B1836" s="16" t="s">
        <v>4768</v>
      </c>
    </row>
    <row r="1837" spans="1:8" ht="15.75" customHeight="1" x14ac:dyDescent="0.25">
      <c r="A1837" s="16" t="s">
        <v>4769</v>
      </c>
      <c r="B1837" s="16" t="s">
        <v>4770</v>
      </c>
    </row>
    <row r="1838" spans="1:8" ht="15.75" customHeight="1" x14ac:dyDescent="0.25">
      <c r="A1838" s="16" t="s">
        <v>4772</v>
      </c>
      <c r="B1838" s="16" t="s">
        <v>4773</v>
      </c>
    </row>
    <row r="1839" spans="1:8" ht="15.75" customHeight="1" x14ac:dyDescent="0.25">
      <c r="A1839" s="16" t="s">
        <v>4775</v>
      </c>
      <c r="B1839" s="16" t="s">
        <v>4776</v>
      </c>
    </row>
    <row r="1840" spans="1:8" ht="15.75" customHeight="1" x14ac:dyDescent="0.25">
      <c r="A1840" s="16" t="s">
        <v>4778</v>
      </c>
      <c r="B1840" s="16" t="s">
        <v>4779</v>
      </c>
    </row>
    <row r="1841" spans="1:8" ht="15.75" customHeight="1" x14ac:dyDescent="0.25">
      <c r="A1841" s="16" t="s">
        <v>4781</v>
      </c>
      <c r="B1841" s="16" t="s">
        <v>4782</v>
      </c>
      <c r="C1841" s="16" t="s">
        <v>6526</v>
      </c>
    </row>
    <row r="1842" spans="1:8" ht="15.75" customHeight="1" x14ac:dyDescent="0.25">
      <c r="A1842" s="16" t="s">
        <v>4783</v>
      </c>
      <c r="B1842" s="16" t="s">
        <v>4784</v>
      </c>
    </row>
    <row r="1843" spans="1:8" ht="15.75" customHeight="1" x14ac:dyDescent="0.25">
      <c r="B1843" s="16" t="s">
        <v>4785</v>
      </c>
    </row>
    <row r="1844" spans="1:8" ht="15.75" customHeight="1" x14ac:dyDescent="0.25">
      <c r="A1844" s="16" t="s">
        <v>4787</v>
      </c>
      <c r="B1844" s="16" t="s">
        <v>4788</v>
      </c>
    </row>
    <row r="1845" spans="1:8" ht="15.75" customHeight="1" x14ac:dyDescent="0.25">
      <c r="A1845" s="16" t="s">
        <v>4791</v>
      </c>
      <c r="B1845" s="16" t="s">
        <v>4792</v>
      </c>
    </row>
    <row r="1846" spans="1:8" ht="15.75" customHeight="1" x14ac:dyDescent="0.25">
      <c r="A1846" s="16" t="s">
        <v>4795</v>
      </c>
      <c r="B1846" s="16" t="s">
        <v>4796</v>
      </c>
    </row>
    <row r="1847" spans="1:8" ht="15.75" customHeight="1" x14ac:dyDescent="0.25">
      <c r="A1847" s="16" t="s">
        <v>4799</v>
      </c>
      <c r="B1847" s="16" t="s">
        <v>4800</v>
      </c>
    </row>
    <row r="1848" spans="1:8" ht="15.75" customHeight="1" x14ac:dyDescent="0.25">
      <c r="A1848" s="16" t="s">
        <v>4803</v>
      </c>
      <c r="B1848" s="16" t="s">
        <v>4804</v>
      </c>
      <c r="C1848" s="16" t="s">
        <v>7768</v>
      </c>
      <c r="E1848" s="18" t="s">
        <v>7769</v>
      </c>
    </row>
    <row r="1849" spans="1:8" ht="15.75" customHeight="1" x14ac:dyDescent="0.25">
      <c r="A1849" s="16" t="s">
        <v>4807</v>
      </c>
      <c r="B1849" s="16" t="s">
        <v>4808</v>
      </c>
      <c r="C1849" s="16" t="s">
        <v>7768</v>
      </c>
      <c r="E1849" s="18" t="s">
        <v>7769</v>
      </c>
    </row>
    <row r="1850" spans="1:8" ht="15.75" customHeight="1" x14ac:dyDescent="0.25">
      <c r="A1850" s="16" t="s">
        <v>4811</v>
      </c>
      <c r="B1850" s="16" t="s">
        <v>4812</v>
      </c>
    </row>
    <row r="1851" spans="1:8" ht="15.75" customHeight="1" x14ac:dyDescent="0.25">
      <c r="A1851" s="16" t="s">
        <v>4814</v>
      </c>
      <c r="B1851" s="16" t="s">
        <v>4815</v>
      </c>
    </row>
    <row r="1852" spans="1:8" ht="15.75" customHeight="1" x14ac:dyDescent="0.3">
      <c r="A1852" s="16" t="s">
        <v>4818</v>
      </c>
      <c r="B1852" s="16" t="s">
        <v>4819</v>
      </c>
      <c r="C1852" s="16" t="s">
        <v>8008</v>
      </c>
      <c r="E1852" s="18" t="s">
        <v>8009</v>
      </c>
      <c r="F1852" s="18" t="s">
        <v>8010</v>
      </c>
      <c r="G1852" s="17" t="s">
        <v>8011</v>
      </c>
      <c r="H1852" s="16" t="s">
        <v>8012</v>
      </c>
    </row>
    <row r="1853" spans="1:8" ht="15.75" customHeight="1" x14ac:dyDescent="0.25">
      <c r="A1853" s="16" t="s">
        <v>4818</v>
      </c>
      <c r="B1853" s="16" t="s">
        <v>4819</v>
      </c>
      <c r="C1853" s="16" t="s">
        <v>8008</v>
      </c>
      <c r="E1853" s="18" t="s">
        <v>8009</v>
      </c>
      <c r="F1853" s="18" t="s">
        <v>8013</v>
      </c>
      <c r="G1853" s="16" t="s">
        <v>8014</v>
      </c>
      <c r="H1853" s="16" t="s">
        <v>8015</v>
      </c>
    </row>
    <row r="1854" spans="1:8" ht="15.75" customHeight="1" x14ac:dyDescent="0.25">
      <c r="A1854" s="16" t="s">
        <v>4818</v>
      </c>
      <c r="B1854" s="16" t="s">
        <v>4819</v>
      </c>
      <c r="C1854" s="16" t="s">
        <v>8008</v>
      </c>
      <c r="E1854" s="18" t="s">
        <v>8009</v>
      </c>
      <c r="F1854" s="18" t="s">
        <v>8016</v>
      </c>
      <c r="G1854" s="16" t="s">
        <v>8017</v>
      </c>
      <c r="H1854" s="16" t="s">
        <v>8018</v>
      </c>
    </row>
    <row r="1855" spans="1:8" ht="15.75" customHeight="1" x14ac:dyDescent="0.25">
      <c r="A1855" s="16" t="s">
        <v>4818</v>
      </c>
      <c r="B1855" s="16" t="s">
        <v>4819</v>
      </c>
      <c r="C1855" s="16" t="s">
        <v>8008</v>
      </c>
      <c r="E1855" s="18" t="s">
        <v>8009</v>
      </c>
      <c r="F1855" s="18" t="s">
        <v>8019</v>
      </c>
      <c r="G1855" s="16" t="s">
        <v>8020</v>
      </c>
      <c r="H1855" s="16" t="s">
        <v>8021</v>
      </c>
    </row>
    <row r="1856" spans="1:8" ht="15.75" customHeight="1" x14ac:dyDescent="0.25">
      <c r="A1856" s="16" t="s">
        <v>4818</v>
      </c>
      <c r="B1856" s="16" t="s">
        <v>4819</v>
      </c>
      <c r="C1856" s="16" t="s">
        <v>8008</v>
      </c>
      <c r="E1856" s="18" t="s">
        <v>8009</v>
      </c>
      <c r="F1856" s="18" t="s">
        <v>8022</v>
      </c>
      <c r="G1856" s="16" t="s">
        <v>8023</v>
      </c>
      <c r="H1856" s="16" t="s">
        <v>8024</v>
      </c>
    </row>
    <row r="1857" spans="1:8" ht="15.75" customHeight="1" x14ac:dyDescent="0.25">
      <c r="A1857" s="16" t="s">
        <v>4818</v>
      </c>
      <c r="B1857" s="16" t="s">
        <v>4819</v>
      </c>
      <c r="C1857" s="16" t="s">
        <v>8008</v>
      </c>
      <c r="E1857" s="18" t="s">
        <v>8009</v>
      </c>
      <c r="F1857" s="18" t="s">
        <v>8025</v>
      </c>
      <c r="G1857" s="16" t="s">
        <v>8026</v>
      </c>
      <c r="H1857" s="16" t="s">
        <v>8027</v>
      </c>
    </row>
    <row r="1858" spans="1:8" ht="15.75" customHeight="1" x14ac:dyDescent="0.25">
      <c r="A1858" s="16" t="s">
        <v>4818</v>
      </c>
      <c r="B1858" s="16" t="s">
        <v>4819</v>
      </c>
      <c r="C1858" s="16" t="s">
        <v>8008</v>
      </c>
      <c r="E1858" s="18" t="s">
        <v>8009</v>
      </c>
      <c r="F1858" s="18" t="s">
        <v>8028</v>
      </c>
      <c r="G1858" s="16" t="s">
        <v>8029</v>
      </c>
      <c r="H1858" s="16" t="s">
        <v>8030</v>
      </c>
    </row>
    <row r="1859" spans="1:8" ht="15.75" customHeight="1" x14ac:dyDescent="0.25">
      <c r="A1859" s="16" t="s">
        <v>4818</v>
      </c>
      <c r="B1859" s="16" t="s">
        <v>4819</v>
      </c>
      <c r="C1859" s="16" t="s">
        <v>8008</v>
      </c>
      <c r="E1859" s="18" t="s">
        <v>8009</v>
      </c>
      <c r="F1859" s="18" t="s">
        <v>8031</v>
      </c>
      <c r="G1859" s="16" t="s">
        <v>8032</v>
      </c>
      <c r="H1859" s="16" t="s">
        <v>8033</v>
      </c>
    </row>
    <row r="1860" spans="1:8" ht="15.75" customHeight="1" x14ac:dyDescent="0.25">
      <c r="A1860" s="16" t="s">
        <v>4818</v>
      </c>
      <c r="B1860" s="16" t="s">
        <v>4819</v>
      </c>
      <c r="C1860" s="16" t="s">
        <v>8008</v>
      </c>
      <c r="E1860" s="18" t="s">
        <v>8009</v>
      </c>
      <c r="F1860" s="18" t="s">
        <v>8034</v>
      </c>
      <c r="G1860" s="16" t="s">
        <v>8035</v>
      </c>
      <c r="H1860" s="16" t="s">
        <v>8036</v>
      </c>
    </row>
    <row r="1861" spans="1:8" ht="15.75" customHeight="1" x14ac:dyDescent="0.25">
      <c r="A1861" s="16" t="s">
        <v>4818</v>
      </c>
      <c r="B1861" s="16" t="s">
        <v>4819</v>
      </c>
      <c r="C1861" s="16" t="s">
        <v>8008</v>
      </c>
      <c r="E1861" s="18" t="s">
        <v>8009</v>
      </c>
      <c r="F1861" s="18" t="s">
        <v>8037</v>
      </c>
      <c r="G1861" s="16" t="s">
        <v>8038</v>
      </c>
      <c r="H1861" s="16" t="s">
        <v>8039</v>
      </c>
    </row>
    <row r="1862" spans="1:8" ht="15.75" customHeight="1" x14ac:dyDescent="0.25">
      <c r="A1862" s="16"/>
      <c r="B1862" s="16"/>
      <c r="C1862" s="16"/>
      <c r="E1862" s="16"/>
    </row>
    <row r="1863" spans="1:8" ht="15.75" customHeight="1" x14ac:dyDescent="0.25">
      <c r="A1863" s="16" t="s">
        <v>4818</v>
      </c>
      <c r="B1863" s="16" t="s">
        <v>4819</v>
      </c>
      <c r="C1863" s="16" t="s">
        <v>8588</v>
      </c>
      <c r="E1863" s="18" t="s">
        <v>8589</v>
      </c>
      <c r="F1863" s="18" t="s">
        <v>8590</v>
      </c>
      <c r="G1863" s="16" t="s">
        <v>8591</v>
      </c>
      <c r="H1863" s="16" t="s">
        <v>8592</v>
      </c>
    </row>
    <row r="1864" spans="1:8" ht="15.75" customHeight="1" x14ac:dyDescent="0.25">
      <c r="A1864" s="16" t="s">
        <v>4820</v>
      </c>
      <c r="B1864" s="16" t="s">
        <v>4821</v>
      </c>
    </row>
    <row r="1865" spans="1:8" ht="15.75" customHeight="1" x14ac:dyDescent="0.25">
      <c r="A1865" s="16" t="s">
        <v>4822</v>
      </c>
      <c r="B1865" s="16" t="s">
        <v>4823</v>
      </c>
    </row>
    <row r="1866" spans="1:8" ht="15.75" customHeight="1" x14ac:dyDescent="0.25">
      <c r="A1866" s="16" t="s">
        <v>4826</v>
      </c>
      <c r="B1866" s="16" t="s">
        <v>4827</v>
      </c>
    </row>
    <row r="1867" spans="1:8" ht="15.75" customHeight="1" x14ac:dyDescent="0.25">
      <c r="B1867" s="16" t="s">
        <v>4828</v>
      </c>
    </row>
    <row r="1868" spans="1:8" ht="15.75" customHeight="1" x14ac:dyDescent="0.25">
      <c r="A1868" s="16" t="s">
        <v>4831</v>
      </c>
      <c r="B1868" s="16" t="s">
        <v>4832</v>
      </c>
      <c r="C1868" s="16" t="s">
        <v>8593</v>
      </c>
      <c r="E1868" s="18" t="s">
        <v>8594</v>
      </c>
    </row>
    <row r="1869" spans="1:8" ht="15.75" customHeight="1" x14ac:dyDescent="0.25">
      <c r="A1869" s="16" t="s">
        <v>4831</v>
      </c>
      <c r="B1869" s="16" t="s">
        <v>4832</v>
      </c>
      <c r="C1869" s="16" t="s">
        <v>7016</v>
      </c>
    </row>
    <row r="1870" spans="1:8" ht="15.75" customHeight="1" x14ac:dyDescent="0.25">
      <c r="A1870" s="16" t="s">
        <v>4835</v>
      </c>
      <c r="B1870" s="16" t="s">
        <v>4836</v>
      </c>
    </row>
    <row r="1871" spans="1:8" ht="15.75" customHeight="1" x14ac:dyDescent="0.25">
      <c r="A1871" s="16" t="s">
        <v>4839</v>
      </c>
      <c r="B1871" s="16" t="s">
        <v>4840</v>
      </c>
    </row>
    <row r="1872" spans="1:8" ht="15.75" customHeight="1" x14ac:dyDescent="0.25">
      <c r="A1872" s="16" t="s">
        <v>4843</v>
      </c>
      <c r="B1872" s="16" t="s">
        <v>4844</v>
      </c>
      <c r="C1872" s="16" t="s">
        <v>8595</v>
      </c>
      <c r="E1872" s="18" t="s">
        <v>8596</v>
      </c>
    </row>
    <row r="1873" spans="1:8" ht="15.75" customHeight="1" x14ac:dyDescent="0.25">
      <c r="A1873" s="16" t="s">
        <v>4847</v>
      </c>
      <c r="B1873" s="16" t="s">
        <v>4848</v>
      </c>
      <c r="C1873" s="16" t="s">
        <v>6811</v>
      </c>
    </row>
    <row r="1874" spans="1:8" ht="15.75" customHeight="1" x14ac:dyDescent="0.25">
      <c r="A1874" s="16" t="s">
        <v>4851</v>
      </c>
      <c r="B1874" s="16" t="s">
        <v>4852</v>
      </c>
      <c r="C1874" s="16" t="s">
        <v>8597</v>
      </c>
      <c r="E1874" s="18" t="s">
        <v>8598</v>
      </c>
      <c r="F1874" s="18" t="s">
        <v>8599</v>
      </c>
      <c r="G1874" s="16" t="s">
        <v>8600</v>
      </c>
      <c r="H1874" s="16" t="s">
        <v>8601</v>
      </c>
    </row>
    <row r="1875" spans="1:8" ht="15.75" customHeight="1" x14ac:dyDescent="0.25">
      <c r="A1875" s="16" t="s">
        <v>4851</v>
      </c>
      <c r="B1875" s="16" t="s">
        <v>4852</v>
      </c>
      <c r="C1875" s="16" t="s">
        <v>8597</v>
      </c>
      <c r="E1875" s="18" t="s">
        <v>8598</v>
      </c>
      <c r="F1875" s="18" t="s">
        <v>8602</v>
      </c>
      <c r="G1875" s="16" t="s">
        <v>8603</v>
      </c>
      <c r="H1875" s="16" t="s">
        <v>8604</v>
      </c>
    </row>
    <row r="1876" spans="1:8" ht="15.75" customHeight="1" x14ac:dyDescent="0.25">
      <c r="A1876" s="16" t="s">
        <v>4855</v>
      </c>
      <c r="B1876" s="16" t="s">
        <v>4856</v>
      </c>
      <c r="C1876" s="16" t="s">
        <v>8605</v>
      </c>
      <c r="E1876" s="18" t="s">
        <v>8606</v>
      </c>
      <c r="F1876" s="18" t="s">
        <v>8607</v>
      </c>
      <c r="G1876" s="16" t="s">
        <v>8608</v>
      </c>
      <c r="H1876" s="16" t="s">
        <v>8609</v>
      </c>
    </row>
    <row r="1877" spans="1:8" ht="15.75" customHeight="1" x14ac:dyDescent="0.25">
      <c r="A1877" s="16" t="s">
        <v>4859</v>
      </c>
      <c r="B1877" s="16" t="s">
        <v>4860</v>
      </c>
    </row>
    <row r="1878" spans="1:8" ht="15.75" customHeight="1" x14ac:dyDescent="0.25">
      <c r="A1878" s="16" t="s">
        <v>4862</v>
      </c>
      <c r="B1878" s="16" t="s">
        <v>4863</v>
      </c>
    </row>
    <row r="1879" spans="1:8" ht="15.75" customHeight="1" x14ac:dyDescent="0.25">
      <c r="A1879" s="16" t="s">
        <v>4865</v>
      </c>
      <c r="B1879" s="16" t="s">
        <v>4866</v>
      </c>
    </row>
    <row r="1880" spans="1:8" ht="15.75" customHeight="1" x14ac:dyDescent="0.25">
      <c r="A1880" s="16" t="s">
        <v>4867</v>
      </c>
      <c r="B1880" s="16" t="s">
        <v>4868</v>
      </c>
    </row>
    <row r="1881" spans="1:8" ht="15.75" customHeight="1" x14ac:dyDescent="0.25">
      <c r="A1881" s="16" t="s">
        <v>4870</v>
      </c>
      <c r="B1881" s="16" t="s">
        <v>4871</v>
      </c>
    </row>
    <row r="1882" spans="1:8" ht="15.75" customHeight="1" x14ac:dyDescent="0.25">
      <c r="A1882" s="16" t="s">
        <v>4873</v>
      </c>
      <c r="B1882" s="16" t="s">
        <v>4874</v>
      </c>
    </row>
    <row r="1883" spans="1:8" ht="15.75" customHeight="1" x14ac:dyDescent="0.25">
      <c r="A1883" s="16" t="s">
        <v>4876</v>
      </c>
      <c r="B1883" s="16" t="s">
        <v>4877</v>
      </c>
    </row>
    <row r="1884" spans="1:8" ht="15.75" customHeight="1" x14ac:dyDescent="0.25">
      <c r="A1884" s="16" t="s">
        <v>4878</v>
      </c>
      <c r="B1884" s="16" t="s">
        <v>4879</v>
      </c>
    </row>
    <row r="1885" spans="1:8" ht="15.75" customHeight="1" x14ac:dyDescent="0.25">
      <c r="A1885" s="16" t="s">
        <v>4882</v>
      </c>
      <c r="B1885" s="16" t="s">
        <v>4883</v>
      </c>
    </row>
    <row r="1886" spans="1:8" ht="15.75" customHeight="1" x14ac:dyDescent="0.25">
      <c r="A1886" s="16" t="s">
        <v>4885</v>
      </c>
      <c r="B1886" s="16" t="s">
        <v>4886</v>
      </c>
    </row>
    <row r="1887" spans="1:8" ht="15.75" customHeight="1" x14ac:dyDescent="0.25">
      <c r="A1887" s="16" t="s">
        <v>4887</v>
      </c>
      <c r="B1887" s="16" t="s">
        <v>4888</v>
      </c>
    </row>
    <row r="1888" spans="1:8" ht="15.75" customHeight="1" x14ac:dyDescent="0.25">
      <c r="A1888" s="16" t="s">
        <v>4890</v>
      </c>
      <c r="B1888" s="16" t="s">
        <v>4891</v>
      </c>
    </row>
    <row r="1889" spans="1:8" ht="15.75" customHeight="1" x14ac:dyDescent="0.25">
      <c r="A1889" s="16" t="s">
        <v>4893</v>
      </c>
      <c r="B1889" s="16" t="s">
        <v>4894</v>
      </c>
    </row>
    <row r="1890" spans="1:8" ht="15.75" customHeight="1" x14ac:dyDescent="0.25">
      <c r="A1890" s="16" t="s">
        <v>4897</v>
      </c>
      <c r="B1890" s="16" t="s">
        <v>4898</v>
      </c>
      <c r="C1890" s="16" t="s">
        <v>8610</v>
      </c>
      <c r="E1890" s="18" t="s">
        <v>8611</v>
      </c>
      <c r="F1890" s="18" t="s">
        <v>8612</v>
      </c>
      <c r="G1890" s="16" t="s">
        <v>8613</v>
      </c>
      <c r="H1890" s="16" t="s">
        <v>8614</v>
      </c>
    </row>
    <row r="1891" spans="1:8" ht="15.75" customHeight="1" x14ac:dyDescent="0.25">
      <c r="A1891" s="16" t="s">
        <v>4901</v>
      </c>
      <c r="B1891" s="16" t="s">
        <v>4902</v>
      </c>
      <c r="C1891" s="16" t="s">
        <v>8615</v>
      </c>
      <c r="E1891" s="18" t="s">
        <v>8616</v>
      </c>
      <c r="F1891" s="18" t="s">
        <v>8617</v>
      </c>
      <c r="G1891" s="16" t="s">
        <v>8618</v>
      </c>
      <c r="H1891" s="16" t="s">
        <v>8619</v>
      </c>
    </row>
    <row r="1892" spans="1:8" ht="15.75" customHeight="1" x14ac:dyDescent="0.25">
      <c r="A1892" s="16" t="s">
        <v>4905</v>
      </c>
      <c r="B1892" s="16" t="s">
        <v>4906</v>
      </c>
      <c r="C1892" s="16" t="s">
        <v>8620</v>
      </c>
      <c r="E1892" s="18" t="s">
        <v>8621</v>
      </c>
      <c r="F1892" s="18" t="s">
        <v>8622</v>
      </c>
      <c r="G1892" s="16" t="s">
        <v>6522</v>
      </c>
      <c r="H1892" s="16" t="s">
        <v>8623</v>
      </c>
    </row>
    <row r="1893" spans="1:8" ht="15.75" customHeight="1" x14ac:dyDescent="0.25">
      <c r="A1893" s="16" t="s">
        <v>4905</v>
      </c>
      <c r="B1893" s="16" t="s">
        <v>4906</v>
      </c>
      <c r="C1893" s="16" t="s">
        <v>8620</v>
      </c>
      <c r="E1893" s="18" t="s">
        <v>8621</v>
      </c>
      <c r="F1893" s="18" t="s">
        <v>8624</v>
      </c>
      <c r="G1893" s="16" t="s">
        <v>6522</v>
      </c>
      <c r="H1893" s="16" t="s">
        <v>8625</v>
      </c>
    </row>
    <row r="1894" spans="1:8" ht="15.75" customHeight="1" x14ac:dyDescent="0.25">
      <c r="A1894" s="16" t="s">
        <v>4905</v>
      </c>
      <c r="B1894" s="16" t="s">
        <v>4906</v>
      </c>
      <c r="C1894" s="16" t="s">
        <v>8620</v>
      </c>
      <c r="E1894" s="18" t="s">
        <v>8621</v>
      </c>
      <c r="F1894" s="18" t="s">
        <v>8626</v>
      </c>
      <c r="G1894" s="16" t="s">
        <v>8253</v>
      </c>
      <c r="H1894" s="16" t="s">
        <v>8627</v>
      </c>
    </row>
    <row r="1895" spans="1:8" ht="15.75" customHeight="1" x14ac:dyDescent="0.25">
      <c r="A1895" s="16" t="s">
        <v>4905</v>
      </c>
      <c r="B1895" s="16" t="s">
        <v>4906</v>
      </c>
      <c r="C1895" s="16" t="s">
        <v>8620</v>
      </c>
      <c r="E1895" s="18" t="s">
        <v>8621</v>
      </c>
      <c r="F1895" s="18" t="s">
        <v>8628</v>
      </c>
      <c r="G1895" s="16" t="s">
        <v>8629</v>
      </c>
      <c r="H1895" s="16" t="s">
        <v>8630</v>
      </c>
    </row>
    <row r="1896" spans="1:8" ht="15.75" customHeight="1" x14ac:dyDescent="0.25">
      <c r="A1896" s="16" t="s">
        <v>4905</v>
      </c>
      <c r="B1896" s="16" t="s">
        <v>4906</v>
      </c>
      <c r="C1896" s="16" t="s">
        <v>8620</v>
      </c>
      <c r="E1896" s="18" t="s">
        <v>8621</v>
      </c>
      <c r="F1896" s="18" t="s">
        <v>8631</v>
      </c>
      <c r="G1896" s="16" t="s">
        <v>8632</v>
      </c>
      <c r="H1896" s="16" t="s">
        <v>8627</v>
      </c>
    </row>
    <row r="1897" spans="1:8" ht="15.75" customHeight="1" x14ac:dyDescent="0.25">
      <c r="A1897" s="16"/>
      <c r="B1897" s="16"/>
      <c r="C1897" s="16"/>
      <c r="E1897" s="16"/>
    </row>
    <row r="1898" spans="1:8" ht="15.75" customHeight="1" x14ac:dyDescent="0.25">
      <c r="A1898" s="16" t="s">
        <v>4908</v>
      </c>
      <c r="B1898" s="16" t="s">
        <v>4909</v>
      </c>
    </row>
    <row r="1899" spans="1:8" ht="15.75" customHeight="1" x14ac:dyDescent="0.25">
      <c r="A1899" s="16" t="s">
        <v>4910</v>
      </c>
      <c r="B1899" s="16" t="s">
        <v>4911</v>
      </c>
      <c r="C1899" s="16" t="s">
        <v>8495</v>
      </c>
      <c r="E1899" s="18" t="s">
        <v>8496</v>
      </c>
      <c r="F1899" s="18" t="s">
        <v>8497</v>
      </c>
      <c r="G1899" s="16" t="s">
        <v>8498</v>
      </c>
      <c r="H1899" s="16" t="s">
        <v>8499</v>
      </c>
    </row>
    <row r="1900" spans="1:8" ht="15.75" customHeight="1" x14ac:dyDescent="0.25">
      <c r="A1900" s="16" t="s">
        <v>4910</v>
      </c>
      <c r="B1900" s="16" t="s">
        <v>4911</v>
      </c>
      <c r="C1900" s="16" t="s">
        <v>8495</v>
      </c>
      <c r="E1900" s="18" t="s">
        <v>8496</v>
      </c>
      <c r="F1900" s="18" t="s">
        <v>8500</v>
      </c>
      <c r="G1900" s="16" t="s">
        <v>8501</v>
      </c>
      <c r="H1900" s="16" t="s">
        <v>8502</v>
      </c>
    </row>
    <row r="1901" spans="1:8" ht="15.75" customHeight="1" x14ac:dyDescent="0.25">
      <c r="A1901" s="16" t="s">
        <v>4910</v>
      </c>
      <c r="B1901" s="16" t="s">
        <v>4911</v>
      </c>
      <c r="C1901" s="16" t="s">
        <v>8495</v>
      </c>
      <c r="E1901" s="18" t="s">
        <v>8496</v>
      </c>
      <c r="F1901" s="18" t="s">
        <v>8503</v>
      </c>
      <c r="G1901" s="16" t="s">
        <v>8504</v>
      </c>
      <c r="H1901" s="16" t="s">
        <v>8505</v>
      </c>
    </row>
    <row r="1902" spans="1:8" ht="15.75" customHeight="1" x14ac:dyDescent="0.25">
      <c r="A1902" s="16"/>
      <c r="B1902" s="16"/>
      <c r="C1902" s="16"/>
      <c r="E1902" s="16"/>
    </row>
    <row r="1903" spans="1:8" ht="15.75" customHeight="1" x14ac:dyDescent="0.25">
      <c r="A1903" s="16" t="s">
        <v>4914</v>
      </c>
      <c r="B1903" s="16" t="s">
        <v>4915</v>
      </c>
      <c r="C1903" s="16" t="s">
        <v>8633</v>
      </c>
      <c r="E1903" s="18" t="s">
        <v>8634</v>
      </c>
      <c r="F1903" s="18" t="s">
        <v>8635</v>
      </c>
      <c r="G1903" s="16" t="s">
        <v>8636</v>
      </c>
      <c r="H1903" s="16" t="s">
        <v>8637</v>
      </c>
    </row>
    <row r="1904" spans="1:8" ht="15.75" customHeight="1" x14ac:dyDescent="0.25">
      <c r="A1904" s="16" t="s">
        <v>4914</v>
      </c>
      <c r="B1904" s="16" t="s">
        <v>4915</v>
      </c>
      <c r="C1904" s="16" t="s">
        <v>8633</v>
      </c>
      <c r="E1904" s="18" t="s">
        <v>8634</v>
      </c>
      <c r="F1904" s="18" t="s">
        <v>8638</v>
      </c>
      <c r="G1904" s="16" t="s">
        <v>8639</v>
      </c>
      <c r="H1904" s="16" t="s">
        <v>8640</v>
      </c>
    </row>
    <row r="1905" spans="1:8" ht="15.75" customHeight="1" x14ac:dyDescent="0.25">
      <c r="A1905" s="16" t="s">
        <v>4918</v>
      </c>
      <c r="B1905" s="16" t="s">
        <v>4919</v>
      </c>
    </row>
    <row r="1906" spans="1:8" ht="15.75" customHeight="1" x14ac:dyDescent="0.25">
      <c r="A1906" s="16" t="s">
        <v>4922</v>
      </c>
      <c r="B1906" s="16" t="s">
        <v>4923</v>
      </c>
    </row>
    <row r="1907" spans="1:8" ht="15.75" customHeight="1" x14ac:dyDescent="0.25">
      <c r="A1907" s="16" t="s">
        <v>4926</v>
      </c>
      <c r="B1907" s="16" t="s">
        <v>4927</v>
      </c>
    </row>
    <row r="1908" spans="1:8" ht="15.75" customHeight="1" x14ac:dyDescent="0.25">
      <c r="A1908" s="16" t="s">
        <v>4929</v>
      </c>
      <c r="B1908" s="16" t="s">
        <v>4930</v>
      </c>
    </row>
    <row r="1909" spans="1:8" ht="15.75" customHeight="1" x14ac:dyDescent="0.25">
      <c r="A1909" s="16" t="s">
        <v>4933</v>
      </c>
      <c r="B1909" s="16" t="s">
        <v>4934</v>
      </c>
      <c r="C1909" s="16" t="s">
        <v>8641</v>
      </c>
      <c r="E1909" s="18" t="s">
        <v>8642</v>
      </c>
      <c r="F1909" s="18" t="s">
        <v>8643</v>
      </c>
      <c r="G1909" s="16" t="s">
        <v>8644</v>
      </c>
      <c r="H1909" s="16" t="s">
        <v>8645</v>
      </c>
    </row>
    <row r="1910" spans="1:8" ht="15.75" customHeight="1" x14ac:dyDescent="0.25">
      <c r="A1910" s="16" t="s">
        <v>4937</v>
      </c>
      <c r="B1910" s="16" t="s">
        <v>4938</v>
      </c>
      <c r="C1910" s="16" t="s">
        <v>8646</v>
      </c>
      <c r="E1910" s="18" t="s">
        <v>8647</v>
      </c>
      <c r="F1910" s="18" t="s">
        <v>8648</v>
      </c>
      <c r="G1910" s="16" t="s">
        <v>8649</v>
      </c>
      <c r="H1910" s="16" t="s">
        <v>8650</v>
      </c>
    </row>
    <row r="1911" spans="1:8" ht="15.75" customHeight="1" x14ac:dyDescent="0.25">
      <c r="A1911" s="16" t="s">
        <v>4941</v>
      </c>
      <c r="B1911" s="16" t="s">
        <v>4942</v>
      </c>
      <c r="C1911" s="16" t="s">
        <v>6794</v>
      </c>
      <c r="E1911" s="18" t="s">
        <v>6795</v>
      </c>
    </row>
    <row r="1912" spans="1:8" ht="15.75" customHeight="1" x14ac:dyDescent="0.25">
      <c r="A1912" s="16" t="s">
        <v>4945</v>
      </c>
      <c r="B1912" s="16" t="s">
        <v>4946</v>
      </c>
      <c r="C1912" s="16" t="s">
        <v>8651</v>
      </c>
      <c r="E1912" s="18" t="s">
        <v>8652</v>
      </c>
      <c r="F1912" s="18" t="s">
        <v>8653</v>
      </c>
      <c r="G1912" s="16" t="s">
        <v>8654</v>
      </c>
      <c r="H1912" s="16" t="s">
        <v>8655</v>
      </c>
    </row>
    <row r="1913" spans="1:8" ht="15.75" customHeight="1" x14ac:dyDescent="0.25">
      <c r="A1913" s="16" t="s">
        <v>4945</v>
      </c>
      <c r="B1913" s="16" t="s">
        <v>4946</v>
      </c>
      <c r="C1913" s="16" t="s">
        <v>8651</v>
      </c>
      <c r="E1913" s="18" t="s">
        <v>8652</v>
      </c>
      <c r="F1913" s="18" t="s">
        <v>8656</v>
      </c>
      <c r="G1913" s="16" t="s">
        <v>8657</v>
      </c>
      <c r="H1913" s="16" t="s">
        <v>8658</v>
      </c>
    </row>
    <row r="1914" spans="1:8" ht="15.75" customHeight="1" x14ac:dyDescent="0.25">
      <c r="A1914" s="16" t="s">
        <v>4948</v>
      </c>
      <c r="B1914" s="16" t="s">
        <v>4949</v>
      </c>
    </row>
    <row r="1915" spans="1:8" ht="15.75" customHeight="1" x14ac:dyDescent="0.25">
      <c r="A1915" s="16" t="s">
        <v>4952</v>
      </c>
      <c r="B1915" s="16" t="s">
        <v>4953</v>
      </c>
      <c r="C1915" s="16" t="s">
        <v>8659</v>
      </c>
      <c r="E1915" s="18" t="s">
        <v>8660</v>
      </c>
    </row>
    <row r="1916" spans="1:8" ht="15.75" customHeight="1" x14ac:dyDescent="0.25">
      <c r="A1916" s="16" t="s">
        <v>4955</v>
      </c>
      <c r="B1916" s="16" t="s">
        <v>4956</v>
      </c>
    </row>
    <row r="1917" spans="1:8" ht="15.75" customHeight="1" x14ac:dyDescent="0.25">
      <c r="A1917" s="16" t="s">
        <v>4959</v>
      </c>
      <c r="B1917" s="16" t="s">
        <v>4960</v>
      </c>
    </row>
    <row r="1918" spans="1:8" ht="15.75" customHeight="1" x14ac:dyDescent="0.25">
      <c r="A1918" s="16" t="s">
        <v>4963</v>
      </c>
      <c r="B1918" s="16" t="s">
        <v>4964</v>
      </c>
    </row>
    <row r="1919" spans="1:8" ht="15.75" customHeight="1" x14ac:dyDescent="0.25">
      <c r="A1919" s="16" t="s">
        <v>4966</v>
      </c>
      <c r="B1919" s="16" t="s">
        <v>4967</v>
      </c>
    </row>
    <row r="1920" spans="1:8" ht="15.75" customHeight="1" x14ac:dyDescent="0.25">
      <c r="A1920" s="16" t="s">
        <v>4970</v>
      </c>
      <c r="B1920" s="16" t="s">
        <v>4971</v>
      </c>
      <c r="C1920" s="16" t="s">
        <v>8661</v>
      </c>
      <c r="E1920" s="18" t="s">
        <v>8662</v>
      </c>
      <c r="F1920" s="18" t="s">
        <v>8663</v>
      </c>
      <c r="G1920" s="16" t="s">
        <v>8664</v>
      </c>
      <c r="H1920" s="16" t="s">
        <v>7375</v>
      </c>
    </row>
    <row r="1921" spans="1:8" ht="15.75" customHeight="1" x14ac:dyDescent="0.25">
      <c r="A1921" s="16" t="s">
        <v>4970</v>
      </c>
      <c r="B1921" s="16" t="s">
        <v>4971</v>
      </c>
      <c r="C1921" s="16" t="s">
        <v>8661</v>
      </c>
      <c r="E1921" s="18" t="s">
        <v>8662</v>
      </c>
      <c r="F1921" s="18" t="s">
        <v>8665</v>
      </c>
      <c r="G1921" s="16" t="s">
        <v>8666</v>
      </c>
      <c r="H1921" s="16" t="s">
        <v>8667</v>
      </c>
    </row>
    <row r="1922" spans="1:8" ht="15.75" customHeight="1" x14ac:dyDescent="0.25">
      <c r="A1922" s="16" t="s">
        <v>4970</v>
      </c>
      <c r="B1922" s="16" t="s">
        <v>4971</v>
      </c>
      <c r="C1922" s="16" t="s">
        <v>8661</v>
      </c>
      <c r="E1922" s="18" t="s">
        <v>8662</v>
      </c>
      <c r="F1922" s="18" t="s">
        <v>8668</v>
      </c>
      <c r="G1922" s="16" t="s">
        <v>8669</v>
      </c>
      <c r="H1922" s="16" t="s">
        <v>8670</v>
      </c>
    </row>
    <row r="1923" spans="1:8" ht="15.75" customHeight="1" x14ac:dyDescent="0.25">
      <c r="A1923" s="16" t="s">
        <v>4974</v>
      </c>
      <c r="B1923" s="16" t="s">
        <v>4975</v>
      </c>
      <c r="C1923" s="16" t="s">
        <v>8661</v>
      </c>
      <c r="E1923" s="18" t="s">
        <v>8662</v>
      </c>
      <c r="F1923" s="18" t="s">
        <v>8663</v>
      </c>
      <c r="G1923" s="16" t="s">
        <v>8664</v>
      </c>
      <c r="H1923" s="16" t="s">
        <v>7375</v>
      </c>
    </row>
    <row r="1924" spans="1:8" ht="15.75" customHeight="1" x14ac:dyDescent="0.25">
      <c r="A1924" s="16" t="s">
        <v>4974</v>
      </c>
      <c r="B1924" s="16" t="s">
        <v>4975</v>
      </c>
      <c r="C1924" s="16" t="s">
        <v>8661</v>
      </c>
      <c r="E1924" s="18" t="s">
        <v>8662</v>
      </c>
      <c r="F1924" s="18" t="s">
        <v>8665</v>
      </c>
      <c r="G1924" s="16" t="s">
        <v>8666</v>
      </c>
      <c r="H1924" s="16" t="s">
        <v>8671</v>
      </c>
    </row>
    <row r="1925" spans="1:8" ht="15.75" customHeight="1" x14ac:dyDescent="0.25">
      <c r="A1925" s="16" t="s">
        <v>4974</v>
      </c>
      <c r="B1925" s="16" t="s">
        <v>4975</v>
      </c>
      <c r="C1925" s="16" t="s">
        <v>8661</v>
      </c>
      <c r="E1925" s="18" t="s">
        <v>8662</v>
      </c>
      <c r="F1925" s="18" t="s">
        <v>8668</v>
      </c>
      <c r="G1925" s="16" t="s">
        <v>8669</v>
      </c>
      <c r="H1925" s="16" t="s">
        <v>8670</v>
      </c>
    </row>
    <row r="1926" spans="1:8" ht="15.75" customHeight="1" x14ac:dyDescent="0.25">
      <c r="A1926" s="16" t="s">
        <v>4977</v>
      </c>
      <c r="B1926" s="16" t="s">
        <v>4978</v>
      </c>
    </row>
    <row r="1927" spans="1:8" ht="15.75" customHeight="1" x14ac:dyDescent="0.25">
      <c r="A1927" s="16" t="s">
        <v>4981</v>
      </c>
      <c r="B1927" s="16" t="s">
        <v>4982</v>
      </c>
      <c r="C1927" s="16" t="s">
        <v>8672</v>
      </c>
      <c r="E1927" s="18" t="s">
        <v>8673</v>
      </c>
      <c r="F1927" s="18" t="s">
        <v>8674</v>
      </c>
      <c r="G1927" s="16" t="s">
        <v>8675</v>
      </c>
      <c r="H1927" s="16" t="s">
        <v>8676</v>
      </c>
    </row>
    <row r="1928" spans="1:8" ht="15.75" customHeight="1" x14ac:dyDescent="0.25">
      <c r="A1928" s="16" t="s">
        <v>4985</v>
      </c>
      <c r="B1928" s="16" t="s">
        <v>4986</v>
      </c>
      <c r="C1928" s="16" t="s">
        <v>8677</v>
      </c>
      <c r="E1928" s="18" t="s">
        <v>8678</v>
      </c>
      <c r="F1928" s="18" t="s">
        <v>8679</v>
      </c>
      <c r="G1928" s="16" t="s">
        <v>8680</v>
      </c>
      <c r="H1928" s="16" t="s">
        <v>8681</v>
      </c>
    </row>
    <row r="1929" spans="1:8" ht="15.75" customHeight="1" x14ac:dyDescent="0.25">
      <c r="A1929" s="16" t="s">
        <v>4985</v>
      </c>
      <c r="B1929" s="16" t="s">
        <v>4986</v>
      </c>
      <c r="C1929" s="16" t="s">
        <v>8677</v>
      </c>
      <c r="E1929" s="18" t="s">
        <v>8678</v>
      </c>
      <c r="F1929" s="18" t="s">
        <v>8682</v>
      </c>
      <c r="G1929" s="16" t="s">
        <v>8683</v>
      </c>
      <c r="H1929" s="16" t="s">
        <v>8684</v>
      </c>
    </row>
    <row r="1930" spans="1:8" ht="15.75" customHeight="1" x14ac:dyDescent="0.25">
      <c r="A1930" s="16" t="s">
        <v>4987</v>
      </c>
      <c r="B1930" s="16" t="s">
        <v>4988</v>
      </c>
    </row>
    <row r="1931" spans="1:8" ht="15.75" customHeight="1" x14ac:dyDescent="0.25">
      <c r="A1931" s="16" t="s">
        <v>4991</v>
      </c>
      <c r="B1931" s="16" t="s">
        <v>4992</v>
      </c>
    </row>
    <row r="1932" spans="1:8" ht="15.75" customHeight="1" x14ac:dyDescent="0.25">
      <c r="A1932" s="16" t="s">
        <v>4995</v>
      </c>
      <c r="B1932" s="16" t="s">
        <v>4996</v>
      </c>
    </row>
    <row r="1933" spans="1:8" ht="15.75" customHeight="1" x14ac:dyDescent="0.25">
      <c r="B1933" s="16" t="s">
        <v>4997</v>
      </c>
    </row>
    <row r="1934" spans="1:8" ht="15.75" customHeight="1" x14ac:dyDescent="0.25">
      <c r="A1934" s="16" t="s">
        <v>4999</v>
      </c>
      <c r="B1934" s="16" t="s">
        <v>5000</v>
      </c>
    </row>
    <row r="1935" spans="1:8" ht="15.75" customHeight="1" x14ac:dyDescent="0.25">
      <c r="A1935" s="16" t="s">
        <v>5002</v>
      </c>
      <c r="B1935" s="16" t="s">
        <v>5003</v>
      </c>
    </row>
    <row r="1936" spans="1:8" ht="15.75" customHeight="1" x14ac:dyDescent="0.25">
      <c r="A1936" s="16" t="s">
        <v>5004</v>
      </c>
      <c r="B1936" s="16" t="s">
        <v>5005</v>
      </c>
    </row>
    <row r="1937" spans="1:2" ht="15.75" customHeight="1" x14ac:dyDescent="0.25">
      <c r="A1937" s="16" t="s">
        <v>5006</v>
      </c>
      <c r="B1937" s="16" t="s">
        <v>5007</v>
      </c>
    </row>
    <row r="1938" spans="1:2" ht="15.75" customHeight="1" x14ac:dyDescent="0.25">
      <c r="A1938" s="16" t="s">
        <v>5008</v>
      </c>
      <c r="B1938" s="16" t="s">
        <v>5009</v>
      </c>
    </row>
    <row r="1939" spans="1:2" ht="15.75" customHeight="1" x14ac:dyDescent="0.25">
      <c r="A1939" s="16" t="s">
        <v>5010</v>
      </c>
      <c r="B1939" s="16" t="s">
        <v>5011</v>
      </c>
    </row>
    <row r="1940" spans="1:2" ht="15.75" customHeight="1" x14ac:dyDescent="0.25">
      <c r="A1940" s="16" t="s">
        <v>5012</v>
      </c>
      <c r="B1940" s="16" t="s">
        <v>5013</v>
      </c>
    </row>
    <row r="1941" spans="1:2" ht="15.75" customHeight="1" x14ac:dyDescent="0.25">
      <c r="A1941" s="16" t="s">
        <v>5014</v>
      </c>
      <c r="B1941" s="16" t="s">
        <v>5015</v>
      </c>
    </row>
    <row r="1942" spans="1:2" ht="15.75" customHeight="1" x14ac:dyDescent="0.25">
      <c r="A1942" s="16" t="s">
        <v>5017</v>
      </c>
      <c r="B1942" s="16" t="s">
        <v>5018</v>
      </c>
    </row>
    <row r="1943" spans="1:2" ht="15.75" customHeight="1" x14ac:dyDescent="0.25">
      <c r="A1943" s="16" t="s">
        <v>5019</v>
      </c>
      <c r="B1943" s="16" t="s">
        <v>5020</v>
      </c>
    </row>
    <row r="1944" spans="1:2" ht="15.75" customHeight="1" x14ac:dyDescent="0.25">
      <c r="A1944" s="16" t="s">
        <v>5021</v>
      </c>
      <c r="B1944" s="16" t="s">
        <v>5022</v>
      </c>
    </row>
    <row r="1945" spans="1:2" ht="15.75" customHeight="1" x14ac:dyDescent="0.25">
      <c r="A1945" s="16" t="s">
        <v>5023</v>
      </c>
      <c r="B1945" s="16" t="s">
        <v>5024</v>
      </c>
    </row>
    <row r="1946" spans="1:2" ht="15.75" customHeight="1" x14ac:dyDescent="0.25">
      <c r="A1946" s="16" t="s">
        <v>5025</v>
      </c>
      <c r="B1946" s="16" t="s">
        <v>5026</v>
      </c>
    </row>
    <row r="1947" spans="1:2" ht="15.75" customHeight="1" x14ac:dyDescent="0.25">
      <c r="A1947" s="16" t="s">
        <v>5028</v>
      </c>
      <c r="B1947" s="16" t="s">
        <v>5029</v>
      </c>
    </row>
    <row r="1948" spans="1:2" ht="15.75" customHeight="1" x14ac:dyDescent="0.25">
      <c r="A1948" s="16" t="s">
        <v>5030</v>
      </c>
      <c r="B1948" s="16" t="s">
        <v>5031</v>
      </c>
    </row>
    <row r="1949" spans="1:2" ht="15.75" customHeight="1" x14ac:dyDescent="0.25">
      <c r="A1949" s="16" t="s">
        <v>5032</v>
      </c>
      <c r="B1949" s="16" t="s">
        <v>5033</v>
      </c>
    </row>
    <row r="1950" spans="1:2" ht="15.75" customHeight="1" x14ac:dyDescent="0.25">
      <c r="A1950" s="16" t="s">
        <v>5034</v>
      </c>
      <c r="B1950" s="16" t="s">
        <v>5035</v>
      </c>
    </row>
    <row r="1951" spans="1:2" ht="15.75" customHeight="1" x14ac:dyDescent="0.25">
      <c r="A1951" s="16" t="s">
        <v>5036</v>
      </c>
      <c r="B1951" s="16" t="s">
        <v>5037</v>
      </c>
    </row>
    <row r="1952" spans="1:2" ht="15.75" customHeight="1" x14ac:dyDescent="0.25">
      <c r="B1952" s="16" t="s">
        <v>5038</v>
      </c>
    </row>
    <row r="1953" spans="1:8" ht="15.75" customHeight="1" x14ac:dyDescent="0.25">
      <c r="A1953" s="16" t="s">
        <v>5039</v>
      </c>
      <c r="B1953" s="16" t="s">
        <v>5040</v>
      </c>
    </row>
    <row r="1954" spans="1:8" ht="15.75" customHeight="1" x14ac:dyDescent="0.25">
      <c r="A1954" s="16" t="s">
        <v>5041</v>
      </c>
      <c r="B1954" s="16" t="s">
        <v>5042</v>
      </c>
    </row>
    <row r="1955" spans="1:8" ht="15.75" customHeight="1" x14ac:dyDescent="0.25">
      <c r="A1955" s="16" t="s">
        <v>5044</v>
      </c>
      <c r="B1955" s="16" t="s">
        <v>5045</v>
      </c>
    </row>
    <row r="1956" spans="1:8" ht="15.75" customHeight="1" x14ac:dyDescent="0.25">
      <c r="A1956" s="16" t="s">
        <v>5047</v>
      </c>
      <c r="B1956" s="16" t="s">
        <v>5048</v>
      </c>
    </row>
    <row r="1957" spans="1:8" ht="15.75" customHeight="1" x14ac:dyDescent="0.25">
      <c r="A1957" s="16" t="s">
        <v>5049</v>
      </c>
      <c r="B1957" s="16" t="s">
        <v>5050</v>
      </c>
    </row>
    <row r="1958" spans="1:8" ht="15.75" customHeight="1" x14ac:dyDescent="0.25">
      <c r="A1958" s="16" t="s">
        <v>5052</v>
      </c>
      <c r="B1958" s="16" t="s">
        <v>5053</v>
      </c>
    </row>
    <row r="1959" spans="1:8" ht="15.75" customHeight="1" x14ac:dyDescent="0.25">
      <c r="A1959" s="16" t="s">
        <v>5055</v>
      </c>
      <c r="B1959" s="16" t="s">
        <v>5056</v>
      </c>
    </row>
    <row r="1960" spans="1:8" ht="15.75" customHeight="1" x14ac:dyDescent="0.25">
      <c r="A1960" s="16" t="s">
        <v>5057</v>
      </c>
      <c r="B1960" s="16" t="s">
        <v>5058</v>
      </c>
    </row>
    <row r="1961" spans="1:8" ht="15.75" customHeight="1" x14ac:dyDescent="0.25">
      <c r="A1961" s="16" t="s">
        <v>5059</v>
      </c>
      <c r="B1961" s="16" t="s">
        <v>5060</v>
      </c>
    </row>
    <row r="1962" spans="1:8" ht="15.75" customHeight="1" x14ac:dyDescent="0.25">
      <c r="A1962" s="16" t="s">
        <v>5061</v>
      </c>
      <c r="B1962" s="16" t="s">
        <v>5062</v>
      </c>
    </row>
    <row r="1963" spans="1:8" ht="15.75" customHeight="1" x14ac:dyDescent="0.25">
      <c r="A1963" s="16" t="s">
        <v>5064</v>
      </c>
      <c r="B1963" s="16" t="s">
        <v>5065</v>
      </c>
    </row>
    <row r="1964" spans="1:8" ht="15.75" customHeight="1" x14ac:dyDescent="0.25">
      <c r="A1964" s="16" t="s">
        <v>5067</v>
      </c>
      <c r="B1964" s="16" t="s">
        <v>5068</v>
      </c>
    </row>
    <row r="1965" spans="1:8" ht="15.75" customHeight="1" x14ac:dyDescent="0.25">
      <c r="A1965" s="16" t="s">
        <v>5070</v>
      </c>
      <c r="B1965" s="16" t="s">
        <v>5071</v>
      </c>
    </row>
    <row r="1966" spans="1:8" ht="15.75" customHeight="1" x14ac:dyDescent="0.25">
      <c r="A1966" s="16" t="s">
        <v>5072</v>
      </c>
      <c r="B1966" s="16" t="s">
        <v>5073</v>
      </c>
    </row>
    <row r="1967" spans="1:8" ht="15.75" customHeight="1" x14ac:dyDescent="0.25">
      <c r="A1967" s="16" t="s">
        <v>5075</v>
      </c>
      <c r="B1967" s="16" t="s">
        <v>5076</v>
      </c>
    </row>
    <row r="1968" spans="1:8" ht="15.75" customHeight="1" x14ac:dyDescent="0.25">
      <c r="A1968" s="16" t="s">
        <v>5079</v>
      </c>
      <c r="B1968" s="16" t="s">
        <v>5080</v>
      </c>
      <c r="C1968" s="16" t="s">
        <v>8685</v>
      </c>
      <c r="E1968" s="18" t="s">
        <v>8686</v>
      </c>
      <c r="F1968" s="18" t="s">
        <v>8687</v>
      </c>
      <c r="G1968" s="16" t="s">
        <v>8688</v>
      </c>
      <c r="H1968" s="16" t="s">
        <v>8689</v>
      </c>
    </row>
    <row r="1969" spans="1:8" ht="15.75" customHeight="1" x14ac:dyDescent="0.25">
      <c r="A1969" s="16" t="s">
        <v>5082</v>
      </c>
      <c r="B1969" s="16" t="s">
        <v>5083</v>
      </c>
    </row>
    <row r="1970" spans="1:8" ht="15.75" customHeight="1" x14ac:dyDescent="0.25">
      <c r="A1970" s="16" t="s">
        <v>5085</v>
      </c>
      <c r="B1970" s="16" t="s">
        <v>5086</v>
      </c>
    </row>
    <row r="1971" spans="1:8" ht="15.75" customHeight="1" x14ac:dyDescent="0.25">
      <c r="A1971" s="16" t="s">
        <v>5089</v>
      </c>
      <c r="B1971" s="16" t="s">
        <v>5090</v>
      </c>
      <c r="C1971" s="16" t="s">
        <v>8690</v>
      </c>
      <c r="E1971" s="18" t="s">
        <v>8691</v>
      </c>
      <c r="F1971" s="20" t="s">
        <v>8692</v>
      </c>
      <c r="G1971" s="16" t="s">
        <v>8693</v>
      </c>
      <c r="H1971" s="16" t="s">
        <v>8694</v>
      </c>
    </row>
    <row r="1972" spans="1:8" ht="15.75" customHeight="1" x14ac:dyDescent="0.25">
      <c r="A1972" s="16" t="s">
        <v>5091</v>
      </c>
      <c r="B1972" s="16" t="s">
        <v>5092</v>
      </c>
    </row>
    <row r="1973" spans="1:8" ht="15.75" customHeight="1" x14ac:dyDescent="0.25">
      <c r="B1973" s="16" t="s">
        <v>5093</v>
      </c>
    </row>
    <row r="1974" spans="1:8" ht="15.75" customHeight="1" x14ac:dyDescent="0.25">
      <c r="A1974" s="16" t="s">
        <v>5095</v>
      </c>
      <c r="B1974" s="16" t="s">
        <v>5096</v>
      </c>
    </row>
    <row r="1975" spans="1:8" ht="15.75" customHeight="1" x14ac:dyDescent="0.25">
      <c r="A1975" s="16" t="s">
        <v>5097</v>
      </c>
      <c r="B1975" s="16" t="s">
        <v>5098</v>
      </c>
    </row>
    <row r="1976" spans="1:8" ht="15.75" customHeight="1" x14ac:dyDescent="0.25">
      <c r="A1976" s="16" t="s">
        <v>5099</v>
      </c>
      <c r="B1976" s="16" t="s">
        <v>5100</v>
      </c>
    </row>
    <row r="1977" spans="1:8" ht="15.75" customHeight="1" x14ac:dyDescent="0.25">
      <c r="A1977" s="16" t="s">
        <v>5101</v>
      </c>
      <c r="B1977" s="16" t="s">
        <v>5102</v>
      </c>
    </row>
    <row r="1978" spans="1:8" ht="15.75" customHeight="1" x14ac:dyDescent="0.25">
      <c r="A1978" s="16" t="s">
        <v>5105</v>
      </c>
      <c r="B1978" s="16" t="s">
        <v>5106</v>
      </c>
      <c r="C1978" s="16" t="s">
        <v>8695</v>
      </c>
      <c r="E1978" s="18" t="s">
        <v>8696</v>
      </c>
      <c r="F1978" s="18" t="s">
        <v>8697</v>
      </c>
      <c r="G1978" s="16" t="s">
        <v>8698</v>
      </c>
      <c r="H1978" s="16" t="s">
        <v>8699</v>
      </c>
    </row>
    <row r="1979" spans="1:8" ht="15.75" customHeight="1" x14ac:dyDescent="0.25">
      <c r="A1979" s="16" t="s">
        <v>5105</v>
      </c>
      <c r="B1979" s="16" t="s">
        <v>5106</v>
      </c>
      <c r="C1979" s="16" t="s">
        <v>8695</v>
      </c>
      <c r="E1979" s="18" t="s">
        <v>8696</v>
      </c>
      <c r="F1979" s="18" t="s">
        <v>8700</v>
      </c>
      <c r="G1979" s="16" t="s">
        <v>8701</v>
      </c>
      <c r="H1979" s="16" t="s">
        <v>8699</v>
      </c>
    </row>
    <row r="1980" spans="1:8" ht="15.75" customHeight="1" x14ac:dyDescent="0.25">
      <c r="A1980" s="16" t="s">
        <v>5108</v>
      </c>
      <c r="B1980" s="16" t="s">
        <v>5109</v>
      </c>
    </row>
    <row r="1981" spans="1:8" ht="15.75" customHeight="1" x14ac:dyDescent="0.25">
      <c r="A1981" s="16" t="s">
        <v>5112</v>
      </c>
      <c r="B1981" s="16" t="s">
        <v>5113</v>
      </c>
      <c r="C1981" s="16" t="s">
        <v>8702</v>
      </c>
      <c r="E1981" s="18" t="s">
        <v>8703</v>
      </c>
      <c r="F1981" s="18" t="s">
        <v>8704</v>
      </c>
      <c r="G1981" s="16" t="s">
        <v>8705</v>
      </c>
      <c r="H1981" s="16" t="s">
        <v>8706</v>
      </c>
    </row>
    <row r="1982" spans="1:8" ht="15.75" customHeight="1" x14ac:dyDescent="0.25">
      <c r="B1982" s="16" t="s">
        <v>5115</v>
      </c>
    </row>
    <row r="1983" spans="1:8" ht="15.75" customHeight="1" x14ac:dyDescent="0.25">
      <c r="A1983" s="16" t="s">
        <v>5118</v>
      </c>
      <c r="B1983" s="16" t="s">
        <v>5119</v>
      </c>
      <c r="C1983" s="16" t="s">
        <v>8707</v>
      </c>
      <c r="E1983" s="18" t="s">
        <v>8708</v>
      </c>
      <c r="F1983" s="18" t="s">
        <v>8709</v>
      </c>
      <c r="G1983" s="16" t="s">
        <v>8710</v>
      </c>
      <c r="H1983" s="16" t="s">
        <v>8711</v>
      </c>
    </row>
    <row r="1984" spans="1:8" ht="15.75" customHeight="1" x14ac:dyDescent="0.25">
      <c r="A1984" s="16" t="s">
        <v>5118</v>
      </c>
      <c r="B1984" s="16" t="s">
        <v>5119</v>
      </c>
      <c r="C1984" s="16" t="s">
        <v>8712</v>
      </c>
      <c r="E1984" s="18" t="s">
        <v>8713</v>
      </c>
      <c r="F1984" s="18" t="s">
        <v>8714</v>
      </c>
      <c r="G1984" s="16" t="s">
        <v>8715</v>
      </c>
    </row>
    <row r="1985" spans="1:8" ht="15.75" customHeight="1" x14ac:dyDescent="0.25">
      <c r="A1985" s="16" t="s">
        <v>5122</v>
      </c>
      <c r="B1985" s="16" t="s">
        <v>5123</v>
      </c>
      <c r="C1985" s="16" t="s">
        <v>8716</v>
      </c>
      <c r="E1985" s="18" t="s">
        <v>8717</v>
      </c>
      <c r="F1985" s="18" t="s">
        <v>8718</v>
      </c>
    </row>
    <row r="1986" spans="1:8" ht="15.75" customHeight="1" x14ac:dyDescent="0.25">
      <c r="A1986" s="16" t="s">
        <v>5125</v>
      </c>
      <c r="B1986" s="16" t="s">
        <v>5126</v>
      </c>
    </row>
    <row r="1987" spans="1:8" ht="15.75" customHeight="1" x14ac:dyDescent="0.25">
      <c r="A1987" s="16" t="s">
        <v>5128</v>
      </c>
      <c r="B1987" s="16" t="s">
        <v>5129</v>
      </c>
    </row>
    <row r="1988" spans="1:8" ht="15.75" customHeight="1" x14ac:dyDescent="0.25">
      <c r="A1988" s="16" t="s">
        <v>5132</v>
      </c>
      <c r="B1988" s="16" t="s">
        <v>5133</v>
      </c>
      <c r="C1988" s="16" t="s">
        <v>8719</v>
      </c>
      <c r="E1988" s="18" t="s">
        <v>8720</v>
      </c>
      <c r="F1988" s="18" t="s">
        <v>8721</v>
      </c>
      <c r="G1988" s="16" t="s">
        <v>8221</v>
      </c>
      <c r="H1988" s="16" t="s">
        <v>8722</v>
      </c>
    </row>
    <row r="1989" spans="1:8" ht="15.75" customHeight="1" x14ac:dyDescent="0.25">
      <c r="A1989" s="16" t="s">
        <v>5132</v>
      </c>
      <c r="B1989" s="16" t="s">
        <v>5133</v>
      </c>
      <c r="C1989" s="16" t="s">
        <v>8719</v>
      </c>
      <c r="E1989" s="18" t="s">
        <v>8720</v>
      </c>
      <c r="F1989" s="18" t="s">
        <v>8723</v>
      </c>
      <c r="G1989" s="16" t="s">
        <v>8224</v>
      </c>
      <c r="H1989" s="16" t="s">
        <v>8724</v>
      </c>
    </row>
    <row r="1990" spans="1:8" ht="15.75" customHeight="1" x14ac:dyDescent="0.25">
      <c r="A1990" s="16" t="s">
        <v>5135</v>
      </c>
      <c r="B1990" s="16" t="s">
        <v>5136</v>
      </c>
    </row>
    <row r="1991" spans="1:8" ht="15.75" customHeight="1" x14ac:dyDescent="0.25">
      <c r="B1991" s="16" t="s">
        <v>5137</v>
      </c>
    </row>
    <row r="1992" spans="1:8" ht="15.75" customHeight="1" x14ac:dyDescent="0.25">
      <c r="B1992" s="16" t="s">
        <v>5138</v>
      </c>
    </row>
    <row r="1993" spans="1:8" ht="15.75" customHeight="1" x14ac:dyDescent="0.25">
      <c r="A1993" s="16" t="s">
        <v>5141</v>
      </c>
      <c r="B1993" s="16" t="s">
        <v>5142</v>
      </c>
      <c r="C1993" s="16" t="s">
        <v>8725</v>
      </c>
      <c r="E1993" s="18" t="s">
        <v>8726</v>
      </c>
      <c r="F1993" s="18" t="s">
        <v>8727</v>
      </c>
      <c r="G1993" s="16" t="s">
        <v>8728</v>
      </c>
      <c r="H1993" s="16" t="s">
        <v>8729</v>
      </c>
    </row>
    <row r="1994" spans="1:8" ht="15.75" customHeight="1" x14ac:dyDescent="0.25">
      <c r="A1994" s="16" t="s">
        <v>5141</v>
      </c>
      <c r="B1994" s="16" t="s">
        <v>5142</v>
      </c>
      <c r="C1994" s="16" t="s">
        <v>8725</v>
      </c>
      <c r="E1994" s="18" t="s">
        <v>8726</v>
      </c>
      <c r="F1994" s="18" t="s">
        <v>8730</v>
      </c>
      <c r="G1994" s="16" t="s">
        <v>8728</v>
      </c>
      <c r="H1994" s="16" t="s">
        <v>8731</v>
      </c>
    </row>
    <row r="1995" spans="1:8" ht="15.75" customHeight="1" x14ac:dyDescent="0.25">
      <c r="A1995" s="16" t="s">
        <v>5141</v>
      </c>
      <c r="B1995" s="16" t="s">
        <v>5142</v>
      </c>
      <c r="C1995" s="16" t="s">
        <v>8725</v>
      </c>
      <c r="E1995" s="18" t="s">
        <v>8726</v>
      </c>
      <c r="F1995" s="18" t="s">
        <v>8732</v>
      </c>
      <c r="G1995" s="16" t="s">
        <v>8733</v>
      </c>
      <c r="H1995" s="16" t="s">
        <v>8729</v>
      </c>
    </row>
    <row r="1996" spans="1:8" ht="15.75" customHeight="1" x14ac:dyDescent="0.25">
      <c r="A1996" s="16" t="s">
        <v>5143</v>
      </c>
      <c r="B1996" s="16" t="s">
        <v>5144</v>
      </c>
      <c r="C1996" s="16" t="s">
        <v>8725</v>
      </c>
      <c r="E1996" s="18" t="s">
        <v>8726</v>
      </c>
      <c r="F1996" s="18" t="s">
        <v>8727</v>
      </c>
      <c r="G1996" s="16" t="s">
        <v>8728</v>
      </c>
      <c r="H1996" s="16" t="s">
        <v>8729</v>
      </c>
    </row>
    <row r="1997" spans="1:8" ht="15.75" customHeight="1" x14ac:dyDescent="0.25">
      <c r="A1997" s="16" t="s">
        <v>5143</v>
      </c>
      <c r="B1997" s="16" t="s">
        <v>5144</v>
      </c>
      <c r="C1997" s="16" t="s">
        <v>8725</v>
      </c>
      <c r="E1997" s="18" t="s">
        <v>8726</v>
      </c>
      <c r="F1997" s="18" t="s">
        <v>8730</v>
      </c>
      <c r="G1997" s="16" t="s">
        <v>8728</v>
      </c>
      <c r="H1997" s="16" t="s">
        <v>8731</v>
      </c>
    </row>
    <row r="1998" spans="1:8" ht="15.75" customHeight="1" x14ac:dyDescent="0.3">
      <c r="A1998" s="16" t="s">
        <v>5143</v>
      </c>
      <c r="B1998" s="16" t="s">
        <v>5144</v>
      </c>
      <c r="C1998" s="16" t="s">
        <v>8725</v>
      </c>
      <c r="E1998" s="18" t="s">
        <v>8726</v>
      </c>
      <c r="F1998" s="18" t="s">
        <v>8732</v>
      </c>
      <c r="G1998" s="17" t="s">
        <v>8733</v>
      </c>
      <c r="H1998" s="16" t="s">
        <v>8729</v>
      </c>
    </row>
    <row r="1999" spans="1:8" ht="15.75" customHeight="1" x14ac:dyDescent="0.25">
      <c r="A1999" s="16" t="s">
        <v>5147</v>
      </c>
      <c r="B1999" s="16" t="s">
        <v>5148</v>
      </c>
      <c r="C1999" s="16" t="s">
        <v>8734</v>
      </c>
      <c r="E1999" s="18" t="s">
        <v>8735</v>
      </c>
    </row>
    <row r="2000" spans="1:8" ht="15.75" customHeight="1" x14ac:dyDescent="0.25">
      <c r="A2000" s="16" t="s">
        <v>5151</v>
      </c>
      <c r="B2000" s="16" t="s">
        <v>5152</v>
      </c>
    </row>
    <row r="2001" spans="1:5" ht="15.75" customHeight="1" x14ac:dyDescent="0.25">
      <c r="A2001" s="16" t="s">
        <v>5155</v>
      </c>
      <c r="B2001" s="16" t="s">
        <v>5156</v>
      </c>
    </row>
    <row r="2002" spans="1:5" ht="15.75" customHeight="1" x14ac:dyDescent="0.25">
      <c r="A2002" s="16" t="s">
        <v>5159</v>
      </c>
      <c r="B2002" s="16" t="s">
        <v>5160</v>
      </c>
      <c r="C2002" s="16" t="s">
        <v>8734</v>
      </c>
      <c r="E2002" s="18" t="s">
        <v>8735</v>
      </c>
    </row>
    <row r="2003" spans="1:5" ht="15.75" customHeight="1" x14ac:dyDescent="0.25">
      <c r="A2003" s="16" t="s">
        <v>5163</v>
      </c>
      <c r="B2003" s="16" t="s">
        <v>5164</v>
      </c>
    </row>
    <row r="2004" spans="1:5" ht="15.75" customHeight="1" x14ac:dyDescent="0.25">
      <c r="A2004" s="16" t="s">
        <v>5167</v>
      </c>
      <c r="B2004" s="16" t="s">
        <v>5168</v>
      </c>
    </row>
    <row r="2005" spans="1:5" ht="15.75" customHeight="1" x14ac:dyDescent="0.25">
      <c r="A2005" s="16" t="s">
        <v>5171</v>
      </c>
      <c r="B2005" s="16" t="s">
        <v>5172</v>
      </c>
      <c r="C2005" s="16" t="s">
        <v>8736</v>
      </c>
      <c r="E2005" s="18" t="s">
        <v>8737</v>
      </c>
    </row>
    <row r="2006" spans="1:5" ht="15.75" customHeight="1" x14ac:dyDescent="0.25">
      <c r="A2006" s="16" t="s">
        <v>5174</v>
      </c>
      <c r="B2006" s="16" t="s">
        <v>5175</v>
      </c>
    </row>
    <row r="2007" spans="1:5" ht="15.75" customHeight="1" x14ac:dyDescent="0.25">
      <c r="A2007" s="16" t="s">
        <v>5177</v>
      </c>
      <c r="B2007" s="16" t="s">
        <v>5178</v>
      </c>
    </row>
    <row r="2008" spans="1:5" ht="15.75" customHeight="1" x14ac:dyDescent="0.25">
      <c r="A2008" s="16" t="s">
        <v>5181</v>
      </c>
      <c r="B2008" s="16" t="s">
        <v>5182</v>
      </c>
    </row>
    <row r="2009" spans="1:5" ht="15.75" customHeight="1" x14ac:dyDescent="0.25">
      <c r="A2009" s="16" t="s">
        <v>5185</v>
      </c>
      <c r="B2009" s="16" t="s">
        <v>5186</v>
      </c>
    </row>
    <row r="2010" spans="1:5" ht="15.75" customHeight="1" x14ac:dyDescent="0.25">
      <c r="A2010" s="16" t="s">
        <v>5188</v>
      </c>
      <c r="B2010" s="16" t="s">
        <v>5189</v>
      </c>
      <c r="C2010" s="16" t="s">
        <v>6526</v>
      </c>
    </row>
    <row r="2011" spans="1:5" ht="15.75" customHeight="1" x14ac:dyDescent="0.25">
      <c r="A2011" s="16" t="s">
        <v>5190</v>
      </c>
      <c r="B2011" s="16" t="s">
        <v>5191</v>
      </c>
    </row>
    <row r="2012" spans="1:5" ht="15.75" customHeight="1" x14ac:dyDescent="0.25">
      <c r="A2012" s="16" t="s">
        <v>5194</v>
      </c>
      <c r="B2012" s="16" t="s">
        <v>5195</v>
      </c>
    </row>
    <row r="2013" spans="1:5" ht="15.75" customHeight="1" x14ac:dyDescent="0.25">
      <c r="A2013" s="16" t="s">
        <v>5198</v>
      </c>
      <c r="B2013" s="16" t="s">
        <v>5199</v>
      </c>
      <c r="C2013" s="16" t="s">
        <v>7170</v>
      </c>
    </row>
    <row r="2014" spans="1:5" ht="15.75" customHeight="1" x14ac:dyDescent="0.25">
      <c r="A2014" s="16" t="s">
        <v>5201</v>
      </c>
      <c r="B2014" s="16" t="s">
        <v>5202</v>
      </c>
    </row>
    <row r="2015" spans="1:5" ht="15.75" customHeight="1" x14ac:dyDescent="0.25">
      <c r="A2015" s="16" t="s">
        <v>5204</v>
      </c>
      <c r="B2015" s="16" t="s">
        <v>5205</v>
      </c>
    </row>
    <row r="2016" spans="1:5" ht="15.75" customHeight="1" x14ac:dyDescent="0.25">
      <c r="A2016" s="16" t="s">
        <v>5207</v>
      </c>
      <c r="B2016" s="16" t="s">
        <v>5208</v>
      </c>
    </row>
    <row r="2017" spans="1:8" ht="15.75" customHeight="1" x14ac:dyDescent="0.25">
      <c r="A2017" s="16" t="s">
        <v>5210</v>
      </c>
      <c r="B2017" s="16" t="s">
        <v>5211</v>
      </c>
    </row>
    <row r="2018" spans="1:8" ht="15.75" customHeight="1" x14ac:dyDescent="0.25">
      <c r="A2018" s="16" t="s">
        <v>5214</v>
      </c>
      <c r="B2018" s="16" t="s">
        <v>5215</v>
      </c>
      <c r="C2018" s="16" t="s">
        <v>8738</v>
      </c>
      <c r="E2018" s="18" t="s">
        <v>8739</v>
      </c>
      <c r="F2018" s="18" t="s">
        <v>8740</v>
      </c>
      <c r="G2018" s="16" t="s">
        <v>8741</v>
      </c>
      <c r="H2018" s="16" t="s">
        <v>8742</v>
      </c>
    </row>
    <row r="2019" spans="1:8" ht="15.75" customHeight="1" x14ac:dyDescent="0.25">
      <c r="A2019" s="16" t="s">
        <v>5217</v>
      </c>
      <c r="B2019" s="16" t="s">
        <v>5218</v>
      </c>
    </row>
    <row r="2020" spans="1:8" ht="15.75" customHeight="1" x14ac:dyDescent="0.25">
      <c r="A2020" s="16" t="s">
        <v>5221</v>
      </c>
      <c r="B2020" s="16" t="s">
        <v>5222</v>
      </c>
      <c r="C2020" s="16" t="s">
        <v>8743</v>
      </c>
      <c r="E2020" s="18" t="s">
        <v>8744</v>
      </c>
    </row>
    <row r="2021" spans="1:8" ht="15.75" customHeight="1" x14ac:dyDescent="0.25">
      <c r="A2021" s="16" t="s">
        <v>5223</v>
      </c>
      <c r="B2021" s="16" t="s">
        <v>5224</v>
      </c>
    </row>
    <row r="2022" spans="1:8" ht="15.75" customHeight="1" x14ac:dyDescent="0.25">
      <c r="A2022" s="16" t="s">
        <v>5227</v>
      </c>
      <c r="B2022" s="16" t="s">
        <v>5228</v>
      </c>
    </row>
    <row r="2023" spans="1:8" ht="15.75" customHeight="1" x14ac:dyDescent="0.25">
      <c r="A2023" s="16" t="s">
        <v>5231</v>
      </c>
      <c r="B2023" s="16" t="s">
        <v>5232</v>
      </c>
      <c r="C2023" s="16" t="s">
        <v>8745</v>
      </c>
      <c r="E2023" s="18" t="s">
        <v>8746</v>
      </c>
    </row>
    <row r="2024" spans="1:8" ht="15.75" customHeight="1" x14ac:dyDescent="0.25">
      <c r="A2024" s="16" t="s">
        <v>5234</v>
      </c>
      <c r="B2024" s="16" t="s">
        <v>5235</v>
      </c>
    </row>
    <row r="2025" spans="1:8" ht="15.75" customHeight="1" x14ac:dyDescent="0.25">
      <c r="A2025" s="16" t="s">
        <v>5238</v>
      </c>
      <c r="B2025" s="16" t="s">
        <v>5239</v>
      </c>
      <c r="C2025" s="16" t="s">
        <v>8747</v>
      </c>
      <c r="E2025" s="18" t="s">
        <v>8748</v>
      </c>
      <c r="F2025" s="18" t="s">
        <v>8749</v>
      </c>
      <c r="G2025" s="16" t="s">
        <v>8750</v>
      </c>
      <c r="H2025" s="16" t="s">
        <v>8751</v>
      </c>
    </row>
    <row r="2026" spans="1:8" ht="15.75" customHeight="1" x14ac:dyDescent="0.25">
      <c r="A2026" s="16" t="s">
        <v>5238</v>
      </c>
      <c r="B2026" s="16" t="s">
        <v>5239</v>
      </c>
      <c r="C2026" s="16" t="s">
        <v>8747</v>
      </c>
      <c r="E2026" s="18" t="s">
        <v>8748</v>
      </c>
      <c r="F2026" s="18" t="s">
        <v>8752</v>
      </c>
      <c r="G2026" s="16" t="s">
        <v>8753</v>
      </c>
      <c r="H2026" s="16" t="s">
        <v>8754</v>
      </c>
    </row>
    <row r="2027" spans="1:8" ht="15.75" customHeight="1" x14ac:dyDescent="0.25">
      <c r="A2027" s="16" t="s">
        <v>5242</v>
      </c>
      <c r="B2027" s="16" t="s">
        <v>5243</v>
      </c>
      <c r="C2027" s="16" t="s">
        <v>8755</v>
      </c>
      <c r="E2027" s="18" t="s">
        <v>8756</v>
      </c>
      <c r="F2027" s="18" t="s">
        <v>8757</v>
      </c>
      <c r="G2027" s="16" t="s">
        <v>8758</v>
      </c>
      <c r="H2027" s="16" t="s">
        <v>8759</v>
      </c>
    </row>
    <row r="2028" spans="1:8" ht="15.75" customHeight="1" x14ac:dyDescent="0.25">
      <c r="A2028" s="16" t="s">
        <v>5246</v>
      </c>
      <c r="B2028" s="16" t="s">
        <v>5247</v>
      </c>
    </row>
    <row r="2029" spans="1:8" ht="15.75" customHeight="1" x14ac:dyDescent="0.25">
      <c r="A2029" s="16" t="s">
        <v>5250</v>
      </c>
      <c r="B2029" s="16" t="s">
        <v>5251</v>
      </c>
      <c r="C2029" s="16" t="s">
        <v>8760</v>
      </c>
      <c r="E2029" s="18" t="s">
        <v>8761</v>
      </c>
      <c r="F2029" s="18" t="s">
        <v>8762</v>
      </c>
      <c r="G2029" s="16" t="s">
        <v>8763</v>
      </c>
      <c r="H2029" s="16" t="s">
        <v>8764</v>
      </c>
    </row>
    <row r="2030" spans="1:8" ht="15.75" customHeight="1" x14ac:dyDescent="0.25">
      <c r="A2030" s="16" t="s">
        <v>5250</v>
      </c>
      <c r="B2030" s="16" t="s">
        <v>5251</v>
      </c>
      <c r="C2030" s="16" t="s">
        <v>8760</v>
      </c>
      <c r="E2030" s="18" t="s">
        <v>8761</v>
      </c>
      <c r="F2030" s="18" t="s">
        <v>8765</v>
      </c>
      <c r="G2030" s="16" t="s">
        <v>8766</v>
      </c>
      <c r="H2030" s="16" t="s">
        <v>8767</v>
      </c>
    </row>
    <row r="2031" spans="1:8" ht="15.75" customHeight="1" x14ac:dyDescent="0.25">
      <c r="A2031" s="16" t="s">
        <v>5254</v>
      </c>
      <c r="B2031" s="16" t="s">
        <v>5255</v>
      </c>
      <c r="C2031" s="16" t="s">
        <v>8768</v>
      </c>
    </row>
    <row r="2032" spans="1:8" ht="15.75" customHeight="1" x14ac:dyDescent="0.25">
      <c r="A2032" s="16" t="s">
        <v>5257</v>
      </c>
      <c r="B2032" s="16" t="s">
        <v>5258</v>
      </c>
    </row>
    <row r="2033" spans="1:8" ht="15.75" customHeight="1" x14ac:dyDescent="0.25">
      <c r="A2033" s="16" t="s">
        <v>5261</v>
      </c>
      <c r="B2033" s="16" t="s">
        <v>5262</v>
      </c>
      <c r="C2033" s="16" t="s">
        <v>8769</v>
      </c>
      <c r="E2033" s="18" t="s">
        <v>8770</v>
      </c>
      <c r="F2033" s="18" t="s">
        <v>8771</v>
      </c>
      <c r="G2033" s="16" t="s">
        <v>8772</v>
      </c>
      <c r="H2033" s="16" t="s">
        <v>8773</v>
      </c>
    </row>
    <row r="2034" spans="1:8" ht="15.75" customHeight="1" x14ac:dyDescent="0.25">
      <c r="A2034" s="16" t="s">
        <v>5265</v>
      </c>
      <c r="B2034" s="16" t="s">
        <v>5266</v>
      </c>
      <c r="C2034" s="16" t="s">
        <v>8774</v>
      </c>
    </row>
    <row r="2035" spans="1:8" ht="15.75" customHeight="1" x14ac:dyDescent="0.25">
      <c r="A2035" s="16" t="s">
        <v>5269</v>
      </c>
      <c r="B2035" s="16" t="s">
        <v>5270</v>
      </c>
    </row>
    <row r="2036" spans="1:8" ht="15.75" customHeight="1" x14ac:dyDescent="0.25">
      <c r="A2036" s="16" t="s">
        <v>5273</v>
      </c>
      <c r="B2036" s="16" t="s">
        <v>5274</v>
      </c>
      <c r="C2036" s="16" t="s">
        <v>8775</v>
      </c>
    </row>
    <row r="2037" spans="1:8" ht="15.75" customHeight="1" x14ac:dyDescent="0.25">
      <c r="A2037" s="16" t="s">
        <v>5277</v>
      </c>
      <c r="B2037" s="16" t="s">
        <v>5278</v>
      </c>
      <c r="C2037" s="16" t="s">
        <v>8776</v>
      </c>
      <c r="E2037" s="18" t="s">
        <v>8777</v>
      </c>
      <c r="F2037" s="18" t="s">
        <v>8778</v>
      </c>
      <c r="G2037" s="16" t="s">
        <v>8779</v>
      </c>
      <c r="H2037" s="16" t="s">
        <v>8780</v>
      </c>
    </row>
    <row r="2038" spans="1:8" ht="15.75" customHeight="1" x14ac:dyDescent="0.25">
      <c r="A2038" s="16" t="s">
        <v>5277</v>
      </c>
      <c r="B2038" s="16" t="s">
        <v>5278</v>
      </c>
      <c r="C2038" s="16" t="s">
        <v>8776</v>
      </c>
      <c r="E2038" s="18" t="s">
        <v>8777</v>
      </c>
      <c r="F2038" s="18" t="s">
        <v>8781</v>
      </c>
      <c r="G2038" s="16" t="s">
        <v>8782</v>
      </c>
      <c r="H2038" s="16" t="s">
        <v>8783</v>
      </c>
    </row>
    <row r="2039" spans="1:8" ht="15.75" customHeight="1" x14ac:dyDescent="0.25">
      <c r="A2039" s="16" t="s">
        <v>5277</v>
      </c>
      <c r="B2039" s="16" t="s">
        <v>5278</v>
      </c>
      <c r="C2039" s="16" t="s">
        <v>8776</v>
      </c>
      <c r="E2039" s="18" t="s">
        <v>8777</v>
      </c>
      <c r="F2039" s="18" t="s">
        <v>8784</v>
      </c>
      <c r="G2039" s="16" t="s">
        <v>8785</v>
      </c>
      <c r="H2039" s="16" t="s">
        <v>8786</v>
      </c>
    </row>
    <row r="2040" spans="1:8" ht="15.75" customHeight="1" x14ac:dyDescent="0.25">
      <c r="A2040" s="16" t="s">
        <v>5280</v>
      </c>
      <c r="B2040" s="16" t="s">
        <v>5281</v>
      </c>
    </row>
    <row r="2041" spans="1:8" ht="15.75" customHeight="1" x14ac:dyDescent="0.25">
      <c r="A2041" s="16" t="s">
        <v>5284</v>
      </c>
      <c r="B2041" s="16" t="s">
        <v>5285</v>
      </c>
      <c r="C2041" s="16" t="s">
        <v>8787</v>
      </c>
      <c r="E2041" s="18" t="s">
        <v>8788</v>
      </c>
    </row>
    <row r="2042" spans="1:8" ht="15.75" customHeight="1" x14ac:dyDescent="0.25">
      <c r="A2042" s="16" t="s">
        <v>5288</v>
      </c>
      <c r="B2042" s="16" t="s">
        <v>5289</v>
      </c>
      <c r="C2042" s="16" t="s">
        <v>8069</v>
      </c>
    </row>
    <row r="2043" spans="1:8" ht="15.75" customHeight="1" x14ac:dyDescent="0.25">
      <c r="A2043" s="16" t="s">
        <v>5292</v>
      </c>
      <c r="B2043" s="16" t="s">
        <v>5293</v>
      </c>
      <c r="C2043" s="16" t="s">
        <v>8069</v>
      </c>
    </row>
    <row r="2044" spans="1:8" ht="15.75" customHeight="1" x14ac:dyDescent="0.25">
      <c r="A2044" s="16" t="s">
        <v>5296</v>
      </c>
      <c r="B2044" s="16" t="s">
        <v>5297</v>
      </c>
      <c r="C2044" s="16" t="s">
        <v>8069</v>
      </c>
    </row>
    <row r="2045" spans="1:8" ht="15.75" customHeight="1" x14ac:dyDescent="0.25">
      <c r="A2045" s="16" t="s">
        <v>5298</v>
      </c>
      <c r="B2045" s="16" t="s">
        <v>5299</v>
      </c>
    </row>
    <row r="2046" spans="1:8" ht="15.75" customHeight="1" x14ac:dyDescent="0.25">
      <c r="A2046" s="16" t="s">
        <v>5300</v>
      </c>
      <c r="B2046" s="16" t="s">
        <v>5301</v>
      </c>
    </row>
    <row r="2047" spans="1:8" ht="15.75" customHeight="1" x14ac:dyDescent="0.25">
      <c r="A2047" s="16" t="s">
        <v>5303</v>
      </c>
      <c r="B2047" s="16" t="s">
        <v>5304</v>
      </c>
    </row>
    <row r="2048" spans="1:8" ht="15.75" customHeight="1" x14ac:dyDescent="0.25">
      <c r="A2048" s="16" t="s">
        <v>5306</v>
      </c>
      <c r="B2048" s="16" t="s">
        <v>5307</v>
      </c>
    </row>
    <row r="2049" spans="1:8" ht="15.75" customHeight="1" x14ac:dyDescent="0.25">
      <c r="A2049" s="16" t="s">
        <v>5309</v>
      </c>
      <c r="B2049" s="16" t="s">
        <v>5310</v>
      </c>
    </row>
    <row r="2050" spans="1:8" ht="15.75" customHeight="1" x14ac:dyDescent="0.25">
      <c r="A2050" s="16" t="s">
        <v>5312</v>
      </c>
      <c r="B2050" s="16" t="s">
        <v>5313</v>
      </c>
    </row>
    <row r="2051" spans="1:8" ht="15.75" customHeight="1" x14ac:dyDescent="0.25">
      <c r="A2051" s="16" t="s">
        <v>5315</v>
      </c>
      <c r="B2051" s="16" t="s">
        <v>5316</v>
      </c>
    </row>
    <row r="2052" spans="1:8" ht="15.75" customHeight="1" x14ac:dyDescent="0.25">
      <c r="A2052" s="16" t="s">
        <v>5318</v>
      </c>
      <c r="B2052" s="16" t="s">
        <v>5319</v>
      </c>
    </row>
    <row r="2053" spans="1:8" ht="15.75" customHeight="1" x14ac:dyDescent="0.25">
      <c r="A2053" s="16" t="s">
        <v>5321</v>
      </c>
      <c r="B2053" s="16" t="s">
        <v>5322</v>
      </c>
    </row>
    <row r="2054" spans="1:8" ht="15.75" customHeight="1" x14ac:dyDescent="0.25">
      <c r="A2054" s="16" t="s">
        <v>5325</v>
      </c>
      <c r="B2054" s="16" t="s">
        <v>5326</v>
      </c>
      <c r="C2054" s="16" t="s">
        <v>8789</v>
      </c>
      <c r="E2054" s="18" t="s">
        <v>8790</v>
      </c>
      <c r="F2054" s="18" t="s">
        <v>8791</v>
      </c>
      <c r="G2054" s="16" t="s">
        <v>8792</v>
      </c>
      <c r="H2054" s="16" t="s">
        <v>8793</v>
      </c>
    </row>
    <row r="2055" spans="1:8" ht="15.75" customHeight="1" x14ac:dyDescent="0.25">
      <c r="A2055" s="16" t="s">
        <v>5329</v>
      </c>
      <c r="B2055" s="16" t="s">
        <v>5330</v>
      </c>
      <c r="C2055" s="16" t="s">
        <v>8794</v>
      </c>
      <c r="E2055" s="18" t="s">
        <v>8795</v>
      </c>
      <c r="F2055" s="18" t="s">
        <v>8796</v>
      </c>
      <c r="G2055" s="16" t="s">
        <v>8797</v>
      </c>
      <c r="H2055" s="16" t="s">
        <v>8798</v>
      </c>
    </row>
    <row r="2056" spans="1:8" ht="15.75" customHeight="1" x14ac:dyDescent="0.25">
      <c r="A2056" s="16" t="s">
        <v>5329</v>
      </c>
      <c r="B2056" s="16" t="s">
        <v>5330</v>
      </c>
      <c r="C2056" s="16" t="s">
        <v>8799</v>
      </c>
      <c r="E2056" s="18" t="s">
        <v>8800</v>
      </c>
      <c r="F2056" s="18" t="s">
        <v>8801</v>
      </c>
      <c r="G2056" s="16" t="s">
        <v>8802</v>
      </c>
      <c r="H2056" s="16" t="s">
        <v>8183</v>
      </c>
    </row>
    <row r="2057" spans="1:8" ht="15.75" customHeight="1" x14ac:dyDescent="0.25">
      <c r="A2057" s="16" t="s">
        <v>5333</v>
      </c>
      <c r="B2057" s="16" t="s">
        <v>5334</v>
      </c>
      <c r="C2057" s="16" t="s">
        <v>8803</v>
      </c>
      <c r="E2057" s="18" t="s">
        <v>8804</v>
      </c>
    </row>
    <row r="2058" spans="1:8" ht="15.75" customHeight="1" x14ac:dyDescent="0.25">
      <c r="A2058" s="16" t="s">
        <v>5337</v>
      </c>
      <c r="B2058" s="16" t="s">
        <v>5338</v>
      </c>
    </row>
    <row r="2059" spans="1:8" ht="15.75" customHeight="1" x14ac:dyDescent="0.25">
      <c r="A2059" s="16" t="s">
        <v>5339</v>
      </c>
      <c r="B2059" s="16" t="s">
        <v>5340</v>
      </c>
      <c r="G2059" s="16"/>
    </row>
    <row r="2060" spans="1:8" ht="15.75" customHeight="1" x14ac:dyDescent="0.25">
      <c r="A2060" s="16" t="s">
        <v>5341</v>
      </c>
      <c r="B2060" s="16" t="s">
        <v>5342</v>
      </c>
      <c r="C2060" s="16" t="s">
        <v>6526</v>
      </c>
    </row>
    <row r="2061" spans="1:8" ht="15.75" customHeight="1" x14ac:dyDescent="0.25">
      <c r="A2061" s="16" t="s">
        <v>5344</v>
      </c>
      <c r="B2061" s="16" t="s">
        <v>5345</v>
      </c>
    </row>
    <row r="2062" spans="1:8" ht="15.75" customHeight="1" x14ac:dyDescent="0.25">
      <c r="A2062" s="16" t="s">
        <v>5346</v>
      </c>
      <c r="B2062" s="16" t="s">
        <v>5347</v>
      </c>
    </row>
    <row r="2063" spans="1:8" ht="15.75" customHeight="1" x14ac:dyDescent="0.25">
      <c r="A2063" s="16" t="s">
        <v>5350</v>
      </c>
      <c r="B2063" s="16" t="s">
        <v>5351</v>
      </c>
    </row>
    <row r="2064" spans="1:8" ht="15.75" customHeight="1" x14ac:dyDescent="0.25">
      <c r="A2064" s="16" t="s">
        <v>5354</v>
      </c>
      <c r="B2064" s="16" t="s">
        <v>5355</v>
      </c>
    </row>
    <row r="2065" spans="1:2" ht="15.75" customHeight="1" x14ac:dyDescent="0.25">
      <c r="A2065" s="16" t="s">
        <v>5358</v>
      </c>
      <c r="B2065" s="16" t="s">
        <v>5359</v>
      </c>
    </row>
    <row r="2066" spans="1:2" ht="15.75" customHeight="1" x14ac:dyDescent="0.25">
      <c r="B2066" s="16" t="s">
        <v>5360</v>
      </c>
    </row>
    <row r="2067" spans="1:2" ht="15.75" customHeight="1" x14ac:dyDescent="0.25">
      <c r="B2067" s="16" t="s">
        <v>5363</v>
      </c>
    </row>
    <row r="2068" spans="1:2" ht="15.75" customHeight="1" x14ac:dyDescent="0.25">
      <c r="A2068" s="16" t="s">
        <v>5364</v>
      </c>
      <c r="B2068" s="16" t="s">
        <v>5365</v>
      </c>
    </row>
    <row r="2069" spans="1:2" ht="15.75" customHeight="1" x14ac:dyDescent="0.25">
      <c r="A2069" s="16" t="s">
        <v>5366</v>
      </c>
      <c r="B2069" s="16" t="s">
        <v>5367</v>
      </c>
    </row>
    <row r="2070" spans="1:2" ht="15.75" customHeight="1" x14ac:dyDescent="0.25">
      <c r="A2070" s="16" t="s">
        <v>5368</v>
      </c>
      <c r="B2070" s="16" t="s">
        <v>5369</v>
      </c>
    </row>
    <row r="2071" spans="1:2" ht="15.75" customHeight="1" x14ac:dyDescent="0.25">
      <c r="A2071" s="16" t="s">
        <v>5370</v>
      </c>
      <c r="B2071" s="16" t="s">
        <v>5371</v>
      </c>
    </row>
    <row r="2072" spans="1:2" ht="15.75" customHeight="1" x14ac:dyDescent="0.25">
      <c r="A2072" s="16" t="s">
        <v>5372</v>
      </c>
      <c r="B2072" s="16" t="s">
        <v>5373</v>
      </c>
    </row>
    <row r="2073" spans="1:2" ht="15.75" customHeight="1" x14ac:dyDescent="0.25">
      <c r="A2073" s="16" t="s">
        <v>5374</v>
      </c>
      <c r="B2073" s="16" t="s">
        <v>5375</v>
      </c>
    </row>
    <row r="2074" spans="1:2" ht="15.75" customHeight="1" x14ac:dyDescent="0.25">
      <c r="A2074" s="16" t="s">
        <v>5376</v>
      </c>
      <c r="B2074" s="16" t="s">
        <v>5377</v>
      </c>
    </row>
    <row r="2075" spans="1:2" ht="15.75" customHeight="1" x14ac:dyDescent="0.25">
      <c r="A2075" s="16" t="s">
        <v>5378</v>
      </c>
      <c r="B2075" s="16" t="s">
        <v>5379</v>
      </c>
    </row>
    <row r="2076" spans="1:2" ht="15.75" customHeight="1" x14ac:dyDescent="0.25">
      <c r="A2076" s="16" t="s">
        <v>5381</v>
      </c>
      <c r="B2076" s="16" t="s">
        <v>5382</v>
      </c>
    </row>
    <row r="2077" spans="1:2" ht="15.75" customHeight="1" x14ac:dyDescent="0.25">
      <c r="A2077" s="16" t="s">
        <v>5383</v>
      </c>
      <c r="B2077" s="16" t="s">
        <v>5384</v>
      </c>
    </row>
    <row r="2078" spans="1:2" ht="15.75" customHeight="1" x14ac:dyDescent="0.25">
      <c r="A2078" s="16" t="s">
        <v>5386</v>
      </c>
      <c r="B2078" s="16" t="s">
        <v>5387</v>
      </c>
    </row>
    <row r="2079" spans="1:2" ht="15.75" customHeight="1" x14ac:dyDescent="0.25">
      <c r="A2079" s="16" t="s">
        <v>5388</v>
      </c>
      <c r="B2079" s="16" t="s">
        <v>5389</v>
      </c>
    </row>
    <row r="2080" spans="1:2" ht="15.75" customHeight="1" x14ac:dyDescent="0.25">
      <c r="A2080" s="16" t="s">
        <v>5390</v>
      </c>
      <c r="B2080" s="16" t="s">
        <v>5391</v>
      </c>
    </row>
    <row r="2081" spans="1:2" ht="15.75" customHeight="1" x14ac:dyDescent="0.25">
      <c r="A2081" s="16" t="s">
        <v>5392</v>
      </c>
      <c r="B2081" s="16" t="s">
        <v>5393</v>
      </c>
    </row>
    <row r="2082" spans="1:2" ht="15.75" customHeight="1" x14ac:dyDescent="0.25">
      <c r="A2082" s="16" t="s">
        <v>5394</v>
      </c>
      <c r="B2082" s="16" t="s">
        <v>5395</v>
      </c>
    </row>
    <row r="2083" spans="1:2" ht="15.75" customHeight="1" x14ac:dyDescent="0.25">
      <c r="A2083" s="16" t="s">
        <v>5396</v>
      </c>
      <c r="B2083" s="16" t="s">
        <v>5397</v>
      </c>
    </row>
    <row r="2084" spans="1:2" ht="15.75" customHeight="1" x14ac:dyDescent="0.25">
      <c r="A2084" s="16" t="s">
        <v>5398</v>
      </c>
      <c r="B2084" s="16" t="s">
        <v>5399</v>
      </c>
    </row>
    <row r="2085" spans="1:2" ht="15.75" customHeight="1" x14ac:dyDescent="0.25">
      <c r="A2085" s="16" t="s">
        <v>5400</v>
      </c>
      <c r="B2085" s="16" t="s">
        <v>5401</v>
      </c>
    </row>
    <row r="2086" spans="1:2" ht="15.75" customHeight="1" x14ac:dyDescent="0.25">
      <c r="A2086" s="16" t="s">
        <v>5402</v>
      </c>
      <c r="B2086" s="16" t="s">
        <v>5403</v>
      </c>
    </row>
    <row r="2087" spans="1:2" ht="15.75" customHeight="1" x14ac:dyDescent="0.25">
      <c r="A2087" s="16" t="s">
        <v>5404</v>
      </c>
      <c r="B2087" s="16" t="s">
        <v>5405</v>
      </c>
    </row>
    <row r="2088" spans="1:2" ht="15.75" customHeight="1" x14ac:dyDescent="0.25">
      <c r="A2088" s="16" t="s">
        <v>5406</v>
      </c>
      <c r="B2088" s="16" t="s">
        <v>5407</v>
      </c>
    </row>
    <row r="2089" spans="1:2" ht="15.75" customHeight="1" x14ac:dyDescent="0.25">
      <c r="A2089" s="16" t="s">
        <v>5408</v>
      </c>
      <c r="B2089" s="16" t="s">
        <v>5409</v>
      </c>
    </row>
    <row r="2090" spans="1:2" ht="15.75" customHeight="1" x14ac:dyDescent="0.25">
      <c r="A2090" s="16" t="s">
        <v>5410</v>
      </c>
      <c r="B2090" s="16" t="s">
        <v>5411</v>
      </c>
    </row>
    <row r="2091" spans="1:2" ht="15.75" customHeight="1" x14ac:dyDescent="0.25">
      <c r="A2091" s="16" t="s">
        <v>5412</v>
      </c>
      <c r="B2091" s="16" t="s">
        <v>5413</v>
      </c>
    </row>
    <row r="2092" spans="1:2" ht="15.75" customHeight="1" x14ac:dyDescent="0.25">
      <c r="A2092" s="16" t="s">
        <v>5414</v>
      </c>
      <c r="B2092" s="16" t="s">
        <v>5415</v>
      </c>
    </row>
    <row r="2093" spans="1:2" ht="15.75" customHeight="1" x14ac:dyDescent="0.25">
      <c r="A2093" s="16" t="s">
        <v>5416</v>
      </c>
      <c r="B2093" s="16" t="s">
        <v>5417</v>
      </c>
    </row>
    <row r="2094" spans="1:2" ht="15.75" customHeight="1" x14ac:dyDescent="0.25">
      <c r="A2094" s="16" t="s">
        <v>5419</v>
      </c>
      <c r="B2094" s="16" t="s">
        <v>5420</v>
      </c>
    </row>
    <row r="2095" spans="1:2" ht="15.75" customHeight="1" x14ac:dyDescent="0.25">
      <c r="A2095" s="16" t="s">
        <v>5423</v>
      </c>
      <c r="B2095" s="16" t="s">
        <v>5424</v>
      </c>
    </row>
    <row r="2096" spans="1:2" ht="15.75" customHeight="1" x14ac:dyDescent="0.25">
      <c r="A2096" s="16" t="s">
        <v>5426</v>
      </c>
      <c r="B2096" s="16" t="s">
        <v>5427</v>
      </c>
    </row>
    <row r="2097" spans="1:8" ht="15.75" customHeight="1" x14ac:dyDescent="0.25">
      <c r="A2097" s="16" t="s">
        <v>5428</v>
      </c>
      <c r="B2097" s="16" t="s">
        <v>5429</v>
      </c>
    </row>
    <row r="2098" spans="1:8" ht="15.75" customHeight="1" x14ac:dyDescent="0.25">
      <c r="A2098" s="16" t="s">
        <v>5431</v>
      </c>
      <c r="B2098" s="16" t="s">
        <v>5432</v>
      </c>
    </row>
    <row r="2099" spans="1:8" ht="15.75" customHeight="1" x14ac:dyDescent="0.25">
      <c r="A2099" s="16" t="s">
        <v>5434</v>
      </c>
      <c r="B2099" s="16" t="s">
        <v>5435</v>
      </c>
    </row>
    <row r="2100" spans="1:8" ht="15.75" customHeight="1" x14ac:dyDescent="0.25">
      <c r="A2100" s="16" t="s">
        <v>5437</v>
      </c>
      <c r="B2100" s="16" t="s">
        <v>5438</v>
      </c>
    </row>
    <row r="2101" spans="1:8" ht="15.75" customHeight="1" x14ac:dyDescent="0.25">
      <c r="A2101" s="16" t="s">
        <v>5440</v>
      </c>
      <c r="B2101" s="16" t="s">
        <v>5441</v>
      </c>
    </row>
    <row r="2102" spans="1:8" ht="15.75" customHeight="1" x14ac:dyDescent="0.25">
      <c r="A2102" s="16" t="s">
        <v>5443</v>
      </c>
      <c r="B2102" s="16" t="s">
        <v>5444</v>
      </c>
    </row>
    <row r="2103" spans="1:8" ht="15.75" customHeight="1" x14ac:dyDescent="0.25">
      <c r="A2103" s="16" t="s">
        <v>5446</v>
      </c>
      <c r="B2103" s="16" t="s">
        <v>5447</v>
      </c>
    </row>
    <row r="2104" spans="1:8" ht="15.75" customHeight="1" x14ac:dyDescent="0.25">
      <c r="A2104" s="16" t="s">
        <v>5449</v>
      </c>
      <c r="B2104" s="16" t="s">
        <v>5450</v>
      </c>
    </row>
    <row r="2105" spans="1:8" ht="15.75" customHeight="1" x14ac:dyDescent="0.25">
      <c r="A2105" s="16" t="s">
        <v>5451</v>
      </c>
      <c r="B2105" s="16" t="s">
        <v>5452</v>
      </c>
    </row>
    <row r="2106" spans="1:8" ht="15.75" customHeight="1" x14ac:dyDescent="0.25">
      <c r="A2106" s="16" t="s">
        <v>5453</v>
      </c>
      <c r="B2106" s="16" t="s">
        <v>5454</v>
      </c>
    </row>
    <row r="2107" spans="1:8" ht="15.75" customHeight="1" x14ac:dyDescent="0.25">
      <c r="A2107" s="16" t="s">
        <v>5456</v>
      </c>
      <c r="B2107" s="16" t="s">
        <v>5457</v>
      </c>
    </row>
    <row r="2108" spans="1:8" ht="15.75" customHeight="1" x14ac:dyDescent="0.25">
      <c r="A2108" s="16" t="s">
        <v>5458</v>
      </c>
      <c r="B2108" s="16" t="s">
        <v>5459</v>
      </c>
    </row>
    <row r="2109" spans="1:8" ht="15.75" customHeight="1" x14ac:dyDescent="0.25">
      <c r="A2109" s="16" t="s">
        <v>5462</v>
      </c>
      <c r="B2109" s="16" t="s">
        <v>5463</v>
      </c>
    </row>
    <row r="2110" spans="1:8" ht="15.75" customHeight="1" x14ac:dyDescent="0.25">
      <c r="A2110" s="16" t="s">
        <v>5466</v>
      </c>
      <c r="B2110" s="16" t="s">
        <v>5467</v>
      </c>
      <c r="C2110" s="16" t="s">
        <v>8805</v>
      </c>
      <c r="E2110" s="18" t="s">
        <v>8806</v>
      </c>
      <c r="F2110" s="18" t="s">
        <v>8807</v>
      </c>
      <c r="G2110" s="16" t="s">
        <v>8808</v>
      </c>
      <c r="H2110" s="16" t="s">
        <v>8809</v>
      </c>
    </row>
    <row r="2111" spans="1:8" ht="15.75" customHeight="1" x14ac:dyDescent="0.25">
      <c r="A2111" s="16" t="s">
        <v>5466</v>
      </c>
      <c r="B2111" s="16" t="s">
        <v>5467</v>
      </c>
      <c r="C2111" s="16" t="s">
        <v>8805</v>
      </c>
      <c r="E2111" s="18" t="s">
        <v>8806</v>
      </c>
      <c r="F2111" s="18" t="s">
        <v>8810</v>
      </c>
      <c r="G2111" s="16" t="s">
        <v>8811</v>
      </c>
      <c r="H2111" s="16" t="s">
        <v>8812</v>
      </c>
    </row>
    <row r="2112" spans="1:8" ht="15.75" customHeight="1" x14ac:dyDescent="0.25">
      <c r="A2112" s="16" t="s">
        <v>5470</v>
      </c>
      <c r="B2112" s="16" t="s">
        <v>5471</v>
      </c>
      <c r="C2112" s="16" t="s">
        <v>6750</v>
      </c>
    </row>
    <row r="2113" spans="1:8" ht="15.75" customHeight="1" x14ac:dyDescent="0.25">
      <c r="A2113" s="16" t="s">
        <v>5474</v>
      </c>
      <c r="B2113" s="16" t="s">
        <v>5475</v>
      </c>
      <c r="C2113" s="16" t="s">
        <v>8813</v>
      </c>
      <c r="E2113" s="18" t="s">
        <v>8814</v>
      </c>
      <c r="F2113" s="18" t="s">
        <v>8815</v>
      </c>
      <c r="G2113" s="16" t="s">
        <v>8816</v>
      </c>
      <c r="H2113" s="16" t="s">
        <v>8817</v>
      </c>
    </row>
    <row r="2114" spans="1:8" ht="15.75" customHeight="1" x14ac:dyDescent="0.25">
      <c r="A2114" s="16" t="s">
        <v>5474</v>
      </c>
      <c r="B2114" s="16" t="s">
        <v>5475</v>
      </c>
      <c r="C2114" s="16" t="s">
        <v>8813</v>
      </c>
      <c r="E2114" s="18" t="s">
        <v>8814</v>
      </c>
      <c r="F2114" s="18" t="s">
        <v>8818</v>
      </c>
      <c r="G2114" s="16" t="s">
        <v>8819</v>
      </c>
      <c r="H2114" s="16" t="s">
        <v>8820</v>
      </c>
    </row>
    <row r="2115" spans="1:8" ht="15.75" customHeight="1" x14ac:dyDescent="0.25">
      <c r="A2115" s="16" t="s">
        <v>5476</v>
      </c>
      <c r="B2115" s="16" t="s">
        <v>5477</v>
      </c>
    </row>
    <row r="2116" spans="1:8" ht="15.75" customHeight="1" x14ac:dyDescent="0.25">
      <c r="A2116" s="16" t="s">
        <v>5478</v>
      </c>
      <c r="B2116" s="16" t="s">
        <v>5479</v>
      </c>
    </row>
    <row r="2117" spans="1:8" ht="15.75" customHeight="1" x14ac:dyDescent="0.25">
      <c r="A2117" s="16" t="s">
        <v>5481</v>
      </c>
      <c r="B2117" s="16" t="s">
        <v>5482</v>
      </c>
    </row>
    <row r="2118" spans="1:8" ht="15.75" customHeight="1" x14ac:dyDescent="0.25">
      <c r="A2118" s="16" t="s">
        <v>5485</v>
      </c>
      <c r="B2118" s="16" t="s">
        <v>5486</v>
      </c>
      <c r="C2118" s="16" t="s">
        <v>7168</v>
      </c>
      <c r="E2118" s="18" t="s">
        <v>7169</v>
      </c>
    </row>
    <row r="2119" spans="1:8" ht="15.75" customHeight="1" x14ac:dyDescent="0.25">
      <c r="A2119" s="16" t="s">
        <v>5488</v>
      </c>
      <c r="B2119" s="16" t="s">
        <v>5489</v>
      </c>
      <c r="C2119" s="16" t="s">
        <v>8821</v>
      </c>
      <c r="E2119" s="18" t="s">
        <v>8822</v>
      </c>
      <c r="F2119" s="18" t="s">
        <v>8823</v>
      </c>
    </row>
    <row r="2120" spans="1:8" ht="15.75" customHeight="1" x14ac:dyDescent="0.25">
      <c r="A2120" s="16" t="s">
        <v>5491</v>
      </c>
      <c r="B2120" s="16" t="s">
        <v>5492</v>
      </c>
    </row>
    <row r="2121" spans="1:8" ht="15.75" customHeight="1" x14ac:dyDescent="0.25">
      <c r="A2121" s="16" t="s">
        <v>5495</v>
      </c>
      <c r="B2121" s="16" t="s">
        <v>5496</v>
      </c>
      <c r="C2121" s="16" t="s">
        <v>8824</v>
      </c>
      <c r="E2121" s="18" t="s">
        <v>8825</v>
      </c>
      <c r="F2121" s="18" t="s">
        <v>8826</v>
      </c>
      <c r="G2121" s="16" t="s">
        <v>8827</v>
      </c>
      <c r="H2121" s="16" t="s">
        <v>8828</v>
      </c>
    </row>
    <row r="2122" spans="1:8" ht="15.75" customHeight="1" x14ac:dyDescent="0.25">
      <c r="A2122" s="16" t="s">
        <v>5495</v>
      </c>
      <c r="B2122" s="16" t="s">
        <v>5496</v>
      </c>
      <c r="C2122" s="16" t="s">
        <v>8824</v>
      </c>
      <c r="E2122" s="18" t="s">
        <v>8825</v>
      </c>
      <c r="F2122" s="18" t="s">
        <v>8829</v>
      </c>
      <c r="G2122" s="16" t="s">
        <v>8830</v>
      </c>
      <c r="H2122" s="16" t="s">
        <v>8831</v>
      </c>
    </row>
    <row r="2123" spans="1:8" ht="15.75" customHeight="1" x14ac:dyDescent="0.25">
      <c r="A2123" s="16" t="s">
        <v>5495</v>
      </c>
      <c r="B2123" s="16" t="s">
        <v>5496</v>
      </c>
      <c r="C2123" s="16" t="s">
        <v>8832</v>
      </c>
      <c r="E2123" s="18" t="s">
        <v>8833</v>
      </c>
      <c r="F2123" s="18" t="s">
        <v>8834</v>
      </c>
      <c r="G2123" s="16" t="s">
        <v>8835</v>
      </c>
      <c r="H2123" s="16" t="s">
        <v>8836</v>
      </c>
    </row>
    <row r="2124" spans="1:8" ht="15.75" customHeight="1" x14ac:dyDescent="0.25">
      <c r="A2124" s="16" t="s">
        <v>5495</v>
      </c>
      <c r="B2124" s="16" t="s">
        <v>5496</v>
      </c>
      <c r="C2124" s="16" t="s">
        <v>8832</v>
      </c>
      <c r="E2124" s="18" t="s">
        <v>8833</v>
      </c>
      <c r="F2124" s="18" t="s">
        <v>8837</v>
      </c>
      <c r="G2124" s="16" t="s">
        <v>8838</v>
      </c>
      <c r="H2124" s="16" t="s">
        <v>8839</v>
      </c>
    </row>
    <row r="2125" spans="1:8" ht="15.75" customHeight="1" x14ac:dyDescent="0.25">
      <c r="A2125" s="16" t="s">
        <v>5495</v>
      </c>
      <c r="B2125" s="16" t="s">
        <v>5496</v>
      </c>
      <c r="C2125" s="16" t="s">
        <v>8832</v>
      </c>
      <c r="E2125" s="18" t="s">
        <v>8833</v>
      </c>
      <c r="F2125" s="18" t="s">
        <v>8826</v>
      </c>
      <c r="G2125" s="16" t="s">
        <v>8827</v>
      </c>
      <c r="H2125" s="16" t="s">
        <v>8828</v>
      </c>
    </row>
    <row r="2126" spans="1:8" ht="15.75" customHeight="1" x14ac:dyDescent="0.25">
      <c r="A2126" s="16" t="s">
        <v>5495</v>
      </c>
      <c r="B2126" s="16" t="s">
        <v>5496</v>
      </c>
      <c r="C2126" s="16" t="s">
        <v>8832</v>
      </c>
      <c r="E2126" s="18" t="s">
        <v>8833</v>
      </c>
      <c r="F2126" s="18" t="s">
        <v>8840</v>
      </c>
      <c r="G2126" s="16" t="s">
        <v>8841</v>
      </c>
      <c r="H2126" s="16" t="s">
        <v>8842</v>
      </c>
    </row>
    <row r="2127" spans="1:8" ht="15.75" customHeight="1" x14ac:dyDescent="0.25">
      <c r="E2127" s="16"/>
    </row>
    <row r="2128" spans="1:8" ht="15.75" customHeight="1" x14ac:dyDescent="0.25">
      <c r="A2128" s="16" t="s">
        <v>5499</v>
      </c>
      <c r="B2128" s="16" t="s">
        <v>5500</v>
      </c>
      <c r="C2128" s="16" t="s">
        <v>7881</v>
      </c>
      <c r="E2128" s="18" t="s">
        <v>7882</v>
      </c>
      <c r="F2128" s="18" t="s">
        <v>7883</v>
      </c>
      <c r="G2128" s="16" t="s">
        <v>7884</v>
      </c>
      <c r="H2128" s="16" t="s">
        <v>7885</v>
      </c>
    </row>
    <row r="2129" spans="1:5" ht="15.75" customHeight="1" x14ac:dyDescent="0.25">
      <c r="A2129" s="16" t="s">
        <v>5502</v>
      </c>
      <c r="B2129" s="16" t="s">
        <v>5503</v>
      </c>
    </row>
    <row r="2130" spans="1:5" ht="15.75" customHeight="1" x14ac:dyDescent="0.25">
      <c r="A2130" s="16" t="s">
        <v>5506</v>
      </c>
      <c r="B2130" s="16" t="s">
        <v>5507</v>
      </c>
      <c r="C2130" s="16" t="s">
        <v>6722</v>
      </c>
    </row>
    <row r="2131" spans="1:5" ht="15.75" customHeight="1" x14ac:dyDescent="0.25">
      <c r="A2131" s="16" t="s">
        <v>5509</v>
      </c>
      <c r="B2131" s="16" t="s">
        <v>5510</v>
      </c>
    </row>
    <row r="2132" spans="1:5" ht="15.75" customHeight="1" x14ac:dyDescent="0.25">
      <c r="A2132" s="16" t="s">
        <v>5511</v>
      </c>
      <c r="B2132" s="16" t="s">
        <v>5512</v>
      </c>
      <c r="C2132" s="16" t="s">
        <v>8843</v>
      </c>
    </row>
    <row r="2133" spans="1:5" ht="15.75" customHeight="1" x14ac:dyDescent="0.25">
      <c r="A2133" s="16" t="s">
        <v>5514</v>
      </c>
      <c r="B2133" s="16" t="s">
        <v>5515</v>
      </c>
    </row>
    <row r="2134" spans="1:5" ht="15.75" customHeight="1" x14ac:dyDescent="0.25">
      <c r="A2134" s="16" t="s">
        <v>5518</v>
      </c>
      <c r="B2134" s="16" t="s">
        <v>5519</v>
      </c>
    </row>
    <row r="2135" spans="1:5" ht="15.75" customHeight="1" x14ac:dyDescent="0.25">
      <c r="A2135" s="16" t="s">
        <v>5521</v>
      </c>
      <c r="B2135" s="16" t="s">
        <v>5522</v>
      </c>
    </row>
    <row r="2136" spans="1:5" ht="15.75" customHeight="1" x14ac:dyDescent="0.25">
      <c r="A2136" s="16" t="s">
        <v>5523</v>
      </c>
      <c r="B2136" s="16" t="s">
        <v>5524</v>
      </c>
    </row>
    <row r="2137" spans="1:5" ht="15.75" customHeight="1" x14ac:dyDescent="0.25">
      <c r="A2137" s="16" t="s">
        <v>5527</v>
      </c>
      <c r="B2137" s="16" t="s">
        <v>5528</v>
      </c>
    </row>
    <row r="2138" spans="1:5" ht="15.75" customHeight="1" x14ac:dyDescent="0.25">
      <c r="A2138" s="16" t="s">
        <v>5531</v>
      </c>
      <c r="B2138" s="16" t="s">
        <v>5532</v>
      </c>
    </row>
    <row r="2139" spans="1:5" ht="15.75" customHeight="1" x14ac:dyDescent="0.25">
      <c r="B2139" s="16" t="s">
        <v>5533</v>
      </c>
    </row>
    <row r="2140" spans="1:5" ht="15.75" customHeight="1" x14ac:dyDescent="0.25">
      <c r="A2140" s="16" t="s">
        <v>5536</v>
      </c>
      <c r="B2140" s="16" t="s">
        <v>5537</v>
      </c>
    </row>
    <row r="2141" spans="1:5" ht="15.75" customHeight="1" x14ac:dyDescent="0.25">
      <c r="A2141" s="16" t="s">
        <v>5539</v>
      </c>
      <c r="B2141" s="16" t="s">
        <v>5540</v>
      </c>
    </row>
    <row r="2142" spans="1:5" ht="15.75" customHeight="1" x14ac:dyDescent="0.25">
      <c r="A2142" s="16" t="s">
        <v>5542</v>
      </c>
      <c r="B2142" s="16" t="s">
        <v>5543</v>
      </c>
    </row>
    <row r="2143" spans="1:5" ht="15.75" customHeight="1" x14ac:dyDescent="0.25">
      <c r="A2143" s="16" t="s">
        <v>5545</v>
      </c>
      <c r="B2143" s="16" t="s">
        <v>5546</v>
      </c>
    </row>
    <row r="2144" spans="1:5" ht="15.75" customHeight="1" x14ac:dyDescent="0.25">
      <c r="A2144" s="16" t="s">
        <v>5549</v>
      </c>
      <c r="B2144" s="16" t="s">
        <v>5550</v>
      </c>
      <c r="C2144" s="16" t="s">
        <v>8844</v>
      </c>
      <c r="E2144" s="18" t="s">
        <v>8845</v>
      </c>
    </row>
    <row r="2145" spans="1:8" ht="15.75" customHeight="1" x14ac:dyDescent="0.25">
      <c r="A2145" s="16" t="s">
        <v>5552</v>
      </c>
      <c r="B2145" s="16" t="s">
        <v>5553</v>
      </c>
    </row>
    <row r="2146" spans="1:8" ht="15.75" customHeight="1" x14ac:dyDescent="0.25">
      <c r="A2146" s="16" t="s">
        <v>5554</v>
      </c>
      <c r="B2146" s="16" t="s">
        <v>5555</v>
      </c>
    </row>
    <row r="2147" spans="1:8" ht="15.75" customHeight="1" x14ac:dyDescent="0.25">
      <c r="A2147" s="16" t="s">
        <v>5557</v>
      </c>
      <c r="B2147" s="16" t="s">
        <v>5558</v>
      </c>
    </row>
    <row r="2148" spans="1:8" ht="15.75" customHeight="1" x14ac:dyDescent="0.25">
      <c r="A2148" s="16" t="s">
        <v>5561</v>
      </c>
      <c r="B2148" s="16" t="s">
        <v>5562</v>
      </c>
      <c r="C2148" s="16" t="s">
        <v>8846</v>
      </c>
      <c r="E2148" s="18" t="s">
        <v>8847</v>
      </c>
      <c r="F2148" s="18" t="s">
        <v>8848</v>
      </c>
      <c r="G2148" s="16" t="s">
        <v>8849</v>
      </c>
      <c r="H2148" s="16" t="s">
        <v>8850</v>
      </c>
    </row>
    <row r="2149" spans="1:8" ht="15.75" customHeight="1" x14ac:dyDescent="0.25">
      <c r="A2149" s="16" t="s">
        <v>5565</v>
      </c>
      <c r="B2149" s="16" t="s">
        <v>5566</v>
      </c>
      <c r="C2149" s="16" t="s">
        <v>8851</v>
      </c>
    </row>
    <row r="2150" spans="1:8" ht="15.75" customHeight="1" x14ac:dyDescent="0.25">
      <c r="A2150" s="16" t="s">
        <v>5569</v>
      </c>
      <c r="B2150" s="16" t="s">
        <v>5570</v>
      </c>
    </row>
    <row r="2151" spans="1:8" ht="15.75" customHeight="1" x14ac:dyDescent="0.25">
      <c r="A2151" s="16" t="s">
        <v>5572</v>
      </c>
      <c r="B2151" s="16" t="s">
        <v>5573</v>
      </c>
    </row>
    <row r="2152" spans="1:8" ht="15.75" customHeight="1" x14ac:dyDescent="0.25">
      <c r="A2152" s="16" t="s">
        <v>5576</v>
      </c>
      <c r="B2152" s="16" t="s">
        <v>5577</v>
      </c>
      <c r="C2152" s="16" t="s">
        <v>8852</v>
      </c>
      <c r="E2152" s="18" t="s">
        <v>8853</v>
      </c>
      <c r="F2152" s="18" t="s">
        <v>8854</v>
      </c>
      <c r="G2152" s="16" t="s">
        <v>7304</v>
      </c>
      <c r="H2152" s="16" t="s">
        <v>8855</v>
      </c>
    </row>
    <row r="2153" spans="1:8" ht="15.75" customHeight="1" x14ac:dyDescent="0.25">
      <c r="A2153" s="16" t="s">
        <v>5580</v>
      </c>
      <c r="B2153" s="16" t="s">
        <v>5581</v>
      </c>
      <c r="C2153" s="16" t="s">
        <v>8856</v>
      </c>
      <c r="E2153" s="18" t="s">
        <v>8857</v>
      </c>
      <c r="F2153" s="18" t="s">
        <v>8858</v>
      </c>
      <c r="G2153" s="16" t="s">
        <v>8859</v>
      </c>
      <c r="H2153" s="16" t="s">
        <v>8860</v>
      </c>
    </row>
    <row r="2154" spans="1:8" ht="15.75" customHeight="1" x14ac:dyDescent="0.25">
      <c r="A2154" s="16" t="s">
        <v>5580</v>
      </c>
      <c r="B2154" s="16" t="s">
        <v>5581</v>
      </c>
      <c r="C2154" s="16" t="s">
        <v>8856</v>
      </c>
      <c r="E2154" s="18" t="s">
        <v>8857</v>
      </c>
      <c r="F2154" s="18" t="s">
        <v>8410</v>
      </c>
      <c r="G2154" s="16" t="s">
        <v>8411</v>
      </c>
      <c r="H2154" s="16" t="s">
        <v>8412</v>
      </c>
    </row>
    <row r="2155" spans="1:8" ht="15.75" customHeight="1" x14ac:dyDescent="0.25">
      <c r="A2155" s="16" t="s">
        <v>5580</v>
      </c>
      <c r="B2155" s="16" t="s">
        <v>5581</v>
      </c>
      <c r="C2155" s="16" t="s">
        <v>8856</v>
      </c>
      <c r="E2155" s="18" t="s">
        <v>8857</v>
      </c>
      <c r="F2155" s="18" t="s">
        <v>8861</v>
      </c>
      <c r="G2155" s="16" t="s">
        <v>8862</v>
      </c>
      <c r="H2155" s="16" t="s">
        <v>8863</v>
      </c>
    </row>
    <row r="2156" spans="1:8" ht="15.75" customHeight="1" x14ac:dyDescent="0.25">
      <c r="A2156" s="16" t="s">
        <v>5584</v>
      </c>
      <c r="B2156" s="16" t="s">
        <v>5585</v>
      </c>
      <c r="C2156" s="16" t="s">
        <v>8864</v>
      </c>
      <c r="E2156" s="18" t="s">
        <v>8865</v>
      </c>
      <c r="F2156" s="18" t="s">
        <v>8866</v>
      </c>
      <c r="G2156" s="16" t="s">
        <v>8867</v>
      </c>
      <c r="H2156" s="16" t="s">
        <v>8868</v>
      </c>
    </row>
    <row r="2157" spans="1:8" ht="15.75" customHeight="1" x14ac:dyDescent="0.25">
      <c r="A2157" s="16" t="s">
        <v>5588</v>
      </c>
      <c r="B2157" s="16" t="s">
        <v>5589</v>
      </c>
      <c r="C2157" s="16" t="s">
        <v>8869</v>
      </c>
      <c r="E2157" s="18" t="s">
        <v>8870</v>
      </c>
      <c r="F2157" s="18" t="s">
        <v>8871</v>
      </c>
      <c r="G2157" s="16" t="s">
        <v>8872</v>
      </c>
      <c r="H2157" s="16" t="s">
        <v>8873</v>
      </c>
    </row>
    <row r="2158" spans="1:8" ht="15.75" customHeight="1" x14ac:dyDescent="0.25">
      <c r="A2158" s="16" t="s">
        <v>5588</v>
      </c>
      <c r="B2158" s="16" t="s">
        <v>5589</v>
      </c>
      <c r="C2158" s="16" t="s">
        <v>8869</v>
      </c>
      <c r="E2158" s="18" t="s">
        <v>8870</v>
      </c>
      <c r="F2158" s="18" t="s">
        <v>8874</v>
      </c>
      <c r="G2158" s="16" t="s">
        <v>8875</v>
      </c>
      <c r="H2158" s="16" t="s">
        <v>8876</v>
      </c>
    </row>
    <row r="2159" spans="1:8" ht="15.75" customHeight="1" x14ac:dyDescent="0.25">
      <c r="A2159" s="16" t="s">
        <v>5588</v>
      </c>
      <c r="B2159" s="16" t="s">
        <v>5589</v>
      </c>
      <c r="C2159" s="16" t="s">
        <v>8869</v>
      </c>
      <c r="E2159" s="18" t="s">
        <v>8870</v>
      </c>
      <c r="F2159" s="18" t="s">
        <v>8877</v>
      </c>
      <c r="G2159" s="16" t="s">
        <v>8878</v>
      </c>
      <c r="H2159" s="16" t="s">
        <v>8879</v>
      </c>
    </row>
    <row r="2160" spans="1:8" ht="15.75" customHeight="1" x14ac:dyDescent="0.25">
      <c r="A2160" s="16" t="s">
        <v>5588</v>
      </c>
      <c r="B2160" s="16" t="s">
        <v>5589</v>
      </c>
      <c r="C2160" s="16" t="s">
        <v>8869</v>
      </c>
      <c r="E2160" s="18" t="s">
        <v>8870</v>
      </c>
      <c r="F2160" s="18" t="s">
        <v>8880</v>
      </c>
      <c r="G2160" s="16" t="s">
        <v>8881</v>
      </c>
      <c r="H2160" s="16" t="s">
        <v>8882</v>
      </c>
    </row>
    <row r="2161" spans="1:8" ht="15.75" customHeight="1" x14ac:dyDescent="0.25">
      <c r="A2161" s="16"/>
      <c r="B2161" s="16"/>
      <c r="C2161" s="16"/>
      <c r="E2161" s="16"/>
    </row>
    <row r="2162" spans="1:8" ht="15.75" customHeight="1" x14ac:dyDescent="0.25">
      <c r="A2162" s="16" t="s">
        <v>5592</v>
      </c>
      <c r="B2162" s="16" t="s">
        <v>5593</v>
      </c>
      <c r="C2162" s="16" t="s">
        <v>8883</v>
      </c>
      <c r="E2162" s="18" t="s">
        <v>8884</v>
      </c>
      <c r="F2162" s="18" t="s">
        <v>8885</v>
      </c>
      <c r="G2162" s="16" t="s">
        <v>6886</v>
      </c>
      <c r="H2162" s="16" t="s">
        <v>8886</v>
      </c>
    </row>
    <row r="2163" spans="1:8" ht="15.75" customHeight="1" x14ac:dyDescent="0.25">
      <c r="A2163" s="16" t="s">
        <v>5592</v>
      </c>
      <c r="B2163" s="16" t="s">
        <v>5593</v>
      </c>
      <c r="C2163" s="16" t="s">
        <v>8883</v>
      </c>
      <c r="E2163" s="18" t="s">
        <v>8884</v>
      </c>
      <c r="F2163" s="18" t="s">
        <v>8887</v>
      </c>
      <c r="G2163" s="16" t="s">
        <v>8888</v>
      </c>
      <c r="H2163" s="16" t="s">
        <v>8889</v>
      </c>
    </row>
    <row r="2164" spans="1:8" ht="15.75" customHeight="1" x14ac:dyDescent="0.25">
      <c r="A2164" s="16" t="s">
        <v>5596</v>
      </c>
      <c r="B2164" s="16" t="s">
        <v>5597</v>
      </c>
      <c r="C2164" s="16" t="s">
        <v>6344</v>
      </c>
      <c r="E2164" s="18" t="s">
        <v>6345</v>
      </c>
      <c r="F2164" s="18" t="s">
        <v>6346</v>
      </c>
      <c r="G2164" s="16" t="s">
        <v>6347</v>
      </c>
      <c r="H2164" s="16" t="s">
        <v>6348</v>
      </c>
    </row>
    <row r="2165" spans="1:8" ht="15.75" customHeight="1" x14ac:dyDescent="0.25">
      <c r="A2165" s="16" t="s">
        <v>5596</v>
      </c>
      <c r="B2165" s="16" t="s">
        <v>5597</v>
      </c>
      <c r="C2165" s="16" t="s">
        <v>6344</v>
      </c>
      <c r="E2165" s="18" t="s">
        <v>6345</v>
      </c>
      <c r="F2165" s="18" t="s">
        <v>6349</v>
      </c>
      <c r="G2165" s="16" t="s">
        <v>6350</v>
      </c>
      <c r="H2165" s="16" t="s">
        <v>6348</v>
      </c>
    </row>
    <row r="2166" spans="1:8" ht="15.75" customHeight="1" x14ac:dyDescent="0.25">
      <c r="A2166" s="16" t="s">
        <v>5596</v>
      </c>
      <c r="B2166" s="16" t="s">
        <v>5597</v>
      </c>
      <c r="C2166" s="16" t="s">
        <v>6344</v>
      </c>
      <c r="E2166" s="18" t="s">
        <v>6345</v>
      </c>
      <c r="F2166" s="18" t="s">
        <v>6351</v>
      </c>
      <c r="G2166" s="16" t="s">
        <v>6352</v>
      </c>
      <c r="H2166" s="16" t="s">
        <v>6348</v>
      </c>
    </row>
    <row r="2167" spans="1:8" ht="15.75" customHeight="1" x14ac:dyDescent="0.25">
      <c r="A2167" s="16" t="s">
        <v>5596</v>
      </c>
      <c r="B2167" s="16" t="s">
        <v>5597</v>
      </c>
      <c r="C2167" s="16" t="s">
        <v>6344</v>
      </c>
      <c r="E2167" s="18" t="s">
        <v>6345</v>
      </c>
      <c r="F2167" s="18" t="s">
        <v>6353</v>
      </c>
      <c r="G2167" s="16" t="s">
        <v>6354</v>
      </c>
      <c r="H2167" s="16" t="s">
        <v>6348</v>
      </c>
    </row>
    <row r="2168" spans="1:8" ht="15.75" customHeight="1" x14ac:dyDescent="0.25">
      <c r="A2168" s="16" t="s">
        <v>5596</v>
      </c>
      <c r="B2168" s="16" t="s">
        <v>5597</v>
      </c>
      <c r="C2168" s="16" t="s">
        <v>6344</v>
      </c>
      <c r="E2168" s="18" t="s">
        <v>6345</v>
      </c>
      <c r="F2168" s="18" t="s">
        <v>6355</v>
      </c>
      <c r="G2168" s="16" t="s">
        <v>6356</v>
      </c>
      <c r="H2168" s="16" t="s">
        <v>6348</v>
      </c>
    </row>
    <row r="2169" spans="1:8" ht="15.75" customHeight="1" x14ac:dyDescent="0.25">
      <c r="A2169" s="16" t="s">
        <v>5596</v>
      </c>
      <c r="B2169" s="16" t="s">
        <v>5597</v>
      </c>
      <c r="C2169" s="16" t="s">
        <v>6344</v>
      </c>
      <c r="E2169" s="18" t="s">
        <v>6345</v>
      </c>
      <c r="F2169" s="18" t="s">
        <v>6357</v>
      </c>
      <c r="G2169" s="16" t="s">
        <v>6358</v>
      </c>
      <c r="H2169" s="16" t="s">
        <v>6359</v>
      </c>
    </row>
    <row r="2170" spans="1:8" ht="15.75" customHeight="1" x14ac:dyDescent="0.25">
      <c r="A2170" s="16" t="s">
        <v>5600</v>
      </c>
      <c r="B2170" s="16" t="s">
        <v>5601</v>
      </c>
      <c r="C2170" s="16" t="s">
        <v>6874</v>
      </c>
      <c r="E2170" s="18" t="s">
        <v>6875</v>
      </c>
      <c r="F2170" s="18" t="s">
        <v>6876</v>
      </c>
      <c r="G2170" s="16" t="s">
        <v>6877</v>
      </c>
      <c r="H2170" s="16" t="s">
        <v>6878</v>
      </c>
    </row>
    <row r="2171" spans="1:8" ht="15.75" customHeight="1" x14ac:dyDescent="0.25">
      <c r="A2171" s="16" t="s">
        <v>5603</v>
      </c>
      <c r="B2171" s="16" t="s">
        <v>5604</v>
      </c>
    </row>
    <row r="2172" spans="1:8" ht="15.75" customHeight="1" x14ac:dyDescent="0.25">
      <c r="A2172" s="16" t="s">
        <v>5607</v>
      </c>
      <c r="B2172" s="16" t="s">
        <v>5608</v>
      </c>
    </row>
    <row r="2173" spans="1:8" ht="15.75" customHeight="1" x14ac:dyDescent="0.25">
      <c r="A2173" s="16" t="s">
        <v>5611</v>
      </c>
      <c r="B2173" s="16" t="s">
        <v>5612</v>
      </c>
    </row>
    <row r="2174" spans="1:8" ht="15.75" customHeight="1" x14ac:dyDescent="0.25">
      <c r="A2174" s="16" t="s">
        <v>5615</v>
      </c>
      <c r="B2174" s="16" t="s">
        <v>5616</v>
      </c>
      <c r="C2174" s="16" t="s">
        <v>8890</v>
      </c>
      <c r="E2174" s="18" t="s">
        <v>8891</v>
      </c>
      <c r="F2174" s="18" t="s">
        <v>8892</v>
      </c>
      <c r="G2174" s="16" t="s">
        <v>8893</v>
      </c>
      <c r="H2174" s="16" t="s">
        <v>8894</v>
      </c>
    </row>
    <row r="2175" spans="1:8" ht="15.75" customHeight="1" x14ac:dyDescent="0.25">
      <c r="A2175" s="16" t="s">
        <v>5619</v>
      </c>
      <c r="B2175" s="16" t="s">
        <v>5620</v>
      </c>
    </row>
    <row r="2176" spans="1:8" ht="15.75" customHeight="1" x14ac:dyDescent="0.25">
      <c r="A2176" s="16" t="s">
        <v>5622</v>
      </c>
      <c r="B2176" s="16" t="s">
        <v>5623</v>
      </c>
    </row>
    <row r="2177" spans="1:8" ht="15.75" customHeight="1" x14ac:dyDescent="0.25">
      <c r="A2177" s="16" t="s">
        <v>5625</v>
      </c>
      <c r="B2177" s="16" t="s">
        <v>5626</v>
      </c>
    </row>
    <row r="2178" spans="1:8" ht="15.75" customHeight="1" x14ac:dyDescent="0.25">
      <c r="A2178" s="16" t="s">
        <v>5629</v>
      </c>
      <c r="B2178" s="16" t="s">
        <v>5630</v>
      </c>
    </row>
    <row r="2179" spans="1:8" ht="15.75" customHeight="1" x14ac:dyDescent="0.25">
      <c r="A2179" s="16" t="s">
        <v>5633</v>
      </c>
      <c r="B2179" s="16" t="s">
        <v>5634</v>
      </c>
      <c r="C2179" s="16" t="s">
        <v>8895</v>
      </c>
      <c r="E2179" s="18" t="s">
        <v>8896</v>
      </c>
      <c r="F2179" s="18" t="s">
        <v>8897</v>
      </c>
      <c r="G2179" s="16" t="s">
        <v>8898</v>
      </c>
      <c r="H2179" s="16" t="s">
        <v>8899</v>
      </c>
    </row>
    <row r="2180" spans="1:8" ht="15.75" customHeight="1" x14ac:dyDescent="0.25">
      <c r="A2180" s="16" t="s">
        <v>5633</v>
      </c>
      <c r="B2180" s="16" t="s">
        <v>5634</v>
      </c>
      <c r="C2180" s="16" t="s">
        <v>8895</v>
      </c>
      <c r="E2180" s="18" t="s">
        <v>8896</v>
      </c>
      <c r="F2180" s="18" t="s">
        <v>8900</v>
      </c>
      <c r="G2180" s="16" t="s">
        <v>8901</v>
      </c>
      <c r="H2180" s="16" t="s">
        <v>8902</v>
      </c>
    </row>
    <row r="2181" spans="1:8" ht="15.75" customHeight="1" x14ac:dyDescent="0.25">
      <c r="A2181" s="16" t="s">
        <v>5637</v>
      </c>
      <c r="B2181" s="16" t="s">
        <v>5638</v>
      </c>
    </row>
    <row r="2182" spans="1:8" ht="15.75" customHeight="1" x14ac:dyDescent="0.25">
      <c r="A2182" s="16" t="s">
        <v>5641</v>
      </c>
      <c r="B2182" s="16" t="s">
        <v>5642</v>
      </c>
      <c r="C2182" s="16" t="s">
        <v>8903</v>
      </c>
      <c r="E2182" s="18" t="s">
        <v>8904</v>
      </c>
      <c r="F2182" s="18" t="s">
        <v>6548</v>
      </c>
      <c r="G2182" s="16" t="s">
        <v>6962</v>
      </c>
      <c r="H2182" s="16" t="s">
        <v>6963</v>
      </c>
    </row>
    <row r="2183" spans="1:8" ht="15.75" customHeight="1" x14ac:dyDescent="0.25">
      <c r="A2183" s="16" t="s">
        <v>5641</v>
      </c>
      <c r="B2183" s="16" t="s">
        <v>5642</v>
      </c>
      <c r="C2183" s="16" t="s">
        <v>8903</v>
      </c>
      <c r="E2183" s="18" t="s">
        <v>8904</v>
      </c>
      <c r="F2183" s="18" t="s">
        <v>8905</v>
      </c>
      <c r="G2183" s="16" t="s">
        <v>8906</v>
      </c>
      <c r="H2183" s="16" t="s">
        <v>8907</v>
      </c>
    </row>
    <row r="2184" spans="1:8" ht="15.75" customHeight="1" x14ac:dyDescent="0.25">
      <c r="A2184" s="16" t="s">
        <v>5641</v>
      </c>
      <c r="B2184" s="16" t="s">
        <v>5642</v>
      </c>
      <c r="C2184" s="16" t="s">
        <v>8903</v>
      </c>
      <c r="E2184" s="18" t="s">
        <v>8904</v>
      </c>
      <c r="F2184" s="18" t="s">
        <v>7124</v>
      </c>
      <c r="G2184" s="16" t="s">
        <v>7125</v>
      </c>
      <c r="H2184" s="16" t="s">
        <v>7126</v>
      </c>
    </row>
    <row r="2185" spans="1:8" ht="15.75" customHeight="1" x14ac:dyDescent="0.25">
      <c r="A2185" s="16" t="s">
        <v>5641</v>
      </c>
      <c r="B2185" s="16" t="s">
        <v>5642</v>
      </c>
      <c r="C2185" s="16" t="s">
        <v>8908</v>
      </c>
      <c r="E2185" s="18" t="s">
        <v>8909</v>
      </c>
      <c r="F2185" s="18" t="s">
        <v>6548</v>
      </c>
      <c r="G2185" s="16" t="s">
        <v>6962</v>
      </c>
      <c r="H2185" s="16" t="s">
        <v>6963</v>
      </c>
    </row>
    <row r="2186" spans="1:8" ht="15.75" customHeight="1" x14ac:dyDescent="0.25">
      <c r="A2186" s="16" t="s">
        <v>5641</v>
      </c>
      <c r="B2186" s="16" t="s">
        <v>5642</v>
      </c>
      <c r="C2186" s="16" t="s">
        <v>8908</v>
      </c>
      <c r="E2186" s="18" t="s">
        <v>8909</v>
      </c>
      <c r="F2186" s="18" t="s">
        <v>8910</v>
      </c>
      <c r="G2186" s="16" t="s">
        <v>8911</v>
      </c>
      <c r="H2186" s="16" t="s">
        <v>8912</v>
      </c>
    </row>
    <row r="2187" spans="1:8" ht="15.75" customHeight="1" x14ac:dyDescent="0.25">
      <c r="A2187" s="16" t="s">
        <v>5641</v>
      </c>
      <c r="B2187" s="16" t="s">
        <v>5642</v>
      </c>
      <c r="C2187" s="16" t="s">
        <v>8908</v>
      </c>
      <c r="E2187" s="18" t="s">
        <v>8909</v>
      </c>
      <c r="F2187" s="18" t="s">
        <v>8913</v>
      </c>
      <c r="G2187" s="16" t="s">
        <v>8914</v>
      </c>
      <c r="H2187" s="16" t="s">
        <v>8915</v>
      </c>
    </row>
    <row r="2188" spans="1:8" ht="15.75" customHeight="1" x14ac:dyDescent="0.25">
      <c r="A2188" s="16" t="s">
        <v>5641</v>
      </c>
      <c r="B2188" s="16" t="s">
        <v>5642</v>
      </c>
      <c r="C2188" s="16" t="s">
        <v>8908</v>
      </c>
      <c r="E2188" s="18" t="s">
        <v>8909</v>
      </c>
      <c r="F2188" s="18" t="s">
        <v>8916</v>
      </c>
      <c r="G2188" s="16" t="s">
        <v>8917</v>
      </c>
      <c r="H2188" s="16" t="s">
        <v>8918</v>
      </c>
    </row>
    <row r="2189" spans="1:8" ht="15.75" customHeight="1" x14ac:dyDescent="0.25">
      <c r="A2189" s="16" t="s">
        <v>5645</v>
      </c>
      <c r="B2189" s="16" t="s">
        <v>5646</v>
      </c>
      <c r="C2189" s="16" t="s">
        <v>8919</v>
      </c>
      <c r="E2189" s="18" t="s">
        <v>8920</v>
      </c>
      <c r="F2189" s="18" t="s">
        <v>8921</v>
      </c>
      <c r="G2189" s="16" t="s">
        <v>8922</v>
      </c>
      <c r="H2189" s="16" t="s">
        <v>8923</v>
      </c>
    </row>
    <row r="2190" spans="1:8" ht="15.75" customHeight="1" x14ac:dyDescent="0.25">
      <c r="A2190" s="16" t="s">
        <v>5647</v>
      </c>
      <c r="B2190" s="16" t="s">
        <v>5648</v>
      </c>
    </row>
    <row r="2191" spans="1:8" ht="15.75" customHeight="1" x14ac:dyDescent="0.25">
      <c r="B2191" s="16" t="s">
        <v>5649</v>
      </c>
    </row>
    <row r="2192" spans="1:8" ht="15.75" customHeight="1" x14ac:dyDescent="0.25">
      <c r="B2192" s="16" t="s">
        <v>5650</v>
      </c>
    </row>
    <row r="2193" spans="1:8" ht="15.75" customHeight="1" x14ac:dyDescent="0.25">
      <c r="A2193" s="16" t="s">
        <v>5652</v>
      </c>
      <c r="B2193" s="16" t="s">
        <v>5653</v>
      </c>
    </row>
    <row r="2194" spans="1:8" ht="15.75" customHeight="1" x14ac:dyDescent="0.25">
      <c r="A2194" s="16" t="s">
        <v>5656</v>
      </c>
      <c r="B2194" s="16" t="s">
        <v>5657</v>
      </c>
      <c r="C2194" s="16" t="s">
        <v>6811</v>
      </c>
    </row>
    <row r="2195" spans="1:8" ht="15.75" customHeight="1" x14ac:dyDescent="0.25">
      <c r="A2195" s="16" t="s">
        <v>5660</v>
      </c>
      <c r="B2195" s="16" t="s">
        <v>5661</v>
      </c>
      <c r="C2195" s="16" t="s">
        <v>8924</v>
      </c>
      <c r="E2195" s="18" t="s">
        <v>8925</v>
      </c>
    </row>
    <row r="2196" spans="1:8" ht="15.75" customHeight="1" x14ac:dyDescent="0.25">
      <c r="A2196" s="16" t="s">
        <v>5663</v>
      </c>
      <c r="B2196" s="16" t="s">
        <v>5664</v>
      </c>
    </row>
    <row r="2197" spans="1:8" ht="15.75" customHeight="1" x14ac:dyDescent="0.25">
      <c r="A2197" s="16" t="s">
        <v>5666</v>
      </c>
      <c r="B2197" s="16" t="s">
        <v>5667</v>
      </c>
    </row>
    <row r="2198" spans="1:8" ht="15.75" customHeight="1" x14ac:dyDescent="0.25">
      <c r="A2198" s="16" t="s">
        <v>5669</v>
      </c>
      <c r="B2198" s="16" t="s">
        <v>5670</v>
      </c>
    </row>
    <row r="2199" spans="1:8" ht="15.75" customHeight="1" x14ac:dyDescent="0.25">
      <c r="A2199" s="16" t="s">
        <v>5673</v>
      </c>
      <c r="B2199" s="16" t="s">
        <v>5674</v>
      </c>
    </row>
    <row r="2200" spans="1:8" ht="15.75" customHeight="1" x14ac:dyDescent="0.25">
      <c r="A2200" s="16" t="s">
        <v>5677</v>
      </c>
      <c r="B2200" s="16" t="s">
        <v>5678</v>
      </c>
    </row>
    <row r="2201" spans="1:8" ht="15.75" customHeight="1" x14ac:dyDescent="0.25">
      <c r="A2201" s="16" t="s">
        <v>5681</v>
      </c>
      <c r="B2201" s="16" t="s">
        <v>5682</v>
      </c>
      <c r="C2201" s="16" t="s">
        <v>8926</v>
      </c>
      <c r="E2201" s="18" t="s">
        <v>8927</v>
      </c>
      <c r="F2201" s="18" t="s">
        <v>8928</v>
      </c>
      <c r="G2201" s="16" t="s">
        <v>8929</v>
      </c>
      <c r="H2201" s="16" t="s">
        <v>8930</v>
      </c>
    </row>
    <row r="2202" spans="1:8" ht="15.75" customHeight="1" x14ac:dyDescent="0.25">
      <c r="A2202" s="16" t="s">
        <v>5681</v>
      </c>
      <c r="B2202" s="16" t="s">
        <v>5682</v>
      </c>
      <c r="C2202" s="16" t="s">
        <v>8926</v>
      </c>
      <c r="E2202" s="18" t="s">
        <v>8927</v>
      </c>
      <c r="F2202" s="18" t="s">
        <v>8931</v>
      </c>
      <c r="G2202" s="16" t="s">
        <v>8932</v>
      </c>
      <c r="H2202" s="16" t="s">
        <v>8933</v>
      </c>
    </row>
    <row r="2203" spans="1:8" ht="15.75" customHeight="1" x14ac:dyDescent="0.25">
      <c r="A2203" s="16" t="s">
        <v>5681</v>
      </c>
      <c r="B2203" s="16" t="s">
        <v>5682</v>
      </c>
      <c r="C2203" s="16" t="s">
        <v>8926</v>
      </c>
      <c r="E2203" s="18" t="s">
        <v>8927</v>
      </c>
      <c r="F2203" s="18" t="s">
        <v>8934</v>
      </c>
      <c r="G2203" s="16" t="s">
        <v>8935</v>
      </c>
      <c r="H2203" s="16" t="s">
        <v>8936</v>
      </c>
    </row>
    <row r="2204" spans="1:8" ht="15.75" customHeight="1" x14ac:dyDescent="0.25">
      <c r="A2204" s="16" t="s">
        <v>5681</v>
      </c>
      <c r="B2204" s="16" t="s">
        <v>5682</v>
      </c>
      <c r="C2204" s="16" t="s">
        <v>8926</v>
      </c>
      <c r="E2204" s="18" t="s">
        <v>8927</v>
      </c>
      <c r="F2204" s="18" t="s">
        <v>8937</v>
      </c>
      <c r="G2204" s="16" t="s">
        <v>8938</v>
      </c>
      <c r="H2204" s="16" t="s">
        <v>8939</v>
      </c>
    </row>
    <row r="2205" spans="1:8" ht="15.75" customHeight="1" x14ac:dyDescent="0.25">
      <c r="A2205" s="16" t="s">
        <v>5681</v>
      </c>
      <c r="B2205" s="16" t="s">
        <v>5682</v>
      </c>
      <c r="C2205" s="16" t="s">
        <v>8926</v>
      </c>
      <c r="E2205" s="18" t="s">
        <v>8927</v>
      </c>
      <c r="F2205" s="18" t="s">
        <v>8940</v>
      </c>
      <c r="G2205" s="16" t="s">
        <v>8941</v>
      </c>
      <c r="H2205" s="16" t="s">
        <v>8942</v>
      </c>
    </row>
    <row r="2206" spans="1:8" ht="15.75" customHeight="1" x14ac:dyDescent="0.25">
      <c r="A2206" s="16" t="s">
        <v>5681</v>
      </c>
      <c r="B2206" s="16" t="s">
        <v>5682</v>
      </c>
      <c r="C2206" s="16" t="s">
        <v>8926</v>
      </c>
      <c r="E2206" s="18" t="s">
        <v>8927</v>
      </c>
      <c r="F2206" s="18" t="s">
        <v>8943</v>
      </c>
      <c r="G2206" s="16" t="s">
        <v>8944</v>
      </c>
      <c r="H2206" s="16" t="s">
        <v>8945</v>
      </c>
    </row>
    <row r="2207" spans="1:8" ht="15.75" customHeight="1" x14ac:dyDescent="0.25">
      <c r="A2207" s="16" t="s">
        <v>5681</v>
      </c>
      <c r="B2207" s="16" t="s">
        <v>5682</v>
      </c>
      <c r="C2207" s="16" t="s">
        <v>8926</v>
      </c>
      <c r="E2207" s="18" t="s">
        <v>8927</v>
      </c>
      <c r="F2207" s="18" t="s">
        <v>8946</v>
      </c>
      <c r="G2207" s="16" t="s">
        <v>8947</v>
      </c>
      <c r="H2207" s="16" t="s">
        <v>8948</v>
      </c>
    </row>
    <row r="2208" spans="1:8" ht="15.75" customHeight="1" x14ac:dyDescent="0.25">
      <c r="A2208" s="16" t="s">
        <v>5681</v>
      </c>
      <c r="B2208" s="16" t="s">
        <v>5682</v>
      </c>
      <c r="C2208" s="16" t="s">
        <v>8926</v>
      </c>
      <c r="E2208" s="18" t="s">
        <v>8927</v>
      </c>
      <c r="F2208" s="18" t="s">
        <v>8949</v>
      </c>
      <c r="G2208" s="16" t="s">
        <v>8950</v>
      </c>
      <c r="H2208" s="16" t="s">
        <v>8951</v>
      </c>
    </row>
    <row r="2209" spans="1:8" ht="15.75" customHeight="1" x14ac:dyDescent="0.25">
      <c r="A2209" s="16" t="s">
        <v>5685</v>
      </c>
      <c r="B2209" s="16" t="s">
        <v>5686</v>
      </c>
      <c r="C2209" s="16" t="s">
        <v>8952</v>
      </c>
      <c r="E2209" s="18" t="s">
        <v>8953</v>
      </c>
      <c r="F2209" s="18" t="s">
        <v>8954</v>
      </c>
      <c r="G2209" s="16" t="s">
        <v>8955</v>
      </c>
      <c r="H2209" s="16" t="s">
        <v>8956</v>
      </c>
    </row>
    <row r="2210" spans="1:8" ht="15.75" customHeight="1" x14ac:dyDescent="0.25">
      <c r="A2210" s="16" t="s">
        <v>5685</v>
      </c>
      <c r="B2210" s="16" t="s">
        <v>5686</v>
      </c>
      <c r="C2210" s="16" t="s">
        <v>8952</v>
      </c>
      <c r="E2210" s="18" t="s">
        <v>8953</v>
      </c>
      <c r="F2210" s="18" t="s">
        <v>8957</v>
      </c>
      <c r="G2210" s="16" t="s">
        <v>8958</v>
      </c>
      <c r="H2210" s="16" t="s">
        <v>8959</v>
      </c>
    </row>
    <row r="2211" spans="1:8" ht="15.75" customHeight="1" x14ac:dyDescent="0.25">
      <c r="A2211" s="16" t="s">
        <v>5689</v>
      </c>
      <c r="B2211" s="16" t="s">
        <v>5690</v>
      </c>
      <c r="C2211" s="16" t="s">
        <v>8960</v>
      </c>
      <c r="E2211" s="18" t="s">
        <v>8961</v>
      </c>
      <c r="F2211" s="18" t="s">
        <v>8962</v>
      </c>
      <c r="G2211" s="16" t="s">
        <v>8963</v>
      </c>
      <c r="H2211" s="16" t="s">
        <v>8964</v>
      </c>
    </row>
    <row r="2212" spans="1:8" ht="15.75" customHeight="1" x14ac:dyDescent="0.25">
      <c r="A2212" s="16" t="s">
        <v>5689</v>
      </c>
      <c r="B2212" s="16" t="s">
        <v>5690</v>
      </c>
      <c r="C2212" s="16" t="s">
        <v>8960</v>
      </c>
      <c r="E2212" s="18" t="s">
        <v>8961</v>
      </c>
      <c r="F2212" s="18" t="s">
        <v>8965</v>
      </c>
      <c r="G2212" s="16" t="s">
        <v>8966</v>
      </c>
      <c r="H2212" s="16" t="s">
        <v>8967</v>
      </c>
    </row>
    <row r="2213" spans="1:8" ht="15.75" customHeight="1" x14ac:dyDescent="0.25">
      <c r="A2213" s="16" t="s">
        <v>5689</v>
      </c>
      <c r="B2213" s="16" t="s">
        <v>5690</v>
      </c>
      <c r="C2213" s="16" t="s">
        <v>8960</v>
      </c>
      <c r="E2213" s="18" t="s">
        <v>8961</v>
      </c>
      <c r="F2213" s="18" t="s">
        <v>8968</v>
      </c>
      <c r="G2213" s="16" t="s">
        <v>8969</v>
      </c>
      <c r="H2213" s="16" t="s">
        <v>8970</v>
      </c>
    </row>
    <row r="2214" spans="1:8" ht="15.75" customHeight="1" x14ac:dyDescent="0.25">
      <c r="A2214" s="16" t="s">
        <v>5692</v>
      </c>
      <c r="B2214" s="16" t="s">
        <v>5693</v>
      </c>
    </row>
    <row r="2215" spans="1:8" ht="15.75" customHeight="1" x14ac:dyDescent="0.25">
      <c r="A2215" s="16" t="s">
        <v>5694</v>
      </c>
      <c r="B2215" s="16" t="s">
        <v>5695</v>
      </c>
    </row>
    <row r="2216" spans="1:8" ht="15.75" customHeight="1" x14ac:dyDescent="0.25">
      <c r="A2216" s="16" t="s">
        <v>5697</v>
      </c>
      <c r="B2216" s="16" t="s">
        <v>5698</v>
      </c>
    </row>
    <row r="2217" spans="1:8" ht="15.75" customHeight="1" x14ac:dyDescent="0.25">
      <c r="A2217" s="16" t="s">
        <v>5700</v>
      </c>
      <c r="B2217" s="16" t="s">
        <v>5701</v>
      </c>
    </row>
    <row r="2218" spans="1:8" ht="15.75" customHeight="1" x14ac:dyDescent="0.25">
      <c r="A2218" s="16" t="s">
        <v>5704</v>
      </c>
      <c r="B2218" s="16" t="s">
        <v>5705</v>
      </c>
      <c r="C2218" s="16" t="s">
        <v>8971</v>
      </c>
      <c r="E2218" s="18" t="s">
        <v>8972</v>
      </c>
    </row>
    <row r="2219" spans="1:8" ht="15.75" customHeight="1" x14ac:dyDescent="0.25">
      <c r="A2219" s="16" t="s">
        <v>5708</v>
      </c>
      <c r="B2219" s="16" t="s">
        <v>5709</v>
      </c>
    </row>
    <row r="2220" spans="1:8" ht="15.75" customHeight="1" x14ac:dyDescent="0.25">
      <c r="A2220" s="16" t="s">
        <v>5711</v>
      </c>
      <c r="B2220" s="16" t="s">
        <v>5712</v>
      </c>
    </row>
    <row r="2221" spans="1:8" ht="15.75" customHeight="1" x14ac:dyDescent="0.25">
      <c r="A2221" s="16" t="s">
        <v>5714</v>
      </c>
      <c r="B2221" s="16" t="s">
        <v>5715</v>
      </c>
    </row>
    <row r="2222" spans="1:8" ht="15.75" customHeight="1" x14ac:dyDescent="0.25">
      <c r="A2222" s="16" t="s">
        <v>5718</v>
      </c>
      <c r="B2222" s="16" t="s">
        <v>5719</v>
      </c>
      <c r="C2222" s="16" t="s">
        <v>8973</v>
      </c>
      <c r="E2222" s="18" t="s">
        <v>8974</v>
      </c>
      <c r="F2222" s="18" t="s">
        <v>8975</v>
      </c>
      <c r="G2222" s="16" t="s">
        <v>8976</v>
      </c>
      <c r="H2222" s="16" t="s">
        <v>8977</v>
      </c>
    </row>
    <row r="2223" spans="1:8" ht="15.75" customHeight="1" x14ac:dyDescent="0.25">
      <c r="A2223" s="16" t="s">
        <v>5722</v>
      </c>
      <c r="B2223" s="16" t="s">
        <v>5723</v>
      </c>
      <c r="C2223" s="16" t="s">
        <v>8973</v>
      </c>
      <c r="E2223" s="18" t="s">
        <v>8974</v>
      </c>
      <c r="F2223" s="18" t="s">
        <v>8975</v>
      </c>
      <c r="G2223" s="16" t="s">
        <v>8976</v>
      </c>
      <c r="H2223" s="16" t="s">
        <v>8977</v>
      </c>
    </row>
    <row r="2224" spans="1:8" ht="15.75" customHeight="1" x14ac:dyDescent="0.25">
      <c r="A2224" s="16" t="s">
        <v>5726</v>
      </c>
      <c r="B2224" s="16" t="s">
        <v>5727</v>
      </c>
      <c r="C2224" s="16" t="s">
        <v>8978</v>
      </c>
      <c r="E2224" s="18" t="s">
        <v>8979</v>
      </c>
      <c r="F2224" s="18" t="s">
        <v>8980</v>
      </c>
      <c r="G2224" s="16" t="s">
        <v>8981</v>
      </c>
      <c r="H2224" s="16" t="s">
        <v>8982</v>
      </c>
    </row>
    <row r="2225" spans="1:8" ht="15.75" customHeight="1" x14ac:dyDescent="0.25">
      <c r="A2225" s="16" t="s">
        <v>5730</v>
      </c>
      <c r="B2225" s="16" t="s">
        <v>5731</v>
      </c>
      <c r="C2225" s="16" t="s">
        <v>8983</v>
      </c>
      <c r="E2225" s="18" t="s">
        <v>8984</v>
      </c>
      <c r="F2225" s="18" t="s">
        <v>8985</v>
      </c>
      <c r="G2225" s="16" t="s">
        <v>8986</v>
      </c>
      <c r="H2225" s="16" t="s">
        <v>8987</v>
      </c>
    </row>
    <row r="2226" spans="1:8" ht="15.75" customHeight="1" x14ac:dyDescent="0.25">
      <c r="A2226" s="16" t="s">
        <v>5734</v>
      </c>
      <c r="B2226" s="16" t="s">
        <v>5735</v>
      </c>
    </row>
    <row r="2227" spans="1:8" ht="15.75" customHeight="1" x14ac:dyDescent="0.25">
      <c r="B2227" s="16" t="s">
        <v>5739</v>
      </c>
    </row>
    <row r="2228" spans="1:8" ht="15.75" customHeight="1" x14ac:dyDescent="0.25">
      <c r="A2228" s="16" t="s">
        <v>5741</v>
      </c>
      <c r="B2228" s="16" t="s">
        <v>5742</v>
      </c>
    </row>
    <row r="2229" spans="1:8" ht="15.75" customHeight="1" x14ac:dyDescent="0.25">
      <c r="A2229" s="16" t="s">
        <v>5744</v>
      </c>
      <c r="B2229" s="16" t="s">
        <v>5745</v>
      </c>
    </row>
    <row r="2230" spans="1:8" ht="15.75" customHeight="1" x14ac:dyDescent="0.25">
      <c r="A2230" s="16" t="s">
        <v>5746</v>
      </c>
      <c r="B2230" s="16" t="s">
        <v>5747</v>
      </c>
    </row>
    <row r="2231" spans="1:8" ht="15.75" customHeight="1" x14ac:dyDescent="0.25">
      <c r="A2231" s="16" t="s">
        <v>5748</v>
      </c>
      <c r="B2231" s="16" t="s">
        <v>5749</v>
      </c>
    </row>
    <row r="2232" spans="1:8" ht="15.75" customHeight="1" x14ac:dyDescent="0.25">
      <c r="A2232" s="16" t="s">
        <v>5750</v>
      </c>
      <c r="B2232" s="16" t="s">
        <v>5751</v>
      </c>
    </row>
    <row r="2233" spans="1:8" ht="15.75" customHeight="1" x14ac:dyDescent="0.25">
      <c r="B2233" s="16" t="s">
        <v>5753</v>
      </c>
    </row>
    <row r="2234" spans="1:8" ht="15.75" customHeight="1" x14ac:dyDescent="0.25">
      <c r="A2234" s="16" t="s">
        <v>5754</v>
      </c>
      <c r="B2234" s="16" t="s">
        <v>5755</v>
      </c>
    </row>
    <row r="2235" spans="1:8" ht="15.75" customHeight="1" x14ac:dyDescent="0.25">
      <c r="A2235" s="16" t="s">
        <v>5756</v>
      </c>
      <c r="B2235" s="16" t="s">
        <v>5757</v>
      </c>
    </row>
    <row r="2236" spans="1:8" ht="15.75" customHeight="1" x14ac:dyDescent="0.25">
      <c r="A2236" s="16" t="s">
        <v>5758</v>
      </c>
      <c r="B2236" s="16" t="s">
        <v>5759</v>
      </c>
    </row>
    <row r="2237" spans="1:8" ht="15.75" customHeight="1" x14ac:dyDescent="0.25">
      <c r="A2237" s="16" t="s">
        <v>5760</v>
      </c>
      <c r="B2237" s="16" t="s">
        <v>5761</v>
      </c>
    </row>
    <row r="2238" spans="1:8" ht="15.75" customHeight="1" x14ac:dyDescent="0.25">
      <c r="A2238" s="16" t="s">
        <v>5764</v>
      </c>
      <c r="B2238" s="16" t="s">
        <v>5765</v>
      </c>
    </row>
    <row r="2239" spans="1:8" ht="15.75" customHeight="1" x14ac:dyDescent="0.25">
      <c r="A2239" s="16" t="s">
        <v>5767</v>
      </c>
      <c r="B2239" s="16" t="s">
        <v>5768</v>
      </c>
    </row>
    <row r="2240" spans="1:8" ht="15.75" customHeight="1" x14ac:dyDescent="0.25">
      <c r="A2240" s="16" t="s">
        <v>5771</v>
      </c>
      <c r="B2240" s="16" t="s">
        <v>5772</v>
      </c>
      <c r="C2240" s="16" t="s">
        <v>7016</v>
      </c>
    </row>
    <row r="2241" spans="1:5" ht="15.75" customHeight="1" x14ac:dyDescent="0.25">
      <c r="A2241" s="16" t="s">
        <v>5775</v>
      </c>
      <c r="B2241" s="16" t="s">
        <v>5776</v>
      </c>
    </row>
    <row r="2242" spans="1:5" ht="15.75" customHeight="1" x14ac:dyDescent="0.25">
      <c r="A2242" s="16" t="s">
        <v>5779</v>
      </c>
      <c r="B2242" s="16" t="s">
        <v>5780</v>
      </c>
    </row>
    <row r="2243" spans="1:5" ht="15.75" customHeight="1" x14ac:dyDescent="0.25">
      <c r="A2243" s="16" t="s">
        <v>5783</v>
      </c>
      <c r="B2243" s="16" t="s">
        <v>5784</v>
      </c>
    </row>
    <row r="2244" spans="1:5" ht="15.75" customHeight="1" x14ac:dyDescent="0.25">
      <c r="A2244" s="16" t="s">
        <v>5787</v>
      </c>
      <c r="B2244" s="16" t="s">
        <v>5788</v>
      </c>
    </row>
    <row r="2245" spans="1:5" ht="15.75" customHeight="1" x14ac:dyDescent="0.25">
      <c r="A2245" s="16" t="s">
        <v>5791</v>
      </c>
      <c r="B2245" s="16" t="s">
        <v>5792</v>
      </c>
    </row>
    <row r="2246" spans="1:5" ht="15.75" customHeight="1" x14ac:dyDescent="0.25">
      <c r="A2246" s="16" t="s">
        <v>5794</v>
      </c>
      <c r="B2246" s="16" t="s">
        <v>5795</v>
      </c>
    </row>
    <row r="2247" spans="1:5" ht="15.75" customHeight="1" x14ac:dyDescent="0.25">
      <c r="A2247" s="16" t="s">
        <v>5798</v>
      </c>
      <c r="B2247" s="16" t="s">
        <v>5799</v>
      </c>
      <c r="C2247" s="16" t="s">
        <v>8988</v>
      </c>
      <c r="E2247" s="18" t="s">
        <v>8989</v>
      </c>
    </row>
    <row r="2248" spans="1:5" ht="15.75" customHeight="1" x14ac:dyDescent="0.25">
      <c r="A2248" s="16" t="s">
        <v>5800</v>
      </c>
      <c r="B2248" s="16" t="s">
        <v>5801</v>
      </c>
    </row>
    <row r="2249" spans="1:5" ht="15.75" customHeight="1" x14ac:dyDescent="0.25">
      <c r="A2249" s="16" t="s">
        <v>5804</v>
      </c>
      <c r="B2249" s="16" t="s">
        <v>5805</v>
      </c>
      <c r="C2249" s="16" t="s">
        <v>8990</v>
      </c>
      <c r="E2249" s="18" t="s">
        <v>8991</v>
      </c>
    </row>
    <row r="2250" spans="1:5" ht="15.75" customHeight="1" x14ac:dyDescent="0.25">
      <c r="A2250" s="16" t="s">
        <v>5808</v>
      </c>
      <c r="B2250" s="16" t="s">
        <v>5809</v>
      </c>
      <c r="C2250" s="16" t="s">
        <v>8992</v>
      </c>
    </row>
    <row r="2251" spans="1:5" ht="15.75" customHeight="1" x14ac:dyDescent="0.25">
      <c r="A2251" s="16" t="s">
        <v>5812</v>
      </c>
      <c r="B2251" s="16" t="s">
        <v>5813</v>
      </c>
      <c r="C2251" s="16" t="s">
        <v>8992</v>
      </c>
    </row>
    <row r="2252" spans="1:5" ht="15.75" customHeight="1" x14ac:dyDescent="0.25">
      <c r="A2252" s="16" t="s">
        <v>5814</v>
      </c>
      <c r="B2252" s="16" t="s">
        <v>5815</v>
      </c>
    </row>
    <row r="2253" spans="1:5" ht="15.75" customHeight="1" x14ac:dyDescent="0.25">
      <c r="A2253" s="16" t="s">
        <v>5818</v>
      </c>
      <c r="B2253" s="16" t="s">
        <v>5819</v>
      </c>
    </row>
    <row r="2254" spans="1:5" ht="15.75" customHeight="1" x14ac:dyDescent="0.25">
      <c r="A2254" s="16" t="s">
        <v>5822</v>
      </c>
      <c r="B2254" s="16" t="s">
        <v>5823</v>
      </c>
    </row>
    <row r="2255" spans="1:5" ht="15.75" customHeight="1" x14ac:dyDescent="0.25">
      <c r="A2255" s="16" t="s">
        <v>5826</v>
      </c>
      <c r="B2255" s="16" t="s">
        <v>5827</v>
      </c>
    </row>
    <row r="2256" spans="1:5" ht="15.75" customHeight="1" x14ac:dyDescent="0.25">
      <c r="A2256" s="16" t="s">
        <v>5830</v>
      </c>
      <c r="B2256" s="16" t="s">
        <v>5831</v>
      </c>
    </row>
    <row r="2257" spans="1:9" ht="15.75" customHeight="1" x14ac:dyDescent="0.25">
      <c r="A2257" s="16" t="s">
        <v>5834</v>
      </c>
      <c r="B2257" s="16" t="s">
        <v>5835</v>
      </c>
      <c r="C2257" s="16" t="s">
        <v>8993</v>
      </c>
      <c r="E2257" s="18" t="s">
        <v>8994</v>
      </c>
      <c r="I2257" s="16" t="s">
        <v>8995</v>
      </c>
    </row>
    <row r="2258" spans="1:9" ht="15.75" customHeight="1" x14ac:dyDescent="0.25">
      <c r="A2258" s="16" t="s">
        <v>5838</v>
      </c>
      <c r="B2258" s="16" t="s">
        <v>5839</v>
      </c>
    </row>
    <row r="2259" spans="1:9" ht="15.75" customHeight="1" x14ac:dyDescent="0.25">
      <c r="A2259" s="16" t="s">
        <v>5841</v>
      </c>
      <c r="B2259" s="16" t="s">
        <v>5842</v>
      </c>
    </row>
    <row r="2260" spans="1:9" ht="15.75" customHeight="1" x14ac:dyDescent="0.25">
      <c r="A2260" s="16" t="s">
        <v>5845</v>
      </c>
      <c r="B2260" s="16" t="s">
        <v>5846</v>
      </c>
      <c r="C2260" s="16" t="s">
        <v>8996</v>
      </c>
      <c r="E2260" s="18" t="s">
        <v>8997</v>
      </c>
      <c r="F2260" s="18" t="s">
        <v>8998</v>
      </c>
      <c r="G2260" s="16" t="s">
        <v>8999</v>
      </c>
      <c r="H2260" s="16" t="s">
        <v>9000</v>
      </c>
    </row>
    <row r="2261" spans="1:9" ht="15.75" customHeight="1" x14ac:dyDescent="0.25">
      <c r="A2261" s="16" t="s">
        <v>5845</v>
      </c>
      <c r="B2261" s="16" t="s">
        <v>5846</v>
      </c>
      <c r="C2261" s="16" t="s">
        <v>8996</v>
      </c>
      <c r="E2261" s="18" t="s">
        <v>8997</v>
      </c>
      <c r="F2261" s="18" t="s">
        <v>9001</v>
      </c>
      <c r="G2261" s="16" t="s">
        <v>9002</v>
      </c>
      <c r="H2261" s="16" t="s">
        <v>9003</v>
      </c>
    </row>
    <row r="2262" spans="1:9" ht="15.75" customHeight="1" x14ac:dyDescent="0.25">
      <c r="A2262" s="16" t="s">
        <v>5849</v>
      </c>
      <c r="B2262" s="16" t="s">
        <v>5850</v>
      </c>
      <c r="C2262" s="16" t="s">
        <v>6201</v>
      </c>
      <c r="E2262" s="18" t="s">
        <v>6202</v>
      </c>
    </row>
    <row r="2263" spans="1:9" ht="15.75" customHeight="1" x14ac:dyDescent="0.25">
      <c r="A2263" s="16" t="s">
        <v>5853</v>
      </c>
      <c r="B2263" s="16" t="s">
        <v>5854</v>
      </c>
      <c r="C2263" s="16" t="s">
        <v>6201</v>
      </c>
      <c r="E2263" s="18" t="s">
        <v>6202</v>
      </c>
    </row>
    <row r="2264" spans="1:9" ht="15.75" customHeight="1" x14ac:dyDescent="0.25">
      <c r="A2264" s="16" t="s">
        <v>5856</v>
      </c>
      <c r="B2264" s="16" t="s">
        <v>5857</v>
      </c>
      <c r="C2264" s="16" t="s">
        <v>9004</v>
      </c>
      <c r="E2264" s="18" t="s">
        <v>9005</v>
      </c>
      <c r="F2264" s="18" t="s">
        <v>7631</v>
      </c>
      <c r="G2264" s="16" t="s">
        <v>7632</v>
      </c>
      <c r="H2264" s="16" t="s">
        <v>7633</v>
      </c>
    </row>
    <row r="2265" spans="1:9" ht="15.75" customHeight="1" x14ac:dyDescent="0.25">
      <c r="A2265" s="16" t="s">
        <v>5856</v>
      </c>
      <c r="B2265" s="16" t="s">
        <v>5857</v>
      </c>
      <c r="C2265" s="16" t="s">
        <v>9004</v>
      </c>
      <c r="E2265" s="18" t="s">
        <v>9005</v>
      </c>
      <c r="F2265" s="18" t="s">
        <v>7634</v>
      </c>
      <c r="G2265" s="16" t="s">
        <v>7635</v>
      </c>
      <c r="H2265" s="16" t="s">
        <v>7636</v>
      </c>
    </row>
    <row r="2266" spans="1:9" ht="15.75" customHeight="1" x14ac:dyDescent="0.25">
      <c r="A2266" s="16" t="s">
        <v>5859</v>
      </c>
      <c r="B2266" s="16" t="s">
        <v>5860</v>
      </c>
    </row>
    <row r="2267" spans="1:9" ht="15.75" customHeight="1" x14ac:dyDescent="0.25">
      <c r="A2267" s="16" t="s">
        <v>5863</v>
      </c>
      <c r="B2267" s="16" t="s">
        <v>5864</v>
      </c>
      <c r="C2267" s="16" t="s">
        <v>6615</v>
      </c>
      <c r="E2267" s="18" t="s">
        <v>6616</v>
      </c>
    </row>
    <row r="2268" spans="1:9" ht="15.75" customHeight="1" x14ac:dyDescent="0.25">
      <c r="A2268" s="16" t="s">
        <v>5865</v>
      </c>
      <c r="B2268" s="16" t="s">
        <v>5866</v>
      </c>
    </row>
    <row r="2269" spans="1:9" ht="15.75" customHeight="1" x14ac:dyDescent="0.25">
      <c r="A2269" s="16" t="s">
        <v>5868</v>
      </c>
      <c r="B2269" s="16" t="s">
        <v>5869</v>
      </c>
    </row>
    <row r="2270" spans="1:9" ht="15.75" customHeight="1" x14ac:dyDescent="0.25">
      <c r="B2270" s="16" t="s">
        <v>5871</v>
      </c>
    </row>
    <row r="2271" spans="1:9" ht="15.75" customHeight="1" x14ac:dyDescent="0.25">
      <c r="A2271" s="16" t="s">
        <v>5874</v>
      </c>
      <c r="B2271" s="16" t="s">
        <v>5875</v>
      </c>
      <c r="C2271" s="16" t="s">
        <v>9006</v>
      </c>
      <c r="E2271" s="18" t="s">
        <v>9007</v>
      </c>
      <c r="F2271" s="18" t="s">
        <v>9008</v>
      </c>
      <c r="G2271" s="16" t="s">
        <v>9009</v>
      </c>
      <c r="H2271" s="16" t="s">
        <v>9010</v>
      </c>
    </row>
    <row r="2272" spans="1:9" ht="15.75" customHeight="1" x14ac:dyDescent="0.25">
      <c r="A2272" s="16" t="s">
        <v>5878</v>
      </c>
      <c r="B2272" s="16" t="s">
        <v>5879</v>
      </c>
      <c r="C2272" s="16" t="s">
        <v>9011</v>
      </c>
      <c r="E2272" s="18" t="s">
        <v>9012</v>
      </c>
      <c r="F2272" s="18" t="s">
        <v>9013</v>
      </c>
      <c r="G2272" s="16" t="s">
        <v>9014</v>
      </c>
      <c r="H2272" s="16" t="s">
        <v>9015</v>
      </c>
    </row>
    <row r="2273" spans="1:8" ht="15.75" customHeight="1" x14ac:dyDescent="0.25">
      <c r="A2273" s="16" t="s">
        <v>5882</v>
      </c>
      <c r="B2273" s="16" t="s">
        <v>5883</v>
      </c>
    </row>
    <row r="2274" spans="1:8" ht="15.75" customHeight="1" x14ac:dyDescent="0.25">
      <c r="A2274" s="16" t="s">
        <v>5886</v>
      </c>
      <c r="B2274" s="16" t="s">
        <v>5887</v>
      </c>
      <c r="C2274" s="19" t="s">
        <v>6722</v>
      </c>
    </row>
    <row r="2275" spans="1:8" ht="15.75" customHeight="1" x14ac:dyDescent="0.25">
      <c r="A2275" s="16" t="s">
        <v>5890</v>
      </c>
      <c r="B2275" s="16" t="s">
        <v>5891</v>
      </c>
      <c r="C2275" s="16" t="s">
        <v>9016</v>
      </c>
    </row>
    <row r="2276" spans="1:8" ht="15.75" customHeight="1" x14ac:dyDescent="0.25">
      <c r="B2276" s="16" t="s">
        <v>5892</v>
      </c>
    </row>
    <row r="2277" spans="1:8" ht="15.75" customHeight="1" x14ac:dyDescent="0.25">
      <c r="B2277" s="16" t="s">
        <v>5893</v>
      </c>
    </row>
    <row r="2278" spans="1:8" ht="15.75" customHeight="1" x14ac:dyDescent="0.25">
      <c r="A2278" s="16" t="s">
        <v>5896</v>
      </c>
      <c r="B2278" s="16" t="s">
        <v>5897</v>
      </c>
    </row>
    <row r="2279" spans="1:8" ht="15.75" customHeight="1" x14ac:dyDescent="0.25">
      <c r="A2279" s="16" t="s">
        <v>5900</v>
      </c>
      <c r="B2279" s="16" t="s">
        <v>5901</v>
      </c>
    </row>
    <row r="2280" spans="1:8" ht="15.75" customHeight="1" x14ac:dyDescent="0.25">
      <c r="A2280" s="16" t="s">
        <v>5904</v>
      </c>
      <c r="B2280" s="16" t="s">
        <v>5905</v>
      </c>
      <c r="C2280" s="16" t="s">
        <v>9017</v>
      </c>
      <c r="E2280" s="18" t="s">
        <v>9018</v>
      </c>
    </row>
    <row r="2281" spans="1:8" ht="15.75" customHeight="1" x14ac:dyDescent="0.25">
      <c r="A2281" s="16" t="s">
        <v>5908</v>
      </c>
      <c r="B2281" s="16" t="s">
        <v>5909</v>
      </c>
    </row>
    <row r="2282" spans="1:8" ht="15.75" customHeight="1" x14ac:dyDescent="0.25">
      <c r="A2282" s="16" t="s">
        <v>5911</v>
      </c>
      <c r="B2282" s="16" t="s">
        <v>5912</v>
      </c>
    </row>
    <row r="2283" spans="1:8" ht="15.75" customHeight="1" x14ac:dyDescent="0.25">
      <c r="A2283" s="16" t="s">
        <v>5915</v>
      </c>
      <c r="B2283" s="16" t="s">
        <v>5916</v>
      </c>
    </row>
    <row r="2284" spans="1:8" ht="15.75" customHeight="1" x14ac:dyDescent="0.25">
      <c r="A2284" s="16" t="s">
        <v>5918</v>
      </c>
      <c r="B2284" s="16" t="s">
        <v>5919</v>
      </c>
      <c r="C2284" s="16" t="s">
        <v>9019</v>
      </c>
      <c r="E2284" s="18" t="s">
        <v>9020</v>
      </c>
      <c r="F2284" s="18" t="s">
        <v>9021</v>
      </c>
      <c r="G2284" s="16" t="s">
        <v>9022</v>
      </c>
      <c r="H2284" s="16" t="s">
        <v>9023</v>
      </c>
    </row>
    <row r="2285" spans="1:8" ht="15.75" customHeight="1" x14ac:dyDescent="0.25">
      <c r="A2285" s="16" t="s">
        <v>5922</v>
      </c>
      <c r="B2285" s="16" t="s">
        <v>5923</v>
      </c>
      <c r="C2285" s="16" t="s">
        <v>9024</v>
      </c>
      <c r="E2285" s="18" t="s">
        <v>9025</v>
      </c>
      <c r="F2285" s="18" t="s">
        <v>9026</v>
      </c>
      <c r="G2285" s="16" t="s">
        <v>9027</v>
      </c>
      <c r="H2285" s="16" t="s">
        <v>9028</v>
      </c>
    </row>
    <row r="2286" spans="1:8" ht="15.75" customHeight="1" x14ac:dyDescent="0.25">
      <c r="A2286" s="16" t="s">
        <v>5925</v>
      </c>
      <c r="B2286" s="16" t="s">
        <v>5926</v>
      </c>
    </row>
    <row r="2287" spans="1:8" ht="15.75" customHeight="1" x14ac:dyDescent="0.25">
      <c r="A2287" s="16" t="s">
        <v>5929</v>
      </c>
      <c r="B2287" s="16" t="s">
        <v>5930</v>
      </c>
      <c r="C2287" s="16" t="s">
        <v>9029</v>
      </c>
      <c r="E2287" s="18" t="s">
        <v>9030</v>
      </c>
      <c r="F2287" s="18" t="s">
        <v>9031</v>
      </c>
      <c r="G2287" s="16" t="s">
        <v>9032</v>
      </c>
      <c r="H2287" s="16" t="s">
        <v>9033</v>
      </c>
    </row>
    <row r="2288" spans="1:8" ht="15.75" customHeight="1" x14ac:dyDescent="0.25">
      <c r="A2288" s="16" t="s">
        <v>5932</v>
      </c>
      <c r="B2288" s="16" t="s">
        <v>5933</v>
      </c>
    </row>
    <row r="2289" spans="1:8" ht="15.75" customHeight="1" x14ac:dyDescent="0.25">
      <c r="A2289" s="16" t="s">
        <v>5936</v>
      </c>
      <c r="B2289" s="16" t="s">
        <v>5937</v>
      </c>
      <c r="C2289" s="16" t="s">
        <v>9029</v>
      </c>
      <c r="E2289" s="18" t="s">
        <v>9034</v>
      </c>
      <c r="F2289" s="18" t="s">
        <v>9031</v>
      </c>
      <c r="G2289" s="16" t="s">
        <v>9032</v>
      </c>
      <c r="H2289" s="16" t="s">
        <v>9033</v>
      </c>
    </row>
    <row r="2290" spans="1:8" ht="15.75" customHeight="1" x14ac:dyDescent="0.25">
      <c r="A2290" s="16" t="s">
        <v>5940</v>
      </c>
      <c r="B2290" s="16" t="s">
        <v>5941</v>
      </c>
      <c r="C2290" s="16" t="s">
        <v>7604</v>
      </c>
      <c r="E2290" s="18" t="s">
        <v>7605</v>
      </c>
    </row>
    <row r="2291" spans="1:8" ht="15.75" customHeight="1" x14ac:dyDescent="0.25">
      <c r="A2291" s="16" t="s">
        <v>5942</v>
      </c>
      <c r="B2291" s="16" t="s">
        <v>5943</v>
      </c>
    </row>
    <row r="2292" spans="1:8" ht="15.75" customHeight="1" x14ac:dyDescent="0.25">
      <c r="A2292" s="16" t="s">
        <v>5946</v>
      </c>
      <c r="B2292" s="16" t="s">
        <v>5947</v>
      </c>
    </row>
    <row r="2293" spans="1:8" ht="15.75" customHeight="1" x14ac:dyDescent="0.25">
      <c r="A2293" s="16" t="s">
        <v>5949</v>
      </c>
      <c r="B2293" s="16" t="s">
        <v>5950</v>
      </c>
    </row>
    <row r="2294" spans="1:8" ht="15.75" customHeight="1" x14ac:dyDescent="0.25">
      <c r="A2294" s="16" t="s">
        <v>5952</v>
      </c>
      <c r="B2294" s="16" t="s">
        <v>5953</v>
      </c>
    </row>
    <row r="2295" spans="1:8" ht="15.75" customHeight="1" x14ac:dyDescent="0.25">
      <c r="A2295" s="16" t="s">
        <v>5956</v>
      </c>
      <c r="B2295" s="16" t="s">
        <v>5957</v>
      </c>
    </row>
    <row r="2296" spans="1:8" ht="15.75" customHeight="1" x14ac:dyDescent="0.25">
      <c r="A2296" s="16" t="s">
        <v>5958</v>
      </c>
      <c r="B2296" s="16" t="s">
        <v>5959</v>
      </c>
    </row>
    <row r="2297" spans="1:8" ht="15.75" customHeight="1" x14ac:dyDescent="0.25">
      <c r="B2297" s="16" t="s">
        <v>5960</v>
      </c>
    </row>
    <row r="2298" spans="1:8" ht="15.75" customHeight="1" x14ac:dyDescent="0.25">
      <c r="B2298" s="16" t="s">
        <v>5961</v>
      </c>
    </row>
    <row r="2299" spans="1:8" ht="15.75" customHeight="1" x14ac:dyDescent="0.25">
      <c r="B2299" s="16" t="s">
        <v>5962</v>
      </c>
    </row>
    <row r="2300" spans="1:8" ht="15.75" customHeight="1" x14ac:dyDescent="0.25">
      <c r="B2300" s="16" t="s">
        <v>5963</v>
      </c>
    </row>
    <row r="2301" spans="1:8" ht="15.75" customHeight="1" x14ac:dyDescent="0.25">
      <c r="B2301" s="16" t="s">
        <v>5964</v>
      </c>
    </row>
    <row r="2302" spans="1:8" ht="15.75" customHeight="1" x14ac:dyDescent="0.25">
      <c r="A2302" s="16" t="s">
        <v>5967</v>
      </c>
      <c r="B2302" s="16" t="s">
        <v>5968</v>
      </c>
    </row>
    <row r="2303" spans="1:8" ht="15.75" customHeight="1" x14ac:dyDescent="0.25">
      <c r="A2303" s="16" t="s">
        <v>5971</v>
      </c>
      <c r="B2303" s="16" t="s">
        <v>5972</v>
      </c>
      <c r="C2303" s="16" t="s">
        <v>9035</v>
      </c>
      <c r="E2303" s="18" t="s">
        <v>9036</v>
      </c>
      <c r="F2303" s="18" t="s">
        <v>9037</v>
      </c>
      <c r="G2303" s="16" t="s">
        <v>9038</v>
      </c>
      <c r="H2303" s="16" t="s">
        <v>9039</v>
      </c>
    </row>
    <row r="2304" spans="1:8" ht="15.75" customHeight="1" x14ac:dyDescent="0.25">
      <c r="A2304" s="16" t="s">
        <v>5975</v>
      </c>
      <c r="B2304" s="16" t="s">
        <v>5976</v>
      </c>
      <c r="C2304" s="16" t="s">
        <v>6696</v>
      </c>
      <c r="E2304" s="18" t="s">
        <v>6697</v>
      </c>
    </row>
    <row r="2305" spans="1:8" ht="15.75" customHeight="1" x14ac:dyDescent="0.25">
      <c r="A2305" s="16" t="s">
        <v>5979</v>
      </c>
      <c r="B2305" s="16" t="s">
        <v>5980</v>
      </c>
      <c r="C2305" s="16" t="s">
        <v>6712</v>
      </c>
      <c r="E2305" s="18" t="s">
        <v>6713</v>
      </c>
      <c r="F2305" s="18" t="s">
        <v>6714</v>
      </c>
      <c r="G2305" s="16" t="s">
        <v>6715</v>
      </c>
      <c r="H2305" s="16" t="s">
        <v>6716</v>
      </c>
    </row>
    <row r="2306" spans="1:8" ht="15.75" customHeight="1" x14ac:dyDescent="0.25">
      <c r="A2306" s="16" t="s">
        <v>5979</v>
      </c>
      <c r="B2306" s="16" t="s">
        <v>5980</v>
      </c>
      <c r="C2306" s="16" t="s">
        <v>9040</v>
      </c>
      <c r="E2306" s="18" t="s">
        <v>9041</v>
      </c>
      <c r="F2306" s="18" t="s">
        <v>9042</v>
      </c>
      <c r="G2306" s="16" t="s">
        <v>9043</v>
      </c>
      <c r="H2306" s="16" t="s">
        <v>9044</v>
      </c>
    </row>
    <row r="2307" spans="1:8" ht="15.75" customHeight="1" x14ac:dyDescent="0.25">
      <c r="A2307" s="16" t="s">
        <v>5983</v>
      </c>
      <c r="B2307" s="16" t="s">
        <v>5984</v>
      </c>
      <c r="C2307" s="16" t="s">
        <v>7030</v>
      </c>
      <c r="E2307" s="18" t="s">
        <v>7031</v>
      </c>
      <c r="F2307" s="18" t="s">
        <v>7032</v>
      </c>
      <c r="G2307" s="16" t="s">
        <v>7033</v>
      </c>
      <c r="H2307" s="16" t="s">
        <v>6207</v>
      </c>
    </row>
    <row r="2308" spans="1:8" ht="15.75" customHeight="1" x14ac:dyDescent="0.25">
      <c r="A2308" s="16" t="s">
        <v>5983</v>
      </c>
      <c r="B2308" s="16" t="s">
        <v>5984</v>
      </c>
      <c r="C2308" s="16" t="s">
        <v>7030</v>
      </c>
      <c r="E2308" s="18" t="s">
        <v>7031</v>
      </c>
      <c r="F2308" s="18" t="s">
        <v>6205</v>
      </c>
      <c r="G2308" s="16" t="s">
        <v>6206</v>
      </c>
      <c r="H2308" s="16" t="s">
        <v>6207</v>
      </c>
    </row>
    <row r="2309" spans="1:8" ht="15.75" customHeight="1" x14ac:dyDescent="0.25">
      <c r="A2309" s="16" t="s">
        <v>5983</v>
      </c>
      <c r="B2309" s="16" t="s">
        <v>5984</v>
      </c>
      <c r="C2309" s="16" t="s">
        <v>7030</v>
      </c>
      <c r="E2309" s="18" t="s">
        <v>7031</v>
      </c>
      <c r="F2309" s="18" t="s">
        <v>7034</v>
      </c>
      <c r="G2309" s="16" t="s">
        <v>7035</v>
      </c>
      <c r="H2309" s="16" t="s">
        <v>6207</v>
      </c>
    </row>
    <row r="2310" spans="1:8" ht="15.75" customHeight="1" x14ac:dyDescent="0.25">
      <c r="A2310" s="16" t="s">
        <v>5983</v>
      </c>
      <c r="B2310" s="16" t="s">
        <v>5984</v>
      </c>
      <c r="C2310" s="16" t="s">
        <v>7030</v>
      </c>
      <c r="E2310" s="18" t="s">
        <v>7031</v>
      </c>
      <c r="F2310" s="18" t="s">
        <v>7036</v>
      </c>
      <c r="G2310" s="16" t="s">
        <v>9045</v>
      </c>
      <c r="H2310" s="16" t="s">
        <v>6207</v>
      </c>
    </row>
    <row r="2311" spans="1:8" ht="15.75" customHeight="1" x14ac:dyDescent="0.25">
      <c r="A2311" s="16" t="s">
        <v>5983</v>
      </c>
      <c r="B2311" s="16" t="s">
        <v>5984</v>
      </c>
      <c r="C2311" s="16" t="s">
        <v>7030</v>
      </c>
      <c r="E2311" s="18" t="s">
        <v>7031</v>
      </c>
      <c r="F2311" s="18" t="s">
        <v>7038</v>
      </c>
      <c r="G2311" s="16" t="s">
        <v>9046</v>
      </c>
      <c r="H2311" s="16" t="s">
        <v>6207</v>
      </c>
    </row>
    <row r="2312" spans="1:8" ht="15.75" customHeight="1" x14ac:dyDescent="0.25">
      <c r="A2312" s="16" t="s">
        <v>5983</v>
      </c>
      <c r="B2312" s="16" t="s">
        <v>5984</v>
      </c>
      <c r="C2312" s="16" t="s">
        <v>7030</v>
      </c>
      <c r="E2312" s="18" t="s">
        <v>7031</v>
      </c>
      <c r="F2312" s="18" t="s">
        <v>7040</v>
      </c>
      <c r="G2312" s="16" t="s">
        <v>7041</v>
      </c>
      <c r="H2312" s="16" t="s">
        <v>7042</v>
      </c>
    </row>
    <row r="2313" spans="1:8" ht="15.75" customHeight="1" x14ac:dyDescent="0.25">
      <c r="A2313" s="16"/>
      <c r="B2313" s="16"/>
      <c r="C2313" s="16"/>
      <c r="E2313" s="16"/>
    </row>
    <row r="2314" spans="1:8" ht="15.75" customHeight="1" x14ac:dyDescent="0.25">
      <c r="A2314" s="16" t="s">
        <v>5987</v>
      </c>
      <c r="B2314" s="16" t="s">
        <v>5988</v>
      </c>
    </row>
    <row r="2315" spans="1:8" ht="15.75" customHeight="1" x14ac:dyDescent="0.25">
      <c r="A2315" s="16" t="s">
        <v>5991</v>
      </c>
      <c r="B2315" s="16" t="s">
        <v>5992</v>
      </c>
    </row>
    <row r="2316" spans="1:8" ht="15.75" customHeight="1" x14ac:dyDescent="0.25">
      <c r="A2316" s="16" t="s">
        <v>5994</v>
      </c>
      <c r="B2316" s="16" t="s">
        <v>5995</v>
      </c>
    </row>
    <row r="2317" spans="1:8" ht="15.75" customHeight="1" x14ac:dyDescent="0.25">
      <c r="A2317" s="16" t="s">
        <v>5996</v>
      </c>
      <c r="B2317" s="16" t="s">
        <v>5997</v>
      </c>
    </row>
    <row r="2318" spans="1:8" ht="15.75" customHeight="1" x14ac:dyDescent="0.25">
      <c r="A2318" s="16" t="s">
        <v>6000</v>
      </c>
      <c r="B2318" s="16" t="s">
        <v>6001</v>
      </c>
    </row>
    <row r="2319" spans="1:8" ht="15.75" customHeight="1" x14ac:dyDescent="0.25">
      <c r="A2319" s="16" t="s">
        <v>6004</v>
      </c>
      <c r="B2319" s="16" t="s">
        <v>6005</v>
      </c>
    </row>
    <row r="2320" spans="1:8" ht="15.75" customHeight="1" x14ac:dyDescent="0.25">
      <c r="A2320" s="16" t="s">
        <v>6008</v>
      </c>
      <c r="B2320" s="16" t="s">
        <v>6009</v>
      </c>
      <c r="C2320" s="16" t="s">
        <v>9047</v>
      </c>
      <c r="E2320" s="18" t="s">
        <v>9048</v>
      </c>
      <c r="F2320" s="18" t="s">
        <v>9049</v>
      </c>
      <c r="G2320" s="16" t="s">
        <v>9050</v>
      </c>
      <c r="H2320" s="16" t="s">
        <v>9051</v>
      </c>
    </row>
    <row r="2321" spans="1:8" ht="15.75" customHeight="1" x14ac:dyDescent="0.25">
      <c r="A2321" s="16" t="s">
        <v>6012</v>
      </c>
      <c r="B2321" s="16" t="s">
        <v>6013</v>
      </c>
      <c r="C2321" s="16" t="s">
        <v>9052</v>
      </c>
      <c r="E2321" s="18" t="s">
        <v>9053</v>
      </c>
      <c r="F2321" s="18" t="s">
        <v>9054</v>
      </c>
      <c r="G2321" s="16" t="s">
        <v>9055</v>
      </c>
      <c r="H2321" s="16" t="s">
        <v>9056</v>
      </c>
    </row>
    <row r="2322" spans="1:8" ht="15.75" customHeight="1" x14ac:dyDescent="0.25">
      <c r="A2322" s="16" t="s">
        <v>6015</v>
      </c>
      <c r="B2322" s="16" t="s">
        <v>6016</v>
      </c>
      <c r="C2322" s="16" t="s">
        <v>9052</v>
      </c>
      <c r="E2322" s="18" t="s">
        <v>9053</v>
      </c>
      <c r="F2322" s="18" t="s">
        <v>9054</v>
      </c>
      <c r="G2322" s="16" t="s">
        <v>9055</v>
      </c>
      <c r="H2322" s="16" t="s">
        <v>9056</v>
      </c>
    </row>
    <row r="2323" spans="1:8" ht="15.75" customHeight="1" x14ac:dyDescent="0.25">
      <c r="A2323" s="16" t="s">
        <v>6019</v>
      </c>
      <c r="B2323" s="16" t="s">
        <v>6020</v>
      </c>
    </row>
    <row r="2324" spans="1:8" ht="15.75" customHeight="1" x14ac:dyDescent="0.25">
      <c r="A2324" s="16" t="s">
        <v>6023</v>
      </c>
      <c r="B2324" s="16" t="s">
        <v>6024</v>
      </c>
      <c r="C2324" s="16" t="s">
        <v>9057</v>
      </c>
      <c r="E2324" s="18" t="s">
        <v>9058</v>
      </c>
      <c r="F2324" s="18" t="s">
        <v>9059</v>
      </c>
      <c r="G2324" s="16" t="s">
        <v>9060</v>
      </c>
      <c r="H2324" s="16" t="s">
        <v>9061</v>
      </c>
    </row>
    <row r="2325" spans="1:8" ht="15.75" customHeight="1" x14ac:dyDescent="0.25">
      <c r="A2325" s="16" t="s">
        <v>6027</v>
      </c>
      <c r="B2325" s="16" t="s">
        <v>6028</v>
      </c>
      <c r="C2325" s="16" t="s">
        <v>6344</v>
      </c>
      <c r="E2325" s="18" t="s">
        <v>6345</v>
      </c>
      <c r="F2325" s="18" t="s">
        <v>6346</v>
      </c>
      <c r="G2325" s="16" t="s">
        <v>6347</v>
      </c>
      <c r="H2325" s="16" t="s">
        <v>6348</v>
      </c>
    </row>
    <row r="2326" spans="1:8" ht="15.75" customHeight="1" x14ac:dyDescent="0.25">
      <c r="A2326" s="16" t="s">
        <v>6027</v>
      </c>
      <c r="B2326" s="16" t="s">
        <v>6028</v>
      </c>
      <c r="C2326" s="16" t="s">
        <v>6344</v>
      </c>
      <c r="E2326" s="18" t="s">
        <v>6345</v>
      </c>
      <c r="F2326" s="18" t="s">
        <v>6349</v>
      </c>
      <c r="G2326" s="16" t="s">
        <v>6350</v>
      </c>
      <c r="H2326" s="16" t="s">
        <v>6348</v>
      </c>
    </row>
    <row r="2327" spans="1:8" ht="15.75" customHeight="1" x14ac:dyDescent="0.25">
      <c r="A2327" s="16" t="s">
        <v>6027</v>
      </c>
      <c r="B2327" s="16" t="s">
        <v>6028</v>
      </c>
      <c r="C2327" s="16" t="s">
        <v>6344</v>
      </c>
      <c r="E2327" s="18" t="s">
        <v>6345</v>
      </c>
      <c r="F2327" s="18" t="s">
        <v>6351</v>
      </c>
      <c r="G2327" s="16" t="s">
        <v>6352</v>
      </c>
      <c r="H2327" s="16" t="s">
        <v>6348</v>
      </c>
    </row>
    <row r="2328" spans="1:8" ht="15.75" customHeight="1" x14ac:dyDescent="0.25">
      <c r="A2328" s="16" t="s">
        <v>6027</v>
      </c>
      <c r="B2328" s="16" t="s">
        <v>6028</v>
      </c>
      <c r="C2328" s="16" t="s">
        <v>6344</v>
      </c>
      <c r="E2328" s="18" t="s">
        <v>6345</v>
      </c>
      <c r="F2328" s="18" t="s">
        <v>6353</v>
      </c>
      <c r="G2328" s="16" t="s">
        <v>6354</v>
      </c>
      <c r="H2328" s="16" t="s">
        <v>6348</v>
      </c>
    </row>
    <row r="2329" spans="1:8" ht="15.75" customHeight="1" x14ac:dyDescent="0.25">
      <c r="A2329" s="16" t="s">
        <v>6027</v>
      </c>
      <c r="B2329" s="16" t="s">
        <v>6028</v>
      </c>
      <c r="C2329" s="16" t="s">
        <v>6344</v>
      </c>
      <c r="E2329" s="18" t="s">
        <v>6345</v>
      </c>
      <c r="F2329" s="18" t="s">
        <v>6355</v>
      </c>
      <c r="G2329" s="16" t="s">
        <v>6356</v>
      </c>
      <c r="H2329" s="16" t="s">
        <v>6348</v>
      </c>
    </row>
    <row r="2330" spans="1:8" ht="15.75" customHeight="1" x14ac:dyDescent="0.25">
      <c r="A2330" s="16" t="s">
        <v>6027</v>
      </c>
      <c r="B2330" s="16" t="s">
        <v>6028</v>
      </c>
      <c r="C2330" s="16" t="s">
        <v>6344</v>
      </c>
      <c r="E2330" s="18" t="s">
        <v>6345</v>
      </c>
      <c r="F2330" s="18" t="s">
        <v>6357</v>
      </c>
      <c r="G2330" s="16" t="s">
        <v>6358</v>
      </c>
      <c r="H2330" s="16" t="s">
        <v>6359</v>
      </c>
    </row>
    <row r="2331" spans="1:8" ht="15.75" customHeight="1" x14ac:dyDescent="0.25">
      <c r="A2331" s="16" t="s">
        <v>6031</v>
      </c>
      <c r="B2331" s="16" t="s">
        <v>6032</v>
      </c>
      <c r="C2331" s="16" t="s">
        <v>9062</v>
      </c>
      <c r="E2331" s="18" t="s">
        <v>9063</v>
      </c>
      <c r="F2331" s="18" t="s">
        <v>6297</v>
      </c>
      <c r="G2331" s="16" t="s">
        <v>6298</v>
      </c>
      <c r="H2331" s="16" t="s">
        <v>6299</v>
      </c>
    </row>
    <row r="2332" spans="1:8" ht="15.75" customHeight="1" x14ac:dyDescent="0.25">
      <c r="A2332" s="16" t="s">
        <v>6035</v>
      </c>
      <c r="B2332" s="16" t="s">
        <v>6036</v>
      </c>
      <c r="C2332" s="16" t="s">
        <v>6343</v>
      </c>
    </row>
    <row r="2333" spans="1:8" ht="15.75" customHeight="1" x14ac:dyDescent="0.25">
      <c r="A2333" s="16" t="s">
        <v>6039</v>
      </c>
      <c r="B2333" s="16" t="s">
        <v>6040</v>
      </c>
      <c r="C2333" s="16" t="s">
        <v>9064</v>
      </c>
      <c r="E2333" s="18" t="s">
        <v>9065</v>
      </c>
    </row>
    <row r="2334" spans="1:8" ht="15.75" customHeight="1" x14ac:dyDescent="0.25">
      <c r="A2334" s="16" t="s">
        <v>6043</v>
      </c>
      <c r="B2334" s="16" t="s">
        <v>6044</v>
      </c>
      <c r="C2334" s="16" t="s">
        <v>9066</v>
      </c>
      <c r="E2334" s="18" t="s">
        <v>9067</v>
      </c>
    </row>
    <row r="2335" spans="1:8" ht="15.75" customHeight="1" x14ac:dyDescent="0.25">
      <c r="A2335" s="16" t="s">
        <v>6047</v>
      </c>
      <c r="B2335" s="16" t="s">
        <v>6048</v>
      </c>
      <c r="C2335" s="16" t="s">
        <v>9068</v>
      </c>
    </row>
    <row r="2336" spans="1:8" ht="15.75" customHeight="1" x14ac:dyDescent="0.25">
      <c r="A2336" s="16" t="s">
        <v>6051</v>
      </c>
      <c r="B2336" s="16" t="s">
        <v>6052</v>
      </c>
      <c r="E2336" s="18" t="s">
        <v>9069</v>
      </c>
    </row>
    <row r="2337" spans="1:8" ht="15.75" customHeight="1" x14ac:dyDescent="0.25">
      <c r="A2337" s="16" t="s">
        <v>6055</v>
      </c>
      <c r="B2337" s="16" t="s">
        <v>6056</v>
      </c>
      <c r="C2337" s="16" t="s">
        <v>9070</v>
      </c>
    </row>
    <row r="2338" spans="1:8" ht="15.75" customHeight="1" x14ac:dyDescent="0.25">
      <c r="A2338" s="16" t="s">
        <v>6059</v>
      </c>
      <c r="B2338" s="16" t="s">
        <v>6060</v>
      </c>
      <c r="C2338" s="16" t="s">
        <v>9071</v>
      </c>
    </row>
    <row r="2339" spans="1:8" ht="15.75" customHeight="1" x14ac:dyDescent="0.25">
      <c r="A2339" s="16" t="s">
        <v>6062</v>
      </c>
      <c r="B2339" s="16" t="s">
        <v>6063</v>
      </c>
    </row>
    <row r="2340" spans="1:8" ht="15.75" customHeight="1" x14ac:dyDescent="0.25">
      <c r="A2340" s="16" t="s">
        <v>6066</v>
      </c>
      <c r="B2340" s="16" t="s">
        <v>6067</v>
      </c>
      <c r="C2340" s="16" t="s">
        <v>9072</v>
      </c>
      <c r="E2340" s="18" t="s">
        <v>9073</v>
      </c>
      <c r="F2340" s="18" t="s">
        <v>9074</v>
      </c>
      <c r="G2340" s="16" t="s">
        <v>7707</v>
      </c>
      <c r="H2340" s="16" t="s">
        <v>9075</v>
      </c>
    </row>
    <row r="2341" spans="1:8" ht="15.75" customHeight="1" x14ac:dyDescent="0.25">
      <c r="A2341" s="16" t="s">
        <v>6070</v>
      </c>
      <c r="B2341" s="16" t="s">
        <v>6071</v>
      </c>
      <c r="C2341" s="16" t="s">
        <v>9076</v>
      </c>
      <c r="E2341" s="18" t="s">
        <v>9077</v>
      </c>
      <c r="F2341" s="18" t="s">
        <v>9078</v>
      </c>
      <c r="G2341" s="16" t="s">
        <v>9079</v>
      </c>
      <c r="H2341" s="16" t="s">
        <v>9080</v>
      </c>
    </row>
    <row r="2342" spans="1:8" ht="15.75" customHeight="1" x14ac:dyDescent="0.25">
      <c r="A2342" s="16" t="s">
        <v>6070</v>
      </c>
      <c r="B2342" s="16" t="s">
        <v>6071</v>
      </c>
      <c r="C2342" s="16" t="s">
        <v>9081</v>
      </c>
      <c r="E2342" s="18" t="s">
        <v>9082</v>
      </c>
      <c r="F2342" s="18" t="s">
        <v>9083</v>
      </c>
      <c r="G2342" s="16" t="s">
        <v>9084</v>
      </c>
      <c r="H2342" s="16" t="s">
        <v>9085</v>
      </c>
    </row>
    <row r="2343" spans="1:8" ht="15.75" customHeight="1" x14ac:dyDescent="0.25">
      <c r="A2343" s="16" t="s">
        <v>6074</v>
      </c>
      <c r="B2343" s="16" t="s">
        <v>6075</v>
      </c>
      <c r="C2343" s="16" t="s">
        <v>9086</v>
      </c>
      <c r="E2343" s="18" t="s">
        <v>9087</v>
      </c>
      <c r="F2343" s="18" t="s">
        <v>9088</v>
      </c>
      <c r="G2343" s="16" t="s">
        <v>9089</v>
      </c>
      <c r="H2343" s="16" t="s">
        <v>9090</v>
      </c>
    </row>
    <row r="2344" spans="1:8" ht="15.75" customHeight="1" x14ac:dyDescent="0.25">
      <c r="A2344" s="16" t="s">
        <v>6074</v>
      </c>
      <c r="B2344" s="16" t="s">
        <v>6075</v>
      </c>
      <c r="C2344" s="16" t="s">
        <v>9081</v>
      </c>
      <c r="E2344" s="18" t="s">
        <v>9082</v>
      </c>
      <c r="F2344" s="18" t="s">
        <v>9083</v>
      </c>
      <c r="G2344" s="16" t="s">
        <v>9084</v>
      </c>
      <c r="H2344" s="16" t="s">
        <v>9085</v>
      </c>
    </row>
    <row r="2345" spans="1:8" ht="15.75" customHeight="1" x14ac:dyDescent="0.25">
      <c r="A2345" s="16" t="s">
        <v>6078</v>
      </c>
      <c r="B2345" s="16" t="s">
        <v>6079</v>
      </c>
      <c r="C2345" s="16" t="s">
        <v>9081</v>
      </c>
      <c r="E2345" s="18" t="s">
        <v>9082</v>
      </c>
      <c r="F2345" s="18" t="s">
        <v>9083</v>
      </c>
      <c r="G2345" s="16" t="s">
        <v>9084</v>
      </c>
      <c r="H2345" s="16" t="s">
        <v>9085</v>
      </c>
    </row>
    <row r="2346" spans="1:8" ht="15.75" customHeight="1" x14ac:dyDescent="0.25">
      <c r="A2346" s="16" t="s">
        <v>6082</v>
      </c>
      <c r="B2346" s="16" t="s">
        <v>6083</v>
      </c>
      <c r="C2346" s="16" t="s">
        <v>9091</v>
      </c>
      <c r="E2346" s="18" t="s">
        <v>9092</v>
      </c>
      <c r="F2346" s="18" t="s">
        <v>9093</v>
      </c>
      <c r="G2346" s="16" t="s">
        <v>9094</v>
      </c>
      <c r="H2346" s="16" t="s">
        <v>9095</v>
      </c>
    </row>
    <row r="2347" spans="1:8" ht="15.75" customHeight="1" x14ac:dyDescent="0.25">
      <c r="A2347" s="16" t="s">
        <v>6086</v>
      </c>
      <c r="B2347" s="16" t="s">
        <v>6087</v>
      </c>
      <c r="C2347" s="16" t="s">
        <v>9096</v>
      </c>
      <c r="E2347" s="18" t="s">
        <v>9097</v>
      </c>
      <c r="F2347" s="18" t="s">
        <v>9098</v>
      </c>
      <c r="G2347" s="16" t="s">
        <v>9099</v>
      </c>
      <c r="H2347" s="16" t="s">
        <v>9100</v>
      </c>
    </row>
    <row r="2348" spans="1:8" ht="15.75" customHeight="1" x14ac:dyDescent="0.25">
      <c r="A2348" s="16" t="s">
        <v>6086</v>
      </c>
      <c r="B2348" s="16" t="s">
        <v>6087</v>
      </c>
      <c r="C2348" s="16" t="s">
        <v>9096</v>
      </c>
      <c r="E2348" s="18" t="s">
        <v>9097</v>
      </c>
      <c r="F2348" s="18" t="s">
        <v>9101</v>
      </c>
      <c r="G2348" s="16" t="s">
        <v>9102</v>
      </c>
      <c r="H2348" s="16" t="s">
        <v>9103</v>
      </c>
    </row>
    <row r="2349" spans="1:8" ht="15.75" customHeight="1" x14ac:dyDescent="0.25">
      <c r="A2349" s="16" t="s">
        <v>6086</v>
      </c>
      <c r="B2349" s="16" t="s">
        <v>6087</v>
      </c>
      <c r="C2349" s="16" t="s">
        <v>9096</v>
      </c>
      <c r="E2349" s="18" t="s">
        <v>9097</v>
      </c>
      <c r="F2349" s="18" t="s">
        <v>9104</v>
      </c>
      <c r="G2349" s="16" t="s">
        <v>9105</v>
      </c>
      <c r="H2349" s="16" t="s">
        <v>9106</v>
      </c>
    </row>
    <row r="2350" spans="1:8" ht="15.75" customHeight="1" x14ac:dyDescent="0.25">
      <c r="A2350" s="16" t="s">
        <v>6090</v>
      </c>
      <c r="B2350" s="16" t="s">
        <v>6091</v>
      </c>
      <c r="C2350" s="16" t="s">
        <v>9107</v>
      </c>
      <c r="E2350" s="18" t="s">
        <v>9108</v>
      </c>
      <c r="F2350" s="18" t="s">
        <v>9109</v>
      </c>
      <c r="G2350" s="16" t="s">
        <v>9110</v>
      </c>
      <c r="H2350" s="16" t="s">
        <v>9111</v>
      </c>
    </row>
    <row r="2351" spans="1:8" ht="15.75" customHeight="1" x14ac:dyDescent="0.25">
      <c r="A2351" s="16" t="s">
        <v>6090</v>
      </c>
      <c r="B2351" s="16" t="s">
        <v>6091</v>
      </c>
      <c r="C2351" s="16" t="s">
        <v>9107</v>
      </c>
      <c r="E2351" s="18" t="s">
        <v>9108</v>
      </c>
      <c r="F2351" s="18" t="s">
        <v>9112</v>
      </c>
      <c r="G2351" s="16" t="s">
        <v>9113</v>
      </c>
      <c r="H2351" s="16" t="s">
        <v>9114</v>
      </c>
    </row>
    <row r="2352" spans="1:8" ht="15.75" customHeight="1" x14ac:dyDescent="0.25">
      <c r="A2352" s="16" t="s">
        <v>6090</v>
      </c>
      <c r="B2352" s="16" t="s">
        <v>6091</v>
      </c>
      <c r="C2352" s="16" t="s">
        <v>9107</v>
      </c>
      <c r="E2352" s="18" t="s">
        <v>9108</v>
      </c>
      <c r="F2352" s="18" t="s">
        <v>9115</v>
      </c>
      <c r="G2352" s="16" t="s">
        <v>9116</v>
      </c>
      <c r="H2352" s="16" t="s">
        <v>9117</v>
      </c>
    </row>
    <row r="2353" spans="1:8" ht="15.75" customHeight="1" x14ac:dyDescent="0.25">
      <c r="A2353" s="16" t="s">
        <v>6090</v>
      </c>
      <c r="B2353" s="16" t="s">
        <v>6091</v>
      </c>
      <c r="C2353" s="16" t="s">
        <v>9107</v>
      </c>
      <c r="E2353" s="18" t="s">
        <v>9108</v>
      </c>
      <c r="F2353" s="18" t="s">
        <v>9118</v>
      </c>
      <c r="G2353" s="16" t="s">
        <v>9119</v>
      </c>
      <c r="H2353" s="16" t="s">
        <v>9120</v>
      </c>
    </row>
    <row r="2354" spans="1:8" ht="15.75" customHeight="1" x14ac:dyDescent="0.25">
      <c r="A2354" s="16" t="s">
        <v>6094</v>
      </c>
      <c r="B2354" s="16" t="s">
        <v>6095</v>
      </c>
    </row>
    <row r="2355" spans="1:8" ht="15.75" customHeight="1" x14ac:dyDescent="0.25">
      <c r="A2355" s="16" t="s">
        <v>6096</v>
      </c>
      <c r="B2355" s="16" t="s">
        <v>6097</v>
      </c>
    </row>
    <row r="2356" spans="1:8" ht="15.75" customHeight="1" x14ac:dyDescent="0.25">
      <c r="A2356" s="16" t="s">
        <v>6099</v>
      </c>
      <c r="B2356" s="16" t="s">
        <v>6100</v>
      </c>
    </row>
    <row r="2357" spans="1:8" ht="15.75" customHeight="1" x14ac:dyDescent="0.25">
      <c r="A2357" s="16" t="s">
        <v>6103</v>
      </c>
      <c r="B2357" s="16" t="s">
        <v>6104</v>
      </c>
    </row>
    <row r="2358" spans="1:8" ht="15.75" customHeight="1" x14ac:dyDescent="0.25">
      <c r="A2358" s="16" t="s">
        <v>6107</v>
      </c>
      <c r="B2358" s="16" t="s">
        <v>6108</v>
      </c>
      <c r="C2358" s="16" t="s">
        <v>8593</v>
      </c>
      <c r="E2358" s="18" t="s">
        <v>8594</v>
      </c>
    </row>
    <row r="2359" spans="1:8" ht="15.75" customHeight="1" x14ac:dyDescent="0.25">
      <c r="A2359" s="16" t="s">
        <v>6111</v>
      </c>
      <c r="B2359" s="16" t="s">
        <v>6112</v>
      </c>
      <c r="C2359" s="16" t="s">
        <v>9121</v>
      </c>
      <c r="E2359" s="18" t="s">
        <v>9122</v>
      </c>
    </row>
    <row r="2360" spans="1:8" ht="15.75" customHeight="1" x14ac:dyDescent="0.25">
      <c r="A2360" s="16" t="s">
        <v>6115</v>
      </c>
      <c r="B2360" s="16" t="s">
        <v>6116</v>
      </c>
    </row>
    <row r="2361" spans="1:8" ht="15.75" customHeight="1" x14ac:dyDescent="0.25">
      <c r="A2361" s="16" t="s">
        <v>6118</v>
      </c>
      <c r="B2361" s="16" t="s">
        <v>6119</v>
      </c>
    </row>
    <row r="2362" spans="1:8" ht="15.75" customHeight="1" x14ac:dyDescent="0.25">
      <c r="A2362" s="16" t="s">
        <v>6120</v>
      </c>
      <c r="B2362" s="16" t="s">
        <v>6121</v>
      </c>
    </row>
    <row r="2363" spans="1:8" ht="15.75" customHeight="1" x14ac:dyDescent="0.25">
      <c r="A2363" s="16" t="s">
        <v>6123</v>
      </c>
      <c r="B2363" s="16" t="s">
        <v>6124</v>
      </c>
    </row>
    <row r="2364" spans="1:8" ht="15.75" customHeight="1" x14ac:dyDescent="0.25">
      <c r="A2364" s="16" t="s">
        <v>6127</v>
      </c>
      <c r="B2364" s="16" t="s">
        <v>6128</v>
      </c>
    </row>
    <row r="2365" spans="1:8" ht="15.75" customHeight="1" x14ac:dyDescent="0.25">
      <c r="A2365" s="16" t="s">
        <v>6131</v>
      </c>
      <c r="B2365" s="16" t="s">
        <v>6132</v>
      </c>
    </row>
    <row r="2366" spans="1:8" ht="15.75" customHeight="1" x14ac:dyDescent="0.25">
      <c r="A2366" s="16" t="s">
        <v>6134</v>
      </c>
      <c r="B2366" s="16" t="s">
        <v>6135</v>
      </c>
    </row>
    <row r="2367" spans="1:8" ht="15.75" customHeight="1" x14ac:dyDescent="0.25">
      <c r="A2367" s="16" t="s">
        <v>6138</v>
      </c>
      <c r="B2367" s="16" t="s">
        <v>6139</v>
      </c>
      <c r="C2367" s="16" t="s">
        <v>9123</v>
      </c>
      <c r="E2367" s="18" t="s">
        <v>9124</v>
      </c>
    </row>
    <row r="2368" spans="1:8" ht="15.75" customHeight="1" x14ac:dyDescent="0.25">
      <c r="A2368" s="16" t="s">
        <v>6141</v>
      </c>
      <c r="B2368" s="16" t="s">
        <v>6142</v>
      </c>
    </row>
    <row r="2369" spans="1:8" ht="15.75" customHeight="1" x14ac:dyDescent="0.25">
      <c r="A2369" s="16" t="s">
        <v>6144</v>
      </c>
      <c r="B2369" s="16" t="s">
        <v>6145</v>
      </c>
    </row>
    <row r="2370" spans="1:8" ht="15.75" customHeight="1" x14ac:dyDescent="0.25">
      <c r="A2370" s="16" t="s">
        <v>6147</v>
      </c>
      <c r="B2370" s="16" t="s">
        <v>6148</v>
      </c>
    </row>
    <row r="2371" spans="1:8" ht="15.75" customHeight="1" x14ac:dyDescent="0.25">
      <c r="B2371" s="16" t="s">
        <v>6149</v>
      </c>
    </row>
    <row r="2372" spans="1:8" ht="15.75" customHeight="1" x14ac:dyDescent="0.25">
      <c r="A2372" s="16" t="s">
        <v>6151</v>
      </c>
      <c r="B2372" s="16" t="s">
        <v>6152</v>
      </c>
    </row>
    <row r="2373" spans="1:8" ht="15.75" customHeight="1" x14ac:dyDescent="0.25">
      <c r="A2373" s="16" t="s">
        <v>6154</v>
      </c>
      <c r="B2373" s="16" t="s">
        <v>6155</v>
      </c>
    </row>
    <row r="2374" spans="1:8" ht="15.75" customHeight="1" x14ac:dyDescent="0.25">
      <c r="A2374" s="16" t="s">
        <v>6157</v>
      </c>
      <c r="B2374" s="16" t="s">
        <v>6158</v>
      </c>
    </row>
    <row r="2375" spans="1:8" ht="15.75" customHeight="1" x14ac:dyDescent="0.25">
      <c r="A2375" s="16" t="s">
        <v>6161</v>
      </c>
      <c r="B2375" s="16" t="s">
        <v>6162</v>
      </c>
      <c r="C2375" s="16" t="s">
        <v>9125</v>
      </c>
      <c r="E2375" s="18" t="s">
        <v>9126</v>
      </c>
      <c r="F2375" s="18" t="s">
        <v>9127</v>
      </c>
      <c r="G2375" s="16" t="s">
        <v>9128</v>
      </c>
      <c r="H2375" s="16" t="s">
        <v>9129</v>
      </c>
    </row>
    <row r="2376" spans="1:8" ht="15.75" customHeight="1" x14ac:dyDescent="0.25">
      <c r="A2376" s="16" t="s">
        <v>6161</v>
      </c>
      <c r="B2376" s="16" t="s">
        <v>6162</v>
      </c>
      <c r="C2376" s="16" t="s">
        <v>9125</v>
      </c>
      <c r="E2376" s="18" t="s">
        <v>9126</v>
      </c>
      <c r="F2376" s="18" t="s">
        <v>9130</v>
      </c>
      <c r="G2376" s="16" t="s">
        <v>9131</v>
      </c>
      <c r="H2376" s="16" t="s">
        <v>9132</v>
      </c>
    </row>
    <row r="2377" spans="1:8" ht="15.75" customHeight="1" x14ac:dyDescent="0.25">
      <c r="A2377" s="16" t="s">
        <v>6163</v>
      </c>
      <c r="B2377" s="16" t="s">
        <v>6164</v>
      </c>
    </row>
    <row r="2378" spans="1:8" ht="15.75" customHeight="1" x14ac:dyDescent="0.25">
      <c r="A2378" s="16" t="s">
        <v>6166</v>
      </c>
      <c r="B2378" s="16" t="s">
        <v>6167</v>
      </c>
    </row>
    <row r="2379" spans="1:8" ht="15.75" customHeight="1" x14ac:dyDescent="0.25">
      <c r="A2379" s="16" t="s">
        <v>6169</v>
      </c>
      <c r="B2379" s="16" t="s">
        <v>6170</v>
      </c>
    </row>
    <row r="2380" spans="1:8" ht="15.75" customHeight="1" x14ac:dyDescent="0.25">
      <c r="A2380" s="16" t="s">
        <v>6172</v>
      </c>
      <c r="B2380" s="16" t="s">
        <v>6173</v>
      </c>
    </row>
    <row r="2381" spans="1:8" ht="15.75" customHeight="1" x14ac:dyDescent="0.25">
      <c r="A2381" s="16" t="s">
        <v>6175</v>
      </c>
      <c r="B2381" s="16" t="s">
        <v>6176</v>
      </c>
    </row>
    <row r="2382" spans="1:8" ht="15.75" customHeight="1" x14ac:dyDescent="0.25">
      <c r="A2382" s="16" t="s">
        <v>6178</v>
      </c>
      <c r="B2382" s="16" t="s">
        <v>6179</v>
      </c>
    </row>
    <row r="2383" spans="1:8" ht="15.75" customHeight="1" x14ac:dyDescent="0.25">
      <c r="A2383" s="16"/>
      <c r="B2383" s="16"/>
    </row>
    <row r="2384" spans="1:8" ht="15.75" customHeight="1" x14ac:dyDescent="0.25">
      <c r="A2384" s="16"/>
      <c r="B2384" s="16"/>
    </row>
    <row r="2385" spans="1:2" ht="15.75" customHeight="1" x14ac:dyDescent="0.25">
      <c r="A2385" s="16"/>
      <c r="B2385" s="16"/>
    </row>
    <row r="2386" spans="1:2" ht="15.75" customHeight="1" x14ac:dyDescent="0.25">
      <c r="A2386" s="16"/>
      <c r="B2386" s="16"/>
    </row>
    <row r="2387" spans="1:2" ht="15.75" customHeight="1" x14ac:dyDescent="0.25">
      <c r="A2387" s="16"/>
      <c r="B2387" s="16"/>
    </row>
    <row r="2388" spans="1:2" ht="15.75" customHeight="1" x14ac:dyDescent="0.25">
      <c r="A2388" s="16"/>
      <c r="B2388" s="16"/>
    </row>
    <row r="2389" spans="1:2" ht="15.75" customHeight="1" x14ac:dyDescent="0.25">
      <c r="A2389" s="16"/>
      <c r="B2389" s="16"/>
    </row>
    <row r="2390" spans="1:2" ht="15.75" customHeight="1" x14ac:dyDescent="0.25">
      <c r="A2390" s="16"/>
      <c r="B2390" s="16"/>
    </row>
    <row r="2391" spans="1:2" ht="15.75" customHeight="1" x14ac:dyDescent="0.25">
      <c r="A2391" s="16"/>
      <c r="B2391" s="16"/>
    </row>
    <row r="2392" spans="1:2" ht="15.75" customHeight="1" x14ac:dyDescent="0.25">
      <c r="A2392" s="16"/>
      <c r="B2392" s="16"/>
    </row>
    <row r="2393" spans="1:2" ht="15.75" customHeight="1" x14ac:dyDescent="0.25">
      <c r="A2393" s="16"/>
      <c r="B2393" s="16"/>
    </row>
    <row r="2394" spans="1:2" ht="15.75" customHeight="1" x14ac:dyDescent="0.25">
      <c r="A2394" s="16"/>
      <c r="B2394" s="16"/>
    </row>
    <row r="2395" spans="1:2" ht="15.75" customHeight="1" x14ac:dyDescent="0.25">
      <c r="A2395" s="16"/>
      <c r="B2395" s="16"/>
    </row>
    <row r="2396" spans="1:2" ht="15.75" customHeight="1" x14ac:dyDescent="0.25">
      <c r="A2396" s="16"/>
      <c r="B2396" s="16"/>
    </row>
    <row r="2397" spans="1:2" ht="15.75" customHeight="1" x14ac:dyDescent="0.25">
      <c r="A2397" s="16"/>
      <c r="B2397" s="16"/>
    </row>
    <row r="2398" spans="1:2" ht="15.75" customHeight="1" x14ac:dyDescent="0.25">
      <c r="A2398" s="16"/>
      <c r="B2398" s="16"/>
    </row>
    <row r="2399" spans="1:2" ht="15.75" customHeight="1" x14ac:dyDescent="0.25">
      <c r="A2399" s="16"/>
      <c r="B2399" s="16"/>
    </row>
    <row r="2400" spans="1:2" ht="15.75" customHeight="1" x14ac:dyDescent="0.25">
      <c r="A2400" s="16"/>
      <c r="B2400" s="16"/>
    </row>
    <row r="2401" spans="1:2" ht="15.75" customHeight="1" x14ac:dyDescent="0.25">
      <c r="A2401" s="16"/>
      <c r="B2401" s="16"/>
    </row>
    <row r="2402" spans="1:2" ht="15.75" customHeight="1" x14ac:dyDescent="0.25">
      <c r="A2402" s="16"/>
      <c r="B2402" s="16"/>
    </row>
    <row r="2403" spans="1:2" ht="15.75" customHeight="1" x14ac:dyDescent="0.25">
      <c r="A2403" s="16"/>
      <c r="B2403" s="16"/>
    </row>
    <row r="2404" spans="1:2" ht="15.75" customHeight="1" x14ac:dyDescent="0.25">
      <c r="A2404" s="16"/>
      <c r="B2404" s="16"/>
    </row>
    <row r="2405" spans="1:2" ht="15.75" customHeight="1" x14ac:dyDescent="0.25">
      <c r="A2405" s="16"/>
      <c r="B2405" s="16"/>
    </row>
    <row r="2406" spans="1:2" ht="15.75" customHeight="1" x14ac:dyDescent="0.25">
      <c r="A2406" s="16"/>
      <c r="B2406" s="16"/>
    </row>
    <row r="2407" spans="1:2" ht="15.75" customHeight="1" x14ac:dyDescent="0.25">
      <c r="A2407" s="16"/>
      <c r="B2407" s="16"/>
    </row>
    <row r="2408" spans="1:2" ht="15.75" customHeight="1" x14ac:dyDescent="0.25">
      <c r="A2408" s="16"/>
      <c r="B2408" s="16"/>
    </row>
  </sheetData>
  <hyperlinks>
    <hyperlink ref="E3" r:id="rId1" xr:uid="{00000000-0004-0000-0200-000000000000}"/>
    <hyperlink ref="F3" r:id="rId2" xr:uid="{00000000-0004-0000-0200-000001000000}"/>
    <hyperlink ref="E6" r:id="rId3" xr:uid="{00000000-0004-0000-0200-000002000000}"/>
    <hyperlink ref="F6" r:id="rId4" xr:uid="{00000000-0004-0000-0200-000003000000}"/>
    <hyperlink ref="E7" r:id="rId5" xr:uid="{00000000-0004-0000-0200-000004000000}"/>
    <hyperlink ref="F7" r:id="rId6" xr:uid="{00000000-0004-0000-0200-000005000000}"/>
    <hyperlink ref="E8" r:id="rId7" xr:uid="{00000000-0004-0000-0200-000006000000}"/>
    <hyperlink ref="E11" r:id="rId8" xr:uid="{00000000-0004-0000-0200-000007000000}"/>
    <hyperlink ref="F11" r:id="rId9" xr:uid="{00000000-0004-0000-0200-000008000000}"/>
    <hyperlink ref="E12" r:id="rId10" xr:uid="{00000000-0004-0000-0200-000009000000}"/>
    <hyperlink ref="F12" r:id="rId11" xr:uid="{00000000-0004-0000-0200-00000A000000}"/>
    <hyperlink ref="E16" r:id="rId12" xr:uid="{00000000-0004-0000-0200-00000B000000}"/>
    <hyperlink ref="F16" r:id="rId13" xr:uid="{00000000-0004-0000-0200-00000C000000}"/>
    <hyperlink ref="E17" r:id="rId14" xr:uid="{00000000-0004-0000-0200-00000D000000}"/>
    <hyperlink ref="F17" r:id="rId15" xr:uid="{00000000-0004-0000-0200-00000E000000}"/>
    <hyperlink ref="E18" r:id="rId16" xr:uid="{00000000-0004-0000-0200-00000F000000}"/>
    <hyperlink ref="F18" r:id="rId17" xr:uid="{00000000-0004-0000-0200-000010000000}"/>
    <hyperlink ref="E24" r:id="rId18" xr:uid="{00000000-0004-0000-0200-000011000000}"/>
    <hyperlink ref="F24" r:id="rId19" xr:uid="{00000000-0004-0000-0200-000012000000}"/>
    <hyperlink ref="E25" r:id="rId20" xr:uid="{00000000-0004-0000-0200-000013000000}"/>
    <hyperlink ref="F25" r:id="rId21" xr:uid="{00000000-0004-0000-0200-000014000000}"/>
    <hyperlink ref="E26" r:id="rId22" xr:uid="{00000000-0004-0000-0200-000015000000}"/>
    <hyperlink ref="F26" r:id="rId23" xr:uid="{00000000-0004-0000-0200-000016000000}"/>
    <hyperlink ref="E27" r:id="rId24" xr:uid="{00000000-0004-0000-0200-000017000000}"/>
    <hyperlink ref="F27" r:id="rId25" xr:uid="{00000000-0004-0000-0200-000018000000}"/>
    <hyperlink ref="E28" r:id="rId26" xr:uid="{00000000-0004-0000-0200-000019000000}"/>
    <hyperlink ref="F28" r:id="rId27" xr:uid="{00000000-0004-0000-0200-00001A000000}"/>
    <hyperlink ref="E79" r:id="rId28" xr:uid="{00000000-0004-0000-0200-00001B000000}"/>
    <hyperlink ref="F79" r:id="rId29" xr:uid="{00000000-0004-0000-0200-00001C000000}"/>
    <hyperlink ref="E80" r:id="rId30" xr:uid="{00000000-0004-0000-0200-00001D000000}"/>
    <hyperlink ref="F80" r:id="rId31" xr:uid="{00000000-0004-0000-0200-00001E000000}"/>
    <hyperlink ref="E90" r:id="rId32" xr:uid="{00000000-0004-0000-0200-00001F000000}"/>
    <hyperlink ref="F90" r:id="rId33" xr:uid="{00000000-0004-0000-0200-000020000000}"/>
    <hyperlink ref="E91" r:id="rId34" xr:uid="{00000000-0004-0000-0200-000021000000}"/>
    <hyperlink ref="F91" r:id="rId35" xr:uid="{00000000-0004-0000-0200-000022000000}"/>
    <hyperlink ref="E92" r:id="rId36" xr:uid="{00000000-0004-0000-0200-000023000000}"/>
    <hyperlink ref="F92" r:id="rId37" xr:uid="{00000000-0004-0000-0200-000024000000}"/>
    <hyperlink ref="E93" r:id="rId38" xr:uid="{00000000-0004-0000-0200-000025000000}"/>
    <hyperlink ref="F93" r:id="rId39" xr:uid="{00000000-0004-0000-0200-000026000000}"/>
    <hyperlink ref="E94" r:id="rId40" xr:uid="{00000000-0004-0000-0200-000027000000}"/>
    <hyperlink ref="F94" r:id="rId41" xr:uid="{00000000-0004-0000-0200-000028000000}"/>
    <hyperlink ref="E95" r:id="rId42" xr:uid="{00000000-0004-0000-0200-000029000000}"/>
    <hyperlink ref="F95" r:id="rId43" xr:uid="{00000000-0004-0000-0200-00002A000000}"/>
    <hyperlink ref="E108" r:id="rId44" xr:uid="{00000000-0004-0000-0200-00002B000000}"/>
    <hyperlink ref="F108" r:id="rId45" xr:uid="{00000000-0004-0000-0200-00002C000000}"/>
    <hyperlink ref="E121" r:id="rId46" xr:uid="{00000000-0004-0000-0200-00002D000000}"/>
    <hyperlink ref="F121" r:id="rId47" xr:uid="{00000000-0004-0000-0200-00002E000000}"/>
    <hyperlink ref="E122" r:id="rId48" xr:uid="{00000000-0004-0000-0200-00002F000000}"/>
    <hyperlink ref="F122" r:id="rId49" xr:uid="{00000000-0004-0000-0200-000030000000}"/>
    <hyperlink ref="E133" r:id="rId50" xr:uid="{00000000-0004-0000-0200-000031000000}"/>
    <hyperlink ref="F133" r:id="rId51" xr:uid="{00000000-0004-0000-0200-000032000000}"/>
    <hyperlink ref="E134" r:id="rId52" xr:uid="{00000000-0004-0000-0200-000033000000}"/>
    <hyperlink ref="E140" r:id="rId53" xr:uid="{00000000-0004-0000-0200-000034000000}"/>
    <hyperlink ref="F140" r:id="rId54" xr:uid="{00000000-0004-0000-0200-000035000000}"/>
    <hyperlink ref="E141" r:id="rId55" xr:uid="{00000000-0004-0000-0200-000036000000}"/>
    <hyperlink ref="E142" r:id="rId56" xr:uid="{00000000-0004-0000-0200-000037000000}"/>
    <hyperlink ref="F142" r:id="rId57" xr:uid="{00000000-0004-0000-0200-000038000000}"/>
    <hyperlink ref="E143" r:id="rId58" xr:uid="{00000000-0004-0000-0200-000039000000}"/>
    <hyperlink ref="F143" r:id="rId59" xr:uid="{00000000-0004-0000-0200-00003A000000}"/>
    <hyperlink ref="E149" r:id="rId60" xr:uid="{00000000-0004-0000-0200-00003B000000}"/>
    <hyperlink ref="F149" r:id="rId61" xr:uid="{00000000-0004-0000-0200-00003C000000}"/>
    <hyperlink ref="E150" r:id="rId62" xr:uid="{00000000-0004-0000-0200-00003D000000}"/>
    <hyperlink ref="F150" r:id="rId63" xr:uid="{00000000-0004-0000-0200-00003E000000}"/>
    <hyperlink ref="E151" r:id="rId64" xr:uid="{00000000-0004-0000-0200-00003F000000}"/>
    <hyperlink ref="F151" r:id="rId65" xr:uid="{00000000-0004-0000-0200-000040000000}"/>
    <hyperlink ref="E152" r:id="rId66" xr:uid="{00000000-0004-0000-0200-000041000000}"/>
    <hyperlink ref="F152" r:id="rId67" xr:uid="{00000000-0004-0000-0200-000042000000}"/>
    <hyperlink ref="E153" r:id="rId68" xr:uid="{00000000-0004-0000-0200-000043000000}"/>
    <hyperlink ref="F153" r:id="rId69" xr:uid="{00000000-0004-0000-0200-000044000000}"/>
    <hyperlink ref="E154" r:id="rId70" xr:uid="{00000000-0004-0000-0200-000045000000}"/>
    <hyperlink ref="F154" r:id="rId71" xr:uid="{00000000-0004-0000-0200-000046000000}"/>
    <hyperlink ref="E160" r:id="rId72" xr:uid="{00000000-0004-0000-0200-000047000000}"/>
    <hyperlink ref="F160" r:id="rId73" xr:uid="{00000000-0004-0000-0200-000048000000}"/>
    <hyperlink ref="E161" r:id="rId74" xr:uid="{00000000-0004-0000-0200-000049000000}"/>
    <hyperlink ref="F161" r:id="rId75" xr:uid="{00000000-0004-0000-0200-00004A000000}"/>
    <hyperlink ref="E162" r:id="rId76" xr:uid="{00000000-0004-0000-0200-00004B000000}"/>
    <hyperlink ref="F162" r:id="rId77" xr:uid="{00000000-0004-0000-0200-00004C000000}"/>
    <hyperlink ref="E163" r:id="rId78" xr:uid="{00000000-0004-0000-0200-00004D000000}"/>
    <hyperlink ref="F163" r:id="rId79" xr:uid="{00000000-0004-0000-0200-00004E000000}"/>
    <hyperlink ref="E164" r:id="rId80" xr:uid="{00000000-0004-0000-0200-00004F000000}"/>
    <hyperlink ref="F164" r:id="rId81" xr:uid="{00000000-0004-0000-0200-000050000000}"/>
    <hyperlink ref="E165" r:id="rId82" xr:uid="{00000000-0004-0000-0200-000051000000}"/>
    <hyperlink ref="F165" r:id="rId83" xr:uid="{00000000-0004-0000-0200-000052000000}"/>
    <hyperlink ref="E166" r:id="rId84" xr:uid="{00000000-0004-0000-0200-000053000000}"/>
    <hyperlink ref="E168" r:id="rId85" xr:uid="{00000000-0004-0000-0200-000054000000}"/>
    <hyperlink ref="F168" r:id="rId86" xr:uid="{00000000-0004-0000-0200-000055000000}"/>
    <hyperlink ref="E169" r:id="rId87" xr:uid="{00000000-0004-0000-0200-000056000000}"/>
    <hyperlink ref="F169" r:id="rId88" xr:uid="{00000000-0004-0000-0200-000057000000}"/>
    <hyperlink ref="E170" r:id="rId89" xr:uid="{00000000-0004-0000-0200-000058000000}"/>
    <hyperlink ref="F170" r:id="rId90" xr:uid="{00000000-0004-0000-0200-000059000000}"/>
    <hyperlink ref="E171" r:id="rId91" xr:uid="{00000000-0004-0000-0200-00005A000000}"/>
    <hyperlink ref="F171" r:id="rId92" xr:uid="{00000000-0004-0000-0200-00005B000000}"/>
    <hyperlink ref="E184" r:id="rId93" xr:uid="{00000000-0004-0000-0200-00005C000000}"/>
    <hyperlink ref="F184" r:id="rId94" xr:uid="{00000000-0004-0000-0200-00005D000000}"/>
    <hyperlink ref="E185" r:id="rId95" xr:uid="{00000000-0004-0000-0200-00005E000000}"/>
    <hyperlink ref="F185" r:id="rId96" xr:uid="{00000000-0004-0000-0200-00005F000000}"/>
    <hyperlink ref="E186" r:id="rId97" xr:uid="{00000000-0004-0000-0200-000060000000}"/>
    <hyperlink ref="F186" r:id="rId98" xr:uid="{00000000-0004-0000-0200-000061000000}"/>
    <hyperlink ref="E187" r:id="rId99" xr:uid="{00000000-0004-0000-0200-000062000000}"/>
    <hyperlink ref="F187" r:id="rId100" xr:uid="{00000000-0004-0000-0200-000063000000}"/>
    <hyperlink ref="E188" r:id="rId101" xr:uid="{00000000-0004-0000-0200-000064000000}"/>
    <hyperlink ref="F188" r:id="rId102" xr:uid="{00000000-0004-0000-0200-000065000000}"/>
    <hyperlink ref="E189" r:id="rId103" xr:uid="{00000000-0004-0000-0200-000066000000}"/>
    <hyperlink ref="F189" r:id="rId104" xr:uid="{00000000-0004-0000-0200-000067000000}"/>
    <hyperlink ref="E190" r:id="rId105" xr:uid="{00000000-0004-0000-0200-000068000000}"/>
    <hyperlink ref="F190" r:id="rId106" xr:uid="{00000000-0004-0000-0200-000069000000}"/>
    <hyperlink ref="E191" r:id="rId107" xr:uid="{00000000-0004-0000-0200-00006A000000}"/>
    <hyperlink ref="F191" r:id="rId108" xr:uid="{00000000-0004-0000-0200-00006B000000}"/>
    <hyperlink ref="E192" r:id="rId109" xr:uid="{00000000-0004-0000-0200-00006C000000}"/>
    <hyperlink ref="F192" r:id="rId110" xr:uid="{00000000-0004-0000-0200-00006D000000}"/>
    <hyperlink ref="E193" r:id="rId111" xr:uid="{00000000-0004-0000-0200-00006E000000}"/>
    <hyperlink ref="F193" r:id="rId112" xr:uid="{00000000-0004-0000-0200-00006F000000}"/>
    <hyperlink ref="E194" r:id="rId113" xr:uid="{00000000-0004-0000-0200-000070000000}"/>
    <hyperlink ref="F194" r:id="rId114" xr:uid="{00000000-0004-0000-0200-000071000000}"/>
    <hyperlink ref="E195" r:id="rId115" xr:uid="{00000000-0004-0000-0200-000072000000}"/>
    <hyperlink ref="F195" r:id="rId116" xr:uid="{00000000-0004-0000-0200-000073000000}"/>
    <hyperlink ref="E200" r:id="rId117" xr:uid="{00000000-0004-0000-0200-000074000000}"/>
    <hyperlink ref="F200" r:id="rId118" xr:uid="{00000000-0004-0000-0200-000075000000}"/>
    <hyperlink ref="E201" r:id="rId119" xr:uid="{00000000-0004-0000-0200-000076000000}"/>
    <hyperlink ref="F201" r:id="rId120" xr:uid="{00000000-0004-0000-0200-000077000000}"/>
    <hyperlink ref="E202" r:id="rId121" xr:uid="{00000000-0004-0000-0200-000078000000}"/>
    <hyperlink ref="F202" r:id="rId122" xr:uid="{00000000-0004-0000-0200-000079000000}"/>
    <hyperlink ref="E208" r:id="rId123" xr:uid="{00000000-0004-0000-0200-00007A000000}"/>
    <hyperlink ref="E209" r:id="rId124" xr:uid="{00000000-0004-0000-0200-00007B000000}"/>
    <hyperlink ref="E210" r:id="rId125" xr:uid="{00000000-0004-0000-0200-00007C000000}"/>
    <hyperlink ref="E213" r:id="rId126" xr:uid="{00000000-0004-0000-0200-00007D000000}"/>
    <hyperlink ref="F213" r:id="rId127" xr:uid="{00000000-0004-0000-0200-00007E000000}"/>
    <hyperlink ref="E215" r:id="rId128" xr:uid="{00000000-0004-0000-0200-00007F000000}"/>
    <hyperlink ref="E218" r:id="rId129" xr:uid="{00000000-0004-0000-0200-000080000000}"/>
    <hyperlink ref="F218" r:id="rId130" xr:uid="{00000000-0004-0000-0200-000081000000}"/>
    <hyperlink ref="E219" r:id="rId131" xr:uid="{00000000-0004-0000-0200-000082000000}"/>
    <hyperlink ref="F219" r:id="rId132" xr:uid="{00000000-0004-0000-0200-000083000000}"/>
    <hyperlink ref="E220" r:id="rId133" xr:uid="{00000000-0004-0000-0200-000084000000}"/>
    <hyperlink ref="F220" r:id="rId134" xr:uid="{00000000-0004-0000-0200-000085000000}"/>
    <hyperlink ref="E222" r:id="rId135" xr:uid="{00000000-0004-0000-0200-000086000000}"/>
    <hyperlink ref="F222" r:id="rId136" xr:uid="{00000000-0004-0000-0200-000087000000}"/>
    <hyperlink ref="E224" r:id="rId137" xr:uid="{00000000-0004-0000-0200-000088000000}"/>
    <hyperlink ref="F224" r:id="rId138" xr:uid="{00000000-0004-0000-0200-000089000000}"/>
    <hyperlink ref="E230" r:id="rId139" xr:uid="{00000000-0004-0000-0200-00008A000000}"/>
    <hyperlink ref="F230" r:id="rId140" xr:uid="{00000000-0004-0000-0200-00008B000000}"/>
    <hyperlink ref="E231" r:id="rId141" xr:uid="{00000000-0004-0000-0200-00008C000000}"/>
    <hyperlink ref="F231" r:id="rId142" xr:uid="{00000000-0004-0000-0200-00008D000000}"/>
    <hyperlink ref="E232" r:id="rId143" xr:uid="{00000000-0004-0000-0200-00008E000000}"/>
    <hyperlink ref="F232" r:id="rId144" xr:uid="{00000000-0004-0000-0200-00008F000000}"/>
    <hyperlink ref="E237" r:id="rId145" xr:uid="{00000000-0004-0000-0200-000090000000}"/>
    <hyperlink ref="F237" r:id="rId146" xr:uid="{00000000-0004-0000-0200-000091000000}"/>
    <hyperlink ref="E239" r:id="rId147" xr:uid="{00000000-0004-0000-0200-000092000000}"/>
    <hyperlink ref="F239" r:id="rId148" xr:uid="{00000000-0004-0000-0200-000093000000}"/>
    <hyperlink ref="E242" r:id="rId149" xr:uid="{00000000-0004-0000-0200-000094000000}"/>
    <hyperlink ref="F242" r:id="rId150" xr:uid="{00000000-0004-0000-0200-000095000000}"/>
    <hyperlink ref="E243" r:id="rId151" xr:uid="{00000000-0004-0000-0200-000096000000}"/>
    <hyperlink ref="F243" r:id="rId152" xr:uid="{00000000-0004-0000-0200-000097000000}"/>
    <hyperlink ref="E244" r:id="rId153" xr:uid="{00000000-0004-0000-0200-000098000000}"/>
    <hyperlink ref="F244" r:id="rId154" xr:uid="{00000000-0004-0000-0200-000099000000}"/>
    <hyperlink ref="E246" r:id="rId155" xr:uid="{00000000-0004-0000-0200-00009A000000}"/>
    <hyperlink ref="F246" r:id="rId156" xr:uid="{00000000-0004-0000-0200-00009B000000}"/>
    <hyperlink ref="E251" r:id="rId157" xr:uid="{00000000-0004-0000-0200-00009C000000}"/>
    <hyperlink ref="F251" r:id="rId158" xr:uid="{00000000-0004-0000-0200-00009D000000}"/>
    <hyperlink ref="E252" r:id="rId159" xr:uid="{00000000-0004-0000-0200-00009E000000}"/>
    <hyperlink ref="F252" r:id="rId160" xr:uid="{00000000-0004-0000-0200-00009F000000}"/>
    <hyperlink ref="E253" r:id="rId161" xr:uid="{00000000-0004-0000-0200-0000A0000000}"/>
    <hyperlink ref="F253" r:id="rId162" xr:uid="{00000000-0004-0000-0200-0000A1000000}"/>
    <hyperlink ref="E255" r:id="rId163" xr:uid="{00000000-0004-0000-0200-0000A2000000}"/>
    <hyperlink ref="F255" r:id="rId164" xr:uid="{00000000-0004-0000-0200-0000A3000000}"/>
    <hyperlink ref="E258" r:id="rId165" xr:uid="{00000000-0004-0000-0200-0000A4000000}"/>
    <hyperlink ref="E259" r:id="rId166" xr:uid="{00000000-0004-0000-0200-0000A5000000}"/>
    <hyperlink ref="F259" r:id="rId167" xr:uid="{00000000-0004-0000-0200-0000A6000000}"/>
    <hyperlink ref="E271" r:id="rId168" xr:uid="{00000000-0004-0000-0200-0000A7000000}"/>
    <hyperlink ref="F271" r:id="rId169" xr:uid="{00000000-0004-0000-0200-0000A8000000}"/>
    <hyperlink ref="E272" r:id="rId170" xr:uid="{00000000-0004-0000-0200-0000A9000000}"/>
    <hyperlink ref="F272" r:id="rId171" xr:uid="{00000000-0004-0000-0200-0000AA000000}"/>
    <hyperlink ref="E273" r:id="rId172" xr:uid="{00000000-0004-0000-0200-0000AB000000}"/>
    <hyperlink ref="F273" r:id="rId173" xr:uid="{00000000-0004-0000-0200-0000AC000000}"/>
    <hyperlink ref="E274" r:id="rId174" xr:uid="{00000000-0004-0000-0200-0000AD000000}"/>
    <hyperlink ref="F274" r:id="rId175" xr:uid="{00000000-0004-0000-0200-0000AE000000}"/>
    <hyperlink ref="E275" r:id="rId176" xr:uid="{00000000-0004-0000-0200-0000AF000000}"/>
    <hyperlink ref="F275" r:id="rId177" xr:uid="{00000000-0004-0000-0200-0000B0000000}"/>
    <hyperlink ref="E276" r:id="rId178" xr:uid="{00000000-0004-0000-0200-0000B1000000}"/>
    <hyperlink ref="F276" r:id="rId179" xr:uid="{00000000-0004-0000-0200-0000B2000000}"/>
    <hyperlink ref="E277" r:id="rId180" xr:uid="{00000000-0004-0000-0200-0000B3000000}"/>
    <hyperlink ref="F277" r:id="rId181" xr:uid="{00000000-0004-0000-0200-0000B4000000}"/>
    <hyperlink ref="E278" r:id="rId182" xr:uid="{00000000-0004-0000-0200-0000B5000000}"/>
    <hyperlink ref="F278" r:id="rId183" xr:uid="{00000000-0004-0000-0200-0000B6000000}"/>
    <hyperlink ref="E279" r:id="rId184" xr:uid="{00000000-0004-0000-0200-0000B7000000}"/>
    <hyperlink ref="F279" r:id="rId185" xr:uid="{00000000-0004-0000-0200-0000B8000000}"/>
    <hyperlink ref="E286" r:id="rId186" xr:uid="{00000000-0004-0000-0200-0000B9000000}"/>
    <hyperlink ref="F286" r:id="rId187" xr:uid="{00000000-0004-0000-0200-0000BA000000}"/>
    <hyperlink ref="E287" r:id="rId188" xr:uid="{00000000-0004-0000-0200-0000BB000000}"/>
    <hyperlink ref="F287" r:id="rId189" xr:uid="{00000000-0004-0000-0200-0000BC000000}"/>
    <hyperlink ref="E288" r:id="rId190" xr:uid="{00000000-0004-0000-0200-0000BD000000}"/>
    <hyperlink ref="F288" r:id="rId191" xr:uid="{00000000-0004-0000-0200-0000BE000000}"/>
    <hyperlink ref="E289" r:id="rId192" xr:uid="{00000000-0004-0000-0200-0000BF000000}"/>
    <hyperlink ref="F289" r:id="rId193" xr:uid="{00000000-0004-0000-0200-0000C0000000}"/>
    <hyperlink ref="E290" r:id="rId194" xr:uid="{00000000-0004-0000-0200-0000C1000000}"/>
    <hyperlink ref="F290" r:id="rId195" xr:uid="{00000000-0004-0000-0200-0000C2000000}"/>
    <hyperlink ref="E297" r:id="rId196" xr:uid="{00000000-0004-0000-0200-0000C3000000}"/>
    <hyperlink ref="F297" r:id="rId197" xr:uid="{00000000-0004-0000-0200-0000C4000000}"/>
    <hyperlink ref="E304" r:id="rId198" xr:uid="{00000000-0004-0000-0200-0000C5000000}"/>
    <hyperlink ref="F304" r:id="rId199" xr:uid="{00000000-0004-0000-0200-0000C6000000}"/>
    <hyperlink ref="E305" r:id="rId200" xr:uid="{00000000-0004-0000-0200-0000C7000000}"/>
    <hyperlink ref="F305" r:id="rId201" xr:uid="{00000000-0004-0000-0200-0000C8000000}"/>
    <hyperlink ref="E313" r:id="rId202" xr:uid="{00000000-0004-0000-0200-0000C9000000}"/>
    <hyperlink ref="F313" r:id="rId203" xr:uid="{00000000-0004-0000-0200-0000CA000000}"/>
    <hyperlink ref="E314" r:id="rId204" xr:uid="{00000000-0004-0000-0200-0000CB000000}"/>
    <hyperlink ref="F314" r:id="rId205" xr:uid="{00000000-0004-0000-0200-0000CC000000}"/>
    <hyperlink ref="E320" r:id="rId206" xr:uid="{00000000-0004-0000-0200-0000CD000000}"/>
    <hyperlink ref="F320" r:id="rId207" xr:uid="{00000000-0004-0000-0200-0000CE000000}"/>
    <hyperlink ref="E325" r:id="rId208" xr:uid="{00000000-0004-0000-0200-0000CF000000}"/>
    <hyperlink ref="F325" r:id="rId209" xr:uid="{00000000-0004-0000-0200-0000D0000000}"/>
    <hyperlink ref="E326" r:id="rId210" xr:uid="{00000000-0004-0000-0200-0000D1000000}"/>
    <hyperlink ref="F326" r:id="rId211" xr:uid="{00000000-0004-0000-0200-0000D2000000}"/>
    <hyperlink ref="E327" r:id="rId212" xr:uid="{00000000-0004-0000-0200-0000D3000000}"/>
    <hyperlink ref="F327" r:id="rId213" xr:uid="{00000000-0004-0000-0200-0000D4000000}"/>
    <hyperlink ref="E328" r:id="rId214" xr:uid="{00000000-0004-0000-0200-0000D5000000}"/>
    <hyperlink ref="F328" r:id="rId215" xr:uid="{00000000-0004-0000-0200-0000D6000000}"/>
    <hyperlink ref="E329" r:id="rId216" xr:uid="{00000000-0004-0000-0200-0000D7000000}"/>
    <hyperlink ref="E330" r:id="rId217" xr:uid="{00000000-0004-0000-0200-0000D8000000}"/>
    <hyperlink ref="F330" r:id="rId218" xr:uid="{00000000-0004-0000-0200-0000D9000000}"/>
    <hyperlink ref="E331" r:id="rId219" xr:uid="{00000000-0004-0000-0200-0000DA000000}"/>
    <hyperlink ref="F331" r:id="rId220" xr:uid="{00000000-0004-0000-0200-0000DB000000}"/>
    <hyperlink ref="E335" r:id="rId221" xr:uid="{00000000-0004-0000-0200-0000DC000000}"/>
    <hyperlink ref="F335" r:id="rId222" xr:uid="{00000000-0004-0000-0200-0000DD000000}"/>
    <hyperlink ref="E336" r:id="rId223" xr:uid="{00000000-0004-0000-0200-0000DE000000}"/>
    <hyperlink ref="F336" r:id="rId224" xr:uid="{00000000-0004-0000-0200-0000DF000000}"/>
    <hyperlink ref="E339" r:id="rId225" xr:uid="{00000000-0004-0000-0200-0000E0000000}"/>
    <hyperlink ref="F339" r:id="rId226" xr:uid="{00000000-0004-0000-0200-0000E1000000}"/>
    <hyperlink ref="E348" r:id="rId227" xr:uid="{00000000-0004-0000-0200-0000E2000000}"/>
    <hyperlink ref="F348" r:id="rId228" xr:uid="{00000000-0004-0000-0200-0000E3000000}"/>
    <hyperlink ref="E349" r:id="rId229" xr:uid="{00000000-0004-0000-0200-0000E4000000}"/>
    <hyperlink ref="F349" r:id="rId230" xr:uid="{00000000-0004-0000-0200-0000E5000000}"/>
    <hyperlink ref="E350" r:id="rId231" xr:uid="{00000000-0004-0000-0200-0000E6000000}"/>
    <hyperlink ref="F350" r:id="rId232" xr:uid="{00000000-0004-0000-0200-0000E7000000}"/>
    <hyperlink ref="E352" r:id="rId233" xr:uid="{00000000-0004-0000-0200-0000E8000000}"/>
    <hyperlink ref="F352" r:id="rId234" xr:uid="{00000000-0004-0000-0200-0000E9000000}"/>
    <hyperlink ref="E353" r:id="rId235" xr:uid="{00000000-0004-0000-0200-0000EA000000}"/>
    <hyperlink ref="F353" r:id="rId236" xr:uid="{00000000-0004-0000-0200-0000EB000000}"/>
    <hyperlink ref="E357" r:id="rId237" xr:uid="{00000000-0004-0000-0200-0000EC000000}"/>
    <hyperlink ref="F357" r:id="rId238" xr:uid="{00000000-0004-0000-0200-0000ED000000}"/>
    <hyperlink ref="E358" r:id="rId239" xr:uid="{00000000-0004-0000-0200-0000EE000000}"/>
    <hyperlink ref="F358" r:id="rId240" xr:uid="{00000000-0004-0000-0200-0000EF000000}"/>
    <hyperlink ref="E359" r:id="rId241" xr:uid="{00000000-0004-0000-0200-0000F0000000}"/>
    <hyperlink ref="F359" r:id="rId242" xr:uid="{00000000-0004-0000-0200-0000F1000000}"/>
    <hyperlink ref="E360" r:id="rId243" xr:uid="{00000000-0004-0000-0200-0000F2000000}"/>
    <hyperlink ref="F360" r:id="rId244" xr:uid="{00000000-0004-0000-0200-0000F3000000}"/>
    <hyperlink ref="E361" r:id="rId245" xr:uid="{00000000-0004-0000-0200-0000F4000000}"/>
    <hyperlink ref="F361" r:id="rId246" xr:uid="{00000000-0004-0000-0200-0000F5000000}"/>
    <hyperlink ref="E379" r:id="rId247" xr:uid="{00000000-0004-0000-0200-0000F6000000}"/>
    <hyperlink ref="F379" r:id="rId248" xr:uid="{00000000-0004-0000-0200-0000F7000000}"/>
    <hyperlink ref="E382" r:id="rId249" xr:uid="{00000000-0004-0000-0200-0000F8000000}"/>
    <hyperlink ref="E384" r:id="rId250" xr:uid="{00000000-0004-0000-0200-0000F9000000}"/>
    <hyperlink ref="E386" r:id="rId251" xr:uid="{00000000-0004-0000-0200-0000FA000000}"/>
    <hyperlink ref="F386" r:id="rId252" xr:uid="{00000000-0004-0000-0200-0000FB000000}"/>
    <hyperlink ref="E387" r:id="rId253" xr:uid="{00000000-0004-0000-0200-0000FC000000}"/>
    <hyperlink ref="F387" r:id="rId254" xr:uid="{00000000-0004-0000-0200-0000FD000000}"/>
    <hyperlink ref="E388" r:id="rId255" xr:uid="{00000000-0004-0000-0200-0000FE000000}"/>
    <hyperlink ref="F388" r:id="rId256" xr:uid="{00000000-0004-0000-0200-0000FF000000}"/>
    <hyperlink ref="E389" r:id="rId257" xr:uid="{00000000-0004-0000-0200-000000010000}"/>
    <hyperlink ref="F389" r:id="rId258" xr:uid="{00000000-0004-0000-0200-000001010000}"/>
    <hyperlink ref="E393" r:id="rId259" xr:uid="{00000000-0004-0000-0200-000002010000}"/>
    <hyperlink ref="E394" r:id="rId260" xr:uid="{00000000-0004-0000-0200-000003010000}"/>
    <hyperlink ref="E395" r:id="rId261" xr:uid="{00000000-0004-0000-0200-000004010000}"/>
    <hyperlink ref="E397" r:id="rId262" xr:uid="{00000000-0004-0000-0200-000005010000}"/>
    <hyperlink ref="E398" r:id="rId263" xr:uid="{00000000-0004-0000-0200-000006010000}"/>
    <hyperlink ref="F398" r:id="rId264" xr:uid="{00000000-0004-0000-0200-000007010000}"/>
    <hyperlink ref="E403" r:id="rId265" xr:uid="{00000000-0004-0000-0200-000008010000}"/>
    <hyperlink ref="F403" r:id="rId266" xr:uid="{00000000-0004-0000-0200-000009010000}"/>
    <hyperlink ref="E413" r:id="rId267" xr:uid="{00000000-0004-0000-0200-00000A010000}"/>
    <hyperlink ref="E414" r:id="rId268" xr:uid="{00000000-0004-0000-0200-00000B010000}"/>
    <hyperlink ref="F414" r:id="rId269" xr:uid="{00000000-0004-0000-0200-00000C010000}"/>
    <hyperlink ref="E416" r:id="rId270" xr:uid="{00000000-0004-0000-0200-00000D010000}"/>
    <hyperlink ref="F416" r:id="rId271" xr:uid="{00000000-0004-0000-0200-00000E010000}"/>
    <hyperlink ref="E420" r:id="rId272" xr:uid="{00000000-0004-0000-0200-00000F010000}"/>
    <hyperlink ref="F420" r:id="rId273" xr:uid="{00000000-0004-0000-0200-000010010000}"/>
    <hyperlink ref="E429" r:id="rId274" xr:uid="{00000000-0004-0000-0200-000011010000}"/>
    <hyperlink ref="F429" r:id="rId275" xr:uid="{00000000-0004-0000-0200-000012010000}"/>
    <hyperlink ref="E430" r:id="rId276" xr:uid="{00000000-0004-0000-0200-000013010000}"/>
    <hyperlink ref="F430" r:id="rId277" xr:uid="{00000000-0004-0000-0200-000014010000}"/>
    <hyperlink ref="E431" r:id="rId278" xr:uid="{00000000-0004-0000-0200-000015010000}"/>
    <hyperlink ref="F431" r:id="rId279" xr:uid="{00000000-0004-0000-0200-000016010000}"/>
    <hyperlink ref="E433" r:id="rId280" xr:uid="{00000000-0004-0000-0200-000017010000}"/>
    <hyperlink ref="F433" r:id="rId281" xr:uid="{00000000-0004-0000-0200-000018010000}"/>
    <hyperlink ref="E434" r:id="rId282" xr:uid="{00000000-0004-0000-0200-000019010000}"/>
    <hyperlink ref="F434" r:id="rId283" xr:uid="{00000000-0004-0000-0200-00001A010000}"/>
    <hyperlink ref="E435" r:id="rId284" xr:uid="{00000000-0004-0000-0200-00001B010000}"/>
    <hyperlink ref="F435" r:id="rId285" xr:uid="{00000000-0004-0000-0200-00001C010000}"/>
    <hyperlink ref="E447" r:id="rId286" xr:uid="{00000000-0004-0000-0200-00001D010000}"/>
    <hyperlink ref="E450" r:id="rId287" xr:uid="{00000000-0004-0000-0200-00001E010000}"/>
    <hyperlink ref="F450" r:id="rId288" xr:uid="{00000000-0004-0000-0200-00001F010000}"/>
    <hyperlink ref="E451" r:id="rId289" xr:uid="{00000000-0004-0000-0200-000020010000}"/>
    <hyperlink ref="F451" r:id="rId290" xr:uid="{00000000-0004-0000-0200-000021010000}"/>
    <hyperlink ref="E460" r:id="rId291" xr:uid="{00000000-0004-0000-0200-000022010000}"/>
    <hyperlink ref="F460" r:id="rId292" xr:uid="{00000000-0004-0000-0200-000023010000}"/>
    <hyperlink ref="E461" r:id="rId293" xr:uid="{00000000-0004-0000-0200-000024010000}"/>
    <hyperlink ref="F461" r:id="rId294" xr:uid="{00000000-0004-0000-0200-000025010000}"/>
    <hyperlink ref="E462" r:id="rId295" xr:uid="{00000000-0004-0000-0200-000026010000}"/>
    <hyperlink ref="F462" r:id="rId296" xr:uid="{00000000-0004-0000-0200-000027010000}"/>
    <hyperlink ref="E464" r:id="rId297" xr:uid="{00000000-0004-0000-0200-000028010000}"/>
    <hyperlink ref="E541" r:id="rId298" xr:uid="{00000000-0004-0000-0200-000029010000}"/>
    <hyperlink ref="F541" r:id="rId299" xr:uid="{00000000-0004-0000-0200-00002A010000}"/>
    <hyperlink ref="E543" r:id="rId300" xr:uid="{00000000-0004-0000-0200-00002B010000}"/>
    <hyperlink ref="F543" r:id="rId301" xr:uid="{00000000-0004-0000-0200-00002C010000}"/>
    <hyperlink ref="E544" r:id="rId302" xr:uid="{00000000-0004-0000-0200-00002D010000}"/>
    <hyperlink ref="E547" r:id="rId303" xr:uid="{00000000-0004-0000-0200-00002E010000}"/>
    <hyperlink ref="F547" r:id="rId304" xr:uid="{00000000-0004-0000-0200-00002F010000}"/>
    <hyperlink ref="E550" r:id="rId305" xr:uid="{00000000-0004-0000-0200-000030010000}"/>
    <hyperlink ref="E551" r:id="rId306" xr:uid="{00000000-0004-0000-0200-000031010000}"/>
    <hyperlink ref="F551" r:id="rId307" xr:uid="{00000000-0004-0000-0200-000032010000}"/>
    <hyperlink ref="E552" r:id="rId308" xr:uid="{00000000-0004-0000-0200-000033010000}"/>
    <hyperlink ref="F552" r:id="rId309" xr:uid="{00000000-0004-0000-0200-000034010000}"/>
    <hyperlink ref="E557" r:id="rId310" xr:uid="{00000000-0004-0000-0200-000035010000}"/>
    <hyperlink ref="F557" r:id="rId311" xr:uid="{00000000-0004-0000-0200-000036010000}"/>
    <hyperlink ref="E565" r:id="rId312" xr:uid="{00000000-0004-0000-0200-000037010000}"/>
    <hyperlink ref="E566" r:id="rId313" xr:uid="{00000000-0004-0000-0200-000038010000}"/>
    <hyperlink ref="E568" r:id="rId314" xr:uid="{00000000-0004-0000-0200-000039010000}"/>
    <hyperlink ref="F568" r:id="rId315" xr:uid="{00000000-0004-0000-0200-00003A010000}"/>
    <hyperlink ref="E569" r:id="rId316" xr:uid="{00000000-0004-0000-0200-00003B010000}"/>
    <hyperlink ref="F569" r:id="rId317" xr:uid="{00000000-0004-0000-0200-00003C010000}"/>
    <hyperlink ref="E570" r:id="rId318" xr:uid="{00000000-0004-0000-0200-00003D010000}"/>
    <hyperlink ref="F570" r:id="rId319" xr:uid="{00000000-0004-0000-0200-00003E010000}"/>
    <hyperlink ref="E574" r:id="rId320" xr:uid="{00000000-0004-0000-0200-00003F010000}"/>
    <hyperlink ref="E577" r:id="rId321" xr:uid="{00000000-0004-0000-0200-000040010000}"/>
    <hyperlink ref="F577" r:id="rId322" xr:uid="{00000000-0004-0000-0200-000041010000}"/>
    <hyperlink ref="E581" r:id="rId323" xr:uid="{00000000-0004-0000-0200-000042010000}"/>
    <hyperlink ref="F581" r:id="rId324" xr:uid="{00000000-0004-0000-0200-000043010000}"/>
    <hyperlink ref="E584" r:id="rId325" xr:uid="{00000000-0004-0000-0200-000044010000}"/>
    <hyperlink ref="F584" r:id="rId326" xr:uid="{00000000-0004-0000-0200-000045010000}"/>
    <hyperlink ref="E585" r:id="rId327" xr:uid="{00000000-0004-0000-0200-000046010000}"/>
    <hyperlink ref="F585" r:id="rId328" xr:uid="{00000000-0004-0000-0200-000047010000}"/>
    <hyperlink ref="E586" r:id="rId329" xr:uid="{00000000-0004-0000-0200-000048010000}"/>
    <hyperlink ref="F586" r:id="rId330" xr:uid="{00000000-0004-0000-0200-000049010000}"/>
    <hyperlink ref="E600" r:id="rId331" xr:uid="{00000000-0004-0000-0200-00004A010000}"/>
    <hyperlink ref="F600" r:id="rId332" xr:uid="{00000000-0004-0000-0200-00004B010000}"/>
    <hyperlink ref="E601" r:id="rId333" xr:uid="{00000000-0004-0000-0200-00004C010000}"/>
    <hyperlink ref="F601" r:id="rId334" xr:uid="{00000000-0004-0000-0200-00004D010000}"/>
    <hyperlink ref="E602" r:id="rId335" xr:uid="{00000000-0004-0000-0200-00004E010000}"/>
    <hyperlink ref="F602" r:id="rId336" xr:uid="{00000000-0004-0000-0200-00004F010000}"/>
    <hyperlink ref="E610" r:id="rId337" xr:uid="{00000000-0004-0000-0200-000050010000}"/>
    <hyperlink ref="F610" r:id="rId338" xr:uid="{00000000-0004-0000-0200-000051010000}"/>
    <hyperlink ref="E611" r:id="rId339" xr:uid="{00000000-0004-0000-0200-000052010000}"/>
    <hyperlink ref="F611" r:id="rId340" xr:uid="{00000000-0004-0000-0200-000053010000}"/>
    <hyperlink ref="E612" r:id="rId341" xr:uid="{00000000-0004-0000-0200-000054010000}"/>
    <hyperlink ref="F612" r:id="rId342" xr:uid="{00000000-0004-0000-0200-000055010000}"/>
    <hyperlink ref="E613" r:id="rId343" xr:uid="{00000000-0004-0000-0200-000056010000}"/>
    <hyperlink ref="F613" r:id="rId344" xr:uid="{00000000-0004-0000-0200-000057010000}"/>
    <hyperlink ref="E614" r:id="rId345" xr:uid="{00000000-0004-0000-0200-000058010000}"/>
    <hyperlink ref="F614" r:id="rId346" xr:uid="{00000000-0004-0000-0200-000059010000}"/>
    <hyperlink ref="E615" r:id="rId347" xr:uid="{00000000-0004-0000-0200-00005A010000}"/>
    <hyperlink ref="F615" r:id="rId348" xr:uid="{00000000-0004-0000-0200-00005B010000}"/>
    <hyperlink ref="E616" r:id="rId349" xr:uid="{00000000-0004-0000-0200-00005C010000}"/>
    <hyperlink ref="F616" r:id="rId350" xr:uid="{00000000-0004-0000-0200-00005D010000}"/>
    <hyperlink ref="E617" r:id="rId351" xr:uid="{00000000-0004-0000-0200-00005E010000}"/>
    <hyperlink ref="F617" r:id="rId352" xr:uid="{00000000-0004-0000-0200-00005F010000}"/>
    <hyperlink ref="E619" r:id="rId353" xr:uid="{00000000-0004-0000-0200-000060010000}"/>
    <hyperlink ref="F619" r:id="rId354" xr:uid="{00000000-0004-0000-0200-000061010000}"/>
    <hyperlink ref="E620" r:id="rId355" xr:uid="{00000000-0004-0000-0200-000062010000}"/>
    <hyperlink ref="F620" r:id="rId356" xr:uid="{00000000-0004-0000-0200-000063010000}"/>
    <hyperlink ref="E621" r:id="rId357" xr:uid="{00000000-0004-0000-0200-000064010000}"/>
    <hyperlink ref="F621" r:id="rId358" xr:uid="{00000000-0004-0000-0200-000065010000}"/>
    <hyperlink ref="E622" r:id="rId359" xr:uid="{00000000-0004-0000-0200-000066010000}"/>
    <hyperlink ref="F622" r:id="rId360" xr:uid="{00000000-0004-0000-0200-000067010000}"/>
    <hyperlink ref="E623" r:id="rId361" xr:uid="{00000000-0004-0000-0200-000068010000}"/>
    <hyperlink ref="F623" r:id="rId362" xr:uid="{00000000-0004-0000-0200-000069010000}"/>
    <hyperlink ref="E624" r:id="rId363" xr:uid="{00000000-0004-0000-0200-00006A010000}"/>
    <hyperlink ref="F624" r:id="rId364" xr:uid="{00000000-0004-0000-0200-00006B010000}"/>
    <hyperlink ref="E625" r:id="rId365" xr:uid="{00000000-0004-0000-0200-00006C010000}"/>
    <hyperlink ref="F625" r:id="rId366" xr:uid="{00000000-0004-0000-0200-00006D010000}"/>
    <hyperlink ref="E626" r:id="rId367" xr:uid="{00000000-0004-0000-0200-00006E010000}"/>
    <hyperlink ref="F626" r:id="rId368" xr:uid="{00000000-0004-0000-0200-00006F010000}"/>
    <hyperlink ref="E627" r:id="rId369" xr:uid="{00000000-0004-0000-0200-000070010000}"/>
    <hyperlink ref="F627" r:id="rId370" xr:uid="{00000000-0004-0000-0200-000071010000}"/>
    <hyperlink ref="E628" r:id="rId371" xr:uid="{00000000-0004-0000-0200-000072010000}"/>
    <hyperlink ref="F628" r:id="rId372" xr:uid="{00000000-0004-0000-0200-000073010000}"/>
    <hyperlink ref="E629" r:id="rId373" xr:uid="{00000000-0004-0000-0200-000074010000}"/>
    <hyperlink ref="F629" r:id="rId374" xr:uid="{00000000-0004-0000-0200-000075010000}"/>
    <hyperlink ref="E630" r:id="rId375" xr:uid="{00000000-0004-0000-0200-000076010000}"/>
    <hyperlink ref="F630" r:id="rId376" xr:uid="{00000000-0004-0000-0200-000077010000}"/>
    <hyperlink ref="E631" r:id="rId377" xr:uid="{00000000-0004-0000-0200-000078010000}"/>
    <hyperlink ref="F631" r:id="rId378" xr:uid="{00000000-0004-0000-0200-000079010000}"/>
    <hyperlink ref="E632" r:id="rId379" xr:uid="{00000000-0004-0000-0200-00007A010000}"/>
    <hyperlink ref="E634" r:id="rId380" xr:uid="{00000000-0004-0000-0200-00007B010000}"/>
    <hyperlink ref="F634" r:id="rId381" xr:uid="{00000000-0004-0000-0200-00007C010000}"/>
    <hyperlink ref="E635" r:id="rId382" xr:uid="{00000000-0004-0000-0200-00007D010000}"/>
    <hyperlink ref="F635" r:id="rId383" xr:uid="{00000000-0004-0000-0200-00007E010000}"/>
    <hyperlink ref="E636" r:id="rId384" xr:uid="{00000000-0004-0000-0200-00007F010000}"/>
    <hyperlink ref="F636" r:id="rId385" xr:uid="{00000000-0004-0000-0200-000080010000}"/>
    <hyperlink ref="E637" r:id="rId386" xr:uid="{00000000-0004-0000-0200-000081010000}"/>
    <hyperlink ref="F637" r:id="rId387" xr:uid="{00000000-0004-0000-0200-000082010000}"/>
    <hyperlink ref="E640" r:id="rId388" xr:uid="{00000000-0004-0000-0200-000083010000}"/>
    <hyperlink ref="F640" r:id="rId389" xr:uid="{00000000-0004-0000-0200-000084010000}"/>
    <hyperlink ref="E641" r:id="rId390" xr:uid="{00000000-0004-0000-0200-000085010000}"/>
    <hyperlink ref="F641" r:id="rId391" xr:uid="{00000000-0004-0000-0200-000086010000}"/>
    <hyperlink ref="E642" r:id="rId392" xr:uid="{00000000-0004-0000-0200-000087010000}"/>
    <hyperlink ref="F642" r:id="rId393" xr:uid="{00000000-0004-0000-0200-000088010000}"/>
    <hyperlink ref="E643" r:id="rId394" xr:uid="{00000000-0004-0000-0200-000089010000}"/>
    <hyperlink ref="F643" r:id="rId395" xr:uid="{00000000-0004-0000-0200-00008A010000}"/>
    <hyperlink ref="E644" r:id="rId396" xr:uid="{00000000-0004-0000-0200-00008B010000}"/>
    <hyperlink ref="F644" r:id="rId397" xr:uid="{00000000-0004-0000-0200-00008C010000}"/>
    <hyperlink ref="E645" r:id="rId398" xr:uid="{00000000-0004-0000-0200-00008D010000}"/>
    <hyperlink ref="F645" r:id="rId399" xr:uid="{00000000-0004-0000-0200-00008E010000}"/>
    <hyperlink ref="E646" r:id="rId400" xr:uid="{00000000-0004-0000-0200-00008F010000}"/>
    <hyperlink ref="F646" r:id="rId401" xr:uid="{00000000-0004-0000-0200-000090010000}"/>
    <hyperlink ref="E647" r:id="rId402" xr:uid="{00000000-0004-0000-0200-000091010000}"/>
    <hyperlink ref="F647" r:id="rId403" xr:uid="{00000000-0004-0000-0200-000092010000}"/>
    <hyperlink ref="E648" r:id="rId404" xr:uid="{00000000-0004-0000-0200-000093010000}"/>
    <hyperlink ref="F648" r:id="rId405" xr:uid="{00000000-0004-0000-0200-000094010000}"/>
    <hyperlink ref="E649" r:id="rId406" xr:uid="{00000000-0004-0000-0200-000095010000}"/>
    <hyperlink ref="F649" r:id="rId407" xr:uid="{00000000-0004-0000-0200-000096010000}"/>
    <hyperlink ref="E650" r:id="rId408" xr:uid="{00000000-0004-0000-0200-000097010000}"/>
    <hyperlink ref="F650" r:id="rId409" xr:uid="{00000000-0004-0000-0200-000098010000}"/>
    <hyperlink ref="E651" r:id="rId410" xr:uid="{00000000-0004-0000-0200-000099010000}"/>
    <hyperlink ref="F651" r:id="rId411" xr:uid="{00000000-0004-0000-0200-00009A010000}"/>
    <hyperlink ref="E652" r:id="rId412" xr:uid="{00000000-0004-0000-0200-00009B010000}"/>
    <hyperlink ref="F652" r:id="rId413" xr:uid="{00000000-0004-0000-0200-00009C010000}"/>
    <hyperlink ref="E653" r:id="rId414" xr:uid="{00000000-0004-0000-0200-00009D010000}"/>
    <hyperlink ref="F653" r:id="rId415" xr:uid="{00000000-0004-0000-0200-00009E010000}"/>
    <hyperlink ref="E654" r:id="rId416" xr:uid="{00000000-0004-0000-0200-00009F010000}"/>
    <hyperlink ref="F654" r:id="rId417" xr:uid="{00000000-0004-0000-0200-0000A0010000}"/>
    <hyperlink ref="E655" r:id="rId418" xr:uid="{00000000-0004-0000-0200-0000A1010000}"/>
    <hyperlink ref="F655" r:id="rId419" xr:uid="{00000000-0004-0000-0200-0000A2010000}"/>
    <hyperlink ref="E656" r:id="rId420" xr:uid="{00000000-0004-0000-0200-0000A3010000}"/>
    <hyperlink ref="F656" r:id="rId421" xr:uid="{00000000-0004-0000-0200-0000A4010000}"/>
    <hyperlink ref="E657" r:id="rId422" xr:uid="{00000000-0004-0000-0200-0000A5010000}"/>
    <hyperlink ref="F657" r:id="rId423" xr:uid="{00000000-0004-0000-0200-0000A6010000}"/>
    <hyperlink ref="E659" r:id="rId424" xr:uid="{00000000-0004-0000-0200-0000A7010000}"/>
    <hyperlink ref="F659" r:id="rId425" xr:uid="{00000000-0004-0000-0200-0000A8010000}"/>
    <hyperlink ref="E660" r:id="rId426" xr:uid="{00000000-0004-0000-0200-0000A9010000}"/>
    <hyperlink ref="F660" r:id="rId427" xr:uid="{00000000-0004-0000-0200-0000AA010000}"/>
    <hyperlink ref="E661" r:id="rId428" xr:uid="{00000000-0004-0000-0200-0000AB010000}"/>
    <hyperlink ref="F661" r:id="rId429" xr:uid="{00000000-0004-0000-0200-0000AC010000}"/>
    <hyperlink ref="E662" r:id="rId430" xr:uid="{00000000-0004-0000-0200-0000AD010000}"/>
    <hyperlink ref="F662" r:id="rId431" xr:uid="{00000000-0004-0000-0200-0000AE010000}"/>
    <hyperlink ref="E663" r:id="rId432" xr:uid="{00000000-0004-0000-0200-0000AF010000}"/>
    <hyperlink ref="F663" r:id="rId433" xr:uid="{00000000-0004-0000-0200-0000B0010000}"/>
    <hyperlink ref="E664" r:id="rId434" xr:uid="{00000000-0004-0000-0200-0000B1010000}"/>
    <hyperlink ref="F664" r:id="rId435" xr:uid="{00000000-0004-0000-0200-0000B2010000}"/>
    <hyperlink ref="E665" r:id="rId436" xr:uid="{00000000-0004-0000-0200-0000B3010000}"/>
    <hyperlink ref="F665" r:id="rId437" xr:uid="{00000000-0004-0000-0200-0000B4010000}"/>
    <hyperlink ref="E666" r:id="rId438" xr:uid="{00000000-0004-0000-0200-0000B5010000}"/>
    <hyperlink ref="F666" r:id="rId439" xr:uid="{00000000-0004-0000-0200-0000B6010000}"/>
    <hyperlink ref="E668" r:id="rId440" xr:uid="{00000000-0004-0000-0200-0000B7010000}"/>
    <hyperlink ref="E672" r:id="rId441" xr:uid="{00000000-0004-0000-0200-0000B8010000}"/>
    <hyperlink ref="F672" r:id="rId442" xr:uid="{00000000-0004-0000-0200-0000B9010000}"/>
    <hyperlink ref="E674" r:id="rId443" xr:uid="{00000000-0004-0000-0200-0000BA010000}"/>
    <hyperlink ref="F674" r:id="rId444" xr:uid="{00000000-0004-0000-0200-0000BB010000}"/>
    <hyperlink ref="E675" r:id="rId445" xr:uid="{00000000-0004-0000-0200-0000BC010000}"/>
    <hyperlink ref="F675" r:id="rId446" xr:uid="{00000000-0004-0000-0200-0000BD010000}"/>
    <hyperlink ref="E676" r:id="rId447" xr:uid="{00000000-0004-0000-0200-0000BE010000}"/>
    <hyperlink ref="F676" r:id="rId448" xr:uid="{00000000-0004-0000-0200-0000BF010000}"/>
    <hyperlink ref="E677" r:id="rId449" xr:uid="{00000000-0004-0000-0200-0000C0010000}"/>
    <hyperlink ref="F677" r:id="rId450" xr:uid="{00000000-0004-0000-0200-0000C1010000}"/>
    <hyperlink ref="E678" r:id="rId451" xr:uid="{00000000-0004-0000-0200-0000C2010000}"/>
    <hyperlink ref="F678" r:id="rId452" xr:uid="{00000000-0004-0000-0200-0000C3010000}"/>
    <hyperlink ref="E679" r:id="rId453" xr:uid="{00000000-0004-0000-0200-0000C4010000}"/>
    <hyperlink ref="F679" r:id="rId454" xr:uid="{00000000-0004-0000-0200-0000C5010000}"/>
    <hyperlink ref="E680" r:id="rId455" xr:uid="{00000000-0004-0000-0200-0000C6010000}"/>
    <hyperlink ref="E685" r:id="rId456" xr:uid="{00000000-0004-0000-0200-0000C7010000}"/>
    <hyperlink ref="F685" r:id="rId457" xr:uid="{00000000-0004-0000-0200-0000C8010000}"/>
    <hyperlink ref="E689" r:id="rId458" xr:uid="{00000000-0004-0000-0200-0000C9010000}"/>
    <hyperlink ref="F689" r:id="rId459" xr:uid="{00000000-0004-0000-0200-0000CA010000}"/>
    <hyperlink ref="E690" r:id="rId460" xr:uid="{00000000-0004-0000-0200-0000CB010000}"/>
    <hyperlink ref="F690" r:id="rId461" xr:uid="{00000000-0004-0000-0200-0000CC010000}"/>
    <hyperlink ref="E697" r:id="rId462" xr:uid="{00000000-0004-0000-0200-0000CD010000}"/>
    <hyperlink ref="F697" r:id="rId463" xr:uid="{00000000-0004-0000-0200-0000CE010000}"/>
    <hyperlink ref="E698" r:id="rId464" xr:uid="{00000000-0004-0000-0200-0000CF010000}"/>
    <hyperlink ref="F698" r:id="rId465" xr:uid="{00000000-0004-0000-0200-0000D0010000}"/>
    <hyperlink ref="E699" r:id="rId466" xr:uid="{00000000-0004-0000-0200-0000D1010000}"/>
    <hyperlink ref="F699" r:id="rId467" xr:uid="{00000000-0004-0000-0200-0000D2010000}"/>
    <hyperlink ref="E700" r:id="rId468" xr:uid="{00000000-0004-0000-0200-0000D3010000}"/>
    <hyperlink ref="F700" r:id="rId469" xr:uid="{00000000-0004-0000-0200-0000D4010000}"/>
    <hyperlink ref="E701" r:id="rId470" xr:uid="{00000000-0004-0000-0200-0000D5010000}"/>
    <hyperlink ref="F701" r:id="rId471" xr:uid="{00000000-0004-0000-0200-0000D6010000}"/>
    <hyperlink ref="E702" r:id="rId472" xr:uid="{00000000-0004-0000-0200-0000D7010000}"/>
    <hyperlink ref="F702" r:id="rId473" xr:uid="{00000000-0004-0000-0200-0000D8010000}"/>
    <hyperlink ref="E703" r:id="rId474" xr:uid="{00000000-0004-0000-0200-0000D9010000}"/>
    <hyperlink ref="F703" r:id="rId475" xr:uid="{00000000-0004-0000-0200-0000DA010000}"/>
    <hyperlink ref="E704" r:id="rId476" xr:uid="{00000000-0004-0000-0200-0000DB010000}"/>
    <hyperlink ref="F704" r:id="rId477" xr:uid="{00000000-0004-0000-0200-0000DC010000}"/>
    <hyperlink ref="E705" r:id="rId478" xr:uid="{00000000-0004-0000-0200-0000DD010000}"/>
    <hyperlink ref="F705" r:id="rId479" xr:uid="{00000000-0004-0000-0200-0000DE010000}"/>
    <hyperlink ref="E706" r:id="rId480" xr:uid="{00000000-0004-0000-0200-0000DF010000}"/>
    <hyperlink ref="F706" r:id="rId481" xr:uid="{00000000-0004-0000-0200-0000E0010000}"/>
    <hyperlink ref="E707" r:id="rId482" xr:uid="{00000000-0004-0000-0200-0000E1010000}"/>
    <hyperlink ref="F707" r:id="rId483" xr:uid="{00000000-0004-0000-0200-0000E2010000}"/>
    <hyperlink ref="E708" r:id="rId484" xr:uid="{00000000-0004-0000-0200-0000E3010000}"/>
    <hyperlink ref="F708" r:id="rId485" xr:uid="{00000000-0004-0000-0200-0000E4010000}"/>
    <hyperlink ref="E711" r:id="rId486" xr:uid="{00000000-0004-0000-0200-0000E5010000}"/>
    <hyperlink ref="F711" r:id="rId487" xr:uid="{00000000-0004-0000-0200-0000E6010000}"/>
    <hyperlink ref="E712" r:id="rId488" xr:uid="{00000000-0004-0000-0200-0000E7010000}"/>
    <hyperlink ref="F712" r:id="rId489" xr:uid="{00000000-0004-0000-0200-0000E8010000}"/>
    <hyperlink ref="E713" r:id="rId490" xr:uid="{00000000-0004-0000-0200-0000E9010000}"/>
    <hyperlink ref="F713" r:id="rId491" xr:uid="{00000000-0004-0000-0200-0000EA010000}"/>
    <hyperlink ref="E714" r:id="rId492" xr:uid="{00000000-0004-0000-0200-0000EB010000}"/>
    <hyperlink ref="F714" r:id="rId493" xr:uid="{00000000-0004-0000-0200-0000EC010000}"/>
    <hyperlink ref="E715" r:id="rId494" xr:uid="{00000000-0004-0000-0200-0000ED010000}"/>
    <hyperlink ref="F715" r:id="rId495" xr:uid="{00000000-0004-0000-0200-0000EE010000}"/>
    <hyperlink ref="E716" r:id="rId496" xr:uid="{00000000-0004-0000-0200-0000EF010000}"/>
    <hyperlink ref="F716" r:id="rId497" xr:uid="{00000000-0004-0000-0200-0000F0010000}"/>
    <hyperlink ref="E717" r:id="rId498" xr:uid="{00000000-0004-0000-0200-0000F1010000}"/>
    <hyperlink ref="F717" r:id="rId499" xr:uid="{00000000-0004-0000-0200-0000F2010000}"/>
    <hyperlink ref="E718" r:id="rId500" xr:uid="{00000000-0004-0000-0200-0000F3010000}"/>
    <hyperlink ref="F718" r:id="rId501" xr:uid="{00000000-0004-0000-0200-0000F4010000}"/>
    <hyperlink ref="E719" r:id="rId502" xr:uid="{00000000-0004-0000-0200-0000F5010000}"/>
    <hyperlink ref="F719" r:id="rId503" xr:uid="{00000000-0004-0000-0200-0000F6010000}"/>
    <hyperlink ref="E720" r:id="rId504" xr:uid="{00000000-0004-0000-0200-0000F7010000}"/>
    <hyperlink ref="F720" r:id="rId505" xr:uid="{00000000-0004-0000-0200-0000F8010000}"/>
    <hyperlink ref="E721" r:id="rId506" xr:uid="{00000000-0004-0000-0200-0000F9010000}"/>
    <hyperlink ref="F721" r:id="rId507" xr:uid="{00000000-0004-0000-0200-0000FA010000}"/>
    <hyperlink ref="E728" r:id="rId508" xr:uid="{00000000-0004-0000-0200-0000FB010000}"/>
    <hyperlink ref="F728" r:id="rId509" xr:uid="{00000000-0004-0000-0200-0000FC010000}"/>
    <hyperlink ref="E729" r:id="rId510" xr:uid="{00000000-0004-0000-0200-0000FD010000}"/>
    <hyperlink ref="F729" r:id="rId511" xr:uid="{00000000-0004-0000-0200-0000FE010000}"/>
    <hyperlink ref="E730" r:id="rId512" xr:uid="{00000000-0004-0000-0200-0000FF010000}"/>
    <hyperlink ref="F730" r:id="rId513" xr:uid="{00000000-0004-0000-0200-000000020000}"/>
    <hyperlink ref="E731" r:id="rId514" xr:uid="{00000000-0004-0000-0200-000001020000}"/>
    <hyperlink ref="F731" r:id="rId515" xr:uid="{00000000-0004-0000-0200-000002020000}"/>
    <hyperlink ref="E732" r:id="rId516" xr:uid="{00000000-0004-0000-0200-000003020000}"/>
    <hyperlink ref="F732" r:id="rId517" xr:uid="{00000000-0004-0000-0200-000004020000}"/>
    <hyperlink ref="E736" r:id="rId518" xr:uid="{00000000-0004-0000-0200-000005020000}"/>
    <hyperlink ref="F736" r:id="rId519" xr:uid="{00000000-0004-0000-0200-000006020000}"/>
    <hyperlink ref="E737" r:id="rId520" xr:uid="{00000000-0004-0000-0200-000007020000}"/>
    <hyperlink ref="F737" r:id="rId521" xr:uid="{00000000-0004-0000-0200-000008020000}"/>
    <hyperlink ref="E738" r:id="rId522" xr:uid="{00000000-0004-0000-0200-000009020000}"/>
    <hyperlink ref="F738" r:id="rId523" xr:uid="{00000000-0004-0000-0200-00000A020000}"/>
    <hyperlink ref="E739" r:id="rId524" xr:uid="{00000000-0004-0000-0200-00000B020000}"/>
    <hyperlink ref="F739" r:id="rId525" xr:uid="{00000000-0004-0000-0200-00000C020000}"/>
    <hyperlink ref="E743" r:id="rId526" xr:uid="{00000000-0004-0000-0200-00000D020000}"/>
    <hyperlink ref="F743" r:id="rId527" xr:uid="{00000000-0004-0000-0200-00000E020000}"/>
    <hyperlink ref="E748" r:id="rId528" xr:uid="{00000000-0004-0000-0200-00000F020000}"/>
    <hyperlink ref="F748" r:id="rId529" xr:uid="{00000000-0004-0000-0200-000010020000}"/>
    <hyperlink ref="E749" r:id="rId530" xr:uid="{00000000-0004-0000-0200-000011020000}"/>
    <hyperlink ref="F749" r:id="rId531" xr:uid="{00000000-0004-0000-0200-000012020000}"/>
    <hyperlink ref="E750" r:id="rId532" xr:uid="{00000000-0004-0000-0200-000013020000}"/>
    <hyperlink ref="F750" r:id="rId533" xr:uid="{00000000-0004-0000-0200-000014020000}"/>
    <hyperlink ref="E751" r:id="rId534" xr:uid="{00000000-0004-0000-0200-000015020000}"/>
    <hyperlink ref="F751" r:id="rId535" xr:uid="{00000000-0004-0000-0200-000016020000}"/>
    <hyperlink ref="E752" r:id="rId536" xr:uid="{00000000-0004-0000-0200-000017020000}"/>
    <hyperlink ref="F752" r:id="rId537" xr:uid="{00000000-0004-0000-0200-000018020000}"/>
    <hyperlink ref="E754" r:id="rId538" xr:uid="{00000000-0004-0000-0200-000019020000}"/>
    <hyperlink ref="F754" r:id="rId539" xr:uid="{00000000-0004-0000-0200-00001A020000}"/>
    <hyperlink ref="E755" r:id="rId540" xr:uid="{00000000-0004-0000-0200-00001B020000}"/>
    <hyperlink ref="F755" r:id="rId541" xr:uid="{00000000-0004-0000-0200-00001C020000}"/>
    <hyperlink ref="E756" r:id="rId542" xr:uid="{00000000-0004-0000-0200-00001D020000}"/>
    <hyperlink ref="F756" r:id="rId543" xr:uid="{00000000-0004-0000-0200-00001E020000}"/>
    <hyperlink ref="E757" r:id="rId544" xr:uid="{00000000-0004-0000-0200-00001F020000}"/>
    <hyperlink ref="F757" r:id="rId545" xr:uid="{00000000-0004-0000-0200-000020020000}"/>
    <hyperlink ref="E758" r:id="rId546" xr:uid="{00000000-0004-0000-0200-000021020000}"/>
    <hyperlink ref="F758" r:id="rId547" xr:uid="{00000000-0004-0000-0200-000022020000}"/>
    <hyperlink ref="E760" r:id="rId548" xr:uid="{00000000-0004-0000-0200-000023020000}"/>
    <hyperlink ref="F760" r:id="rId549" xr:uid="{00000000-0004-0000-0200-000024020000}"/>
    <hyperlink ref="E761" r:id="rId550" xr:uid="{00000000-0004-0000-0200-000025020000}"/>
    <hyperlink ref="F761" r:id="rId551" xr:uid="{00000000-0004-0000-0200-000026020000}"/>
    <hyperlink ref="E762" r:id="rId552" xr:uid="{00000000-0004-0000-0200-000027020000}"/>
    <hyperlink ref="F762" r:id="rId553" xr:uid="{00000000-0004-0000-0200-000028020000}"/>
    <hyperlink ref="E763" r:id="rId554" xr:uid="{00000000-0004-0000-0200-000029020000}"/>
    <hyperlink ref="F763" r:id="rId555" xr:uid="{00000000-0004-0000-0200-00002A020000}"/>
    <hyperlink ref="E764" r:id="rId556" xr:uid="{00000000-0004-0000-0200-00002B020000}"/>
    <hyperlink ref="F764" r:id="rId557" xr:uid="{00000000-0004-0000-0200-00002C020000}"/>
    <hyperlink ref="E773" r:id="rId558" xr:uid="{00000000-0004-0000-0200-00002D020000}"/>
    <hyperlink ref="F773" r:id="rId559" xr:uid="{00000000-0004-0000-0200-00002E020000}"/>
    <hyperlink ref="E775" r:id="rId560" xr:uid="{00000000-0004-0000-0200-00002F020000}"/>
    <hyperlink ref="F775" r:id="rId561" xr:uid="{00000000-0004-0000-0200-000030020000}"/>
    <hyperlink ref="E777" r:id="rId562" xr:uid="{00000000-0004-0000-0200-000031020000}"/>
    <hyperlink ref="F777" r:id="rId563" xr:uid="{00000000-0004-0000-0200-000032020000}"/>
    <hyperlink ref="E779" r:id="rId564" xr:uid="{00000000-0004-0000-0200-000033020000}"/>
    <hyperlink ref="F779" r:id="rId565" xr:uid="{00000000-0004-0000-0200-000034020000}"/>
    <hyperlink ref="E781" r:id="rId566" xr:uid="{00000000-0004-0000-0200-000035020000}"/>
    <hyperlink ref="F781" r:id="rId567" xr:uid="{00000000-0004-0000-0200-000036020000}"/>
    <hyperlink ref="E782" r:id="rId568" xr:uid="{00000000-0004-0000-0200-000037020000}"/>
    <hyperlink ref="F782" r:id="rId569" xr:uid="{00000000-0004-0000-0200-000038020000}"/>
    <hyperlink ref="E787" r:id="rId570" xr:uid="{00000000-0004-0000-0200-000039020000}"/>
    <hyperlink ref="F787" r:id="rId571" xr:uid="{00000000-0004-0000-0200-00003A020000}"/>
    <hyperlink ref="E788" r:id="rId572" xr:uid="{00000000-0004-0000-0200-00003B020000}"/>
    <hyperlink ref="F788" r:id="rId573" xr:uid="{00000000-0004-0000-0200-00003C020000}"/>
    <hyperlink ref="E789" r:id="rId574" xr:uid="{00000000-0004-0000-0200-00003D020000}"/>
    <hyperlink ref="F789" r:id="rId575" xr:uid="{00000000-0004-0000-0200-00003E020000}"/>
    <hyperlink ref="E790" r:id="rId576" xr:uid="{00000000-0004-0000-0200-00003F020000}"/>
    <hyperlink ref="E797" r:id="rId577" xr:uid="{00000000-0004-0000-0200-000040020000}"/>
    <hyperlink ref="F797" r:id="rId578" xr:uid="{00000000-0004-0000-0200-000041020000}"/>
    <hyperlink ref="E807" r:id="rId579" xr:uid="{00000000-0004-0000-0200-000042020000}"/>
    <hyperlink ref="F807" r:id="rId580" xr:uid="{00000000-0004-0000-0200-000043020000}"/>
    <hyperlink ref="E814" r:id="rId581" xr:uid="{00000000-0004-0000-0200-000044020000}"/>
    <hyperlink ref="E815" r:id="rId582" xr:uid="{00000000-0004-0000-0200-000045020000}"/>
    <hyperlink ref="F815" r:id="rId583" xr:uid="{00000000-0004-0000-0200-000046020000}"/>
    <hyperlink ref="E816" r:id="rId584" xr:uid="{00000000-0004-0000-0200-000047020000}"/>
    <hyperlink ref="F816" r:id="rId585" xr:uid="{00000000-0004-0000-0200-000048020000}"/>
    <hyperlink ref="E817" r:id="rId586" xr:uid="{00000000-0004-0000-0200-000049020000}"/>
    <hyperlink ref="F817" r:id="rId587" xr:uid="{00000000-0004-0000-0200-00004A020000}"/>
    <hyperlink ref="E829" r:id="rId588" xr:uid="{00000000-0004-0000-0200-00004B020000}"/>
    <hyperlink ref="F829" r:id="rId589" xr:uid="{00000000-0004-0000-0200-00004C020000}"/>
    <hyperlink ref="E830" r:id="rId590" xr:uid="{00000000-0004-0000-0200-00004D020000}"/>
    <hyperlink ref="F830" r:id="rId591" xr:uid="{00000000-0004-0000-0200-00004E020000}"/>
    <hyperlink ref="E831" r:id="rId592" xr:uid="{00000000-0004-0000-0200-00004F020000}"/>
    <hyperlink ref="F831" r:id="rId593" xr:uid="{00000000-0004-0000-0200-000050020000}"/>
    <hyperlink ref="E832" r:id="rId594" xr:uid="{00000000-0004-0000-0200-000051020000}"/>
    <hyperlink ref="F832" r:id="rId595" xr:uid="{00000000-0004-0000-0200-000052020000}"/>
    <hyperlink ref="E833" r:id="rId596" xr:uid="{00000000-0004-0000-0200-000053020000}"/>
    <hyperlink ref="E839" r:id="rId597" xr:uid="{00000000-0004-0000-0200-000054020000}"/>
    <hyperlink ref="E842" r:id="rId598" xr:uid="{00000000-0004-0000-0200-000055020000}"/>
    <hyperlink ref="F842" r:id="rId599" xr:uid="{00000000-0004-0000-0200-000056020000}"/>
    <hyperlink ref="E843" r:id="rId600" xr:uid="{00000000-0004-0000-0200-000057020000}"/>
    <hyperlink ref="F843" r:id="rId601" xr:uid="{00000000-0004-0000-0200-000058020000}"/>
    <hyperlink ref="E844" r:id="rId602" xr:uid="{00000000-0004-0000-0200-000059020000}"/>
    <hyperlink ref="F844" r:id="rId603" xr:uid="{00000000-0004-0000-0200-00005A020000}"/>
    <hyperlink ref="E845" r:id="rId604" xr:uid="{00000000-0004-0000-0200-00005B020000}"/>
    <hyperlink ref="F845" r:id="rId605" xr:uid="{00000000-0004-0000-0200-00005C020000}"/>
    <hyperlink ref="E846" r:id="rId606" xr:uid="{00000000-0004-0000-0200-00005D020000}"/>
    <hyperlink ref="F846" r:id="rId607" xr:uid="{00000000-0004-0000-0200-00005E020000}"/>
    <hyperlink ref="E856" r:id="rId608" xr:uid="{00000000-0004-0000-0200-00005F020000}"/>
    <hyperlink ref="E858" r:id="rId609" xr:uid="{00000000-0004-0000-0200-000060020000}"/>
    <hyperlink ref="F858" r:id="rId610" xr:uid="{00000000-0004-0000-0200-000061020000}"/>
    <hyperlink ref="E860" r:id="rId611" xr:uid="{00000000-0004-0000-0200-000062020000}"/>
    <hyperlink ref="F860" r:id="rId612" xr:uid="{00000000-0004-0000-0200-000063020000}"/>
    <hyperlink ref="E861" r:id="rId613" xr:uid="{00000000-0004-0000-0200-000064020000}"/>
    <hyperlink ref="F861" r:id="rId614" xr:uid="{00000000-0004-0000-0200-000065020000}"/>
    <hyperlink ref="E862" r:id="rId615" xr:uid="{00000000-0004-0000-0200-000066020000}"/>
    <hyperlink ref="F862" r:id="rId616" xr:uid="{00000000-0004-0000-0200-000067020000}"/>
    <hyperlink ref="E870" r:id="rId617" xr:uid="{00000000-0004-0000-0200-000068020000}"/>
    <hyperlink ref="F870" r:id="rId618" xr:uid="{00000000-0004-0000-0200-000069020000}"/>
    <hyperlink ref="E873" r:id="rId619" xr:uid="{00000000-0004-0000-0200-00006A020000}"/>
    <hyperlink ref="F873" r:id="rId620" xr:uid="{00000000-0004-0000-0200-00006B020000}"/>
    <hyperlink ref="E877" r:id="rId621" xr:uid="{00000000-0004-0000-0200-00006C020000}"/>
    <hyperlink ref="E879" r:id="rId622" xr:uid="{00000000-0004-0000-0200-00006D020000}"/>
    <hyperlink ref="F879" r:id="rId623" xr:uid="{00000000-0004-0000-0200-00006E020000}"/>
    <hyperlink ref="E880" r:id="rId624" xr:uid="{00000000-0004-0000-0200-00006F020000}"/>
    <hyperlink ref="F880" r:id="rId625" xr:uid="{00000000-0004-0000-0200-000070020000}"/>
    <hyperlink ref="E884" r:id="rId626" xr:uid="{00000000-0004-0000-0200-000071020000}"/>
    <hyperlink ref="F884" r:id="rId627" xr:uid="{00000000-0004-0000-0200-000072020000}"/>
    <hyperlink ref="E885" r:id="rId628" xr:uid="{00000000-0004-0000-0200-000073020000}"/>
    <hyperlink ref="F885" r:id="rId629" xr:uid="{00000000-0004-0000-0200-000074020000}"/>
    <hyperlink ref="E896" r:id="rId630" xr:uid="{00000000-0004-0000-0200-000075020000}"/>
    <hyperlink ref="F896" r:id="rId631" xr:uid="{00000000-0004-0000-0200-000076020000}"/>
    <hyperlink ref="E897" r:id="rId632" xr:uid="{00000000-0004-0000-0200-000077020000}"/>
    <hyperlink ref="F897" r:id="rId633" xr:uid="{00000000-0004-0000-0200-000078020000}"/>
    <hyperlink ref="E898" r:id="rId634" xr:uid="{00000000-0004-0000-0200-000079020000}"/>
    <hyperlink ref="F898" r:id="rId635" xr:uid="{00000000-0004-0000-0200-00007A020000}"/>
    <hyperlink ref="E902" r:id="rId636" xr:uid="{00000000-0004-0000-0200-00007B020000}"/>
    <hyperlink ref="E903" r:id="rId637" xr:uid="{00000000-0004-0000-0200-00007C020000}"/>
    <hyperlink ref="F903" r:id="rId638" xr:uid="{00000000-0004-0000-0200-00007D020000}"/>
    <hyperlink ref="E904" r:id="rId639" xr:uid="{00000000-0004-0000-0200-00007E020000}"/>
    <hyperlink ref="F904" r:id="rId640" xr:uid="{00000000-0004-0000-0200-00007F020000}"/>
    <hyperlink ref="E906" r:id="rId641" xr:uid="{00000000-0004-0000-0200-000080020000}"/>
    <hyperlink ref="F906" r:id="rId642" xr:uid="{00000000-0004-0000-0200-000081020000}"/>
    <hyperlink ref="E907" r:id="rId643" xr:uid="{00000000-0004-0000-0200-000082020000}"/>
    <hyperlink ref="F907" r:id="rId644" xr:uid="{00000000-0004-0000-0200-000083020000}"/>
    <hyperlink ref="E911" r:id="rId645" xr:uid="{00000000-0004-0000-0200-000084020000}"/>
    <hyperlink ref="F911" r:id="rId646" xr:uid="{00000000-0004-0000-0200-000085020000}"/>
    <hyperlink ref="E912" r:id="rId647" xr:uid="{00000000-0004-0000-0200-000086020000}"/>
    <hyperlink ref="F912" r:id="rId648" xr:uid="{00000000-0004-0000-0200-000087020000}"/>
    <hyperlink ref="E915" r:id="rId649" xr:uid="{00000000-0004-0000-0200-000088020000}"/>
    <hyperlink ref="F915" r:id="rId650" xr:uid="{00000000-0004-0000-0200-000089020000}"/>
    <hyperlink ref="E916" r:id="rId651" xr:uid="{00000000-0004-0000-0200-00008A020000}"/>
    <hyperlink ref="F916" r:id="rId652" xr:uid="{00000000-0004-0000-0200-00008B020000}"/>
    <hyperlink ref="E917" r:id="rId653" xr:uid="{00000000-0004-0000-0200-00008C020000}"/>
    <hyperlink ref="F917" r:id="rId654" xr:uid="{00000000-0004-0000-0200-00008D020000}"/>
    <hyperlink ref="E918" r:id="rId655" xr:uid="{00000000-0004-0000-0200-00008E020000}"/>
    <hyperlink ref="F918" r:id="rId656" xr:uid="{00000000-0004-0000-0200-00008F020000}"/>
    <hyperlink ref="E919" r:id="rId657" xr:uid="{00000000-0004-0000-0200-000090020000}"/>
    <hyperlink ref="F919" r:id="rId658" xr:uid="{00000000-0004-0000-0200-000091020000}"/>
    <hyperlink ref="E920" r:id="rId659" xr:uid="{00000000-0004-0000-0200-000092020000}"/>
    <hyperlink ref="F920" r:id="rId660" xr:uid="{00000000-0004-0000-0200-000093020000}"/>
    <hyperlink ref="E921" r:id="rId661" xr:uid="{00000000-0004-0000-0200-000094020000}"/>
    <hyperlink ref="F921" r:id="rId662" xr:uid="{00000000-0004-0000-0200-000095020000}"/>
    <hyperlink ref="E922" r:id="rId663" xr:uid="{00000000-0004-0000-0200-000096020000}"/>
    <hyperlink ref="F922" r:id="rId664" xr:uid="{00000000-0004-0000-0200-000097020000}"/>
    <hyperlink ref="E923" r:id="rId665" xr:uid="{00000000-0004-0000-0200-000098020000}"/>
    <hyperlink ref="F923" r:id="rId666" xr:uid="{00000000-0004-0000-0200-000099020000}"/>
    <hyperlink ref="E925" r:id="rId667" xr:uid="{00000000-0004-0000-0200-00009A020000}"/>
    <hyperlink ref="F925" r:id="rId668" xr:uid="{00000000-0004-0000-0200-00009B020000}"/>
    <hyperlink ref="E926" r:id="rId669" xr:uid="{00000000-0004-0000-0200-00009C020000}"/>
    <hyperlink ref="F926" r:id="rId670" xr:uid="{00000000-0004-0000-0200-00009D020000}"/>
    <hyperlink ref="E927" r:id="rId671" xr:uid="{00000000-0004-0000-0200-00009E020000}"/>
    <hyperlink ref="F927" r:id="rId672" xr:uid="{00000000-0004-0000-0200-00009F020000}"/>
    <hyperlink ref="E929" r:id="rId673" xr:uid="{00000000-0004-0000-0200-0000A0020000}"/>
    <hyperlink ref="F929" r:id="rId674" xr:uid="{00000000-0004-0000-0200-0000A1020000}"/>
    <hyperlink ref="E930" r:id="rId675" xr:uid="{00000000-0004-0000-0200-0000A2020000}"/>
    <hyperlink ref="F930" r:id="rId676" xr:uid="{00000000-0004-0000-0200-0000A3020000}"/>
    <hyperlink ref="E931" r:id="rId677" xr:uid="{00000000-0004-0000-0200-0000A4020000}"/>
    <hyperlink ref="F931" r:id="rId678" xr:uid="{00000000-0004-0000-0200-0000A5020000}"/>
    <hyperlink ref="E934" r:id="rId679" xr:uid="{00000000-0004-0000-0200-0000A6020000}"/>
    <hyperlink ref="F934" r:id="rId680" xr:uid="{00000000-0004-0000-0200-0000A7020000}"/>
    <hyperlink ref="E935" r:id="rId681" xr:uid="{00000000-0004-0000-0200-0000A8020000}"/>
    <hyperlink ref="F935" r:id="rId682" xr:uid="{00000000-0004-0000-0200-0000A9020000}"/>
    <hyperlink ref="E936" r:id="rId683" xr:uid="{00000000-0004-0000-0200-0000AA020000}"/>
    <hyperlink ref="F936" r:id="rId684" xr:uid="{00000000-0004-0000-0200-0000AB020000}"/>
    <hyperlink ref="E939" r:id="rId685" xr:uid="{00000000-0004-0000-0200-0000AC020000}"/>
    <hyperlink ref="F939" r:id="rId686" xr:uid="{00000000-0004-0000-0200-0000AD020000}"/>
    <hyperlink ref="E940" r:id="rId687" xr:uid="{00000000-0004-0000-0200-0000AE020000}"/>
    <hyperlink ref="F940" r:id="rId688" xr:uid="{00000000-0004-0000-0200-0000AF020000}"/>
    <hyperlink ref="E941" r:id="rId689" xr:uid="{00000000-0004-0000-0200-0000B0020000}"/>
    <hyperlink ref="F941" r:id="rId690" xr:uid="{00000000-0004-0000-0200-0000B1020000}"/>
    <hyperlink ref="E948" r:id="rId691" xr:uid="{00000000-0004-0000-0200-0000B2020000}"/>
    <hyperlink ref="F948" r:id="rId692" xr:uid="{00000000-0004-0000-0200-0000B3020000}"/>
    <hyperlink ref="E950" r:id="rId693" xr:uid="{00000000-0004-0000-0200-0000B4020000}"/>
    <hyperlink ref="E951" r:id="rId694" xr:uid="{00000000-0004-0000-0200-0000B5020000}"/>
    <hyperlink ref="F951" r:id="rId695" xr:uid="{00000000-0004-0000-0200-0000B6020000}"/>
    <hyperlink ref="E952" r:id="rId696" xr:uid="{00000000-0004-0000-0200-0000B7020000}"/>
    <hyperlink ref="F952" r:id="rId697" xr:uid="{00000000-0004-0000-0200-0000B8020000}"/>
    <hyperlink ref="E953" r:id="rId698" xr:uid="{00000000-0004-0000-0200-0000B9020000}"/>
    <hyperlink ref="F953" r:id="rId699" xr:uid="{00000000-0004-0000-0200-0000BA020000}"/>
    <hyperlink ref="E954" r:id="rId700" xr:uid="{00000000-0004-0000-0200-0000BB020000}"/>
    <hyperlink ref="F954" r:id="rId701" xr:uid="{00000000-0004-0000-0200-0000BC020000}"/>
    <hyperlink ref="E955" r:id="rId702" xr:uid="{00000000-0004-0000-0200-0000BD020000}"/>
    <hyperlink ref="F955" r:id="rId703" xr:uid="{00000000-0004-0000-0200-0000BE020000}"/>
    <hyperlink ref="E960" r:id="rId704" xr:uid="{00000000-0004-0000-0200-0000BF020000}"/>
    <hyperlink ref="F960" r:id="rId705" xr:uid="{00000000-0004-0000-0200-0000C0020000}"/>
    <hyperlink ref="E961" r:id="rId706" xr:uid="{00000000-0004-0000-0200-0000C1020000}"/>
    <hyperlink ref="F961" r:id="rId707" xr:uid="{00000000-0004-0000-0200-0000C2020000}"/>
    <hyperlink ref="E962" r:id="rId708" xr:uid="{00000000-0004-0000-0200-0000C3020000}"/>
    <hyperlink ref="F962" r:id="rId709" xr:uid="{00000000-0004-0000-0200-0000C4020000}"/>
    <hyperlink ref="E963" r:id="rId710" xr:uid="{00000000-0004-0000-0200-0000C5020000}"/>
    <hyperlink ref="F963" r:id="rId711" xr:uid="{00000000-0004-0000-0200-0000C6020000}"/>
    <hyperlink ref="E967" r:id="rId712" xr:uid="{00000000-0004-0000-0200-0000C7020000}"/>
    <hyperlink ref="F967" r:id="rId713" xr:uid="{00000000-0004-0000-0200-0000C8020000}"/>
    <hyperlink ref="E976" r:id="rId714" xr:uid="{00000000-0004-0000-0200-0000C9020000}"/>
    <hyperlink ref="F976" r:id="rId715" xr:uid="{00000000-0004-0000-0200-0000CA020000}"/>
    <hyperlink ref="E998" r:id="rId716" xr:uid="{00000000-0004-0000-0200-0000CB020000}"/>
    <hyperlink ref="F998" r:id="rId717" xr:uid="{00000000-0004-0000-0200-0000CC020000}"/>
    <hyperlink ref="E999" r:id="rId718" xr:uid="{00000000-0004-0000-0200-0000CD020000}"/>
    <hyperlink ref="F999" r:id="rId719" xr:uid="{00000000-0004-0000-0200-0000CE020000}"/>
    <hyperlink ref="E1000" r:id="rId720" xr:uid="{00000000-0004-0000-0200-0000CF020000}"/>
    <hyperlink ref="F1000" r:id="rId721" xr:uid="{00000000-0004-0000-0200-0000D0020000}"/>
    <hyperlink ref="E1001" r:id="rId722" xr:uid="{00000000-0004-0000-0200-0000D1020000}"/>
    <hyperlink ref="F1001" r:id="rId723" xr:uid="{00000000-0004-0000-0200-0000D2020000}"/>
    <hyperlink ref="E1002" r:id="rId724" xr:uid="{00000000-0004-0000-0200-0000D3020000}"/>
    <hyperlink ref="F1002" r:id="rId725" xr:uid="{00000000-0004-0000-0200-0000D4020000}"/>
    <hyperlink ref="E1005" r:id="rId726" xr:uid="{00000000-0004-0000-0200-0000D5020000}"/>
    <hyperlink ref="F1005" r:id="rId727" xr:uid="{00000000-0004-0000-0200-0000D6020000}"/>
    <hyperlink ref="E1006" r:id="rId728" xr:uid="{00000000-0004-0000-0200-0000D7020000}"/>
    <hyperlink ref="F1006" r:id="rId729" xr:uid="{00000000-0004-0000-0200-0000D8020000}"/>
    <hyperlink ref="E1010" r:id="rId730" xr:uid="{00000000-0004-0000-0200-0000D9020000}"/>
    <hyperlink ref="F1010" r:id="rId731" xr:uid="{00000000-0004-0000-0200-0000DA020000}"/>
    <hyperlink ref="E1011" r:id="rId732" xr:uid="{00000000-0004-0000-0200-0000DB020000}"/>
    <hyperlink ref="F1011" r:id="rId733" xr:uid="{00000000-0004-0000-0200-0000DC020000}"/>
    <hyperlink ref="E1012" r:id="rId734" xr:uid="{00000000-0004-0000-0200-0000DD020000}"/>
    <hyperlink ref="F1012" r:id="rId735" xr:uid="{00000000-0004-0000-0200-0000DE020000}"/>
    <hyperlink ref="E1013" r:id="rId736" xr:uid="{00000000-0004-0000-0200-0000DF020000}"/>
    <hyperlink ref="F1013" r:id="rId737" xr:uid="{00000000-0004-0000-0200-0000E0020000}"/>
    <hyperlink ref="E1014" r:id="rId738" xr:uid="{00000000-0004-0000-0200-0000E1020000}"/>
    <hyperlink ref="F1014" r:id="rId739" xr:uid="{00000000-0004-0000-0200-0000E2020000}"/>
    <hyperlink ref="E1015" r:id="rId740" xr:uid="{00000000-0004-0000-0200-0000E3020000}"/>
    <hyperlink ref="F1015" r:id="rId741" xr:uid="{00000000-0004-0000-0200-0000E4020000}"/>
    <hyperlink ref="E1018" r:id="rId742" xr:uid="{00000000-0004-0000-0200-0000E5020000}"/>
    <hyperlink ref="E1019" r:id="rId743" xr:uid="{00000000-0004-0000-0200-0000E6020000}"/>
    <hyperlink ref="E1020" r:id="rId744" xr:uid="{00000000-0004-0000-0200-0000E7020000}"/>
    <hyperlink ref="E1025" r:id="rId745" xr:uid="{00000000-0004-0000-0200-0000E8020000}"/>
    <hyperlink ref="F1025" r:id="rId746" xr:uid="{00000000-0004-0000-0200-0000E9020000}"/>
    <hyperlink ref="E1034" r:id="rId747" xr:uid="{00000000-0004-0000-0200-0000EA020000}"/>
    <hyperlink ref="F1034" r:id="rId748" xr:uid="{00000000-0004-0000-0200-0000EB020000}"/>
    <hyperlink ref="E1037" r:id="rId749" xr:uid="{00000000-0004-0000-0200-0000EC020000}"/>
    <hyperlink ref="E1038" r:id="rId750" xr:uid="{00000000-0004-0000-0200-0000ED020000}"/>
    <hyperlink ref="F1038" r:id="rId751" xr:uid="{00000000-0004-0000-0200-0000EE020000}"/>
    <hyperlink ref="E1041" r:id="rId752" xr:uid="{00000000-0004-0000-0200-0000EF020000}"/>
    <hyperlink ref="F1041" r:id="rId753" xr:uid="{00000000-0004-0000-0200-0000F0020000}"/>
    <hyperlink ref="E1042" r:id="rId754" xr:uid="{00000000-0004-0000-0200-0000F1020000}"/>
    <hyperlink ref="F1042" r:id="rId755" xr:uid="{00000000-0004-0000-0200-0000F2020000}"/>
    <hyperlink ref="E1043" r:id="rId756" xr:uid="{00000000-0004-0000-0200-0000F3020000}"/>
    <hyperlink ref="F1043" r:id="rId757" xr:uid="{00000000-0004-0000-0200-0000F4020000}"/>
    <hyperlink ref="E1044" r:id="rId758" xr:uid="{00000000-0004-0000-0200-0000F5020000}"/>
    <hyperlink ref="F1044" r:id="rId759" xr:uid="{00000000-0004-0000-0200-0000F6020000}"/>
    <hyperlink ref="E1048" r:id="rId760" xr:uid="{00000000-0004-0000-0200-0000F7020000}"/>
    <hyperlink ref="F1048" r:id="rId761" xr:uid="{00000000-0004-0000-0200-0000F8020000}"/>
    <hyperlink ref="E1049" r:id="rId762" xr:uid="{00000000-0004-0000-0200-0000F9020000}"/>
    <hyperlink ref="F1049" r:id="rId763" xr:uid="{00000000-0004-0000-0200-0000FA020000}"/>
    <hyperlink ref="E1050" r:id="rId764" xr:uid="{00000000-0004-0000-0200-0000FB020000}"/>
    <hyperlink ref="F1050" r:id="rId765" xr:uid="{00000000-0004-0000-0200-0000FC020000}"/>
    <hyperlink ref="E1051" r:id="rId766" xr:uid="{00000000-0004-0000-0200-0000FD020000}"/>
    <hyperlink ref="F1051" r:id="rId767" xr:uid="{00000000-0004-0000-0200-0000FE020000}"/>
    <hyperlink ref="E1052" r:id="rId768" xr:uid="{00000000-0004-0000-0200-0000FF020000}"/>
    <hyperlink ref="F1052" r:id="rId769" xr:uid="{00000000-0004-0000-0200-000000030000}"/>
    <hyperlink ref="E1053" r:id="rId770" xr:uid="{00000000-0004-0000-0200-000001030000}"/>
    <hyperlink ref="F1053" r:id="rId771" xr:uid="{00000000-0004-0000-0200-000002030000}"/>
    <hyperlink ref="E1054" r:id="rId772" xr:uid="{00000000-0004-0000-0200-000003030000}"/>
    <hyperlink ref="F1054" r:id="rId773" xr:uid="{00000000-0004-0000-0200-000004030000}"/>
    <hyperlink ref="E1055" r:id="rId774" xr:uid="{00000000-0004-0000-0200-000005030000}"/>
    <hyperlink ref="F1055" r:id="rId775" xr:uid="{00000000-0004-0000-0200-000006030000}"/>
    <hyperlink ref="E1056" r:id="rId776" xr:uid="{00000000-0004-0000-0200-000007030000}"/>
    <hyperlink ref="F1056" r:id="rId777" xr:uid="{00000000-0004-0000-0200-000008030000}"/>
    <hyperlink ref="E1057" r:id="rId778" xr:uid="{00000000-0004-0000-0200-000009030000}"/>
    <hyperlink ref="F1057" r:id="rId779" xr:uid="{00000000-0004-0000-0200-00000A030000}"/>
    <hyperlink ref="E1058" r:id="rId780" xr:uid="{00000000-0004-0000-0200-00000B030000}"/>
    <hyperlink ref="F1058" r:id="rId781" xr:uid="{00000000-0004-0000-0200-00000C030000}"/>
    <hyperlink ref="E1059" r:id="rId782" xr:uid="{00000000-0004-0000-0200-00000D030000}"/>
    <hyperlink ref="F1059" r:id="rId783" xr:uid="{00000000-0004-0000-0200-00000E030000}"/>
    <hyperlink ref="E1060" r:id="rId784" xr:uid="{00000000-0004-0000-0200-00000F030000}"/>
    <hyperlink ref="F1060" r:id="rId785" xr:uid="{00000000-0004-0000-0200-000010030000}"/>
    <hyperlink ref="E1061" r:id="rId786" xr:uid="{00000000-0004-0000-0200-000011030000}"/>
    <hyperlink ref="F1061" r:id="rId787" xr:uid="{00000000-0004-0000-0200-000012030000}"/>
    <hyperlink ref="E1067" r:id="rId788" xr:uid="{00000000-0004-0000-0200-000013030000}"/>
    <hyperlink ref="F1067" r:id="rId789" xr:uid="{00000000-0004-0000-0200-000014030000}"/>
    <hyperlink ref="E1068" r:id="rId790" xr:uid="{00000000-0004-0000-0200-000015030000}"/>
    <hyperlink ref="F1068" r:id="rId791" xr:uid="{00000000-0004-0000-0200-000016030000}"/>
    <hyperlink ref="E1069" r:id="rId792" xr:uid="{00000000-0004-0000-0200-000017030000}"/>
    <hyperlink ref="F1069" r:id="rId793" xr:uid="{00000000-0004-0000-0200-000018030000}"/>
    <hyperlink ref="E1070" r:id="rId794" xr:uid="{00000000-0004-0000-0200-000019030000}"/>
    <hyperlink ref="E1071" r:id="rId795" xr:uid="{00000000-0004-0000-0200-00001A030000}"/>
    <hyperlink ref="F1071" r:id="rId796" xr:uid="{00000000-0004-0000-0200-00001B030000}"/>
    <hyperlink ref="E1074" r:id="rId797" xr:uid="{00000000-0004-0000-0200-00001C030000}"/>
    <hyperlink ref="F1074" r:id="rId798" xr:uid="{00000000-0004-0000-0200-00001D030000}"/>
    <hyperlink ref="E1079" r:id="rId799" xr:uid="{00000000-0004-0000-0200-00001E030000}"/>
    <hyperlink ref="F1079" r:id="rId800" xr:uid="{00000000-0004-0000-0200-00001F030000}"/>
    <hyperlink ref="E1081" r:id="rId801" xr:uid="{00000000-0004-0000-0200-000020030000}"/>
    <hyperlink ref="E1087" r:id="rId802" xr:uid="{00000000-0004-0000-0200-000021030000}"/>
    <hyperlink ref="F1087" r:id="rId803" xr:uid="{00000000-0004-0000-0200-000022030000}"/>
    <hyperlink ref="E1088" r:id="rId804" xr:uid="{00000000-0004-0000-0200-000023030000}"/>
    <hyperlink ref="F1088" r:id="rId805" xr:uid="{00000000-0004-0000-0200-000024030000}"/>
    <hyperlink ref="E1089" r:id="rId806" xr:uid="{00000000-0004-0000-0200-000025030000}"/>
    <hyperlink ref="F1089" r:id="rId807" xr:uid="{00000000-0004-0000-0200-000026030000}"/>
    <hyperlink ref="E1090" r:id="rId808" xr:uid="{00000000-0004-0000-0200-000027030000}"/>
    <hyperlink ref="F1090" r:id="rId809" xr:uid="{00000000-0004-0000-0200-000028030000}"/>
    <hyperlink ref="E1093" r:id="rId810" xr:uid="{00000000-0004-0000-0200-000029030000}"/>
    <hyperlink ref="E1094" r:id="rId811" xr:uid="{00000000-0004-0000-0200-00002A030000}"/>
    <hyperlink ref="F1094" r:id="rId812" xr:uid="{00000000-0004-0000-0200-00002B030000}"/>
    <hyperlink ref="E1130" r:id="rId813" xr:uid="{00000000-0004-0000-0200-00002C030000}"/>
    <hyperlink ref="F1130" r:id="rId814" xr:uid="{00000000-0004-0000-0200-00002D030000}"/>
    <hyperlink ref="E1131" r:id="rId815" xr:uid="{00000000-0004-0000-0200-00002E030000}"/>
    <hyperlink ref="F1131" r:id="rId816" xr:uid="{00000000-0004-0000-0200-00002F030000}"/>
    <hyperlink ref="E1132" r:id="rId817" xr:uid="{00000000-0004-0000-0200-000030030000}"/>
    <hyperlink ref="F1132" r:id="rId818" xr:uid="{00000000-0004-0000-0200-000031030000}"/>
    <hyperlink ref="E1133" r:id="rId819" xr:uid="{00000000-0004-0000-0200-000032030000}"/>
    <hyperlink ref="F1133" r:id="rId820" xr:uid="{00000000-0004-0000-0200-000033030000}"/>
    <hyperlink ref="E1134" r:id="rId821" xr:uid="{00000000-0004-0000-0200-000034030000}"/>
    <hyperlink ref="F1134" r:id="rId822" xr:uid="{00000000-0004-0000-0200-000035030000}"/>
    <hyperlink ref="E1135" r:id="rId823" xr:uid="{00000000-0004-0000-0200-000036030000}"/>
    <hyperlink ref="F1135" r:id="rId824" xr:uid="{00000000-0004-0000-0200-000037030000}"/>
    <hyperlink ref="E1141" r:id="rId825" xr:uid="{00000000-0004-0000-0200-000038030000}"/>
    <hyperlink ref="F1141" r:id="rId826" xr:uid="{00000000-0004-0000-0200-000039030000}"/>
    <hyperlink ref="E1143" r:id="rId827" xr:uid="{00000000-0004-0000-0200-00003A030000}"/>
    <hyperlink ref="F1143" r:id="rId828" xr:uid="{00000000-0004-0000-0200-00003B030000}"/>
    <hyperlink ref="E1145" r:id="rId829" xr:uid="{00000000-0004-0000-0200-00003C030000}"/>
    <hyperlink ref="F1145" r:id="rId830" xr:uid="{00000000-0004-0000-0200-00003D030000}"/>
    <hyperlink ref="E1146" r:id="rId831" xr:uid="{00000000-0004-0000-0200-00003E030000}"/>
    <hyperlink ref="F1146" r:id="rId832" xr:uid="{00000000-0004-0000-0200-00003F030000}"/>
    <hyperlink ref="E1148" r:id="rId833" xr:uid="{00000000-0004-0000-0200-000040030000}"/>
    <hyperlink ref="F1148" r:id="rId834" xr:uid="{00000000-0004-0000-0200-000041030000}"/>
    <hyperlink ref="E1150" r:id="rId835" xr:uid="{00000000-0004-0000-0200-000042030000}"/>
    <hyperlink ref="E1153" r:id="rId836" xr:uid="{00000000-0004-0000-0200-000043030000}"/>
    <hyperlink ref="F1153" r:id="rId837" xr:uid="{00000000-0004-0000-0200-000044030000}"/>
    <hyperlink ref="E1161" r:id="rId838" xr:uid="{00000000-0004-0000-0200-000045030000}"/>
    <hyperlink ref="F1161" r:id="rId839" xr:uid="{00000000-0004-0000-0200-000046030000}"/>
    <hyperlink ref="E1165" r:id="rId840" xr:uid="{00000000-0004-0000-0200-000047030000}"/>
    <hyperlink ref="E1166" r:id="rId841" xr:uid="{00000000-0004-0000-0200-000048030000}"/>
    <hyperlink ref="E1167" r:id="rId842" xr:uid="{00000000-0004-0000-0200-000049030000}"/>
    <hyperlink ref="E1169" r:id="rId843" xr:uid="{00000000-0004-0000-0200-00004A030000}"/>
    <hyperlink ref="E1178" r:id="rId844" xr:uid="{00000000-0004-0000-0200-00004B030000}"/>
    <hyperlink ref="F1178" r:id="rId845" xr:uid="{00000000-0004-0000-0200-00004C030000}"/>
    <hyperlink ref="E1181" r:id="rId846" xr:uid="{00000000-0004-0000-0200-00004D030000}"/>
    <hyperlink ref="F1181" r:id="rId847" xr:uid="{00000000-0004-0000-0200-00004E030000}"/>
    <hyperlink ref="E1188" r:id="rId848" xr:uid="{00000000-0004-0000-0200-00004F030000}"/>
    <hyperlink ref="F1188" r:id="rId849" xr:uid="{00000000-0004-0000-0200-000050030000}"/>
    <hyperlink ref="E1190" r:id="rId850" xr:uid="{00000000-0004-0000-0200-000051030000}"/>
    <hyperlink ref="F1190" r:id="rId851" xr:uid="{00000000-0004-0000-0200-000052030000}"/>
    <hyperlink ref="E1191" r:id="rId852" xr:uid="{00000000-0004-0000-0200-000053030000}"/>
    <hyperlink ref="F1191" r:id="rId853" xr:uid="{00000000-0004-0000-0200-000054030000}"/>
    <hyperlink ref="E1192" r:id="rId854" xr:uid="{00000000-0004-0000-0200-000055030000}"/>
    <hyperlink ref="F1192" r:id="rId855" xr:uid="{00000000-0004-0000-0200-000056030000}"/>
    <hyperlink ref="E1193" r:id="rId856" xr:uid="{00000000-0004-0000-0200-000057030000}"/>
    <hyperlink ref="F1193" r:id="rId857" xr:uid="{00000000-0004-0000-0200-000058030000}"/>
    <hyperlink ref="E1194" r:id="rId858" xr:uid="{00000000-0004-0000-0200-000059030000}"/>
    <hyperlink ref="F1194" r:id="rId859" xr:uid="{00000000-0004-0000-0200-00005A030000}"/>
    <hyperlink ref="E1195" r:id="rId860" xr:uid="{00000000-0004-0000-0200-00005B030000}"/>
    <hyperlink ref="F1195" r:id="rId861" xr:uid="{00000000-0004-0000-0200-00005C030000}"/>
    <hyperlink ref="E1198" r:id="rId862" xr:uid="{00000000-0004-0000-0200-00005D030000}"/>
    <hyperlink ref="F1198" r:id="rId863" xr:uid="{00000000-0004-0000-0200-00005E030000}"/>
    <hyperlink ref="E1200" r:id="rId864" xr:uid="{00000000-0004-0000-0200-00005F030000}"/>
    <hyperlink ref="E1201" r:id="rId865" xr:uid="{00000000-0004-0000-0200-000060030000}"/>
    <hyperlink ref="E1203" r:id="rId866" xr:uid="{00000000-0004-0000-0200-000061030000}"/>
    <hyperlink ref="F1203" r:id="rId867" xr:uid="{00000000-0004-0000-0200-000062030000}"/>
    <hyperlink ref="E1204" r:id="rId868" xr:uid="{00000000-0004-0000-0200-000063030000}"/>
    <hyperlink ref="F1204" r:id="rId869" xr:uid="{00000000-0004-0000-0200-000064030000}"/>
    <hyperlink ref="E1205" r:id="rId870" xr:uid="{00000000-0004-0000-0200-000065030000}"/>
    <hyperlink ref="F1205" r:id="rId871" xr:uid="{00000000-0004-0000-0200-000066030000}"/>
    <hyperlink ref="E1206" r:id="rId872" xr:uid="{00000000-0004-0000-0200-000067030000}"/>
    <hyperlink ref="F1206" r:id="rId873" xr:uid="{00000000-0004-0000-0200-000068030000}"/>
    <hyperlink ref="E1210" r:id="rId874" xr:uid="{00000000-0004-0000-0200-000069030000}"/>
    <hyperlink ref="F1210" r:id="rId875" xr:uid="{00000000-0004-0000-0200-00006A030000}"/>
    <hyperlink ref="E1211" r:id="rId876" xr:uid="{00000000-0004-0000-0200-00006B030000}"/>
    <hyperlink ref="F1211" r:id="rId877" xr:uid="{00000000-0004-0000-0200-00006C030000}"/>
    <hyperlink ref="E1212" r:id="rId878" xr:uid="{00000000-0004-0000-0200-00006D030000}"/>
    <hyperlink ref="F1212" r:id="rId879" xr:uid="{00000000-0004-0000-0200-00006E030000}"/>
    <hyperlink ref="E1213" r:id="rId880" xr:uid="{00000000-0004-0000-0200-00006F030000}"/>
    <hyperlink ref="F1213" r:id="rId881" xr:uid="{00000000-0004-0000-0200-000070030000}"/>
    <hyperlink ref="E1215" r:id="rId882" xr:uid="{00000000-0004-0000-0200-000071030000}"/>
    <hyperlink ref="F1215" r:id="rId883" xr:uid="{00000000-0004-0000-0200-000072030000}"/>
    <hyperlink ref="E1216" r:id="rId884" xr:uid="{00000000-0004-0000-0200-000073030000}"/>
    <hyperlink ref="F1216" r:id="rId885" xr:uid="{00000000-0004-0000-0200-000074030000}"/>
    <hyperlink ref="E1217" r:id="rId886" xr:uid="{00000000-0004-0000-0200-000075030000}"/>
    <hyperlink ref="F1217" r:id="rId887" xr:uid="{00000000-0004-0000-0200-000076030000}"/>
    <hyperlink ref="E1218" r:id="rId888" xr:uid="{00000000-0004-0000-0200-000077030000}"/>
    <hyperlink ref="F1218" r:id="rId889" xr:uid="{00000000-0004-0000-0200-000078030000}"/>
    <hyperlink ref="E1219" r:id="rId890" xr:uid="{00000000-0004-0000-0200-000079030000}"/>
    <hyperlink ref="F1219" r:id="rId891" xr:uid="{00000000-0004-0000-0200-00007A030000}"/>
    <hyperlink ref="E1220" r:id="rId892" xr:uid="{00000000-0004-0000-0200-00007B030000}"/>
    <hyperlink ref="F1220" r:id="rId893" xr:uid="{00000000-0004-0000-0200-00007C030000}"/>
    <hyperlink ref="E1221" r:id="rId894" xr:uid="{00000000-0004-0000-0200-00007D030000}"/>
    <hyperlink ref="F1221" r:id="rId895" xr:uid="{00000000-0004-0000-0200-00007E030000}"/>
    <hyperlink ref="E1222" r:id="rId896" xr:uid="{00000000-0004-0000-0200-00007F030000}"/>
    <hyperlink ref="F1222" r:id="rId897" xr:uid="{00000000-0004-0000-0200-000080030000}"/>
    <hyperlink ref="E1223" r:id="rId898" xr:uid="{00000000-0004-0000-0200-000081030000}"/>
    <hyperlink ref="F1223" r:id="rId899" xr:uid="{00000000-0004-0000-0200-000082030000}"/>
    <hyperlink ref="E1224" r:id="rId900" xr:uid="{00000000-0004-0000-0200-000083030000}"/>
    <hyperlink ref="F1224" r:id="rId901" xr:uid="{00000000-0004-0000-0200-000084030000}"/>
    <hyperlink ref="E1225" r:id="rId902" xr:uid="{00000000-0004-0000-0200-000085030000}"/>
    <hyperlink ref="F1225" r:id="rId903" xr:uid="{00000000-0004-0000-0200-000086030000}"/>
    <hyperlink ref="E1226" r:id="rId904" xr:uid="{00000000-0004-0000-0200-000087030000}"/>
    <hyperlink ref="F1226" r:id="rId905" xr:uid="{00000000-0004-0000-0200-000088030000}"/>
    <hyperlink ref="E1227" r:id="rId906" xr:uid="{00000000-0004-0000-0200-000089030000}"/>
    <hyperlink ref="F1227" r:id="rId907" xr:uid="{00000000-0004-0000-0200-00008A030000}"/>
    <hyperlink ref="E1228" r:id="rId908" xr:uid="{00000000-0004-0000-0200-00008B030000}"/>
    <hyperlink ref="F1228" r:id="rId909" xr:uid="{00000000-0004-0000-0200-00008C030000}"/>
    <hyperlink ref="E1229" r:id="rId910" xr:uid="{00000000-0004-0000-0200-00008D030000}"/>
    <hyperlink ref="F1229" r:id="rId911" xr:uid="{00000000-0004-0000-0200-00008E030000}"/>
    <hyperlink ref="E1230" r:id="rId912" xr:uid="{00000000-0004-0000-0200-00008F030000}"/>
    <hyperlink ref="F1230" r:id="rId913" xr:uid="{00000000-0004-0000-0200-000090030000}"/>
    <hyperlink ref="E1236" r:id="rId914" xr:uid="{00000000-0004-0000-0200-000091030000}"/>
    <hyperlink ref="F1236" r:id="rId915" xr:uid="{00000000-0004-0000-0200-000092030000}"/>
    <hyperlink ref="E1242" r:id="rId916" xr:uid="{00000000-0004-0000-0200-000093030000}"/>
    <hyperlink ref="F1242" r:id="rId917" xr:uid="{00000000-0004-0000-0200-000094030000}"/>
    <hyperlink ref="E1243" r:id="rId918" xr:uid="{00000000-0004-0000-0200-000095030000}"/>
    <hyperlink ref="F1243" r:id="rId919" xr:uid="{00000000-0004-0000-0200-000096030000}"/>
    <hyperlink ref="E1244" r:id="rId920" xr:uid="{00000000-0004-0000-0200-000097030000}"/>
    <hyperlink ref="E1247" r:id="rId921" xr:uid="{00000000-0004-0000-0200-000098030000}"/>
    <hyperlink ref="F1247" r:id="rId922" xr:uid="{00000000-0004-0000-0200-000099030000}"/>
    <hyperlink ref="E1249" r:id="rId923" xr:uid="{00000000-0004-0000-0200-00009A030000}"/>
    <hyperlink ref="E1257" r:id="rId924" xr:uid="{00000000-0004-0000-0200-00009B030000}"/>
    <hyperlink ref="F1257" r:id="rId925" xr:uid="{00000000-0004-0000-0200-00009C030000}"/>
    <hyperlink ref="E1260" r:id="rId926" xr:uid="{00000000-0004-0000-0200-00009D030000}"/>
    <hyperlink ref="E1261" r:id="rId927" xr:uid="{00000000-0004-0000-0200-00009E030000}"/>
    <hyperlink ref="F1261" r:id="rId928" xr:uid="{00000000-0004-0000-0200-00009F030000}"/>
    <hyperlink ref="E1271" r:id="rId929" xr:uid="{00000000-0004-0000-0200-0000A0030000}"/>
    <hyperlink ref="F1271" r:id="rId930" xr:uid="{00000000-0004-0000-0200-0000A1030000}"/>
    <hyperlink ref="E1272" r:id="rId931" xr:uid="{00000000-0004-0000-0200-0000A2030000}"/>
    <hyperlink ref="F1272" r:id="rId932" xr:uid="{00000000-0004-0000-0200-0000A3030000}"/>
    <hyperlink ref="E1276" r:id="rId933" xr:uid="{00000000-0004-0000-0200-0000A4030000}"/>
    <hyperlink ref="F1276" r:id="rId934" xr:uid="{00000000-0004-0000-0200-0000A5030000}"/>
    <hyperlink ref="E1277" r:id="rId935" xr:uid="{00000000-0004-0000-0200-0000A6030000}"/>
    <hyperlink ref="F1277" r:id="rId936" xr:uid="{00000000-0004-0000-0200-0000A7030000}"/>
    <hyperlink ref="E1278" r:id="rId937" xr:uid="{00000000-0004-0000-0200-0000A8030000}"/>
    <hyperlink ref="F1278" r:id="rId938" xr:uid="{00000000-0004-0000-0200-0000A9030000}"/>
    <hyperlink ref="E1280" r:id="rId939" xr:uid="{00000000-0004-0000-0200-0000AA030000}"/>
    <hyperlink ref="F1280" r:id="rId940" xr:uid="{00000000-0004-0000-0200-0000AB030000}"/>
    <hyperlink ref="E1281" r:id="rId941" xr:uid="{00000000-0004-0000-0200-0000AC030000}"/>
    <hyperlink ref="F1281" r:id="rId942" xr:uid="{00000000-0004-0000-0200-0000AD030000}"/>
    <hyperlink ref="E1282" r:id="rId943" xr:uid="{00000000-0004-0000-0200-0000AE030000}"/>
    <hyperlink ref="F1282" r:id="rId944" xr:uid="{00000000-0004-0000-0200-0000AF030000}"/>
    <hyperlink ref="E1283" r:id="rId945" xr:uid="{00000000-0004-0000-0200-0000B0030000}"/>
    <hyperlink ref="F1283" r:id="rId946" xr:uid="{00000000-0004-0000-0200-0000B1030000}"/>
    <hyperlink ref="E1284" r:id="rId947" xr:uid="{00000000-0004-0000-0200-0000B2030000}"/>
    <hyperlink ref="F1284" r:id="rId948" xr:uid="{00000000-0004-0000-0200-0000B3030000}"/>
    <hyperlink ref="E1285" r:id="rId949" xr:uid="{00000000-0004-0000-0200-0000B4030000}"/>
    <hyperlink ref="F1285" r:id="rId950" xr:uid="{00000000-0004-0000-0200-0000B5030000}"/>
    <hyperlink ref="E1288" r:id="rId951" xr:uid="{00000000-0004-0000-0200-0000B6030000}"/>
    <hyperlink ref="F1288" r:id="rId952" xr:uid="{00000000-0004-0000-0200-0000B7030000}"/>
    <hyperlink ref="E1292" r:id="rId953" xr:uid="{00000000-0004-0000-0200-0000B8030000}"/>
    <hyperlink ref="F1292" r:id="rId954" xr:uid="{00000000-0004-0000-0200-0000B9030000}"/>
    <hyperlink ref="E1297" r:id="rId955" xr:uid="{00000000-0004-0000-0200-0000BA030000}"/>
    <hyperlink ref="F1297" r:id="rId956" xr:uid="{00000000-0004-0000-0200-0000BB030000}"/>
    <hyperlink ref="E1298" r:id="rId957" xr:uid="{00000000-0004-0000-0200-0000BC030000}"/>
    <hyperlink ref="F1298" r:id="rId958" xr:uid="{00000000-0004-0000-0200-0000BD030000}"/>
    <hyperlink ref="E1303" r:id="rId959" xr:uid="{00000000-0004-0000-0200-0000BE030000}"/>
    <hyperlink ref="F1303" r:id="rId960" xr:uid="{00000000-0004-0000-0200-0000BF030000}"/>
    <hyperlink ref="E1304" r:id="rId961" xr:uid="{00000000-0004-0000-0200-0000C0030000}"/>
    <hyperlink ref="F1304" r:id="rId962" xr:uid="{00000000-0004-0000-0200-0000C1030000}"/>
    <hyperlink ref="E1305" r:id="rId963" xr:uid="{00000000-0004-0000-0200-0000C2030000}"/>
    <hyperlink ref="F1305" r:id="rId964" xr:uid="{00000000-0004-0000-0200-0000C3030000}"/>
    <hyperlink ref="E1306" r:id="rId965" xr:uid="{00000000-0004-0000-0200-0000C4030000}"/>
    <hyperlink ref="F1306" r:id="rId966" xr:uid="{00000000-0004-0000-0200-0000C5030000}"/>
    <hyperlink ref="E1311" r:id="rId967" xr:uid="{00000000-0004-0000-0200-0000C6030000}"/>
    <hyperlink ref="E1315" r:id="rId968" xr:uid="{00000000-0004-0000-0200-0000C7030000}"/>
    <hyperlink ref="E1316" r:id="rId969" xr:uid="{00000000-0004-0000-0200-0000C8030000}"/>
    <hyperlink ref="F1316" r:id="rId970" xr:uid="{00000000-0004-0000-0200-0000C9030000}"/>
    <hyperlink ref="E1319" r:id="rId971" xr:uid="{00000000-0004-0000-0200-0000CA030000}"/>
    <hyperlink ref="F1319" r:id="rId972" xr:uid="{00000000-0004-0000-0200-0000CB030000}"/>
    <hyperlink ref="E1323" r:id="rId973" xr:uid="{00000000-0004-0000-0200-0000CC030000}"/>
    <hyperlink ref="F1323" r:id="rId974" xr:uid="{00000000-0004-0000-0200-0000CD030000}"/>
    <hyperlink ref="E1324" r:id="rId975" xr:uid="{00000000-0004-0000-0200-0000CE030000}"/>
    <hyperlink ref="F1324" r:id="rId976" xr:uid="{00000000-0004-0000-0200-0000CF030000}"/>
    <hyperlink ref="E1325" r:id="rId977" xr:uid="{00000000-0004-0000-0200-0000D0030000}"/>
    <hyperlink ref="F1325" r:id="rId978" xr:uid="{00000000-0004-0000-0200-0000D1030000}"/>
    <hyperlink ref="E1326" r:id="rId979" xr:uid="{00000000-0004-0000-0200-0000D2030000}"/>
    <hyperlink ref="F1326" r:id="rId980" xr:uid="{00000000-0004-0000-0200-0000D3030000}"/>
    <hyperlink ref="E1330" r:id="rId981" xr:uid="{00000000-0004-0000-0200-0000D4030000}"/>
    <hyperlink ref="E1331" r:id="rId982" xr:uid="{00000000-0004-0000-0200-0000D5030000}"/>
    <hyperlink ref="F1331" r:id="rId983" xr:uid="{00000000-0004-0000-0200-0000D6030000}"/>
    <hyperlink ref="E1332" r:id="rId984" xr:uid="{00000000-0004-0000-0200-0000D7030000}"/>
    <hyperlink ref="F1332" r:id="rId985" xr:uid="{00000000-0004-0000-0200-0000D8030000}"/>
    <hyperlink ref="E1333" r:id="rId986" xr:uid="{00000000-0004-0000-0200-0000D9030000}"/>
    <hyperlink ref="F1333" r:id="rId987" xr:uid="{00000000-0004-0000-0200-0000DA030000}"/>
    <hyperlink ref="E1334" r:id="rId988" xr:uid="{00000000-0004-0000-0200-0000DB030000}"/>
    <hyperlink ref="F1334" r:id="rId989" xr:uid="{00000000-0004-0000-0200-0000DC030000}"/>
    <hyperlink ref="E1335" r:id="rId990" xr:uid="{00000000-0004-0000-0200-0000DD030000}"/>
    <hyperlink ref="F1335" r:id="rId991" xr:uid="{00000000-0004-0000-0200-0000DE030000}"/>
    <hyperlink ref="E1336" r:id="rId992" xr:uid="{00000000-0004-0000-0200-0000DF030000}"/>
    <hyperlink ref="F1336" r:id="rId993" xr:uid="{00000000-0004-0000-0200-0000E0030000}"/>
    <hyperlink ref="E1337" r:id="rId994" xr:uid="{00000000-0004-0000-0200-0000E1030000}"/>
    <hyperlink ref="F1337" r:id="rId995" xr:uid="{00000000-0004-0000-0200-0000E2030000}"/>
    <hyperlink ref="E1338" r:id="rId996" xr:uid="{00000000-0004-0000-0200-0000E3030000}"/>
    <hyperlink ref="F1338" r:id="rId997" xr:uid="{00000000-0004-0000-0200-0000E4030000}"/>
    <hyperlink ref="E1339" r:id="rId998" xr:uid="{00000000-0004-0000-0200-0000E5030000}"/>
    <hyperlink ref="F1339" r:id="rId999" xr:uid="{00000000-0004-0000-0200-0000E6030000}"/>
    <hyperlink ref="E1340" r:id="rId1000" xr:uid="{00000000-0004-0000-0200-0000E7030000}"/>
    <hyperlink ref="F1340" r:id="rId1001" xr:uid="{00000000-0004-0000-0200-0000E8030000}"/>
    <hyperlink ref="E1341" r:id="rId1002" xr:uid="{00000000-0004-0000-0200-0000E9030000}"/>
    <hyperlink ref="F1341" r:id="rId1003" xr:uid="{00000000-0004-0000-0200-0000EA030000}"/>
    <hyperlink ref="E1342" r:id="rId1004" xr:uid="{00000000-0004-0000-0200-0000EB030000}"/>
    <hyperlink ref="F1342" r:id="rId1005" xr:uid="{00000000-0004-0000-0200-0000EC030000}"/>
    <hyperlink ref="E1343" r:id="rId1006" xr:uid="{00000000-0004-0000-0200-0000ED030000}"/>
    <hyperlink ref="F1343" r:id="rId1007" xr:uid="{00000000-0004-0000-0200-0000EE030000}"/>
    <hyperlink ref="E1344" r:id="rId1008" xr:uid="{00000000-0004-0000-0200-0000EF030000}"/>
    <hyperlink ref="F1344" r:id="rId1009" xr:uid="{00000000-0004-0000-0200-0000F0030000}"/>
    <hyperlink ref="E1345" r:id="rId1010" xr:uid="{00000000-0004-0000-0200-0000F1030000}"/>
    <hyperlink ref="F1345" r:id="rId1011" xr:uid="{00000000-0004-0000-0200-0000F2030000}"/>
    <hyperlink ref="E1348" r:id="rId1012" xr:uid="{00000000-0004-0000-0200-0000F3030000}"/>
    <hyperlink ref="F1348" r:id="rId1013" xr:uid="{00000000-0004-0000-0200-0000F4030000}"/>
    <hyperlink ref="E1349" r:id="rId1014" xr:uid="{00000000-0004-0000-0200-0000F5030000}"/>
    <hyperlink ref="F1349" r:id="rId1015" xr:uid="{00000000-0004-0000-0200-0000F6030000}"/>
    <hyperlink ref="E1350" r:id="rId1016" xr:uid="{00000000-0004-0000-0200-0000F7030000}"/>
    <hyperlink ref="F1350" r:id="rId1017" xr:uid="{00000000-0004-0000-0200-0000F8030000}"/>
    <hyperlink ref="E1354" r:id="rId1018" xr:uid="{00000000-0004-0000-0200-0000F9030000}"/>
    <hyperlink ref="F1354" r:id="rId1019" xr:uid="{00000000-0004-0000-0200-0000FA030000}"/>
    <hyperlink ref="E1355" r:id="rId1020" xr:uid="{00000000-0004-0000-0200-0000FB030000}"/>
    <hyperlink ref="F1355" r:id="rId1021" xr:uid="{00000000-0004-0000-0200-0000FC030000}"/>
    <hyperlink ref="E1356" r:id="rId1022" xr:uid="{00000000-0004-0000-0200-0000FD030000}"/>
    <hyperlink ref="F1356" r:id="rId1023" xr:uid="{00000000-0004-0000-0200-0000FE030000}"/>
    <hyperlink ref="E1357" r:id="rId1024" xr:uid="{00000000-0004-0000-0200-0000FF030000}"/>
    <hyperlink ref="F1357" r:id="rId1025" xr:uid="{00000000-0004-0000-0200-000000040000}"/>
    <hyperlink ref="E1358" r:id="rId1026" xr:uid="{00000000-0004-0000-0200-000001040000}"/>
    <hyperlink ref="F1358" r:id="rId1027" xr:uid="{00000000-0004-0000-0200-000002040000}"/>
    <hyperlink ref="E1359" r:id="rId1028" xr:uid="{00000000-0004-0000-0200-000003040000}"/>
    <hyperlink ref="F1359" r:id="rId1029" xr:uid="{00000000-0004-0000-0200-000004040000}"/>
    <hyperlink ref="E1367" r:id="rId1030" xr:uid="{00000000-0004-0000-0200-000005040000}"/>
    <hyperlink ref="F1367" r:id="rId1031" xr:uid="{00000000-0004-0000-0200-000006040000}"/>
    <hyperlink ref="E1368" r:id="rId1032" xr:uid="{00000000-0004-0000-0200-000007040000}"/>
    <hyperlink ref="F1368" r:id="rId1033" xr:uid="{00000000-0004-0000-0200-000008040000}"/>
    <hyperlink ref="E1369" r:id="rId1034" xr:uid="{00000000-0004-0000-0200-000009040000}"/>
    <hyperlink ref="F1369" r:id="rId1035" xr:uid="{00000000-0004-0000-0200-00000A040000}"/>
    <hyperlink ref="E1370" r:id="rId1036" xr:uid="{00000000-0004-0000-0200-00000B040000}"/>
    <hyperlink ref="F1370" r:id="rId1037" xr:uid="{00000000-0004-0000-0200-00000C040000}"/>
    <hyperlink ref="E1371" r:id="rId1038" xr:uid="{00000000-0004-0000-0200-00000D040000}"/>
    <hyperlink ref="F1371" r:id="rId1039" xr:uid="{00000000-0004-0000-0200-00000E040000}"/>
    <hyperlink ref="E1372" r:id="rId1040" xr:uid="{00000000-0004-0000-0200-00000F040000}"/>
    <hyperlink ref="F1372" r:id="rId1041" xr:uid="{00000000-0004-0000-0200-000010040000}"/>
    <hyperlink ref="E1373" r:id="rId1042" xr:uid="{00000000-0004-0000-0200-000011040000}"/>
    <hyperlink ref="F1373" r:id="rId1043" xr:uid="{00000000-0004-0000-0200-000012040000}"/>
    <hyperlink ref="E1374" r:id="rId1044" xr:uid="{00000000-0004-0000-0200-000013040000}"/>
    <hyperlink ref="F1374" r:id="rId1045" xr:uid="{00000000-0004-0000-0200-000014040000}"/>
    <hyperlink ref="E1375" r:id="rId1046" xr:uid="{00000000-0004-0000-0200-000015040000}"/>
    <hyperlink ref="F1375" r:id="rId1047" xr:uid="{00000000-0004-0000-0200-000016040000}"/>
    <hyperlink ref="E1376" r:id="rId1048" xr:uid="{00000000-0004-0000-0200-000017040000}"/>
    <hyperlink ref="F1376" r:id="rId1049" xr:uid="{00000000-0004-0000-0200-000018040000}"/>
    <hyperlink ref="E1380" r:id="rId1050" xr:uid="{00000000-0004-0000-0200-000019040000}"/>
    <hyperlink ref="F1380" r:id="rId1051" xr:uid="{00000000-0004-0000-0200-00001A040000}"/>
    <hyperlink ref="E1381" r:id="rId1052" xr:uid="{00000000-0004-0000-0200-00001B040000}"/>
    <hyperlink ref="F1381" r:id="rId1053" xr:uid="{00000000-0004-0000-0200-00001C040000}"/>
    <hyperlink ref="E1382" r:id="rId1054" xr:uid="{00000000-0004-0000-0200-00001D040000}"/>
    <hyperlink ref="F1382" r:id="rId1055" xr:uid="{00000000-0004-0000-0200-00001E040000}"/>
    <hyperlink ref="E1383" r:id="rId1056" xr:uid="{00000000-0004-0000-0200-00001F040000}"/>
    <hyperlink ref="F1383" r:id="rId1057" xr:uid="{00000000-0004-0000-0200-000020040000}"/>
    <hyperlink ref="E1384" r:id="rId1058" xr:uid="{00000000-0004-0000-0200-000021040000}"/>
    <hyperlink ref="F1384" r:id="rId1059" xr:uid="{00000000-0004-0000-0200-000022040000}"/>
    <hyperlink ref="E1385" r:id="rId1060" xr:uid="{00000000-0004-0000-0200-000023040000}"/>
    <hyperlink ref="F1385" r:id="rId1061" xr:uid="{00000000-0004-0000-0200-000024040000}"/>
    <hyperlink ref="E1386" r:id="rId1062" xr:uid="{00000000-0004-0000-0200-000025040000}"/>
    <hyperlink ref="F1386" r:id="rId1063" xr:uid="{00000000-0004-0000-0200-000026040000}"/>
    <hyperlink ref="E1387" r:id="rId1064" xr:uid="{00000000-0004-0000-0200-000027040000}"/>
    <hyperlink ref="F1387" r:id="rId1065" xr:uid="{00000000-0004-0000-0200-000028040000}"/>
    <hyperlink ref="E1388" r:id="rId1066" xr:uid="{00000000-0004-0000-0200-000029040000}"/>
    <hyperlink ref="F1388" r:id="rId1067" xr:uid="{00000000-0004-0000-0200-00002A040000}"/>
    <hyperlink ref="E1389" r:id="rId1068" xr:uid="{00000000-0004-0000-0200-00002B040000}"/>
    <hyperlink ref="F1389" r:id="rId1069" xr:uid="{00000000-0004-0000-0200-00002C040000}"/>
    <hyperlink ref="E1390" r:id="rId1070" xr:uid="{00000000-0004-0000-0200-00002D040000}"/>
    <hyperlink ref="F1390" r:id="rId1071" xr:uid="{00000000-0004-0000-0200-00002E040000}"/>
    <hyperlink ref="E1393" r:id="rId1072" xr:uid="{00000000-0004-0000-0200-00002F040000}"/>
    <hyperlink ref="F1393" r:id="rId1073" xr:uid="{00000000-0004-0000-0200-000030040000}"/>
    <hyperlink ref="E1394" r:id="rId1074" xr:uid="{00000000-0004-0000-0200-000031040000}"/>
    <hyperlink ref="F1394" r:id="rId1075" xr:uid="{00000000-0004-0000-0200-000032040000}"/>
    <hyperlink ref="E1395" r:id="rId1076" xr:uid="{00000000-0004-0000-0200-000033040000}"/>
    <hyperlink ref="F1395" r:id="rId1077" xr:uid="{00000000-0004-0000-0200-000034040000}"/>
    <hyperlink ref="E1396" r:id="rId1078" xr:uid="{00000000-0004-0000-0200-000035040000}"/>
    <hyperlink ref="F1396" r:id="rId1079" xr:uid="{00000000-0004-0000-0200-000036040000}"/>
    <hyperlink ref="E1397" r:id="rId1080" xr:uid="{00000000-0004-0000-0200-000037040000}"/>
    <hyperlink ref="F1397" r:id="rId1081" xr:uid="{00000000-0004-0000-0200-000038040000}"/>
    <hyperlink ref="E1398" r:id="rId1082" xr:uid="{00000000-0004-0000-0200-000039040000}"/>
    <hyperlink ref="F1398" r:id="rId1083" xr:uid="{00000000-0004-0000-0200-00003A040000}"/>
    <hyperlink ref="E1404" r:id="rId1084" xr:uid="{00000000-0004-0000-0200-00003B040000}"/>
    <hyperlink ref="E1410" r:id="rId1085" xr:uid="{00000000-0004-0000-0200-00003C040000}"/>
    <hyperlink ref="E1411" r:id="rId1086" xr:uid="{00000000-0004-0000-0200-00003D040000}"/>
    <hyperlink ref="F1411" r:id="rId1087" xr:uid="{00000000-0004-0000-0200-00003E040000}"/>
    <hyperlink ref="E1412" r:id="rId1088" xr:uid="{00000000-0004-0000-0200-00003F040000}"/>
    <hyperlink ref="F1412" r:id="rId1089" xr:uid="{00000000-0004-0000-0200-000040040000}"/>
    <hyperlink ref="E1416" r:id="rId1090" xr:uid="{00000000-0004-0000-0200-000041040000}"/>
    <hyperlink ref="E1417" r:id="rId1091" xr:uid="{00000000-0004-0000-0200-000042040000}"/>
    <hyperlink ref="F1417" r:id="rId1092" xr:uid="{00000000-0004-0000-0200-000043040000}"/>
    <hyperlink ref="E1418" r:id="rId1093" xr:uid="{00000000-0004-0000-0200-000044040000}"/>
    <hyperlink ref="F1418" r:id="rId1094" xr:uid="{00000000-0004-0000-0200-000045040000}"/>
    <hyperlink ref="E1419" r:id="rId1095" xr:uid="{00000000-0004-0000-0200-000046040000}"/>
    <hyperlink ref="F1419" r:id="rId1096" xr:uid="{00000000-0004-0000-0200-000047040000}"/>
    <hyperlink ref="E1420" r:id="rId1097" xr:uid="{00000000-0004-0000-0200-000048040000}"/>
    <hyperlink ref="F1420" r:id="rId1098" xr:uid="{00000000-0004-0000-0200-000049040000}"/>
    <hyperlink ref="E1421" r:id="rId1099" xr:uid="{00000000-0004-0000-0200-00004A040000}"/>
    <hyperlink ref="F1421" r:id="rId1100" xr:uid="{00000000-0004-0000-0200-00004B040000}"/>
    <hyperlink ref="E1422" r:id="rId1101" xr:uid="{00000000-0004-0000-0200-00004C040000}"/>
    <hyperlink ref="F1422" r:id="rId1102" xr:uid="{00000000-0004-0000-0200-00004D040000}"/>
    <hyperlink ref="E1423" r:id="rId1103" xr:uid="{00000000-0004-0000-0200-00004E040000}"/>
    <hyperlink ref="F1423" r:id="rId1104" xr:uid="{00000000-0004-0000-0200-00004F040000}"/>
    <hyperlink ref="E1424" r:id="rId1105" xr:uid="{00000000-0004-0000-0200-000050040000}"/>
    <hyperlink ref="F1424" r:id="rId1106" xr:uid="{00000000-0004-0000-0200-000051040000}"/>
    <hyperlink ref="E1425" r:id="rId1107" xr:uid="{00000000-0004-0000-0200-000052040000}"/>
    <hyperlink ref="F1425" r:id="rId1108" xr:uid="{00000000-0004-0000-0200-000053040000}"/>
    <hyperlink ref="E1436" r:id="rId1109" xr:uid="{00000000-0004-0000-0200-000054040000}"/>
    <hyperlink ref="F1436" r:id="rId1110" xr:uid="{00000000-0004-0000-0200-000055040000}"/>
    <hyperlink ref="E1448" r:id="rId1111" xr:uid="{00000000-0004-0000-0200-000056040000}"/>
    <hyperlink ref="E1449" r:id="rId1112" xr:uid="{00000000-0004-0000-0200-000057040000}"/>
    <hyperlink ref="F1449" r:id="rId1113" xr:uid="{00000000-0004-0000-0200-000058040000}"/>
    <hyperlink ref="E1450" r:id="rId1114" xr:uid="{00000000-0004-0000-0200-000059040000}"/>
    <hyperlink ref="F1450" r:id="rId1115" xr:uid="{00000000-0004-0000-0200-00005A040000}"/>
    <hyperlink ref="E1451" r:id="rId1116" xr:uid="{00000000-0004-0000-0200-00005B040000}"/>
    <hyperlink ref="F1451" r:id="rId1117" xr:uid="{00000000-0004-0000-0200-00005C040000}"/>
    <hyperlink ref="E1452" r:id="rId1118" xr:uid="{00000000-0004-0000-0200-00005D040000}"/>
    <hyperlink ref="F1452" r:id="rId1119" xr:uid="{00000000-0004-0000-0200-00005E040000}"/>
    <hyperlink ref="E1453" r:id="rId1120" xr:uid="{00000000-0004-0000-0200-00005F040000}"/>
    <hyperlink ref="F1453" r:id="rId1121" xr:uid="{00000000-0004-0000-0200-000060040000}"/>
    <hyperlink ref="E1454" r:id="rId1122" xr:uid="{00000000-0004-0000-0200-000061040000}"/>
    <hyperlink ref="F1454" r:id="rId1123" xr:uid="{00000000-0004-0000-0200-000062040000}"/>
    <hyperlink ref="E1455" r:id="rId1124" xr:uid="{00000000-0004-0000-0200-000063040000}"/>
    <hyperlink ref="F1455" r:id="rId1125" xr:uid="{00000000-0004-0000-0200-000064040000}"/>
    <hyperlink ref="E1456" r:id="rId1126" xr:uid="{00000000-0004-0000-0200-000065040000}"/>
    <hyperlink ref="F1456" r:id="rId1127" xr:uid="{00000000-0004-0000-0200-000066040000}"/>
    <hyperlink ref="E1457" r:id="rId1128" xr:uid="{00000000-0004-0000-0200-000067040000}"/>
    <hyperlink ref="F1457" r:id="rId1129" xr:uid="{00000000-0004-0000-0200-000068040000}"/>
    <hyperlink ref="E1458" r:id="rId1130" xr:uid="{00000000-0004-0000-0200-000069040000}"/>
    <hyperlink ref="F1458" r:id="rId1131" xr:uid="{00000000-0004-0000-0200-00006A040000}"/>
    <hyperlink ref="E1459" r:id="rId1132" xr:uid="{00000000-0004-0000-0200-00006B040000}"/>
    <hyperlink ref="F1459" r:id="rId1133" xr:uid="{00000000-0004-0000-0200-00006C040000}"/>
    <hyperlink ref="E1460" r:id="rId1134" xr:uid="{00000000-0004-0000-0200-00006D040000}"/>
    <hyperlink ref="F1460" r:id="rId1135" xr:uid="{00000000-0004-0000-0200-00006E040000}"/>
    <hyperlink ref="E1461" r:id="rId1136" xr:uid="{00000000-0004-0000-0200-00006F040000}"/>
    <hyperlink ref="F1461" r:id="rId1137" xr:uid="{00000000-0004-0000-0200-000070040000}"/>
    <hyperlink ref="E1463" r:id="rId1138" xr:uid="{00000000-0004-0000-0200-000071040000}"/>
    <hyperlink ref="F1463" r:id="rId1139" xr:uid="{00000000-0004-0000-0200-000072040000}"/>
    <hyperlink ref="E1464" r:id="rId1140" xr:uid="{00000000-0004-0000-0200-000073040000}"/>
    <hyperlink ref="F1464" r:id="rId1141" xr:uid="{00000000-0004-0000-0200-000074040000}"/>
    <hyperlink ref="E1465" r:id="rId1142" xr:uid="{00000000-0004-0000-0200-000075040000}"/>
    <hyperlink ref="F1465" r:id="rId1143" xr:uid="{00000000-0004-0000-0200-000076040000}"/>
    <hyperlink ref="E1466" r:id="rId1144" xr:uid="{00000000-0004-0000-0200-000077040000}"/>
    <hyperlink ref="F1466" r:id="rId1145" xr:uid="{00000000-0004-0000-0200-000078040000}"/>
    <hyperlink ref="E1468" r:id="rId1146" xr:uid="{00000000-0004-0000-0200-000079040000}"/>
    <hyperlink ref="E1473" r:id="rId1147" xr:uid="{00000000-0004-0000-0200-00007A040000}"/>
    <hyperlink ref="F1473" r:id="rId1148" xr:uid="{00000000-0004-0000-0200-00007B040000}"/>
    <hyperlink ref="E1474" r:id="rId1149" xr:uid="{00000000-0004-0000-0200-00007C040000}"/>
    <hyperlink ref="F1474" r:id="rId1150" xr:uid="{00000000-0004-0000-0200-00007D040000}"/>
    <hyperlink ref="E1475" r:id="rId1151" xr:uid="{00000000-0004-0000-0200-00007E040000}"/>
    <hyperlink ref="F1475" r:id="rId1152" xr:uid="{00000000-0004-0000-0200-00007F040000}"/>
    <hyperlink ref="E1480" r:id="rId1153" xr:uid="{00000000-0004-0000-0200-000080040000}"/>
    <hyperlink ref="F1480" r:id="rId1154" xr:uid="{00000000-0004-0000-0200-000081040000}"/>
    <hyperlink ref="E1487" r:id="rId1155" xr:uid="{00000000-0004-0000-0200-000082040000}"/>
    <hyperlink ref="F1487" r:id="rId1156" xr:uid="{00000000-0004-0000-0200-000083040000}"/>
    <hyperlink ref="E1499" r:id="rId1157" xr:uid="{00000000-0004-0000-0200-000084040000}"/>
    <hyperlink ref="F1499" r:id="rId1158" xr:uid="{00000000-0004-0000-0200-000085040000}"/>
    <hyperlink ref="E1502" r:id="rId1159" xr:uid="{00000000-0004-0000-0200-000086040000}"/>
    <hyperlink ref="F1502" r:id="rId1160" xr:uid="{00000000-0004-0000-0200-000087040000}"/>
    <hyperlink ref="E1503" r:id="rId1161" xr:uid="{00000000-0004-0000-0200-000088040000}"/>
    <hyperlink ref="F1503" r:id="rId1162" xr:uid="{00000000-0004-0000-0200-000089040000}"/>
    <hyperlink ref="E1504" r:id="rId1163" xr:uid="{00000000-0004-0000-0200-00008A040000}"/>
    <hyperlink ref="F1504" r:id="rId1164" xr:uid="{00000000-0004-0000-0200-00008B040000}"/>
    <hyperlink ref="E1505" r:id="rId1165" xr:uid="{00000000-0004-0000-0200-00008C040000}"/>
    <hyperlink ref="F1505" r:id="rId1166" xr:uid="{00000000-0004-0000-0200-00008D040000}"/>
    <hyperlink ref="E1511" r:id="rId1167" xr:uid="{00000000-0004-0000-0200-00008E040000}"/>
    <hyperlink ref="F1511" r:id="rId1168" xr:uid="{00000000-0004-0000-0200-00008F040000}"/>
    <hyperlink ref="E1512" r:id="rId1169" xr:uid="{00000000-0004-0000-0200-000090040000}"/>
    <hyperlink ref="F1512" r:id="rId1170" xr:uid="{00000000-0004-0000-0200-000091040000}"/>
    <hyperlink ref="E1513" r:id="rId1171" xr:uid="{00000000-0004-0000-0200-000092040000}"/>
    <hyperlink ref="F1513" r:id="rId1172" xr:uid="{00000000-0004-0000-0200-000093040000}"/>
    <hyperlink ref="E1514" r:id="rId1173" xr:uid="{00000000-0004-0000-0200-000094040000}"/>
    <hyperlink ref="F1514" r:id="rId1174" xr:uid="{00000000-0004-0000-0200-000095040000}"/>
    <hyperlink ref="E1515" r:id="rId1175" xr:uid="{00000000-0004-0000-0200-000096040000}"/>
    <hyperlink ref="F1515" r:id="rId1176" xr:uid="{00000000-0004-0000-0200-000097040000}"/>
    <hyperlink ref="E1516" r:id="rId1177" xr:uid="{00000000-0004-0000-0200-000098040000}"/>
    <hyperlink ref="F1516" r:id="rId1178" xr:uid="{00000000-0004-0000-0200-000099040000}"/>
    <hyperlink ref="E1518" r:id="rId1179" xr:uid="{00000000-0004-0000-0200-00009A040000}"/>
    <hyperlink ref="F1518" r:id="rId1180" xr:uid="{00000000-0004-0000-0200-00009B040000}"/>
    <hyperlink ref="E1527" r:id="rId1181" xr:uid="{00000000-0004-0000-0200-00009C040000}"/>
    <hyperlink ref="F1527" r:id="rId1182" xr:uid="{00000000-0004-0000-0200-00009D040000}"/>
    <hyperlink ref="E1528" r:id="rId1183" xr:uid="{00000000-0004-0000-0200-00009E040000}"/>
    <hyperlink ref="F1528" r:id="rId1184" xr:uid="{00000000-0004-0000-0200-00009F040000}"/>
    <hyperlink ref="E1532" r:id="rId1185" xr:uid="{00000000-0004-0000-0200-0000A0040000}"/>
    <hyperlink ref="E1535" r:id="rId1186" xr:uid="{00000000-0004-0000-0200-0000A1040000}"/>
    <hyperlink ref="F1535" r:id="rId1187" xr:uid="{00000000-0004-0000-0200-0000A2040000}"/>
    <hyperlink ref="E1536" r:id="rId1188" xr:uid="{00000000-0004-0000-0200-0000A3040000}"/>
    <hyperlink ref="F1536" r:id="rId1189" xr:uid="{00000000-0004-0000-0200-0000A4040000}"/>
    <hyperlink ref="E1537" r:id="rId1190" xr:uid="{00000000-0004-0000-0200-0000A5040000}"/>
    <hyperlink ref="F1537" r:id="rId1191" xr:uid="{00000000-0004-0000-0200-0000A6040000}"/>
    <hyperlink ref="E1538" r:id="rId1192" xr:uid="{00000000-0004-0000-0200-0000A7040000}"/>
    <hyperlink ref="F1538" r:id="rId1193" xr:uid="{00000000-0004-0000-0200-0000A8040000}"/>
    <hyperlink ref="E1539" r:id="rId1194" xr:uid="{00000000-0004-0000-0200-0000A9040000}"/>
    <hyperlink ref="F1539" r:id="rId1195" xr:uid="{00000000-0004-0000-0200-0000AA040000}"/>
    <hyperlink ref="E1540" r:id="rId1196" xr:uid="{00000000-0004-0000-0200-0000AB040000}"/>
    <hyperlink ref="F1540" r:id="rId1197" xr:uid="{00000000-0004-0000-0200-0000AC040000}"/>
    <hyperlink ref="E1542" r:id="rId1198" xr:uid="{00000000-0004-0000-0200-0000AD040000}"/>
    <hyperlink ref="F1542" r:id="rId1199" xr:uid="{00000000-0004-0000-0200-0000AE040000}"/>
    <hyperlink ref="E1543" r:id="rId1200" xr:uid="{00000000-0004-0000-0200-0000AF040000}"/>
    <hyperlink ref="F1543" r:id="rId1201" xr:uid="{00000000-0004-0000-0200-0000B0040000}"/>
    <hyperlink ref="E1544" r:id="rId1202" xr:uid="{00000000-0004-0000-0200-0000B1040000}"/>
    <hyperlink ref="F1544" r:id="rId1203" xr:uid="{00000000-0004-0000-0200-0000B2040000}"/>
    <hyperlink ref="E1545" r:id="rId1204" xr:uid="{00000000-0004-0000-0200-0000B3040000}"/>
    <hyperlink ref="F1545" r:id="rId1205" xr:uid="{00000000-0004-0000-0200-0000B4040000}"/>
    <hyperlink ref="E1546" r:id="rId1206" xr:uid="{00000000-0004-0000-0200-0000B5040000}"/>
    <hyperlink ref="F1546" r:id="rId1207" xr:uid="{00000000-0004-0000-0200-0000B6040000}"/>
    <hyperlink ref="E1547" r:id="rId1208" xr:uid="{00000000-0004-0000-0200-0000B7040000}"/>
    <hyperlink ref="F1547" r:id="rId1209" xr:uid="{00000000-0004-0000-0200-0000B8040000}"/>
    <hyperlink ref="E1552" r:id="rId1210" xr:uid="{00000000-0004-0000-0200-0000B9040000}"/>
    <hyperlink ref="F1552" r:id="rId1211" xr:uid="{00000000-0004-0000-0200-0000BA040000}"/>
    <hyperlink ref="E1553" r:id="rId1212" xr:uid="{00000000-0004-0000-0200-0000BB040000}"/>
    <hyperlink ref="F1553" r:id="rId1213" xr:uid="{00000000-0004-0000-0200-0000BC040000}"/>
    <hyperlink ref="E1554" r:id="rId1214" xr:uid="{00000000-0004-0000-0200-0000BD040000}"/>
    <hyperlink ref="F1554" r:id="rId1215" xr:uid="{00000000-0004-0000-0200-0000BE040000}"/>
    <hyperlink ref="E1555" r:id="rId1216" xr:uid="{00000000-0004-0000-0200-0000BF040000}"/>
    <hyperlink ref="F1555" r:id="rId1217" xr:uid="{00000000-0004-0000-0200-0000C0040000}"/>
    <hyperlink ref="E1558" r:id="rId1218" xr:uid="{00000000-0004-0000-0200-0000C1040000}"/>
    <hyperlink ref="E1563" r:id="rId1219" xr:uid="{00000000-0004-0000-0200-0000C2040000}"/>
    <hyperlink ref="F1563" r:id="rId1220" xr:uid="{00000000-0004-0000-0200-0000C3040000}"/>
    <hyperlink ref="E1569" r:id="rId1221" xr:uid="{00000000-0004-0000-0200-0000C4040000}"/>
    <hyperlink ref="F1569" r:id="rId1222" xr:uid="{00000000-0004-0000-0200-0000C5040000}"/>
    <hyperlink ref="E1570" r:id="rId1223" xr:uid="{00000000-0004-0000-0200-0000C6040000}"/>
    <hyperlink ref="F1570" r:id="rId1224" xr:uid="{00000000-0004-0000-0200-0000C7040000}"/>
    <hyperlink ref="E1571" r:id="rId1225" xr:uid="{00000000-0004-0000-0200-0000C8040000}"/>
    <hyperlink ref="F1571" r:id="rId1226" xr:uid="{00000000-0004-0000-0200-0000C9040000}"/>
    <hyperlink ref="E1572" r:id="rId1227" xr:uid="{00000000-0004-0000-0200-0000CA040000}"/>
    <hyperlink ref="F1572" r:id="rId1228" xr:uid="{00000000-0004-0000-0200-0000CB040000}"/>
    <hyperlink ref="E1574" r:id="rId1229" xr:uid="{00000000-0004-0000-0200-0000CC040000}"/>
    <hyperlink ref="E1579" r:id="rId1230" xr:uid="{00000000-0004-0000-0200-0000CD040000}"/>
    <hyperlink ref="F1579" r:id="rId1231" xr:uid="{00000000-0004-0000-0200-0000CE040000}"/>
    <hyperlink ref="E1580" r:id="rId1232" xr:uid="{00000000-0004-0000-0200-0000CF040000}"/>
    <hyperlink ref="F1580" r:id="rId1233" xr:uid="{00000000-0004-0000-0200-0000D0040000}"/>
    <hyperlink ref="E1581" r:id="rId1234" xr:uid="{00000000-0004-0000-0200-0000D1040000}"/>
    <hyperlink ref="F1581" r:id="rId1235" xr:uid="{00000000-0004-0000-0200-0000D2040000}"/>
    <hyperlink ref="E1582" r:id="rId1236" xr:uid="{00000000-0004-0000-0200-0000D3040000}"/>
    <hyperlink ref="F1582" r:id="rId1237" xr:uid="{00000000-0004-0000-0200-0000D4040000}"/>
    <hyperlink ref="E1583" r:id="rId1238" xr:uid="{00000000-0004-0000-0200-0000D5040000}"/>
    <hyperlink ref="F1583" r:id="rId1239" xr:uid="{00000000-0004-0000-0200-0000D6040000}"/>
    <hyperlink ref="E1587" r:id="rId1240" xr:uid="{00000000-0004-0000-0200-0000D7040000}"/>
    <hyperlink ref="F1587" r:id="rId1241" xr:uid="{00000000-0004-0000-0200-0000D8040000}"/>
    <hyperlink ref="E1588" r:id="rId1242" xr:uid="{00000000-0004-0000-0200-0000D9040000}"/>
    <hyperlink ref="F1588" r:id="rId1243" xr:uid="{00000000-0004-0000-0200-0000DA040000}"/>
    <hyperlink ref="E1589" r:id="rId1244" xr:uid="{00000000-0004-0000-0200-0000DB040000}"/>
    <hyperlink ref="F1589" r:id="rId1245" xr:uid="{00000000-0004-0000-0200-0000DC040000}"/>
    <hyperlink ref="E1591" r:id="rId1246" xr:uid="{00000000-0004-0000-0200-0000DD040000}"/>
    <hyperlink ref="F1591" r:id="rId1247" xr:uid="{00000000-0004-0000-0200-0000DE040000}"/>
    <hyperlink ref="E1592" r:id="rId1248" xr:uid="{00000000-0004-0000-0200-0000DF040000}"/>
    <hyperlink ref="F1592" r:id="rId1249" xr:uid="{00000000-0004-0000-0200-0000E0040000}"/>
    <hyperlink ref="E1596" r:id="rId1250" xr:uid="{00000000-0004-0000-0200-0000E1040000}"/>
    <hyperlink ref="E1597" r:id="rId1251" xr:uid="{00000000-0004-0000-0200-0000E2040000}"/>
    <hyperlink ref="E1599" r:id="rId1252" xr:uid="{00000000-0004-0000-0200-0000E3040000}"/>
    <hyperlink ref="E1600" r:id="rId1253" xr:uid="{00000000-0004-0000-0200-0000E4040000}"/>
    <hyperlink ref="F1600" r:id="rId1254" xr:uid="{00000000-0004-0000-0200-0000E5040000}"/>
    <hyperlink ref="E1601" r:id="rId1255" xr:uid="{00000000-0004-0000-0200-0000E6040000}"/>
    <hyperlink ref="F1601" r:id="rId1256" xr:uid="{00000000-0004-0000-0200-0000E7040000}"/>
    <hyperlink ref="E1602" r:id="rId1257" xr:uid="{00000000-0004-0000-0200-0000E8040000}"/>
    <hyperlink ref="F1602" r:id="rId1258" xr:uid="{00000000-0004-0000-0200-0000E9040000}"/>
    <hyperlink ref="E1603" r:id="rId1259" xr:uid="{00000000-0004-0000-0200-0000EA040000}"/>
    <hyperlink ref="F1603" r:id="rId1260" xr:uid="{00000000-0004-0000-0200-0000EB040000}"/>
    <hyperlink ref="E1608" r:id="rId1261" xr:uid="{00000000-0004-0000-0200-0000EC040000}"/>
    <hyperlink ref="E1610" r:id="rId1262" xr:uid="{00000000-0004-0000-0200-0000ED040000}"/>
    <hyperlink ref="F1610" r:id="rId1263" xr:uid="{00000000-0004-0000-0200-0000EE040000}"/>
    <hyperlink ref="E1611" r:id="rId1264" xr:uid="{00000000-0004-0000-0200-0000EF040000}"/>
    <hyperlink ref="F1611" r:id="rId1265" xr:uid="{00000000-0004-0000-0200-0000F0040000}"/>
    <hyperlink ref="E1613" r:id="rId1266" xr:uid="{00000000-0004-0000-0200-0000F1040000}"/>
    <hyperlink ref="F1613" r:id="rId1267" xr:uid="{00000000-0004-0000-0200-0000F2040000}"/>
    <hyperlink ref="E1614" r:id="rId1268" xr:uid="{00000000-0004-0000-0200-0000F3040000}"/>
    <hyperlink ref="F1614" r:id="rId1269" xr:uid="{00000000-0004-0000-0200-0000F4040000}"/>
    <hyperlink ref="E1615" r:id="rId1270" xr:uid="{00000000-0004-0000-0200-0000F5040000}"/>
    <hyperlink ref="F1615" r:id="rId1271" xr:uid="{00000000-0004-0000-0200-0000F6040000}"/>
    <hyperlink ref="E1616" r:id="rId1272" xr:uid="{00000000-0004-0000-0200-0000F7040000}"/>
    <hyperlink ref="F1616" r:id="rId1273" xr:uid="{00000000-0004-0000-0200-0000F8040000}"/>
    <hyperlink ref="E1618" r:id="rId1274" xr:uid="{00000000-0004-0000-0200-0000F9040000}"/>
    <hyperlink ref="E1619" r:id="rId1275" xr:uid="{00000000-0004-0000-0200-0000FA040000}"/>
    <hyperlink ref="F1619" r:id="rId1276" xr:uid="{00000000-0004-0000-0200-0000FB040000}"/>
    <hyperlink ref="E1620" r:id="rId1277" xr:uid="{00000000-0004-0000-0200-0000FC040000}"/>
    <hyperlink ref="F1620" r:id="rId1278" xr:uid="{00000000-0004-0000-0200-0000FD040000}"/>
    <hyperlink ref="E1621" r:id="rId1279" xr:uid="{00000000-0004-0000-0200-0000FE040000}"/>
    <hyperlink ref="F1621" r:id="rId1280" xr:uid="{00000000-0004-0000-0200-0000FF040000}"/>
    <hyperlink ref="E1622" r:id="rId1281" xr:uid="{00000000-0004-0000-0200-000000050000}"/>
    <hyperlink ref="F1622" r:id="rId1282" xr:uid="{00000000-0004-0000-0200-000001050000}"/>
    <hyperlink ref="E1624" r:id="rId1283" xr:uid="{00000000-0004-0000-0200-000002050000}"/>
    <hyperlink ref="E1626" r:id="rId1284" xr:uid="{00000000-0004-0000-0200-000003050000}"/>
    <hyperlink ref="F1626" r:id="rId1285" xr:uid="{00000000-0004-0000-0200-000004050000}"/>
    <hyperlink ref="E1628" r:id="rId1286" xr:uid="{00000000-0004-0000-0200-000005050000}"/>
    <hyperlink ref="F1628" r:id="rId1287" xr:uid="{00000000-0004-0000-0200-000006050000}"/>
    <hyperlink ref="E1632" r:id="rId1288" xr:uid="{00000000-0004-0000-0200-000007050000}"/>
    <hyperlink ref="F1632" r:id="rId1289" xr:uid="{00000000-0004-0000-0200-000008050000}"/>
    <hyperlink ref="E1635" r:id="rId1290" xr:uid="{00000000-0004-0000-0200-000009050000}"/>
    <hyperlink ref="F1635" r:id="rId1291" xr:uid="{00000000-0004-0000-0200-00000A050000}"/>
    <hyperlink ref="E1636" r:id="rId1292" xr:uid="{00000000-0004-0000-0200-00000B050000}"/>
    <hyperlink ref="F1636" r:id="rId1293" xr:uid="{00000000-0004-0000-0200-00000C050000}"/>
    <hyperlink ref="E1637" r:id="rId1294" xr:uid="{00000000-0004-0000-0200-00000D050000}"/>
    <hyperlink ref="F1637" r:id="rId1295" xr:uid="{00000000-0004-0000-0200-00000E050000}"/>
    <hyperlink ref="E1639" r:id="rId1296" xr:uid="{00000000-0004-0000-0200-00000F050000}"/>
    <hyperlink ref="E1642" r:id="rId1297" xr:uid="{00000000-0004-0000-0200-000010050000}"/>
    <hyperlink ref="F1642" r:id="rId1298" xr:uid="{00000000-0004-0000-0200-000011050000}"/>
    <hyperlink ref="E1643" r:id="rId1299" xr:uid="{00000000-0004-0000-0200-000012050000}"/>
    <hyperlink ref="F1643" r:id="rId1300" xr:uid="{00000000-0004-0000-0200-000013050000}"/>
    <hyperlink ref="E1644" r:id="rId1301" xr:uid="{00000000-0004-0000-0200-000014050000}"/>
    <hyperlink ref="F1644" r:id="rId1302" xr:uid="{00000000-0004-0000-0200-000015050000}"/>
    <hyperlink ref="E1648" r:id="rId1303" xr:uid="{00000000-0004-0000-0200-000016050000}"/>
    <hyperlink ref="F1648" r:id="rId1304" xr:uid="{00000000-0004-0000-0200-000017050000}"/>
    <hyperlink ref="E1649" r:id="rId1305" xr:uid="{00000000-0004-0000-0200-000018050000}"/>
    <hyperlink ref="F1649" r:id="rId1306" xr:uid="{00000000-0004-0000-0200-000019050000}"/>
    <hyperlink ref="E1650" r:id="rId1307" xr:uid="{00000000-0004-0000-0200-00001A050000}"/>
    <hyperlink ref="F1650" r:id="rId1308" xr:uid="{00000000-0004-0000-0200-00001B050000}"/>
    <hyperlink ref="E1651" r:id="rId1309" xr:uid="{00000000-0004-0000-0200-00001C050000}"/>
    <hyperlink ref="F1651" r:id="rId1310" xr:uid="{00000000-0004-0000-0200-00001D050000}"/>
    <hyperlink ref="E1659" r:id="rId1311" xr:uid="{00000000-0004-0000-0200-00001E050000}"/>
    <hyperlink ref="F1659" r:id="rId1312" xr:uid="{00000000-0004-0000-0200-00001F050000}"/>
    <hyperlink ref="E1661" r:id="rId1313" xr:uid="{00000000-0004-0000-0200-000020050000}"/>
    <hyperlink ref="F1661" r:id="rId1314" xr:uid="{00000000-0004-0000-0200-000021050000}"/>
    <hyperlink ref="E1662" r:id="rId1315" xr:uid="{00000000-0004-0000-0200-000022050000}"/>
    <hyperlink ref="F1662" r:id="rId1316" xr:uid="{00000000-0004-0000-0200-000023050000}"/>
    <hyperlink ref="E1681" r:id="rId1317" xr:uid="{00000000-0004-0000-0200-000024050000}"/>
    <hyperlink ref="F1681" r:id="rId1318" xr:uid="{00000000-0004-0000-0200-000025050000}"/>
    <hyperlink ref="E1682" r:id="rId1319" xr:uid="{00000000-0004-0000-0200-000026050000}"/>
    <hyperlink ref="F1682" r:id="rId1320" xr:uid="{00000000-0004-0000-0200-000027050000}"/>
    <hyperlink ref="E1683" r:id="rId1321" xr:uid="{00000000-0004-0000-0200-000028050000}"/>
    <hyperlink ref="F1683" r:id="rId1322" xr:uid="{00000000-0004-0000-0200-000029050000}"/>
    <hyperlink ref="E1686" r:id="rId1323" xr:uid="{00000000-0004-0000-0200-00002A050000}"/>
    <hyperlink ref="F1686" r:id="rId1324" xr:uid="{00000000-0004-0000-0200-00002B050000}"/>
    <hyperlink ref="E1687" r:id="rId1325" xr:uid="{00000000-0004-0000-0200-00002C050000}"/>
    <hyperlink ref="F1687" r:id="rId1326" xr:uid="{00000000-0004-0000-0200-00002D050000}"/>
    <hyperlink ref="E1688" r:id="rId1327" xr:uid="{00000000-0004-0000-0200-00002E050000}"/>
    <hyperlink ref="F1688" r:id="rId1328" xr:uid="{00000000-0004-0000-0200-00002F050000}"/>
    <hyperlink ref="E1691" r:id="rId1329" xr:uid="{00000000-0004-0000-0200-000030050000}"/>
    <hyperlink ref="F1691" r:id="rId1330" xr:uid="{00000000-0004-0000-0200-000031050000}"/>
    <hyperlink ref="E1693" r:id="rId1331" xr:uid="{00000000-0004-0000-0200-000032050000}"/>
    <hyperlink ref="F1693" r:id="rId1332" xr:uid="{00000000-0004-0000-0200-000033050000}"/>
    <hyperlink ref="E1695" r:id="rId1333" xr:uid="{00000000-0004-0000-0200-000034050000}"/>
    <hyperlink ref="F1695" r:id="rId1334" xr:uid="{00000000-0004-0000-0200-000035050000}"/>
    <hyperlink ref="E1696" r:id="rId1335" xr:uid="{00000000-0004-0000-0200-000036050000}"/>
    <hyperlink ref="F1696" r:id="rId1336" xr:uid="{00000000-0004-0000-0200-000037050000}"/>
    <hyperlink ref="E1697" r:id="rId1337" xr:uid="{00000000-0004-0000-0200-000038050000}"/>
    <hyperlink ref="F1697" r:id="rId1338" xr:uid="{00000000-0004-0000-0200-000039050000}"/>
    <hyperlink ref="E1698" r:id="rId1339" xr:uid="{00000000-0004-0000-0200-00003A050000}"/>
    <hyperlink ref="F1698" r:id="rId1340" xr:uid="{00000000-0004-0000-0200-00003B050000}"/>
    <hyperlink ref="E1721" r:id="rId1341" xr:uid="{00000000-0004-0000-0200-00003C050000}"/>
    <hyperlink ref="F1721" r:id="rId1342" xr:uid="{00000000-0004-0000-0200-00003D050000}"/>
    <hyperlink ref="E1722" r:id="rId1343" xr:uid="{00000000-0004-0000-0200-00003E050000}"/>
    <hyperlink ref="F1722" r:id="rId1344" xr:uid="{00000000-0004-0000-0200-00003F050000}"/>
    <hyperlink ref="E1726" r:id="rId1345" xr:uid="{00000000-0004-0000-0200-000040050000}"/>
    <hyperlink ref="F1726" r:id="rId1346" xr:uid="{00000000-0004-0000-0200-000041050000}"/>
    <hyperlink ref="E1727" r:id="rId1347" xr:uid="{00000000-0004-0000-0200-000042050000}"/>
    <hyperlink ref="F1727" r:id="rId1348" xr:uid="{00000000-0004-0000-0200-000043050000}"/>
    <hyperlink ref="E1728" r:id="rId1349" xr:uid="{00000000-0004-0000-0200-000044050000}"/>
    <hyperlink ref="F1728" r:id="rId1350" xr:uid="{00000000-0004-0000-0200-000045050000}"/>
    <hyperlink ref="E1729" r:id="rId1351" xr:uid="{00000000-0004-0000-0200-000046050000}"/>
    <hyperlink ref="F1729" r:id="rId1352" xr:uid="{00000000-0004-0000-0200-000047050000}"/>
    <hyperlink ref="E1730" r:id="rId1353" xr:uid="{00000000-0004-0000-0200-000048050000}"/>
    <hyperlink ref="F1730" r:id="rId1354" xr:uid="{00000000-0004-0000-0200-000049050000}"/>
    <hyperlink ref="E1731" r:id="rId1355" xr:uid="{00000000-0004-0000-0200-00004A050000}"/>
    <hyperlink ref="F1731" r:id="rId1356" xr:uid="{00000000-0004-0000-0200-00004B050000}"/>
    <hyperlink ref="E1732" r:id="rId1357" xr:uid="{00000000-0004-0000-0200-00004C050000}"/>
    <hyperlink ref="F1732" r:id="rId1358" xr:uid="{00000000-0004-0000-0200-00004D050000}"/>
    <hyperlink ref="E1734" r:id="rId1359" xr:uid="{00000000-0004-0000-0200-00004E050000}"/>
    <hyperlink ref="F1734" r:id="rId1360" xr:uid="{00000000-0004-0000-0200-00004F050000}"/>
    <hyperlink ref="E1740" r:id="rId1361" xr:uid="{00000000-0004-0000-0200-000050050000}"/>
    <hyperlink ref="F1740" r:id="rId1362" xr:uid="{00000000-0004-0000-0200-000051050000}"/>
    <hyperlink ref="E1741" r:id="rId1363" xr:uid="{00000000-0004-0000-0200-000052050000}"/>
    <hyperlink ref="F1741" r:id="rId1364" xr:uid="{00000000-0004-0000-0200-000053050000}"/>
    <hyperlink ref="E1742" r:id="rId1365" xr:uid="{00000000-0004-0000-0200-000054050000}"/>
    <hyperlink ref="F1742" r:id="rId1366" xr:uid="{00000000-0004-0000-0200-000055050000}"/>
    <hyperlink ref="E1743" r:id="rId1367" xr:uid="{00000000-0004-0000-0200-000056050000}"/>
    <hyperlink ref="F1743" r:id="rId1368" xr:uid="{00000000-0004-0000-0200-000057050000}"/>
    <hyperlink ref="E1744" r:id="rId1369" xr:uid="{00000000-0004-0000-0200-000058050000}"/>
    <hyperlink ref="F1744" r:id="rId1370" xr:uid="{00000000-0004-0000-0200-000059050000}"/>
    <hyperlink ref="E1745" r:id="rId1371" xr:uid="{00000000-0004-0000-0200-00005A050000}"/>
    <hyperlink ref="F1745" r:id="rId1372" xr:uid="{00000000-0004-0000-0200-00005B050000}"/>
    <hyperlink ref="E1746" r:id="rId1373" xr:uid="{00000000-0004-0000-0200-00005C050000}"/>
    <hyperlink ref="E1747" r:id="rId1374" xr:uid="{00000000-0004-0000-0200-00005D050000}"/>
    <hyperlink ref="F1747" r:id="rId1375" xr:uid="{00000000-0004-0000-0200-00005E050000}"/>
    <hyperlink ref="E1748" r:id="rId1376" xr:uid="{00000000-0004-0000-0200-00005F050000}"/>
    <hyperlink ref="F1748" r:id="rId1377" xr:uid="{00000000-0004-0000-0200-000060050000}"/>
    <hyperlink ref="E1749" r:id="rId1378" xr:uid="{00000000-0004-0000-0200-000061050000}"/>
    <hyperlink ref="F1749" r:id="rId1379" xr:uid="{00000000-0004-0000-0200-000062050000}"/>
    <hyperlink ref="E1750" r:id="rId1380" xr:uid="{00000000-0004-0000-0200-000063050000}"/>
    <hyperlink ref="F1750" r:id="rId1381" xr:uid="{00000000-0004-0000-0200-000064050000}"/>
    <hyperlink ref="E1751" r:id="rId1382" xr:uid="{00000000-0004-0000-0200-000065050000}"/>
    <hyperlink ref="F1751" r:id="rId1383" xr:uid="{00000000-0004-0000-0200-000066050000}"/>
    <hyperlink ref="E1752" r:id="rId1384" xr:uid="{00000000-0004-0000-0200-000067050000}"/>
    <hyperlink ref="F1752" r:id="rId1385" xr:uid="{00000000-0004-0000-0200-000068050000}"/>
    <hyperlink ref="E1753" r:id="rId1386" xr:uid="{00000000-0004-0000-0200-000069050000}"/>
    <hyperlink ref="F1753" r:id="rId1387" xr:uid="{00000000-0004-0000-0200-00006A050000}"/>
    <hyperlink ref="E1754" r:id="rId1388" xr:uid="{00000000-0004-0000-0200-00006B050000}"/>
    <hyperlink ref="F1754" r:id="rId1389" xr:uid="{00000000-0004-0000-0200-00006C050000}"/>
    <hyperlink ref="E1772" r:id="rId1390" xr:uid="{00000000-0004-0000-0200-00006D050000}"/>
    <hyperlink ref="F1772" r:id="rId1391" xr:uid="{00000000-0004-0000-0200-00006E050000}"/>
    <hyperlink ref="E1775" r:id="rId1392" xr:uid="{00000000-0004-0000-0200-00006F050000}"/>
    <hyperlink ref="F1775" r:id="rId1393" xr:uid="{00000000-0004-0000-0200-000070050000}"/>
    <hyperlink ref="E1776" r:id="rId1394" xr:uid="{00000000-0004-0000-0200-000071050000}"/>
    <hyperlink ref="F1776" r:id="rId1395" xr:uid="{00000000-0004-0000-0200-000072050000}"/>
    <hyperlink ref="E1777" r:id="rId1396" xr:uid="{00000000-0004-0000-0200-000073050000}"/>
    <hyperlink ref="F1777" r:id="rId1397" xr:uid="{00000000-0004-0000-0200-000074050000}"/>
    <hyperlink ref="E1779" r:id="rId1398" xr:uid="{00000000-0004-0000-0200-000075050000}"/>
    <hyperlink ref="F1779" r:id="rId1399" xr:uid="{00000000-0004-0000-0200-000076050000}"/>
    <hyperlink ref="E1780" r:id="rId1400" xr:uid="{00000000-0004-0000-0200-000077050000}"/>
    <hyperlink ref="F1780" r:id="rId1401" xr:uid="{00000000-0004-0000-0200-000078050000}"/>
    <hyperlink ref="E1781" r:id="rId1402" xr:uid="{00000000-0004-0000-0200-000079050000}"/>
    <hyperlink ref="F1781" r:id="rId1403" xr:uid="{00000000-0004-0000-0200-00007A050000}"/>
    <hyperlink ref="E1782" r:id="rId1404" xr:uid="{00000000-0004-0000-0200-00007B050000}"/>
    <hyperlink ref="F1782" r:id="rId1405" xr:uid="{00000000-0004-0000-0200-00007C050000}"/>
    <hyperlink ref="E1785" r:id="rId1406" xr:uid="{00000000-0004-0000-0200-00007D050000}"/>
    <hyperlink ref="F1785" r:id="rId1407" xr:uid="{00000000-0004-0000-0200-00007E050000}"/>
    <hyperlink ref="E1797" r:id="rId1408" xr:uid="{00000000-0004-0000-0200-00007F050000}"/>
    <hyperlink ref="F1797" r:id="rId1409" xr:uid="{00000000-0004-0000-0200-000080050000}"/>
    <hyperlink ref="E1798" r:id="rId1410" xr:uid="{00000000-0004-0000-0200-000081050000}"/>
    <hyperlink ref="F1798" r:id="rId1411" xr:uid="{00000000-0004-0000-0200-000082050000}"/>
    <hyperlink ref="E1799" r:id="rId1412" xr:uid="{00000000-0004-0000-0200-000083050000}"/>
    <hyperlink ref="F1799" r:id="rId1413" xr:uid="{00000000-0004-0000-0200-000084050000}"/>
    <hyperlink ref="E1800" r:id="rId1414" xr:uid="{00000000-0004-0000-0200-000085050000}"/>
    <hyperlink ref="F1800" r:id="rId1415" xr:uid="{00000000-0004-0000-0200-000086050000}"/>
    <hyperlink ref="E1801" r:id="rId1416" xr:uid="{00000000-0004-0000-0200-000087050000}"/>
    <hyperlink ref="F1801" r:id="rId1417" xr:uid="{00000000-0004-0000-0200-000088050000}"/>
    <hyperlink ref="E1802" r:id="rId1418" xr:uid="{00000000-0004-0000-0200-000089050000}"/>
    <hyperlink ref="F1802" r:id="rId1419" xr:uid="{00000000-0004-0000-0200-00008A050000}"/>
    <hyperlink ref="E1803" r:id="rId1420" xr:uid="{00000000-0004-0000-0200-00008B050000}"/>
    <hyperlink ref="F1803" r:id="rId1421" xr:uid="{00000000-0004-0000-0200-00008C050000}"/>
    <hyperlink ref="E1804" r:id="rId1422" xr:uid="{00000000-0004-0000-0200-00008D050000}"/>
    <hyperlink ref="F1804" r:id="rId1423" xr:uid="{00000000-0004-0000-0200-00008E050000}"/>
    <hyperlink ref="E1805" r:id="rId1424" xr:uid="{00000000-0004-0000-0200-00008F050000}"/>
    <hyperlink ref="F1805" r:id="rId1425" xr:uid="{00000000-0004-0000-0200-000090050000}"/>
    <hyperlink ref="E1806" r:id="rId1426" xr:uid="{00000000-0004-0000-0200-000091050000}"/>
    <hyperlink ref="F1806" r:id="rId1427" xr:uid="{00000000-0004-0000-0200-000092050000}"/>
    <hyperlink ref="E1807" r:id="rId1428" xr:uid="{00000000-0004-0000-0200-000093050000}"/>
    <hyperlink ref="F1807" r:id="rId1429" xr:uid="{00000000-0004-0000-0200-000094050000}"/>
    <hyperlink ref="E1811" r:id="rId1430" xr:uid="{00000000-0004-0000-0200-000095050000}"/>
    <hyperlink ref="E1812" r:id="rId1431" xr:uid="{00000000-0004-0000-0200-000096050000}"/>
    <hyperlink ref="E1814" r:id="rId1432" xr:uid="{00000000-0004-0000-0200-000097050000}"/>
    <hyperlink ref="F1814" r:id="rId1433" xr:uid="{00000000-0004-0000-0200-000098050000}"/>
    <hyperlink ref="E1815" r:id="rId1434" xr:uid="{00000000-0004-0000-0200-000099050000}"/>
    <hyperlink ref="F1815" r:id="rId1435" xr:uid="{00000000-0004-0000-0200-00009A050000}"/>
    <hyperlink ref="E1820" r:id="rId1436" xr:uid="{00000000-0004-0000-0200-00009B050000}"/>
    <hyperlink ref="F1820" r:id="rId1437" xr:uid="{00000000-0004-0000-0200-00009C050000}"/>
    <hyperlink ref="E1821" r:id="rId1438" xr:uid="{00000000-0004-0000-0200-00009D050000}"/>
    <hyperlink ref="F1821" r:id="rId1439" xr:uid="{00000000-0004-0000-0200-00009E050000}"/>
    <hyperlink ref="E1823" r:id="rId1440" xr:uid="{00000000-0004-0000-0200-00009F050000}"/>
    <hyperlink ref="F1823" r:id="rId1441" xr:uid="{00000000-0004-0000-0200-0000A0050000}"/>
    <hyperlink ref="E1824" r:id="rId1442" xr:uid="{00000000-0004-0000-0200-0000A1050000}"/>
    <hyperlink ref="F1824" r:id="rId1443" xr:uid="{00000000-0004-0000-0200-0000A2050000}"/>
    <hyperlink ref="E1826" r:id="rId1444" xr:uid="{00000000-0004-0000-0200-0000A3050000}"/>
    <hyperlink ref="F1826" r:id="rId1445" xr:uid="{00000000-0004-0000-0200-0000A4050000}"/>
    <hyperlink ref="E1827" r:id="rId1446" xr:uid="{00000000-0004-0000-0200-0000A5050000}"/>
    <hyperlink ref="F1827" r:id="rId1447" xr:uid="{00000000-0004-0000-0200-0000A6050000}"/>
    <hyperlink ref="E1830" r:id="rId1448" xr:uid="{00000000-0004-0000-0200-0000A7050000}"/>
    <hyperlink ref="F1830" r:id="rId1449" xr:uid="{00000000-0004-0000-0200-0000A8050000}"/>
    <hyperlink ref="E1831" r:id="rId1450" xr:uid="{00000000-0004-0000-0200-0000A9050000}"/>
    <hyperlink ref="F1831" r:id="rId1451" xr:uid="{00000000-0004-0000-0200-0000AA050000}"/>
    <hyperlink ref="E1848" r:id="rId1452" xr:uid="{00000000-0004-0000-0200-0000AB050000}"/>
    <hyperlink ref="E1849" r:id="rId1453" xr:uid="{00000000-0004-0000-0200-0000AC050000}"/>
    <hyperlink ref="E1852" r:id="rId1454" xr:uid="{00000000-0004-0000-0200-0000AD050000}"/>
    <hyperlink ref="F1852" r:id="rId1455" xr:uid="{00000000-0004-0000-0200-0000AE050000}"/>
    <hyperlink ref="E1853" r:id="rId1456" xr:uid="{00000000-0004-0000-0200-0000AF050000}"/>
    <hyperlink ref="F1853" r:id="rId1457" xr:uid="{00000000-0004-0000-0200-0000B0050000}"/>
    <hyperlink ref="E1854" r:id="rId1458" xr:uid="{00000000-0004-0000-0200-0000B1050000}"/>
    <hyperlink ref="F1854" r:id="rId1459" xr:uid="{00000000-0004-0000-0200-0000B2050000}"/>
    <hyperlink ref="E1855" r:id="rId1460" xr:uid="{00000000-0004-0000-0200-0000B3050000}"/>
    <hyperlink ref="F1855" r:id="rId1461" xr:uid="{00000000-0004-0000-0200-0000B4050000}"/>
    <hyperlink ref="E1856" r:id="rId1462" xr:uid="{00000000-0004-0000-0200-0000B5050000}"/>
    <hyperlink ref="F1856" r:id="rId1463" xr:uid="{00000000-0004-0000-0200-0000B6050000}"/>
    <hyperlink ref="E1857" r:id="rId1464" xr:uid="{00000000-0004-0000-0200-0000B7050000}"/>
    <hyperlink ref="F1857" r:id="rId1465" xr:uid="{00000000-0004-0000-0200-0000B8050000}"/>
    <hyperlink ref="E1858" r:id="rId1466" xr:uid="{00000000-0004-0000-0200-0000B9050000}"/>
    <hyperlink ref="F1858" r:id="rId1467" xr:uid="{00000000-0004-0000-0200-0000BA050000}"/>
    <hyperlink ref="E1859" r:id="rId1468" xr:uid="{00000000-0004-0000-0200-0000BB050000}"/>
    <hyperlink ref="F1859" r:id="rId1469" xr:uid="{00000000-0004-0000-0200-0000BC050000}"/>
    <hyperlink ref="E1860" r:id="rId1470" xr:uid="{00000000-0004-0000-0200-0000BD050000}"/>
    <hyperlink ref="F1860" r:id="rId1471" xr:uid="{00000000-0004-0000-0200-0000BE050000}"/>
    <hyperlink ref="E1861" r:id="rId1472" xr:uid="{00000000-0004-0000-0200-0000BF050000}"/>
    <hyperlink ref="F1861" r:id="rId1473" xr:uid="{00000000-0004-0000-0200-0000C0050000}"/>
    <hyperlink ref="E1863" r:id="rId1474" xr:uid="{00000000-0004-0000-0200-0000C1050000}"/>
    <hyperlink ref="F1863" r:id="rId1475" xr:uid="{00000000-0004-0000-0200-0000C2050000}"/>
    <hyperlink ref="E1868" r:id="rId1476" xr:uid="{00000000-0004-0000-0200-0000C3050000}"/>
    <hyperlink ref="E1872" r:id="rId1477" xr:uid="{00000000-0004-0000-0200-0000C4050000}"/>
    <hyperlink ref="E1874" r:id="rId1478" xr:uid="{00000000-0004-0000-0200-0000C5050000}"/>
    <hyperlink ref="F1874" r:id="rId1479" xr:uid="{00000000-0004-0000-0200-0000C6050000}"/>
    <hyperlink ref="E1875" r:id="rId1480" xr:uid="{00000000-0004-0000-0200-0000C7050000}"/>
    <hyperlink ref="F1875" r:id="rId1481" xr:uid="{00000000-0004-0000-0200-0000C8050000}"/>
    <hyperlink ref="E1876" r:id="rId1482" xr:uid="{00000000-0004-0000-0200-0000C9050000}"/>
    <hyperlink ref="F1876" r:id="rId1483" xr:uid="{00000000-0004-0000-0200-0000CA050000}"/>
    <hyperlink ref="E1890" r:id="rId1484" xr:uid="{00000000-0004-0000-0200-0000CB050000}"/>
    <hyperlink ref="F1890" r:id="rId1485" xr:uid="{00000000-0004-0000-0200-0000CC050000}"/>
    <hyperlink ref="E1891" r:id="rId1486" xr:uid="{00000000-0004-0000-0200-0000CD050000}"/>
    <hyperlink ref="F1891" r:id="rId1487" xr:uid="{00000000-0004-0000-0200-0000CE050000}"/>
    <hyperlink ref="E1892" r:id="rId1488" xr:uid="{00000000-0004-0000-0200-0000CF050000}"/>
    <hyperlink ref="F1892" r:id="rId1489" xr:uid="{00000000-0004-0000-0200-0000D0050000}"/>
    <hyperlink ref="E1893" r:id="rId1490" xr:uid="{00000000-0004-0000-0200-0000D1050000}"/>
    <hyperlink ref="F1893" r:id="rId1491" xr:uid="{00000000-0004-0000-0200-0000D2050000}"/>
    <hyperlink ref="E1894" r:id="rId1492" xr:uid="{00000000-0004-0000-0200-0000D3050000}"/>
    <hyperlink ref="F1894" r:id="rId1493" xr:uid="{00000000-0004-0000-0200-0000D4050000}"/>
    <hyperlink ref="E1895" r:id="rId1494" xr:uid="{00000000-0004-0000-0200-0000D5050000}"/>
    <hyperlink ref="F1895" r:id="rId1495" xr:uid="{00000000-0004-0000-0200-0000D6050000}"/>
    <hyperlink ref="E1896" r:id="rId1496" xr:uid="{00000000-0004-0000-0200-0000D7050000}"/>
    <hyperlink ref="F1896" r:id="rId1497" xr:uid="{00000000-0004-0000-0200-0000D8050000}"/>
    <hyperlink ref="E1899" r:id="rId1498" xr:uid="{00000000-0004-0000-0200-0000D9050000}"/>
    <hyperlink ref="F1899" r:id="rId1499" xr:uid="{00000000-0004-0000-0200-0000DA050000}"/>
    <hyperlink ref="E1900" r:id="rId1500" xr:uid="{00000000-0004-0000-0200-0000DB050000}"/>
    <hyperlink ref="F1900" r:id="rId1501" xr:uid="{00000000-0004-0000-0200-0000DC050000}"/>
    <hyperlink ref="E1901" r:id="rId1502" xr:uid="{00000000-0004-0000-0200-0000DD050000}"/>
    <hyperlink ref="F1901" r:id="rId1503" xr:uid="{00000000-0004-0000-0200-0000DE050000}"/>
    <hyperlink ref="E1903" r:id="rId1504" xr:uid="{00000000-0004-0000-0200-0000DF050000}"/>
    <hyperlink ref="F1903" r:id="rId1505" xr:uid="{00000000-0004-0000-0200-0000E0050000}"/>
    <hyperlink ref="E1904" r:id="rId1506" xr:uid="{00000000-0004-0000-0200-0000E1050000}"/>
    <hyperlink ref="F1904" r:id="rId1507" xr:uid="{00000000-0004-0000-0200-0000E2050000}"/>
    <hyperlink ref="E1909" r:id="rId1508" xr:uid="{00000000-0004-0000-0200-0000E3050000}"/>
    <hyperlink ref="F1909" r:id="rId1509" xr:uid="{00000000-0004-0000-0200-0000E4050000}"/>
    <hyperlink ref="E1910" r:id="rId1510" xr:uid="{00000000-0004-0000-0200-0000E5050000}"/>
    <hyperlink ref="F1910" r:id="rId1511" xr:uid="{00000000-0004-0000-0200-0000E6050000}"/>
    <hyperlink ref="E1911" r:id="rId1512" xr:uid="{00000000-0004-0000-0200-0000E7050000}"/>
    <hyperlink ref="E1912" r:id="rId1513" xr:uid="{00000000-0004-0000-0200-0000E8050000}"/>
    <hyperlink ref="F1912" r:id="rId1514" xr:uid="{00000000-0004-0000-0200-0000E9050000}"/>
    <hyperlink ref="E1913" r:id="rId1515" xr:uid="{00000000-0004-0000-0200-0000EA050000}"/>
    <hyperlink ref="F1913" r:id="rId1516" xr:uid="{00000000-0004-0000-0200-0000EB050000}"/>
    <hyperlink ref="E1915" r:id="rId1517" xr:uid="{00000000-0004-0000-0200-0000EC050000}"/>
    <hyperlink ref="E1920" r:id="rId1518" xr:uid="{00000000-0004-0000-0200-0000ED050000}"/>
    <hyperlink ref="F1920" r:id="rId1519" xr:uid="{00000000-0004-0000-0200-0000EE050000}"/>
    <hyperlink ref="E1921" r:id="rId1520" xr:uid="{00000000-0004-0000-0200-0000EF050000}"/>
    <hyperlink ref="F1921" r:id="rId1521" xr:uid="{00000000-0004-0000-0200-0000F0050000}"/>
    <hyperlink ref="E1922" r:id="rId1522" xr:uid="{00000000-0004-0000-0200-0000F1050000}"/>
    <hyperlink ref="F1922" r:id="rId1523" xr:uid="{00000000-0004-0000-0200-0000F2050000}"/>
    <hyperlink ref="E1923" r:id="rId1524" xr:uid="{00000000-0004-0000-0200-0000F3050000}"/>
    <hyperlink ref="F1923" r:id="rId1525" xr:uid="{00000000-0004-0000-0200-0000F4050000}"/>
    <hyperlink ref="E1924" r:id="rId1526" xr:uid="{00000000-0004-0000-0200-0000F5050000}"/>
    <hyperlink ref="F1924" r:id="rId1527" xr:uid="{00000000-0004-0000-0200-0000F6050000}"/>
    <hyperlink ref="E1925" r:id="rId1528" xr:uid="{00000000-0004-0000-0200-0000F7050000}"/>
    <hyperlink ref="F1925" r:id="rId1529" xr:uid="{00000000-0004-0000-0200-0000F8050000}"/>
    <hyperlink ref="E1927" r:id="rId1530" xr:uid="{00000000-0004-0000-0200-0000F9050000}"/>
    <hyperlink ref="F1927" r:id="rId1531" xr:uid="{00000000-0004-0000-0200-0000FA050000}"/>
    <hyperlink ref="E1928" r:id="rId1532" xr:uid="{00000000-0004-0000-0200-0000FB050000}"/>
    <hyperlink ref="F1928" r:id="rId1533" xr:uid="{00000000-0004-0000-0200-0000FC050000}"/>
    <hyperlink ref="E1929" r:id="rId1534" xr:uid="{00000000-0004-0000-0200-0000FD050000}"/>
    <hyperlink ref="F1929" r:id="rId1535" xr:uid="{00000000-0004-0000-0200-0000FE050000}"/>
    <hyperlink ref="E1968" r:id="rId1536" xr:uid="{00000000-0004-0000-0200-0000FF050000}"/>
    <hyperlink ref="F1968" r:id="rId1537" xr:uid="{00000000-0004-0000-0200-000000060000}"/>
    <hyperlink ref="E1971" r:id="rId1538" xr:uid="{00000000-0004-0000-0200-000001060000}"/>
    <hyperlink ref="F1971" r:id="rId1539" xr:uid="{00000000-0004-0000-0200-000002060000}"/>
    <hyperlink ref="E1978" r:id="rId1540" xr:uid="{00000000-0004-0000-0200-000003060000}"/>
    <hyperlink ref="F1978" r:id="rId1541" xr:uid="{00000000-0004-0000-0200-000004060000}"/>
    <hyperlink ref="E1979" r:id="rId1542" xr:uid="{00000000-0004-0000-0200-000005060000}"/>
    <hyperlink ref="F1979" r:id="rId1543" xr:uid="{00000000-0004-0000-0200-000006060000}"/>
    <hyperlink ref="E1981" r:id="rId1544" xr:uid="{00000000-0004-0000-0200-000007060000}"/>
    <hyperlink ref="F1981" r:id="rId1545" xr:uid="{00000000-0004-0000-0200-000008060000}"/>
    <hyperlink ref="E1983" r:id="rId1546" xr:uid="{00000000-0004-0000-0200-000009060000}"/>
    <hyperlink ref="F1983" r:id="rId1547" xr:uid="{00000000-0004-0000-0200-00000A060000}"/>
    <hyperlink ref="E1984" r:id="rId1548" xr:uid="{00000000-0004-0000-0200-00000B060000}"/>
    <hyperlink ref="F1984" r:id="rId1549" xr:uid="{00000000-0004-0000-0200-00000C060000}"/>
    <hyperlink ref="E1985" r:id="rId1550" xr:uid="{00000000-0004-0000-0200-00000D060000}"/>
    <hyperlink ref="F1985" r:id="rId1551" xr:uid="{00000000-0004-0000-0200-00000E060000}"/>
    <hyperlink ref="E1988" r:id="rId1552" xr:uid="{00000000-0004-0000-0200-00000F060000}"/>
    <hyperlink ref="F1988" r:id="rId1553" xr:uid="{00000000-0004-0000-0200-000010060000}"/>
    <hyperlink ref="E1989" r:id="rId1554" xr:uid="{00000000-0004-0000-0200-000011060000}"/>
    <hyperlink ref="F1989" r:id="rId1555" xr:uid="{00000000-0004-0000-0200-000012060000}"/>
    <hyperlink ref="E1993" r:id="rId1556" xr:uid="{00000000-0004-0000-0200-000013060000}"/>
    <hyperlink ref="F1993" r:id="rId1557" xr:uid="{00000000-0004-0000-0200-000014060000}"/>
    <hyperlink ref="E1994" r:id="rId1558" xr:uid="{00000000-0004-0000-0200-000015060000}"/>
    <hyperlink ref="F1994" r:id="rId1559" xr:uid="{00000000-0004-0000-0200-000016060000}"/>
    <hyperlink ref="E1995" r:id="rId1560" xr:uid="{00000000-0004-0000-0200-000017060000}"/>
    <hyperlink ref="F1995" r:id="rId1561" xr:uid="{00000000-0004-0000-0200-000018060000}"/>
    <hyperlink ref="E1996" r:id="rId1562" xr:uid="{00000000-0004-0000-0200-000019060000}"/>
    <hyperlink ref="F1996" r:id="rId1563" xr:uid="{00000000-0004-0000-0200-00001A060000}"/>
    <hyperlink ref="E1997" r:id="rId1564" xr:uid="{00000000-0004-0000-0200-00001B060000}"/>
    <hyperlink ref="F1997" r:id="rId1565" xr:uid="{00000000-0004-0000-0200-00001C060000}"/>
    <hyperlink ref="E1998" r:id="rId1566" xr:uid="{00000000-0004-0000-0200-00001D060000}"/>
    <hyperlink ref="F1998" r:id="rId1567" xr:uid="{00000000-0004-0000-0200-00001E060000}"/>
    <hyperlink ref="E1999" r:id="rId1568" xr:uid="{00000000-0004-0000-0200-00001F060000}"/>
    <hyperlink ref="E2002" r:id="rId1569" xr:uid="{00000000-0004-0000-0200-000020060000}"/>
    <hyperlink ref="E2005" r:id="rId1570" xr:uid="{00000000-0004-0000-0200-000021060000}"/>
    <hyperlink ref="E2018" r:id="rId1571" xr:uid="{00000000-0004-0000-0200-000022060000}"/>
    <hyperlink ref="F2018" r:id="rId1572" xr:uid="{00000000-0004-0000-0200-000023060000}"/>
    <hyperlink ref="E2020" r:id="rId1573" xr:uid="{00000000-0004-0000-0200-000024060000}"/>
    <hyperlink ref="E2023" r:id="rId1574" xr:uid="{00000000-0004-0000-0200-000025060000}"/>
    <hyperlink ref="E2025" r:id="rId1575" xr:uid="{00000000-0004-0000-0200-000026060000}"/>
    <hyperlink ref="F2025" r:id="rId1576" xr:uid="{00000000-0004-0000-0200-000027060000}"/>
    <hyperlink ref="E2026" r:id="rId1577" xr:uid="{00000000-0004-0000-0200-000028060000}"/>
    <hyperlink ref="F2026" r:id="rId1578" xr:uid="{00000000-0004-0000-0200-000029060000}"/>
    <hyperlink ref="E2027" r:id="rId1579" xr:uid="{00000000-0004-0000-0200-00002A060000}"/>
    <hyperlink ref="F2027" r:id="rId1580" xr:uid="{00000000-0004-0000-0200-00002B060000}"/>
    <hyperlink ref="E2029" r:id="rId1581" xr:uid="{00000000-0004-0000-0200-00002C060000}"/>
    <hyperlink ref="F2029" r:id="rId1582" xr:uid="{00000000-0004-0000-0200-00002D060000}"/>
    <hyperlink ref="E2030" r:id="rId1583" xr:uid="{00000000-0004-0000-0200-00002E060000}"/>
    <hyperlink ref="F2030" r:id="rId1584" xr:uid="{00000000-0004-0000-0200-00002F060000}"/>
    <hyperlink ref="E2033" r:id="rId1585" xr:uid="{00000000-0004-0000-0200-000030060000}"/>
    <hyperlink ref="F2033" r:id="rId1586" xr:uid="{00000000-0004-0000-0200-000031060000}"/>
    <hyperlink ref="E2037" r:id="rId1587" xr:uid="{00000000-0004-0000-0200-000032060000}"/>
    <hyperlink ref="F2037" r:id="rId1588" xr:uid="{00000000-0004-0000-0200-000033060000}"/>
    <hyperlink ref="E2038" r:id="rId1589" xr:uid="{00000000-0004-0000-0200-000034060000}"/>
    <hyperlink ref="F2038" r:id="rId1590" xr:uid="{00000000-0004-0000-0200-000035060000}"/>
    <hyperlink ref="E2039" r:id="rId1591" xr:uid="{00000000-0004-0000-0200-000036060000}"/>
    <hyperlink ref="F2039" r:id="rId1592" xr:uid="{00000000-0004-0000-0200-000037060000}"/>
    <hyperlink ref="E2041" r:id="rId1593" xr:uid="{00000000-0004-0000-0200-000038060000}"/>
    <hyperlink ref="E2054" r:id="rId1594" xr:uid="{00000000-0004-0000-0200-000039060000}"/>
    <hyperlink ref="F2054" r:id="rId1595" xr:uid="{00000000-0004-0000-0200-00003A060000}"/>
    <hyperlink ref="E2055" r:id="rId1596" xr:uid="{00000000-0004-0000-0200-00003B060000}"/>
    <hyperlink ref="F2055" r:id="rId1597" xr:uid="{00000000-0004-0000-0200-00003C060000}"/>
    <hyperlink ref="E2056" r:id="rId1598" xr:uid="{00000000-0004-0000-0200-00003D060000}"/>
    <hyperlink ref="F2056" r:id="rId1599" xr:uid="{00000000-0004-0000-0200-00003E060000}"/>
    <hyperlink ref="E2057" r:id="rId1600" xr:uid="{00000000-0004-0000-0200-00003F060000}"/>
    <hyperlink ref="E2110" r:id="rId1601" xr:uid="{00000000-0004-0000-0200-000040060000}"/>
    <hyperlink ref="F2110" r:id="rId1602" xr:uid="{00000000-0004-0000-0200-000041060000}"/>
    <hyperlink ref="E2111" r:id="rId1603" xr:uid="{00000000-0004-0000-0200-000042060000}"/>
    <hyperlink ref="F2111" r:id="rId1604" xr:uid="{00000000-0004-0000-0200-000043060000}"/>
    <hyperlink ref="E2113" r:id="rId1605" xr:uid="{00000000-0004-0000-0200-000044060000}"/>
    <hyperlink ref="F2113" r:id="rId1606" xr:uid="{00000000-0004-0000-0200-000045060000}"/>
    <hyperlink ref="E2114" r:id="rId1607" xr:uid="{00000000-0004-0000-0200-000046060000}"/>
    <hyperlink ref="F2114" r:id="rId1608" xr:uid="{00000000-0004-0000-0200-000047060000}"/>
    <hyperlink ref="E2118" r:id="rId1609" xr:uid="{00000000-0004-0000-0200-000048060000}"/>
    <hyperlink ref="E2119" r:id="rId1610" xr:uid="{00000000-0004-0000-0200-000049060000}"/>
    <hyperlink ref="F2119" r:id="rId1611" xr:uid="{00000000-0004-0000-0200-00004A060000}"/>
    <hyperlink ref="E2121" r:id="rId1612" xr:uid="{00000000-0004-0000-0200-00004B060000}"/>
    <hyperlink ref="F2121" r:id="rId1613" xr:uid="{00000000-0004-0000-0200-00004C060000}"/>
    <hyperlink ref="E2122" r:id="rId1614" xr:uid="{00000000-0004-0000-0200-00004D060000}"/>
    <hyperlink ref="F2122" r:id="rId1615" xr:uid="{00000000-0004-0000-0200-00004E060000}"/>
    <hyperlink ref="E2123" r:id="rId1616" xr:uid="{00000000-0004-0000-0200-00004F060000}"/>
    <hyperlink ref="F2123" r:id="rId1617" xr:uid="{00000000-0004-0000-0200-000050060000}"/>
    <hyperlink ref="E2124" r:id="rId1618" xr:uid="{00000000-0004-0000-0200-000051060000}"/>
    <hyperlink ref="F2124" r:id="rId1619" xr:uid="{00000000-0004-0000-0200-000052060000}"/>
    <hyperlink ref="E2125" r:id="rId1620" xr:uid="{00000000-0004-0000-0200-000053060000}"/>
    <hyperlink ref="F2125" r:id="rId1621" xr:uid="{00000000-0004-0000-0200-000054060000}"/>
    <hyperlink ref="E2126" r:id="rId1622" xr:uid="{00000000-0004-0000-0200-000055060000}"/>
    <hyperlink ref="F2126" r:id="rId1623" xr:uid="{00000000-0004-0000-0200-000056060000}"/>
    <hyperlink ref="E2128" r:id="rId1624" xr:uid="{00000000-0004-0000-0200-000057060000}"/>
    <hyperlink ref="F2128" r:id="rId1625" xr:uid="{00000000-0004-0000-0200-000058060000}"/>
    <hyperlink ref="E2144" r:id="rId1626" xr:uid="{00000000-0004-0000-0200-000059060000}"/>
    <hyperlink ref="E2148" r:id="rId1627" xr:uid="{00000000-0004-0000-0200-00005A060000}"/>
    <hyperlink ref="F2148" r:id="rId1628" xr:uid="{00000000-0004-0000-0200-00005B060000}"/>
    <hyperlink ref="E2152" r:id="rId1629" xr:uid="{00000000-0004-0000-0200-00005C060000}"/>
    <hyperlink ref="F2152" r:id="rId1630" xr:uid="{00000000-0004-0000-0200-00005D060000}"/>
    <hyperlink ref="E2153" r:id="rId1631" xr:uid="{00000000-0004-0000-0200-00005E060000}"/>
    <hyperlink ref="F2153" r:id="rId1632" xr:uid="{00000000-0004-0000-0200-00005F060000}"/>
    <hyperlink ref="E2154" r:id="rId1633" xr:uid="{00000000-0004-0000-0200-000060060000}"/>
    <hyperlink ref="F2154" r:id="rId1634" xr:uid="{00000000-0004-0000-0200-000061060000}"/>
    <hyperlink ref="E2155" r:id="rId1635" xr:uid="{00000000-0004-0000-0200-000062060000}"/>
    <hyperlink ref="F2155" r:id="rId1636" xr:uid="{00000000-0004-0000-0200-000063060000}"/>
    <hyperlink ref="E2156" r:id="rId1637" xr:uid="{00000000-0004-0000-0200-000064060000}"/>
    <hyperlink ref="F2156" r:id="rId1638" xr:uid="{00000000-0004-0000-0200-000065060000}"/>
    <hyperlink ref="E2157" r:id="rId1639" xr:uid="{00000000-0004-0000-0200-000066060000}"/>
    <hyperlink ref="F2157" r:id="rId1640" xr:uid="{00000000-0004-0000-0200-000067060000}"/>
    <hyperlink ref="E2158" r:id="rId1641" xr:uid="{00000000-0004-0000-0200-000068060000}"/>
    <hyperlink ref="F2158" r:id="rId1642" xr:uid="{00000000-0004-0000-0200-000069060000}"/>
    <hyperlink ref="E2159" r:id="rId1643" xr:uid="{00000000-0004-0000-0200-00006A060000}"/>
    <hyperlink ref="F2159" r:id="rId1644" xr:uid="{00000000-0004-0000-0200-00006B060000}"/>
    <hyperlink ref="E2160" r:id="rId1645" xr:uid="{00000000-0004-0000-0200-00006C060000}"/>
    <hyperlink ref="F2160" r:id="rId1646" xr:uid="{00000000-0004-0000-0200-00006D060000}"/>
    <hyperlink ref="E2162" r:id="rId1647" xr:uid="{00000000-0004-0000-0200-00006E060000}"/>
    <hyperlink ref="F2162" r:id="rId1648" xr:uid="{00000000-0004-0000-0200-00006F060000}"/>
    <hyperlink ref="E2163" r:id="rId1649" xr:uid="{00000000-0004-0000-0200-000070060000}"/>
    <hyperlink ref="F2163" r:id="rId1650" xr:uid="{00000000-0004-0000-0200-000071060000}"/>
    <hyperlink ref="E2164" r:id="rId1651" xr:uid="{00000000-0004-0000-0200-000072060000}"/>
    <hyperlink ref="F2164" r:id="rId1652" xr:uid="{00000000-0004-0000-0200-000073060000}"/>
    <hyperlink ref="E2165" r:id="rId1653" xr:uid="{00000000-0004-0000-0200-000074060000}"/>
    <hyperlink ref="F2165" r:id="rId1654" xr:uid="{00000000-0004-0000-0200-000075060000}"/>
    <hyperlink ref="E2166" r:id="rId1655" xr:uid="{00000000-0004-0000-0200-000076060000}"/>
    <hyperlink ref="F2166" r:id="rId1656" xr:uid="{00000000-0004-0000-0200-000077060000}"/>
    <hyperlink ref="E2167" r:id="rId1657" xr:uid="{00000000-0004-0000-0200-000078060000}"/>
    <hyperlink ref="F2167" r:id="rId1658" xr:uid="{00000000-0004-0000-0200-000079060000}"/>
    <hyperlink ref="E2168" r:id="rId1659" xr:uid="{00000000-0004-0000-0200-00007A060000}"/>
    <hyperlink ref="F2168" r:id="rId1660" xr:uid="{00000000-0004-0000-0200-00007B060000}"/>
    <hyperlink ref="E2169" r:id="rId1661" xr:uid="{00000000-0004-0000-0200-00007C060000}"/>
    <hyperlink ref="F2169" r:id="rId1662" xr:uid="{00000000-0004-0000-0200-00007D060000}"/>
    <hyperlink ref="E2170" r:id="rId1663" xr:uid="{00000000-0004-0000-0200-00007E060000}"/>
    <hyperlink ref="F2170" r:id="rId1664" xr:uid="{00000000-0004-0000-0200-00007F060000}"/>
    <hyperlink ref="E2174" r:id="rId1665" xr:uid="{00000000-0004-0000-0200-000080060000}"/>
    <hyperlink ref="F2174" r:id="rId1666" xr:uid="{00000000-0004-0000-0200-000081060000}"/>
    <hyperlink ref="E2179" r:id="rId1667" xr:uid="{00000000-0004-0000-0200-000082060000}"/>
    <hyperlink ref="F2179" r:id="rId1668" xr:uid="{00000000-0004-0000-0200-000083060000}"/>
    <hyperlink ref="E2180" r:id="rId1669" xr:uid="{00000000-0004-0000-0200-000084060000}"/>
    <hyperlink ref="F2180" r:id="rId1670" xr:uid="{00000000-0004-0000-0200-000085060000}"/>
    <hyperlink ref="E2182" r:id="rId1671" xr:uid="{00000000-0004-0000-0200-000086060000}"/>
    <hyperlink ref="F2182" r:id="rId1672" xr:uid="{00000000-0004-0000-0200-000087060000}"/>
    <hyperlink ref="E2183" r:id="rId1673" xr:uid="{00000000-0004-0000-0200-000088060000}"/>
    <hyperlink ref="F2183" r:id="rId1674" xr:uid="{00000000-0004-0000-0200-000089060000}"/>
    <hyperlink ref="E2184" r:id="rId1675" xr:uid="{00000000-0004-0000-0200-00008A060000}"/>
    <hyperlink ref="F2184" r:id="rId1676" xr:uid="{00000000-0004-0000-0200-00008B060000}"/>
    <hyperlink ref="E2185" r:id="rId1677" xr:uid="{00000000-0004-0000-0200-00008C060000}"/>
    <hyperlink ref="F2185" r:id="rId1678" xr:uid="{00000000-0004-0000-0200-00008D060000}"/>
    <hyperlink ref="E2186" r:id="rId1679" xr:uid="{00000000-0004-0000-0200-00008E060000}"/>
    <hyperlink ref="F2186" r:id="rId1680" xr:uid="{00000000-0004-0000-0200-00008F060000}"/>
    <hyperlink ref="E2187" r:id="rId1681" xr:uid="{00000000-0004-0000-0200-000090060000}"/>
    <hyperlink ref="F2187" r:id="rId1682" xr:uid="{00000000-0004-0000-0200-000091060000}"/>
    <hyperlink ref="E2188" r:id="rId1683" xr:uid="{00000000-0004-0000-0200-000092060000}"/>
    <hyperlink ref="F2188" r:id="rId1684" xr:uid="{00000000-0004-0000-0200-000093060000}"/>
    <hyperlink ref="E2189" r:id="rId1685" xr:uid="{00000000-0004-0000-0200-000094060000}"/>
    <hyperlink ref="F2189" r:id="rId1686" xr:uid="{00000000-0004-0000-0200-000095060000}"/>
    <hyperlink ref="E2195" r:id="rId1687" xr:uid="{00000000-0004-0000-0200-000096060000}"/>
    <hyperlink ref="E2201" r:id="rId1688" xr:uid="{00000000-0004-0000-0200-000097060000}"/>
    <hyperlink ref="F2201" r:id="rId1689" xr:uid="{00000000-0004-0000-0200-000098060000}"/>
    <hyperlink ref="E2202" r:id="rId1690" xr:uid="{00000000-0004-0000-0200-000099060000}"/>
    <hyperlink ref="F2202" r:id="rId1691" xr:uid="{00000000-0004-0000-0200-00009A060000}"/>
    <hyperlink ref="E2203" r:id="rId1692" xr:uid="{00000000-0004-0000-0200-00009B060000}"/>
    <hyperlink ref="F2203" r:id="rId1693" xr:uid="{00000000-0004-0000-0200-00009C060000}"/>
    <hyperlink ref="E2204" r:id="rId1694" xr:uid="{00000000-0004-0000-0200-00009D060000}"/>
    <hyperlink ref="F2204" r:id="rId1695" xr:uid="{00000000-0004-0000-0200-00009E060000}"/>
    <hyperlink ref="E2205" r:id="rId1696" xr:uid="{00000000-0004-0000-0200-00009F060000}"/>
    <hyperlink ref="F2205" r:id="rId1697" xr:uid="{00000000-0004-0000-0200-0000A0060000}"/>
    <hyperlink ref="E2206" r:id="rId1698" xr:uid="{00000000-0004-0000-0200-0000A1060000}"/>
    <hyperlink ref="F2206" r:id="rId1699" xr:uid="{00000000-0004-0000-0200-0000A2060000}"/>
    <hyperlink ref="E2207" r:id="rId1700" xr:uid="{00000000-0004-0000-0200-0000A3060000}"/>
    <hyperlink ref="F2207" r:id="rId1701" xr:uid="{00000000-0004-0000-0200-0000A4060000}"/>
    <hyperlink ref="E2208" r:id="rId1702" xr:uid="{00000000-0004-0000-0200-0000A5060000}"/>
    <hyperlink ref="F2208" r:id="rId1703" xr:uid="{00000000-0004-0000-0200-0000A6060000}"/>
    <hyperlink ref="E2209" r:id="rId1704" xr:uid="{00000000-0004-0000-0200-0000A7060000}"/>
    <hyperlink ref="F2209" r:id="rId1705" xr:uid="{00000000-0004-0000-0200-0000A8060000}"/>
    <hyperlink ref="E2210" r:id="rId1706" xr:uid="{00000000-0004-0000-0200-0000A9060000}"/>
    <hyperlink ref="F2210" r:id="rId1707" xr:uid="{00000000-0004-0000-0200-0000AA060000}"/>
    <hyperlink ref="E2211" r:id="rId1708" xr:uid="{00000000-0004-0000-0200-0000AB060000}"/>
    <hyperlink ref="F2211" r:id="rId1709" xr:uid="{00000000-0004-0000-0200-0000AC060000}"/>
    <hyperlink ref="E2212" r:id="rId1710" xr:uid="{00000000-0004-0000-0200-0000AD060000}"/>
    <hyperlink ref="F2212" r:id="rId1711" xr:uid="{00000000-0004-0000-0200-0000AE060000}"/>
    <hyperlink ref="E2213" r:id="rId1712" xr:uid="{00000000-0004-0000-0200-0000AF060000}"/>
    <hyperlink ref="F2213" r:id="rId1713" xr:uid="{00000000-0004-0000-0200-0000B0060000}"/>
    <hyperlink ref="E2218" r:id="rId1714" xr:uid="{00000000-0004-0000-0200-0000B1060000}"/>
    <hyperlink ref="E2222" r:id="rId1715" xr:uid="{00000000-0004-0000-0200-0000B2060000}"/>
    <hyperlink ref="F2222" r:id="rId1716" xr:uid="{00000000-0004-0000-0200-0000B3060000}"/>
    <hyperlink ref="E2223" r:id="rId1717" xr:uid="{00000000-0004-0000-0200-0000B4060000}"/>
    <hyperlink ref="F2223" r:id="rId1718" xr:uid="{00000000-0004-0000-0200-0000B5060000}"/>
    <hyperlink ref="E2224" r:id="rId1719" xr:uid="{00000000-0004-0000-0200-0000B6060000}"/>
    <hyperlink ref="F2224" r:id="rId1720" xr:uid="{00000000-0004-0000-0200-0000B7060000}"/>
    <hyperlink ref="E2225" r:id="rId1721" xr:uid="{00000000-0004-0000-0200-0000B8060000}"/>
    <hyperlink ref="F2225" r:id="rId1722" xr:uid="{00000000-0004-0000-0200-0000B9060000}"/>
    <hyperlink ref="E2247" r:id="rId1723" xr:uid="{00000000-0004-0000-0200-0000BA060000}"/>
    <hyperlink ref="E2249" r:id="rId1724" xr:uid="{00000000-0004-0000-0200-0000BB060000}"/>
    <hyperlink ref="E2257" r:id="rId1725" xr:uid="{00000000-0004-0000-0200-0000BC060000}"/>
    <hyperlink ref="E2260" r:id="rId1726" xr:uid="{00000000-0004-0000-0200-0000BD060000}"/>
    <hyperlink ref="F2260" r:id="rId1727" xr:uid="{00000000-0004-0000-0200-0000BE060000}"/>
    <hyperlink ref="E2261" r:id="rId1728" xr:uid="{00000000-0004-0000-0200-0000BF060000}"/>
    <hyperlink ref="F2261" r:id="rId1729" xr:uid="{00000000-0004-0000-0200-0000C0060000}"/>
    <hyperlink ref="E2262" r:id="rId1730" xr:uid="{00000000-0004-0000-0200-0000C1060000}"/>
    <hyperlink ref="E2263" r:id="rId1731" xr:uid="{00000000-0004-0000-0200-0000C2060000}"/>
    <hyperlink ref="E2264" r:id="rId1732" xr:uid="{00000000-0004-0000-0200-0000C3060000}"/>
    <hyperlink ref="F2264" r:id="rId1733" xr:uid="{00000000-0004-0000-0200-0000C4060000}"/>
    <hyperlink ref="E2265" r:id="rId1734" xr:uid="{00000000-0004-0000-0200-0000C5060000}"/>
    <hyperlink ref="F2265" r:id="rId1735" xr:uid="{00000000-0004-0000-0200-0000C6060000}"/>
    <hyperlink ref="E2267" r:id="rId1736" xr:uid="{00000000-0004-0000-0200-0000C7060000}"/>
    <hyperlink ref="E2271" r:id="rId1737" xr:uid="{00000000-0004-0000-0200-0000C8060000}"/>
    <hyperlink ref="F2271" r:id="rId1738" xr:uid="{00000000-0004-0000-0200-0000C9060000}"/>
    <hyperlink ref="E2272" r:id="rId1739" xr:uid="{00000000-0004-0000-0200-0000CA060000}"/>
    <hyperlink ref="F2272" r:id="rId1740" xr:uid="{00000000-0004-0000-0200-0000CB060000}"/>
    <hyperlink ref="E2280" r:id="rId1741" xr:uid="{00000000-0004-0000-0200-0000CC060000}"/>
    <hyperlink ref="E2284" r:id="rId1742" xr:uid="{00000000-0004-0000-0200-0000CD060000}"/>
    <hyperlink ref="F2284" r:id="rId1743" xr:uid="{00000000-0004-0000-0200-0000CE060000}"/>
    <hyperlink ref="E2285" r:id="rId1744" xr:uid="{00000000-0004-0000-0200-0000CF060000}"/>
    <hyperlink ref="F2285" r:id="rId1745" xr:uid="{00000000-0004-0000-0200-0000D0060000}"/>
    <hyperlink ref="E2287" r:id="rId1746" xr:uid="{00000000-0004-0000-0200-0000D1060000}"/>
    <hyperlink ref="F2287" r:id="rId1747" xr:uid="{00000000-0004-0000-0200-0000D2060000}"/>
    <hyperlink ref="E2289" r:id="rId1748" xr:uid="{00000000-0004-0000-0200-0000D3060000}"/>
    <hyperlink ref="F2289" r:id="rId1749" xr:uid="{00000000-0004-0000-0200-0000D4060000}"/>
    <hyperlink ref="E2290" r:id="rId1750" xr:uid="{00000000-0004-0000-0200-0000D5060000}"/>
    <hyperlink ref="E2303" r:id="rId1751" xr:uid="{00000000-0004-0000-0200-0000D6060000}"/>
    <hyperlink ref="F2303" r:id="rId1752" xr:uid="{00000000-0004-0000-0200-0000D7060000}"/>
    <hyperlink ref="E2304" r:id="rId1753" xr:uid="{00000000-0004-0000-0200-0000D8060000}"/>
    <hyperlink ref="E2305" r:id="rId1754" xr:uid="{00000000-0004-0000-0200-0000D9060000}"/>
    <hyperlink ref="F2305" r:id="rId1755" xr:uid="{00000000-0004-0000-0200-0000DA060000}"/>
    <hyperlink ref="E2306" r:id="rId1756" xr:uid="{00000000-0004-0000-0200-0000DB060000}"/>
    <hyperlink ref="F2306" r:id="rId1757" xr:uid="{00000000-0004-0000-0200-0000DC060000}"/>
    <hyperlink ref="E2307" r:id="rId1758" xr:uid="{00000000-0004-0000-0200-0000DD060000}"/>
    <hyperlink ref="F2307" r:id="rId1759" xr:uid="{00000000-0004-0000-0200-0000DE060000}"/>
    <hyperlink ref="E2308" r:id="rId1760" xr:uid="{00000000-0004-0000-0200-0000DF060000}"/>
    <hyperlink ref="F2308" r:id="rId1761" xr:uid="{00000000-0004-0000-0200-0000E0060000}"/>
    <hyperlink ref="E2309" r:id="rId1762" xr:uid="{00000000-0004-0000-0200-0000E1060000}"/>
    <hyperlink ref="F2309" r:id="rId1763" xr:uid="{00000000-0004-0000-0200-0000E2060000}"/>
    <hyperlink ref="E2310" r:id="rId1764" xr:uid="{00000000-0004-0000-0200-0000E3060000}"/>
    <hyperlink ref="F2310" r:id="rId1765" xr:uid="{00000000-0004-0000-0200-0000E4060000}"/>
    <hyperlink ref="E2311" r:id="rId1766" xr:uid="{00000000-0004-0000-0200-0000E5060000}"/>
    <hyperlink ref="F2311" r:id="rId1767" xr:uid="{00000000-0004-0000-0200-0000E6060000}"/>
    <hyperlink ref="E2312" r:id="rId1768" xr:uid="{00000000-0004-0000-0200-0000E7060000}"/>
    <hyperlink ref="F2312" r:id="rId1769" xr:uid="{00000000-0004-0000-0200-0000E8060000}"/>
    <hyperlink ref="E2320" r:id="rId1770" xr:uid="{00000000-0004-0000-0200-0000E9060000}"/>
    <hyperlink ref="F2320" r:id="rId1771" xr:uid="{00000000-0004-0000-0200-0000EA060000}"/>
    <hyperlink ref="E2321" r:id="rId1772" xr:uid="{00000000-0004-0000-0200-0000EB060000}"/>
    <hyperlink ref="F2321" r:id="rId1773" xr:uid="{00000000-0004-0000-0200-0000EC060000}"/>
    <hyperlink ref="E2322" r:id="rId1774" xr:uid="{00000000-0004-0000-0200-0000ED060000}"/>
    <hyperlink ref="F2322" r:id="rId1775" xr:uid="{00000000-0004-0000-0200-0000EE060000}"/>
    <hyperlink ref="E2324" r:id="rId1776" xr:uid="{00000000-0004-0000-0200-0000EF060000}"/>
    <hyperlink ref="F2324" r:id="rId1777" xr:uid="{00000000-0004-0000-0200-0000F0060000}"/>
    <hyperlink ref="E2325" r:id="rId1778" xr:uid="{00000000-0004-0000-0200-0000F1060000}"/>
    <hyperlink ref="F2325" r:id="rId1779" xr:uid="{00000000-0004-0000-0200-0000F2060000}"/>
    <hyperlink ref="E2326" r:id="rId1780" xr:uid="{00000000-0004-0000-0200-0000F3060000}"/>
    <hyperlink ref="F2326" r:id="rId1781" xr:uid="{00000000-0004-0000-0200-0000F4060000}"/>
    <hyperlink ref="E2327" r:id="rId1782" xr:uid="{00000000-0004-0000-0200-0000F5060000}"/>
    <hyperlink ref="F2327" r:id="rId1783" xr:uid="{00000000-0004-0000-0200-0000F6060000}"/>
    <hyperlink ref="E2328" r:id="rId1784" xr:uid="{00000000-0004-0000-0200-0000F7060000}"/>
    <hyperlink ref="F2328" r:id="rId1785" xr:uid="{00000000-0004-0000-0200-0000F8060000}"/>
    <hyperlink ref="E2329" r:id="rId1786" xr:uid="{00000000-0004-0000-0200-0000F9060000}"/>
    <hyperlink ref="F2329" r:id="rId1787" xr:uid="{00000000-0004-0000-0200-0000FA060000}"/>
    <hyperlink ref="E2330" r:id="rId1788" xr:uid="{00000000-0004-0000-0200-0000FB060000}"/>
    <hyperlink ref="F2330" r:id="rId1789" xr:uid="{00000000-0004-0000-0200-0000FC060000}"/>
    <hyperlink ref="E2331" r:id="rId1790" xr:uid="{00000000-0004-0000-0200-0000FD060000}"/>
    <hyperlink ref="F2331" r:id="rId1791" xr:uid="{00000000-0004-0000-0200-0000FE060000}"/>
    <hyperlink ref="E2333" r:id="rId1792" xr:uid="{00000000-0004-0000-0200-0000FF060000}"/>
    <hyperlink ref="E2334" r:id="rId1793" xr:uid="{00000000-0004-0000-0200-000000070000}"/>
    <hyperlink ref="E2336" r:id="rId1794" xr:uid="{00000000-0004-0000-0200-000001070000}"/>
    <hyperlink ref="E2340" r:id="rId1795" xr:uid="{00000000-0004-0000-0200-000002070000}"/>
    <hyperlink ref="F2340" r:id="rId1796" xr:uid="{00000000-0004-0000-0200-000003070000}"/>
    <hyperlink ref="E2341" r:id="rId1797" xr:uid="{00000000-0004-0000-0200-000004070000}"/>
    <hyperlink ref="F2341" r:id="rId1798" xr:uid="{00000000-0004-0000-0200-000005070000}"/>
    <hyperlink ref="E2342" r:id="rId1799" xr:uid="{00000000-0004-0000-0200-000006070000}"/>
    <hyperlink ref="F2342" r:id="rId1800" xr:uid="{00000000-0004-0000-0200-000007070000}"/>
    <hyperlink ref="E2343" r:id="rId1801" xr:uid="{00000000-0004-0000-0200-000008070000}"/>
    <hyperlink ref="F2343" r:id="rId1802" xr:uid="{00000000-0004-0000-0200-000009070000}"/>
    <hyperlink ref="E2344" r:id="rId1803" xr:uid="{00000000-0004-0000-0200-00000A070000}"/>
    <hyperlink ref="F2344" r:id="rId1804" xr:uid="{00000000-0004-0000-0200-00000B070000}"/>
    <hyperlink ref="E2345" r:id="rId1805" xr:uid="{00000000-0004-0000-0200-00000C070000}"/>
    <hyperlink ref="F2345" r:id="rId1806" xr:uid="{00000000-0004-0000-0200-00000D070000}"/>
    <hyperlink ref="E2346" r:id="rId1807" xr:uid="{00000000-0004-0000-0200-00000E070000}"/>
    <hyperlink ref="F2346" r:id="rId1808" xr:uid="{00000000-0004-0000-0200-00000F070000}"/>
    <hyperlink ref="E2347" r:id="rId1809" xr:uid="{00000000-0004-0000-0200-000010070000}"/>
    <hyperlink ref="F2347" r:id="rId1810" xr:uid="{00000000-0004-0000-0200-000011070000}"/>
    <hyperlink ref="E2348" r:id="rId1811" xr:uid="{00000000-0004-0000-0200-000012070000}"/>
    <hyperlink ref="F2348" r:id="rId1812" xr:uid="{00000000-0004-0000-0200-000013070000}"/>
    <hyperlink ref="E2349" r:id="rId1813" xr:uid="{00000000-0004-0000-0200-000014070000}"/>
    <hyperlink ref="F2349" r:id="rId1814" xr:uid="{00000000-0004-0000-0200-000015070000}"/>
    <hyperlink ref="E2350" r:id="rId1815" xr:uid="{00000000-0004-0000-0200-000016070000}"/>
    <hyperlink ref="F2350" r:id="rId1816" xr:uid="{00000000-0004-0000-0200-000017070000}"/>
    <hyperlink ref="E2351" r:id="rId1817" xr:uid="{00000000-0004-0000-0200-000018070000}"/>
    <hyperlink ref="F2351" r:id="rId1818" xr:uid="{00000000-0004-0000-0200-000019070000}"/>
    <hyperlink ref="E2352" r:id="rId1819" xr:uid="{00000000-0004-0000-0200-00001A070000}"/>
    <hyperlink ref="F2352" r:id="rId1820" xr:uid="{00000000-0004-0000-0200-00001B070000}"/>
    <hyperlink ref="E2353" r:id="rId1821" xr:uid="{00000000-0004-0000-0200-00001C070000}"/>
    <hyperlink ref="F2353" r:id="rId1822" xr:uid="{00000000-0004-0000-0200-00001D070000}"/>
    <hyperlink ref="E2358" r:id="rId1823" xr:uid="{00000000-0004-0000-0200-00001E070000}"/>
    <hyperlink ref="E2359" r:id="rId1824" xr:uid="{00000000-0004-0000-0200-00001F070000}"/>
    <hyperlink ref="E2367" r:id="rId1825" xr:uid="{00000000-0004-0000-0200-000020070000}"/>
    <hyperlink ref="E2375" r:id="rId1826" xr:uid="{00000000-0004-0000-0200-000021070000}"/>
    <hyperlink ref="F2375" r:id="rId1827" xr:uid="{00000000-0004-0000-0200-000022070000}"/>
    <hyperlink ref="E2376" r:id="rId1828" xr:uid="{00000000-0004-0000-0200-000023070000}"/>
    <hyperlink ref="F2376" r:id="rId1829" xr:uid="{00000000-0004-0000-0200-00002407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2.6328125" defaultRowHeight="15" customHeight="1" x14ac:dyDescent="0.25"/>
  <cols>
    <col min="1" max="1" width="13.90625" customWidth="1"/>
    <col min="2" max="2" width="41.90625" customWidth="1"/>
    <col min="3" max="3" width="25.453125" customWidth="1"/>
    <col min="4" max="4" width="59.54296875" customWidth="1"/>
    <col min="5" max="5" width="9.08984375" customWidth="1"/>
    <col min="6" max="6" width="35.08984375" customWidth="1"/>
    <col min="7" max="26" width="9.08984375" customWidth="1"/>
  </cols>
  <sheetData>
    <row r="1" spans="1:6" ht="16.5" customHeight="1" x14ac:dyDescent="0.35">
      <c r="A1" s="28" t="s">
        <v>9133</v>
      </c>
      <c r="B1" s="28" t="s">
        <v>38</v>
      </c>
      <c r="C1" s="29" t="s">
        <v>9134</v>
      </c>
      <c r="D1" s="30" t="s">
        <v>9135</v>
      </c>
    </row>
    <row r="2" spans="1:6" ht="16.5" customHeight="1" x14ac:dyDescent="0.35">
      <c r="A2" s="31" t="s">
        <v>9136</v>
      </c>
      <c r="B2" s="31" t="s">
        <v>9137</v>
      </c>
      <c r="C2" s="32" t="str">
        <f>CONCATENATE(A2,":","1000")</f>
        <v>C00001:1000</v>
      </c>
      <c r="D2" s="33" t="str">
        <f>CONCATENATE(A2," : ",B2)</f>
        <v>C00001 : Water</v>
      </c>
      <c r="F2" s="16"/>
    </row>
    <row r="3" spans="1:6" ht="16.5" customHeight="1" x14ac:dyDescent="0.35">
      <c r="A3" s="31" t="s">
        <v>7389</v>
      </c>
      <c r="B3" s="31" t="s">
        <v>9138</v>
      </c>
      <c r="C3" s="32" t="s">
        <v>9139</v>
      </c>
      <c r="D3" s="33" t="s">
        <v>9140</v>
      </c>
      <c r="F3" s="16"/>
    </row>
    <row r="4" spans="1:6" ht="16.5" customHeight="1" x14ac:dyDescent="0.35">
      <c r="A4" s="31" t="s">
        <v>9141</v>
      </c>
      <c r="B4" s="31" t="s">
        <v>9142</v>
      </c>
      <c r="C4" s="32" t="s">
        <v>9143</v>
      </c>
      <c r="D4" s="33" t="s">
        <v>9144</v>
      </c>
      <c r="F4" s="16"/>
    </row>
    <row r="5" spans="1:6" ht="16.5" customHeight="1" x14ac:dyDescent="0.35">
      <c r="A5" s="31" t="s">
        <v>9145</v>
      </c>
      <c r="B5" s="31" t="s">
        <v>9146</v>
      </c>
      <c r="C5" s="32" t="s">
        <v>9147</v>
      </c>
      <c r="D5" s="33" t="s">
        <v>9148</v>
      </c>
      <c r="F5" s="16"/>
    </row>
    <row r="6" spans="1:6" ht="16.5" customHeight="1" x14ac:dyDescent="0.35">
      <c r="A6" s="31" t="s">
        <v>9149</v>
      </c>
      <c r="B6" s="31" t="s">
        <v>9150</v>
      </c>
      <c r="C6" s="32" t="s">
        <v>9151</v>
      </c>
      <c r="D6" s="33" t="s">
        <v>9152</v>
      </c>
      <c r="F6" s="16"/>
    </row>
    <row r="7" spans="1:6" ht="16.5" customHeight="1" x14ac:dyDescent="0.35">
      <c r="A7" s="34" t="s">
        <v>9153</v>
      </c>
      <c r="B7" s="31" t="s">
        <v>9154</v>
      </c>
      <c r="C7" s="32" t="s">
        <v>9155</v>
      </c>
      <c r="D7" s="33" t="s">
        <v>9156</v>
      </c>
      <c r="F7" s="16"/>
    </row>
    <row r="8" spans="1:6" ht="16.5" customHeight="1" x14ac:dyDescent="0.35">
      <c r="A8" s="34" t="s">
        <v>9157</v>
      </c>
      <c r="B8" s="31" t="s">
        <v>9158</v>
      </c>
      <c r="C8" s="32" t="s">
        <v>9159</v>
      </c>
      <c r="D8" s="33" t="s">
        <v>9160</v>
      </c>
      <c r="F8" s="16"/>
    </row>
    <row r="9" spans="1:6" ht="16.5" customHeight="1" x14ac:dyDescent="0.35">
      <c r="A9" s="34" t="s">
        <v>6732</v>
      </c>
      <c r="B9" s="31" t="s">
        <v>9161</v>
      </c>
      <c r="C9" s="32" t="s">
        <v>9162</v>
      </c>
      <c r="D9" s="33" t="s">
        <v>9163</v>
      </c>
      <c r="F9" s="16"/>
    </row>
    <row r="10" spans="1:6" ht="16.5" customHeight="1" x14ac:dyDescent="0.35">
      <c r="A10" s="31" t="s">
        <v>9164</v>
      </c>
      <c r="B10" s="31" t="s">
        <v>9165</v>
      </c>
      <c r="C10" s="32" t="s">
        <v>9166</v>
      </c>
      <c r="D10" s="33" t="s">
        <v>9167</v>
      </c>
      <c r="F10" s="16"/>
    </row>
    <row r="11" spans="1:6" ht="16.5" customHeight="1" x14ac:dyDescent="0.35">
      <c r="A11" s="34" t="s">
        <v>9168</v>
      </c>
      <c r="B11" s="31" t="s">
        <v>9169</v>
      </c>
      <c r="C11" s="32" t="s">
        <v>9170</v>
      </c>
      <c r="D11" s="33" t="s">
        <v>9171</v>
      </c>
      <c r="F11" s="16"/>
    </row>
    <row r="12" spans="1:6" ht="16.5" customHeight="1" x14ac:dyDescent="0.35">
      <c r="A12" s="34" t="s">
        <v>9172</v>
      </c>
      <c r="B12" s="31" t="s">
        <v>9173</v>
      </c>
      <c r="C12" s="32" t="s">
        <v>9174</v>
      </c>
      <c r="D12" s="33" t="s">
        <v>9175</v>
      </c>
      <c r="F12" s="16"/>
    </row>
    <row r="13" spans="1:6" ht="16.5" customHeight="1" x14ac:dyDescent="0.35">
      <c r="A13" s="34" t="s">
        <v>9176</v>
      </c>
      <c r="B13" s="31" t="s">
        <v>9177</v>
      </c>
      <c r="C13" s="32" t="s">
        <v>9178</v>
      </c>
      <c r="D13" s="33" t="s">
        <v>9179</v>
      </c>
      <c r="F13" s="16"/>
    </row>
    <row r="14" spans="1:6" ht="16.5" customHeight="1" x14ac:dyDescent="0.35">
      <c r="A14" s="31" t="s">
        <v>9180</v>
      </c>
      <c r="B14" s="31" t="s">
        <v>9181</v>
      </c>
      <c r="C14" s="32" t="s">
        <v>9182</v>
      </c>
      <c r="D14" s="33" t="s">
        <v>9183</v>
      </c>
      <c r="F14" s="16"/>
    </row>
    <row r="15" spans="1:6" ht="16.5" customHeight="1" x14ac:dyDescent="0.35">
      <c r="A15" s="34" t="s">
        <v>9184</v>
      </c>
      <c r="B15" s="31" t="s">
        <v>9185</v>
      </c>
      <c r="C15" s="32" t="s">
        <v>9186</v>
      </c>
      <c r="D15" s="33" t="s">
        <v>9187</v>
      </c>
      <c r="F15" s="16"/>
    </row>
    <row r="16" spans="1:6" ht="16.5" customHeight="1" x14ac:dyDescent="0.35">
      <c r="A16" s="31" t="s">
        <v>9188</v>
      </c>
      <c r="B16" s="31" t="s">
        <v>9189</v>
      </c>
      <c r="C16" s="32" t="s">
        <v>9190</v>
      </c>
      <c r="D16" s="33" t="s">
        <v>9191</v>
      </c>
      <c r="F16" s="16"/>
    </row>
    <row r="17" spans="1:6" ht="16.5" customHeight="1" x14ac:dyDescent="0.35">
      <c r="A17" s="31" t="s">
        <v>9192</v>
      </c>
      <c r="B17" s="31" t="s">
        <v>9193</v>
      </c>
      <c r="C17" s="32" t="s">
        <v>9194</v>
      </c>
      <c r="D17" s="33" t="s">
        <v>9195</v>
      </c>
      <c r="F17" s="16"/>
    </row>
    <row r="18" spans="1:6" ht="16.5" customHeight="1" x14ac:dyDescent="0.35">
      <c r="A18" s="31" t="s">
        <v>9196</v>
      </c>
      <c r="B18" s="31" t="s">
        <v>9197</v>
      </c>
      <c r="C18" s="32" t="s">
        <v>9198</v>
      </c>
      <c r="D18" s="33" t="s">
        <v>9199</v>
      </c>
      <c r="F18" s="16"/>
    </row>
    <row r="19" spans="1:6" ht="16.5" customHeight="1" x14ac:dyDescent="0.35">
      <c r="A19" s="31" t="s">
        <v>6805</v>
      </c>
      <c r="B19" s="31" t="s">
        <v>9200</v>
      </c>
      <c r="C19" s="32" t="s">
        <v>9201</v>
      </c>
      <c r="D19" s="33" t="s">
        <v>9202</v>
      </c>
      <c r="F19" s="16"/>
    </row>
    <row r="20" spans="1:6" ht="16.5" customHeight="1" x14ac:dyDescent="0.35">
      <c r="A20" s="31" t="s">
        <v>9203</v>
      </c>
      <c r="B20" s="34" t="s">
        <v>9204</v>
      </c>
      <c r="C20" s="32" t="s">
        <v>9205</v>
      </c>
      <c r="D20" s="33" t="s">
        <v>9206</v>
      </c>
      <c r="F20" s="16"/>
    </row>
    <row r="21" spans="1:6" ht="16.5" customHeight="1" x14ac:dyDescent="0.35">
      <c r="A21" s="31" t="s">
        <v>8407</v>
      </c>
      <c r="B21" s="31" t="s">
        <v>9207</v>
      </c>
      <c r="C21" s="32" t="s">
        <v>9208</v>
      </c>
      <c r="D21" s="33" t="s">
        <v>9209</v>
      </c>
      <c r="F21" s="16"/>
    </row>
    <row r="22" spans="1:6" ht="16.5" customHeight="1" x14ac:dyDescent="0.35">
      <c r="A22" s="31" t="s">
        <v>9210</v>
      </c>
      <c r="B22" s="31" t="s">
        <v>9211</v>
      </c>
      <c r="C22" s="32" t="s">
        <v>9212</v>
      </c>
      <c r="D22" s="33" t="s">
        <v>9213</v>
      </c>
      <c r="F22" s="16"/>
    </row>
    <row r="23" spans="1:6" ht="16.5" customHeight="1" x14ac:dyDescent="0.35">
      <c r="A23" s="31" t="s">
        <v>9038</v>
      </c>
      <c r="B23" s="31" t="s">
        <v>9214</v>
      </c>
      <c r="C23" s="32" t="s">
        <v>9215</v>
      </c>
      <c r="D23" s="33" t="s">
        <v>9216</v>
      </c>
      <c r="F23" s="16"/>
    </row>
    <row r="24" spans="1:6" ht="16.5" customHeight="1" x14ac:dyDescent="0.35">
      <c r="A24" s="31" t="s">
        <v>9217</v>
      </c>
      <c r="B24" s="31" t="s">
        <v>9218</v>
      </c>
      <c r="C24" s="32" t="s">
        <v>9219</v>
      </c>
      <c r="D24" s="33" t="s">
        <v>9220</v>
      </c>
      <c r="F24" s="16"/>
    </row>
    <row r="25" spans="1:6" ht="16.5" customHeight="1" x14ac:dyDescent="0.35">
      <c r="A25" s="34" t="s">
        <v>9221</v>
      </c>
      <c r="B25" s="31" t="s">
        <v>9222</v>
      </c>
      <c r="C25" s="32" t="s">
        <v>9223</v>
      </c>
      <c r="D25" s="33" t="s">
        <v>9224</v>
      </c>
      <c r="F25" s="16"/>
    </row>
    <row r="26" spans="1:6" ht="16.5" customHeight="1" x14ac:dyDescent="0.35">
      <c r="A26" s="34" t="s">
        <v>9225</v>
      </c>
      <c r="B26" s="31" t="s">
        <v>9226</v>
      </c>
      <c r="C26" s="32" t="s">
        <v>9227</v>
      </c>
      <c r="D26" s="33" t="s">
        <v>9228</v>
      </c>
      <c r="F26" s="16"/>
    </row>
    <row r="27" spans="1:6" ht="16.5" customHeight="1" x14ac:dyDescent="0.35">
      <c r="A27" s="31" t="s">
        <v>6742</v>
      </c>
      <c r="B27" s="31" t="s">
        <v>9229</v>
      </c>
      <c r="C27" s="32" t="s">
        <v>9230</v>
      </c>
      <c r="D27" s="33" t="s">
        <v>9231</v>
      </c>
      <c r="F27" s="16"/>
    </row>
    <row r="28" spans="1:6" ht="16.5" customHeight="1" x14ac:dyDescent="0.35">
      <c r="A28" s="34" t="s">
        <v>9232</v>
      </c>
      <c r="B28" s="31" t="s">
        <v>9233</v>
      </c>
      <c r="C28" s="32" t="s">
        <v>9234</v>
      </c>
      <c r="D28" s="33" t="s">
        <v>9235</v>
      </c>
      <c r="F28" s="16"/>
    </row>
    <row r="29" spans="1:6" ht="16.5" customHeight="1" x14ac:dyDescent="0.35">
      <c r="A29" s="34" t="s">
        <v>9236</v>
      </c>
      <c r="B29" s="31" t="s">
        <v>9237</v>
      </c>
      <c r="C29" s="32" t="s">
        <v>9238</v>
      </c>
      <c r="D29" s="33" t="s">
        <v>9239</v>
      </c>
      <c r="F29" s="16"/>
    </row>
    <row r="30" spans="1:6" ht="16.5" customHeight="1" x14ac:dyDescent="0.35">
      <c r="A30" s="31" t="s">
        <v>9240</v>
      </c>
      <c r="B30" s="34" t="s">
        <v>9241</v>
      </c>
      <c r="C30" s="32" t="s">
        <v>9242</v>
      </c>
      <c r="D30" s="35" t="s">
        <v>9243</v>
      </c>
      <c r="F30" s="16"/>
    </row>
    <row r="31" spans="1:6" ht="16.5" customHeight="1" x14ac:dyDescent="0.35">
      <c r="A31" s="34" t="s">
        <v>9244</v>
      </c>
      <c r="B31" s="31" t="s">
        <v>9245</v>
      </c>
      <c r="C31" s="32" t="s">
        <v>9246</v>
      </c>
      <c r="D31" s="33" t="s">
        <v>9247</v>
      </c>
      <c r="F31" s="16"/>
    </row>
    <row r="32" spans="1:6" ht="16.5" customHeight="1" x14ac:dyDescent="0.35">
      <c r="A32" s="34" t="s">
        <v>9248</v>
      </c>
      <c r="B32" s="31" t="s">
        <v>9249</v>
      </c>
      <c r="C32" s="32" t="s">
        <v>9250</v>
      </c>
      <c r="D32" s="33" t="s">
        <v>9251</v>
      </c>
      <c r="F32" s="16"/>
    </row>
    <row r="33" spans="1:6" ht="16.5" customHeight="1" x14ac:dyDescent="0.35">
      <c r="A33" s="34" t="s">
        <v>9252</v>
      </c>
      <c r="B33" s="31" t="s">
        <v>9253</v>
      </c>
      <c r="C33" s="32" t="s">
        <v>9254</v>
      </c>
      <c r="D33" s="33" t="s">
        <v>9255</v>
      </c>
      <c r="F33" s="16"/>
    </row>
    <row r="34" spans="1:6" ht="16.5" customHeight="1" x14ac:dyDescent="0.35">
      <c r="A34" s="34" t="s">
        <v>9256</v>
      </c>
      <c r="B34" s="31" t="s">
        <v>9257</v>
      </c>
      <c r="C34" s="32" t="s">
        <v>9258</v>
      </c>
      <c r="D34" s="33" t="s">
        <v>9259</v>
      </c>
      <c r="F34" s="16"/>
    </row>
    <row r="35" spans="1:6" ht="16.5" customHeight="1" x14ac:dyDescent="0.35">
      <c r="A35" s="34" t="s">
        <v>9260</v>
      </c>
      <c r="B35" s="31" t="s">
        <v>9261</v>
      </c>
      <c r="C35" s="32" t="s">
        <v>9262</v>
      </c>
      <c r="D35" s="33" t="s">
        <v>9263</v>
      </c>
      <c r="F35" s="16"/>
    </row>
    <row r="36" spans="1:6" ht="16.5" customHeight="1" x14ac:dyDescent="0.35">
      <c r="A36" s="31" t="s">
        <v>9264</v>
      </c>
      <c r="B36" s="31" t="s">
        <v>9265</v>
      </c>
      <c r="C36" s="32" t="s">
        <v>9266</v>
      </c>
      <c r="D36" s="33" t="s">
        <v>9267</v>
      </c>
      <c r="F36" s="16"/>
    </row>
    <row r="37" spans="1:6" ht="16.5" customHeight="1" x14ac:dyDescent="0.35">
      <c r="A37" s="31" t="s">
        <v>8444</v>
      </c>
      <c r="B37" s="31" t="s">
        <v>9268</v>
      </c>
      <c r="C37" s="32" t="s">
        <v>9269</v>
      </c>
      <c r="D37" s="33" t="s">
        <v>9270</v>
      </c>
      <c r="F37" s="16"/>
    </row>
    <row r="38" spans="1:6" ht="16.5" customHeight="1" x14ac:dyDescent="0.35">
      <c r="A38" s="34" t="s">
        <v>9271</v>
      </c>
      <c r="B38" s="36" t="s">
        <v>9272</v>
      </c>
      <c r="C38" s="37" t="s">
        <v>9273</v>
      </c>
      <c r="D38" s="38" t="s">
        <v>9274</v>
      </c>
      <c r="F38" s="16"/>
    </row>
    <row r="39" spans="1:6" ht="16.5" customHeight="1" x14ac:dyDescent="0.35">
      <c r="A39" s="31" t="s">
        <v>6745</v>
      </c>
      <c r="B39" s="34" t="s">
        <v>9275</v>
      </c>
      <c r="C39" s="32" t="s">
        <v>9276</v>
      </c>
      <c r="D39" s="33" t="s">
        <v>9277</v>
      </c>
      <c r="F39" s="16"/>
    </row>
    <row r="40" spans="1:6" ht="16.5" customHeight="1" x14ac:dyDescent="0.35">
      <c r="A40" s="31" t="s">
        <v>7392</v>
      </c>
      <c r="B40" s="31" t="s">
        <v>9278</v>
      </c>
      <c r="C40" s="32" t="s">
        <v>9279</v>
      </c>
      <c r="D40" s="33" t="s">
        <v>9280</v>
      </c>
      <c r="F40" s="16"/>
    </row>
    <row r="41" spans="1:6" ht="16.5" customHeight="1" x14ac:dyDescent="0.35">
      <c r="A41" s="31" t="s">
        <v>9281</v>
      </c>
      <c r="B41" s="31" t="s">
        <v>9282</v>
      </c>
      <c r="C41" s="32" t="s">
        <v>9283</v>
      </c>
      <c r="D41" s="33" t="s">
        <v>9284</v>
      </c>
      <c r="F41" s="16"/>
    </row>
    <row r="42" spans="1:6" ht="16.5" customHeight="1" x14ac:dyDescent="0.35">
      <c r="A42" s="34" t="s">
        <v>9285</v>
      </c>
      <c r="B42" s="31" t="s">
        <v>9286</v>
      </c>
      <c r="C42" s="32" t="s">
        <v>9287</v>
      </c>
      <c r="D42" s="33" t="s">
        <v>9288</v>
      </c>
      <c r="F42" s="16"/>
    </row>
    <row r="43" spans="1:6" ht="16.5" customHeight="1" x14ac:dyDescent="0.35">
      <c r="A43" s="31" t="s">
        <v>7110</v>
      </c>
      <c r="B43" s="31" t="s">
        <v>9289</v>
      </c>
      <c r="C43" s="32" t="s">
        <v>9290</v>
      </c>
      <c r="D43" s="33" t="s">
        <v>9291</v>
      </c>
      <c r="F43" s="16"/>
    </row>
    <row r="44" spans="1:6" ht="16.5" customHeight="1" x14ac:dyDescent="0.35">
      <c r="A44" s="31" t="s">
        <v>9292</v>
      </c>
      <c r="B44" s="31" t="s">
        <v>9293</v>
      </c>
      <c r="C44" s="32" t="s">
        <v>9294</v>
      </c>
      <c r="D44" s="33" t="s">
        <v>9295</v>
      </c>
      <c r="F44" s="16"/>
    </row>
    <row r="45" spans="1:6" ht="16.5" customHeight="1" x14ac:dyDescent="0.35">
      <c r="A45" s="31" t="s">
        <v>6743</v>
      </c>
      <c r="B45" s="31" t="s">
        <v>9296</v>
      </c>
      <c r="C45" s="32" t="s">
        <v>9297</v>
      </c>
      <c r="D45" s="33" t="s">
        <v>9298</v>
      </c>
      <c r="F45" s="16"/>
    </row>
    <row r="46" spans="1:6" ht="16.5" customHeight="1" x14ac:dyDescent="0.35">
      <c r="A46" s="31" t="s">
        <v>9299</v>
      </c>
      <c r="B46" s="31" t="s">
        <v>9300</v>
      </c>
      <c r="C46" s="32" t="s">
        <v>9301</v>
      </c>
      <c r="D46" s="33" t="s">
        <v>9302</v>
      </c>
      <c r="F46" s="16"/>
    </row>
    <row r="47" spans="1:6" ht="16.5" customHeight="1" x14ac:dyDescent="0.35">
      <c r="A47" s="31" t="s">
        <v>9303</v>
      </c>
      <c r="B47" s="31" t="s">
        <v>9304</v>
      </c>
      <c r="C47" s="32" t="s">
        <v>9305</v>
      </c>
      <c r="D47" s="33" t="s">
        <v>9306</v>
      </c>
      <c r="F47" s="16"/>
    </row>
    <row r="48" spans="1:6" ht="16.5" customHeight="1" x14ac:dyDescent="0.35">
      <c r="A48" s="34" t="s">
        <v>9307</v>
      </c>
      <c r="B48" s="31" t="s">
        <v>9308</v>
      </c>
      <c r="C48" s="32" t="s">
        <v>9309</v>
      </c>
      <c r="D48" s="33" t="s">
        <v>9310</v>
      </c>
      <c r="F48" s="16"/>
    </row>
    <row r="49" spans="1:6" ht="16.5" customHeight="1" x14ac:dyDescent="0.35">
      <c r="A49" s="31" t="s">
        <v>9311</v>
      </c>
      <c r="B49" s="31" t="s">
        <v>9312</v>
      </c>
      <c r="C49" s="32" t="s">
        <v>9313</v>
      </c>
      <c r="D49" s="33" t="s">
        <v>9314</v>
      </c>
      <c r="F49" s="16"/>
    </row>
    <row r="50" spans="1:6" ht="16.5" customHeight="1" x14ac:dyDescent="0.35">
      <c r="A50" s="31" t="s">
        <v>9315</v>
      </c>
      <c r="B50" s="31" t="s">
        <v>9316</v>
      </c>
      <c r="C50" s="32" t="s">
        <v>9317</v>
      </c>
      <c r="D50" s="33" t="s">
        <v>9318</v>
      </c>
      <c r="F50" s="16"/>
    </row>
    <row r="51" spans="1:6" ht="16.5" customHeight="1" x14ac:dyDescent="0.35">
      <c r="A51" s="31" t="s">
        <v>9319</v>
      </c>
      <c r="B51" s="31" t="s">
        <v>9320</v>
      </c>
      <c r="C51" s="32" t="s">
        <v>9321</v>
      </c>
      <c r="D51" s="33" t="s">
        <v>9322</v>
      </c>
      <c r="F51" s="16"/>
    </row>
    <row r="52" spans="1:6" ht="16.5" customHeight="1" x14ac:dyDescent="0.35">
      <c r="A52" s="34" t="s">
        <v>9323</v>
      </c>
      <c r="B52" s="31" t="s">
        <v>9324</v>
      </c>
      <c r="C52" s="32" t="s">
        <v>9325</v>
      </c>
      <c r="D52" s="33" t="s">
        <v>9326</v>
      </c>
      <c r="F52" s="16"/>
    </row>
    <row r="53" spans="1:6" ht="16.5" customHeight="1" x14ac:dyDescent="0.35">
      <c r="A53" s="31" t="s">
        <v>9327</v>
      </c>
      <c r="B53" s="31" t="s">
        <v>9328</v>
      </c>
      <c r="C53" s="32" t="s">
        <v>9329</v>
      </c>
      <c r="D53" s="33" t="s">
        <v>9330</v>
      </c>
      <c r="F53" s="16"/>
    </row>
    <row r="54" spans="1:6" ht="16.5" customHeight="1" x14ac:dyDescent="0.35">
      <c r="A54" s="31" t="s">
        <v>9331</v>
      </c>
      <c r="B54" s="31" t="s">
        <v>9332</v>
      </c>
      <c r="C54" s="32" t="s">
        <v>9333</v>
      </c>
      <c r="D54" s="33" t="s">
        <v>9334</v>
      </c>
      <c r="F54" s="16"/>
    </row>
    <row r="55" spans="1:6" ht="16.5" customHeight="1" x14ac:dyDescent="0.35">
      <c r="A55" s="31" t="s">
        <v>6662</v>
      </c>
      <c r="B55" s="31" t="s">
        <v>9335</v>
      </c>
      <c r="C55" s="32" t="s">
        <v>9336</v>
      </c>
      <c r="D55" s="33" t="s">
        <v>9337</v>
      </c>
      <c r="F55" s="16"/>
    </row>
    <row r="56" spans="1:6" ht="16.5" customHeight="1" x14ac:dyDescent="0.35">
      <c r="A56" s="34" t="s">
        <v>9338</v>
      </c>
      <c r="B56" s="31" t="s">
        <v>290</v>
      </c>
      <c r="C56" s="32" t="s">
        <v>9339</v>
      </c>
      <c r="D56" s="33" t="s">
        <v>9340</v>
      </c>
      <c r="F56" s="16"/>
    </row>
    <row r="57" spans="1:6" ht="16.5" customHeight="1" x14ac:dyDescent="0.35">
      <c r="A57" s="31" t="s">
        <v>9341</v>
      </c>
      <c r="B57" s="31" t="s">
        <v>9342</v>
      </c>
      <c r="C57" s="32" t="s">
        <v>9343</v>
      </c>
      <c r="D57" s="33" t="s">
        <v>9344</v>
      </c>
      <c r="F57" s="16"/>
    </row>
    <row r="58" spans="1:6" ht="16.5" customHeight="1" x14ac:dyDescent="0.35">
      <c r="A58" s="31" t="s">
        <v>9345</v>
      </c>
      <c r="B58" s="39" t="s">
        <v>9346</v>
      </c>
      <c r="C58" s="32" t="s">
        <v>9347</v>
      </c>
      <c r="D58" s="40" t="s">
        <v>9348</v>
      </c>
      <c r="F58" s="16"/>
    </row>
    <row r="59" spans="1:6" ht="16.5" customHeight="1" x14ac:dyDescent="0.35">
      <c r="A59" s="34" t="s">
        <v>9349</v>
      </c>
      <c r="B59" s="31" t="s">
        <v>9350</v>
      </c>
      <c r="C59" s="32" t="s">
        <v>9351</v>
      </c>
      <c r="D59" s="33" t="s">
        <v>9352</v>
      </c>
      <c r="F59" s="16"/>
    </row>
    <row r="60" spans="1:6" ht="16.5" customHeight="1" x14ac:dyDescent="0.35">
      <c r="A60" s="31" t="s">
        <v>9353</v>
      </c>
      <c r="B60" s="31" t="s">
        <v>9354</v>
      </c>
      <c r="C60" s="32" t="s">
        <v>9355</v>
      </c>
      <c r="D60" s="33" t="s">
        <v>9356</v>
      </c>
      <c r="F60" s="16"/>
    </row>
    <row r="61" spans="1:6" ht="16.5" customHeight="1" x14ac:dyDescent="0.35">
      <c r="A61" s="31" t="s">
        <v>9357</v>
      </c>
      <c r="B61" s="31" t="s">
        <v>9358</v>
      </c>
      <c r="C61" s="32" t="s">
        <v>9359</v>
      </c>
      <c r="D61" s="33" t="s">
        <v>9360</v>
      </c>
      <c r="F61" s="16"/>
    </row>
    <row r="62" spans="1:6" ht="16.5" customHeight="1" x14ac:dyDescent="0.35">
      <c r="A62" s="34" t="s">
        <v>9361</v>
      </c>
      <c r="B62" s="39" t="s">
        <v>9362</v>
      </c>
      <c r="C62" s="37" t="s">
        <v>9363</v>
      </c>
      <c r="D62" s="41" t="s">
        <v>9364</v>
      </c>
      <c r="F62" s="16"/>
    </row>
    <row r="63" spans="1:6" ht="16.5" customHeight="1" x14ac:dyDescent="0.35">
      <c r="A63" s="31" t="s">
        <v>7378</v>
      </c>
      <c r="B63" s="31" t="s">
        <v>9365</v>
      </c>
      <c r="C63" s="32" t="s">
        <v>9366</v>
      </c>
      <c r="D63" s="33" t="s">
        <v>9367</v>
      </c>
      <c r="F63" s="16"/>
    </row>
    <row r="64" spans="1:6" ht="16.5" customHeight="1" x14ac:dyDescent="0.35">
      <c r="A64" s="31" t="s">
        <v>9368</v>
      </c>
      <c r="B64" s="31" t="s">
        <v>9369</v>
      </c>
      <c r="C64" s="32" t="s">
        <v>9370</v>
      </c>
      <c r="D64" s="33" t="s">
        <v>9371</v>
      </c>
      <c r="F64" s="16"/>
    </row>
    <row r="65" spans="1:6" ht="16.5" customHeight="1" x14ac:dyDescent="0.35">
      <c r="A65" s="34" t="s">
        <v>9372</v>
      </c>
      <c r="B65" s="31" t="s">
        <v>9373</v>
      </c>
      <c r="C65" s="32" t="s">
        <v>9374</v>
      </c>
      <c r="D65" s="33" t="s">
        <v>9375</v>
      </c>
      <c r="F65" s="16"/>
    </row>
    <row r="66" spans="1:6" ht="16.5" customHeight="1" x14ac:dyDescent="0.35">
      <c r="A66" s="31" t="s">
        <v>9376</v>
      </c>
      <c r="B66" s="31" t="s">
        <v>9377</v>
      </c>
      <c r="C66" s="32" t="s">
        <v>9378</v>
      </c>
      <c r="D66" s="33" t="s">
        <v>9379</v>
      </c>
      <c r="F66" s="16"/>
    </row>
    <row r="67" spans="1:6" ht="16.5" customHeight="1" x14ac:dyDescent="0.35">
      <c r="A67" s="31" t="s">
        <v>9380</v>
      </c>
      <c r="B67" s="31" t="s">
        <v>9381</v>
      </c>
      <c r="C67" s="32" t="s">
        <v>9382</v>
      </c>
      <c r="D67" s="33" t="s">
        <v>9383</v>
      </c>
      <c r="F67" s="16"/>
    </row>
    <row r="68" spans="1:6" ht="16.5" customHeight="1" x14ac:dyDescent="0.35">
      <c r="A68" s="31" t="s">
        <v>9384</v>
      </c>
      <c r="B68" s="36" t="s">
        <v>9385</v>
      </c>
      <c r="C68" s="32" t="s">
        <v>9386</v>
      </c>
      <c r="D68" s="40" t="s">
        <v>9387</v>
      </c>
      <c r="F68" s="16"/>
    </row>
    <row r="69" spans="1:6" ht="16.5" customHeight="1" x14ac:dyDescent="0.35">
      <c r="A69" s="34" t="s">
        <v>9388</v>
      </c>
      <c r="B69" s="31" t="s">
        <v>9389</v>
      </c>
      <c r="C69" s="32" t="s">
        <v>9390</v>
      </c>
      <c r="D69" s="33" t="s">
        <v>9391</v>
      </c>
      <c r="F69" s="16"/>
    </row>
    <row r="70" spans="1:6" ht="16.5" customHeight="1" x14ac:dyDescent="0.35">
      <c r="A70" s="31" t="s">
        <v>8436</v>
      </c>
      <c r="B70" s="31" t="s">
        <v>9392</v>
      </c>
      <c r="C70" s="32" t="s">
        <v>9393</v>
      </c>
      <c r="D70" s="33" t="s">
        <v>9394</v>
      </c>
      <c r="F70" s="16"/>
    </row>
    <row r="71" spans="1:6" ht="16.5" customHeight="1" x14ac:dyDescent="0.35">
      <c r="A71" s="31" t="s">
        <v>9395</v>
      </c>
      <c r="B71" s="39" t="s">
        <v>9396</v>
      </c>
      <c r="C71" s="37" t="s">
        <v>9397</v>
      </c>
      <c r="D71" s="41" t="s">
        <v>9398</v>
      </c>
      <c r="F71" s="16"/>
    </row>
    <row r="72" spans="1:6" ht="16.5" customHeight="1" x14ac:dyDescent="0.35">
      <c r="A72" s="31" t="s">
        <v>9399</v>
      </c>
      <c r="B72" s="36" t="s">
        <v>9400</v>
      </c>
      <c r="C72" s="32" t="s">
        <v>9401</v>
      </c>
      <c r="D72" s="42" t="s">
        <v>9402</v>
      </c>
      <c r="F72" s="16"/>
    </row>
    <row r="73" spans="1:6" ht="16.5" customHeight="1" x14ac:dyDescent="0.35">
      <c r="A73" s="31" t="s">
        <v>9403</v>
      </c>
      <c r="B73" s="36" t="s">
        <v>9404</v>
      </c>
      <c r="C73" s="32" t="s">
        <v>9405</v>
      </c>
      <c r="D73" s="40" t="s">
        <v>9406</v>
      </c>
      <c r="F73" s="16"/>
    </row>
    <row r="74" spans="1:6" ht="16.5" customHeight="1" x14ac:dyDescent="0.35">
      <c r="A74" s="31" t="s">
        <v>8435</v>
      </c>
      <c r="B74" s="31" t="s">
        <v>9237</v>
      </c>
      <c r="C74" s="32" t="s">
        <v>9407</v>
      </c>
      <c r="D74" s="33" t="s">
        <v>9408</v>
      </c>
      <c r="F74" s="16"/>
    </row>
    <row r="75" spans="1:6" ht="16.5" customHeight="1" x14ac:dyDescent="0.35">
      <c r="A75" s="31" t="s">
        <v>9409</v>
      </c>
      <c r="B75" s="31" t="s">
        <v>9410</v>
      </c>
      <c r="C75" s="32" t="s">
        <v>9411</v>
      </c>
      <c r="D75" s="33" t="s">
        <v>9412</v>
      </c>
      <c r="F75" s="16"/>
    </row>
    <row r="76" spans="1:6" ht="16.5" customHeight="1" x14ac:dyDescent="0.35">
      <c r="A76" s="31" t="s">
        <v>9413</v>
      </c>
      <c r="B76" s="31" t="s">
        <v>9414</v>
      </c>
      <c r="C76" s="32" t="s">
        <v>9415</v>
      </c>
      <c r="D76" s="33" t="s">
        <v>9416</v>
      </c>
      <c r="F76" s="16"/>
    </row>
    <row r="77" spans="1:6" ht="16.5" customHeight="1" x14ac:dyDescent="0.35">
      <c r="A77" s="31" t="s">
        <v>8098</v>
      </c>
      <c r="B77" s="31" t="s">
        <v>9392</v>
      </c>
      <c r="C77" s="32" t="s">
        <v>9417</v>
      </c>
      <c r="D77" s="33" t="s">
        <v>9418</v>
      </c>
      <c r="F77" s="16"/>
    </row>
    <row r="78" spans="1:6" ht="16.5" customHeight="1" x14ac:dyDescent="0.35">
      <c r="A78" s="31" t="s">
        <v>9419</v>
      </c>
      <c r="B78" s="31" t="s">
        <v>9420</v>
      </c>
      <c r="C78" s="32" t="s">
        <v>9421</v>
      </c>
      <c r="D78" s="33" t="s">
        <v>9422</v>
      </c>
      <c r="F78" s="16"/>
    </row>
    <row r="79" spans="1:6" ht="16.5" customHeight="1" x14ac:dyDescent="0.35">
      <c r="A79" s="31" t="s">
        <v>9423</v>
      </c>
      <c r="B79" s="31" t="s">
        <v>9424</v>
      </c>
      <c r="C79" s="32" t="s">
        <v>9425</v>
      </c>
      <c r="D79" s="33" t="s">
        <v>9426</v>
      </c>
      <c r="F79" s="16"/>
    </row>
    <row r="80" spans="1:6" ht="16.5" customHeight="1" x14ac:dyDescent="0.35">
      <c r="A80" s="34" t="s">
        <v>9427</v>
      </c>
      <c r="B80" s="31" t="s">
        <v>9428</v>
      </c>
      <c r="C80" s="32" t="s">
        <v>9429</v>
      </c>
      <c r="D80" s="33" t="s">
        <v>9430</v>
      </c>
      <c r="F80" s="17"/>
    </row>
    <row r="81" spans="1:6" ht="16.5" customHeight="1" x14ac:dyDescent="0.35">
      <c r="A81" s="34" t="s">
        <v>9431</v>
      </c>
      <c r="B81" s="31" t="s">
        <v>9432</v>
      </c>
      <c r="C81" s="32" t="s">
        <v>9433</v>
      </c>
      <c r="D81" s="33" t="s">
        <v>9434</v>
      </c>
      <c r="F81" s="16"/>
    </row>
    <row r="82" spans="1:6" ht="16.5" customHeight="1" x14ac:dyDescent="0.35">
      <c r="A82" s="34" t="s">
        <v>9435</v>
      </c>
      <c r="B82" s="31" t="s">
        <v>9436</v>
      </c>
      <c r="C82" s="32" t="s">
        <v>9437</v>
      </c>
      <c r="D82" s="33" t="s">
        <v>9438</v>
      </c>
      <c r="F82" s="16"/>
    </row>
    <row r="83" spans="1:6" ht="16.5" customHeight="1" x14ac:dyDescent="0.35">
      <c r="A83" s="31" t="s">
        <v>9439</v>
      </c>
      <c r="B83" s="31" t="s">
        <v>9440</v>
      </c>
      <c r="C83" s="32" t="s">
        <v>9441</v>
      </c>
      <c r="D83" s="33" t="s">
        <v>9442</v>
      </c>
      <c r="F83" s="16"/>
    </row>
    <row r="84" spans="1:6" ht="16.5" customHeight="1" x14ac:dyDescent="0.35">
      <c r="A84" s="31" t="s">
        <v>9443</v>
      </c>
      <c r="B84" s="31" t="s">
        <v>9444</v>
      </c>
      <c r="C84" s="32" t="s">
        <v>9445</v>
      </c>
      <c r="D84" s="33" t="s">
        <v>9446</v>
      </c>
      <c r="F84" s="16"/>
    </row>
    <row r="85" spans="1:6" ht="16.5" customHeight="1" x14ac:dyDescent="0.35">
      <c r="A85" s="31" t="s">
        <v>9447</v>
      </c>
      <c r="B85" s="34" t="s">
        <v>9448</v>
      </c>
      <c r="C85" s="32" t="s">
        <v>9449</v>
      </c>
      <c r="D85" s="33" t="s">
        <v>9450</v>
      </c>
      <c r="F85" s="16"/>
    </row>
    <row r="86" spans="1:6" ht="16.5" customHeight="1" x14ac:dyDescent="0.35">
      <c r="A86" s="31" t="s">
        <v>9451</v>
      </c>
      <c r="B86" s="31" t="s">
        <v>9452</v>
      </c>
      <c r="C86" s="32" t="s">
        <v>9453</v>
      </c>
      <c r="D86" s="33" t="s">
        <v>9454</v>
      </c>
      <c r="F86" s="16"/>
    </row>
    <row r="87" spans="1:6" ht="16.5" customHeight="1" x14ac:dyDescent="0.35">
      <c r="A87" s="31" t="s">
        <v>7304</v>
      </c>
      <c r="B87" s="31" t="s">
        <v>9455</v>
      </c>
      <c r="C87" s="32" t="s">
        <v>9456</v>
      </c>
      <c r="D87" s="33" t="s">
        <v>9457</v>
      </c>
      <c r="F87" s="16"/>
    </row>
    <row r="88" spans="1:6" ht="16.5" customHeight="1" x14ac:dyDescent="0.35">
      <c r="A88" s="34" t="s">
        <v>9458</v>
      </c>
      <c r="B88" s="31" t="s">
        <v>9459</v>
      </c>
      <c r="C88" s="32" t="s">
        <v>9460</v>
      </c>
      <c r="D88" s="33" t="s">
        <v>9461</v>
      </c>
      <c r="F88" s="16"/>
    </row>
    <row r="89" spans="1:6" ht="16.5" customHeight="1" x14ac:dyDescent="0.35">
      <c r="A89" s="31" t="s">
        <v>9462</v>
      </c>
      <c r="B89" s="31" t="s">
        <v>9463</v>
      </c>
      <c r="C89" s="32" t="s">
        <v>9464</v>
      </c>
      <c r="D89" s="33" t="s">
        <v>9465</v>
      </c>
      <c r="F89" s="16"/>
    </row>
    <row r="90" spans="1:6" ht="16.5" customHeight="1" x14ac:dyDescent="0.35">
      <c r="A90" s="34" t="s">
        <v>9466</v>
      </c>
      <c r="B90" s="31" t="s">
        <v>9467</v>
      </c>
      <c r="C90" s="32" t="s">
        <v>9468</v>
      </c>
      <c r="D90" s="33" t="s">
        <v>9469</v>
      </c>
      <c r="F90" s="16"/>
    </row>
    <row r="91" spans="1:6" ht="16.5" customHeight="1" x14ac:dyDescent="0.35">
      <c r="A91" s="31" t="s">
        <v>6911</v>
      </c>
      <c r="B91" s="31" t="s">
        <v>9470</v>
      </c>
      <c r="C91" s="32" t="s">
        <v>9471</v>
      </c>
      <c r="D91" s="33" t="s">
        <v>9472</v>
      </c>
      <c r="F91" s="16"/>
    </row>
    <row r="92" spans="1:6" ht="16.5" customHeight="1" x14ac:dyDescent="0.35">
      <c r="A92" s="31" t="s">
        <v>7303</v>
      </c>
      <c r="B92" s="31" t="s">
        <v>9473</v>
      </c>
      <c r="C92" s="32" t="s">
        <v>9474</v>
      </c>
      <c r="D92" s="33" t="s">
        <v>9475</v>
      </c>
      <c r="F92" s="16"/>
    </row>
    <row r="93" spans="1:6" ht="16.5" customHeight="1" x14ac:dyDescent="0.35">
      <c r="A93" s="34" t="s">
        <v>9476</v>
      </c>
      <c r="B93" s="31" t="s">
        <v>9477</v>
      </c>
      <c r="C93" s="32" t="s">
        <v>9478</v>
      </c>
      <c r="D93" s="33" t="s">
        <v>9479</v>
      </c>
      <c r="F93" s="16"/>
    </row>
    <row r="94" spans="1:6" ht="16.5" customHeight="1" x14ac:dyDescent="0.35">
      <c r="A94" s="34" t="s">
        <v>9480</v>
      </c>
      <c r="B94" s="39" t="s">
        <v>9481</v>
      </c>
      <c r="C94" s="37" t="s">
        <v>9482</v>
      </c>
      <c r="D94" s="38" t="s">
        <v>9483</v>
      </c>
      <c r="F94" s="16"/>
    </row>
    <row r="95" spans="1:6" ht="16.5" customHeight="1" x14ac:dyDescent="0.35">
      <c r="A95" s="34" t="s">
        <v>9484</v>
      </c>
      <c r="B95" s="31" t="s">
        <v>9485</v>
      </c>
      <c r="C95" s="32" t="s">
        <v>9486</v>
      </c>
      <c r="D95" s="33" t="s">
        <v>9487</v>
      </c>
      <c r="F95" s="16"/>
    </row>
    <row r="96" spans="1:6" ht="16.5" customHeight="1" x14ac:dyDescent="0.35">
      <c r="A96" s="31" t="s">
        <v>9488</v>
      </c>
      <c r="B96" s="31" t="s">
        <v>9489</v>
      </c>
      <c r="C96" s="32" t="s">
        <v>9490</v>
      </c>
      <c r="D96" s="33" t="s">
        <v>9491</v>
      </c>
      <c r="F96" s="16"/>
    </row>
    <row r="97" spans="1:6" ht="16.5" customHeight="1" x14ac:dyDescent="0.35">
      <c r="A97" s="31" t="s">
        <v>9492</v>
      </c>
      <c r="B97" s="31" t="s">
        <v>9493</v>
      </c>
      <c r="C97" s="32" t="s">
        <v>9494</v>
      </c>
      <c r="D97" s="33" t="s">
        <v>9495</v>
      </c>
      <c r="F97" s="16"/>
    </row>
    <row r="98" spans="1:6" ht="16.5" customHeight="1" x14ac:dyDescent="0.35">
      <c r="A98" s="34" t="s">
        <v>9496</v>
      </c>
      <c r="B98" s="36" t="s">
        <v>9497</v>
      </c>
      <c r="C98" s="37" t="s">
        <v>9498</v>
      </c>
      <c r="D98" s="38" t="s">
        <v>9499</v>
      </c>
      <c r="F98" s="16"/>
    </row>
    <row r="99" spans="1:6" ht="16.5" customHeight="1" x14ac:dyDescent="0.35">
      <c r="A99" s="34" t="s">
        <v>9500</v>
      </c>
      <c r="B99" s="39" t="s">
        <v>9501</v>
      </c>
      <c r="C99" s="37" t="s">
        <v>9502</v>
      </c>
      <c r="D99" s="38" t="s">
        <v>9503</v>
      </c>
      <c r="F99" s="16"/>
    </row>
    <row r="100" spans="1:6" ht="16.5" customHeight="1" x14ac:dyDescent="0.35">
      <c r="A100" s="31" t="s">
        <v>9504</v>
      </c>
      <c r="B100" s="39" t="s">
        <v>9505</v>
      </c>
      <c r="C100" s="32" t="s">
        <v>9506</v>
      </c>
      <c r="D100" s="40" t="s">
        <v>9507</v>
      </c>
      <c r="F100" s="16"/>
    </row>
    <row r="101" spans="1:6" ht="16.5" customHeight="1" x14ac:dyDescent="0.35">
      <c r="A101" s="34" t="s">
        <v>9508</v>
      </c>
      <c r="B101" s="31" t="s">
        <v>9509</v>
      </c>
      <c r="C101" s="32" t="s">
        <v>9510</v>
      </c>
      <c r="D101" s="33" t="s">
        <v>9511</v>
      </c>
      <c r="F101" s="16"/>
    </row>
    <row r="102" spans="1:6" ht="16.5" customHeight="1" x14ac:dyDescent="0.35">
      <c r="A102" s="31" t="s">
        <v>9512</v>
      </c>
      <c r="B102" s="31" t="s">
        <v>9513</v>
      </c>
      <c r="C102" s="32" t="s">
        <v>9514</v>
      </c>
      <c r="D102" s="33" t="s">
        <v>9515</v>
      </c>
      <c r="F102" s="16"/>
    </row>
    <row r="103" spans="1:6" ht="16.5" customHeight="1" x14ac:dyDescent="0.35">
      <c r="A103" s="31" t="s">
        <v>9516</v>
      </c>
      <c r="B103" s="31" t="s">
        <v>9517</v>
      </c>
      <c r="C103" s="32" t="s">
        <v>9518</v>
      </c>
      <c r="D103" s="33" t="s">
        <v>9519</v>
      </c>
      <c r="F103" s="16"/>
    </row>
    <row r="104" spans="1:6" ht="16.5" customHeight="1" x14ac:dyDescent="0.35">
      <c r="A104" s="31" t="s">
        <v>8445</v>
      </c>
      <c r="B104" s="39" t="s">
        <v>9520</v>
      </c>
      <c r="C104" s="32" t="s">
        <v>9521</v>
      </c>
      <c r="D104" s="40" t="s">
        <v>9522</v>
      </c>
      <c r="F104" s="16"/>
    </row>
    <row r="105" spans="1:6" ht="16.5" customHeight="1" x14ac:dyDescent="0.35">
      <c r="A105" s="34" t="s">
        <v>9523</v>
      </c>
      <c r="B105" s="39" t="s">
        <v>9524</v>
      </c>
      <c r="C105" s="37" t="s">
        <v>9525</v>
      </c>
      <c r="D105" s="38" t="s">
        <v>9526</v>
      </c>
      <c r="F105" s="16"/>
    </row>
    <row r="106" spans="1:6" ht="16.5" customHeight="1" x14ac:dyDescent="0.35">
      <c r="A106" s="31" t="s">
        <v>9527</v>
      </c>
      <c r="B106" s="36" t="s">
        <v>9528</v>
      </c>
      <c r="C106" s="32" t="s">
        <v>9529</v>
      </c>
      <c r="D106" s="40" t="s">
        <v>9530</v>
      </c>
      <c r="F106" s="16"/>
    </row>
    <row r="107" spans="1:6" ht="16.5" customHeight="1" x14ac:dyDescent="0.35">
      <c r="A107" s="34" t="s">
        <v>9531</v>
      </c>
      <c r="B107" s="36" t="s">
        <v>9532</v>
      </c>
      <c r="C107" s="37" t="s">
        <v>9533</v>
      </c>
      <c r="D107" s="38" t="s">
        <v>9534</v>
      </c>
      <c r="F107" s="16"/>
    </row>
    <row r="108" spans="1:6" ht="16.5" customHeight="1" x14ac:dyDescent="0.35">
      <c r="A108" s="34" t="s">
        <v>9535</v>
      </c>
      <c r="B108" s="36" t="s">
        <v>9536</v>
      </c>
      <c r="C108" s="37" t="s">
        <v>9537</v>
      </c>
      <c r="D108" s="38" t="s">
        <v>9538</v>
      </c>
      <c r="F108" s="16"/>
    </row>
    <row r="109" spans="1:6" ht="16.5" customHeight="1" x14ac:dyDescent="0.35">
      <c r="A109" s="34" t="s">
        <v>7806</v>
      </c>
      <c r="B109" s="39" t="s">
        <v>9539</v>
      </c>
      <c r="C109" s="37" t="s">
        <v>9540</v>
      </c>
      <c r="D109" s="38" t="s">
        <v>9541</v>
      </c>
      <c r="F109" s="16"/>
    </row>
    <row r="110" spans="1:6" ht="16.5" customHeight="1" x14ac:dyDescent="0.35">
      <c r="A110" s="31" t="s">
        <v>9542</v>
      </c>
      <c r="B110" s="31" t="s">
        <v>9543</v>
      </c>
      <c r="C110" s="32" t="s">
        <v>9544</v>
      </c>
      <c r="D110" s="33" t="s">
        <v>9545</v>
      </c>
      <c r="F110" s="16"/>
    </row>
    <row r="111" spans="1:6" ht="16.5" customHeight="1" x14ac:dyDescent="0.35">
      <c r="A111" s="31" t="s">
        <v>9546</v>
      </c>
      <c r="B111" s="31" t="s">
        <v>9547</v>
      </c>
      <c r="C111" s="32" t="s">
        <v>9548</v>
      </c>
      <c r="D111" s="33" t="s">
        <v>9549</v>
      </c>
      <c r="F111" s="16"/>
    </row>
    <row r="112" spans="1:6" ht="16.5" customHeight="1" x14ac:dyDescent="0.35">
      <c r="A112" s="31" t="s">
        <v>9550</v>
      </c>
      <c r="B112" s="31" t="s">
        <v>9551</v>
      </c>
      <c r="C112" s="32" t="s">
        <v>9552</v>
      </c>
      <c r="D112" s="33" t="s">
        <v>9553</v>
      </c>
      <c r="F112" s="16"/>
    </row>
    <row r="113" spans="1:6" ht="16.5" customHeight="1" x14ac:dyDescent="0.35">
      <c r="A113" s="31" t="s">
        <v>9554</v>
      </c>
      <c r="B113" s="31" t="s">
        <v>9555</v>
      </c>
      <c r="C113" s="32" t="s">
        <v>9556</v>
      </c>
      <c r="D113" s="33" t="s">
        <v>9557</v>
      </c>
      <c r="F113" s="16"/>
    </row>
    <row r="114" spans="1:6" ht="16.5" customHeight="1" x14ac:dyDescent="0.35">
      <c r="A114" s="31" t="s">
        <v>9558</v>
      </c>
      <c r="B114" s="31" t="s">
        <v>9559</v>
      </c>
      <c r="C114" s="32" t="s">
        <v>9560</v>
      </c>
      <c r="D114" s="33" t="s">
        <v>9561</v>
      </c>
      <c r="F114" s="16"/>
    </row>
    <row r="115" spans="1:6" ht="16.5" customHeight="1" x14ac:dyDescent="0.35">
      <c r="A115" s="31" t="s">
        <v>8693</v>
      </c>
      <c r="B115" s="31" t="s">
        <v>9562</v>
      </c>
      <c r="C115" s="32" t="s">
        <v>9563</v>
      </c>
      <c r="D115" s="33" t="s">
        <v>9564</v>
      </c>
      <c r="F115" s="17"/>
    </row>
    <row r="116" spans="1:6" ht="16.5" customHeight="1" x14ac:dyDescent="0.35">
      <c r="A116" s="34" t="s">
        <v>9565</v>
      </c>
      <c r="B116" s="31" t="s">
        <v>9566</v>
      </c>
      <c r="C116" s="32" t="s">
        <v>9567</v>
      </c>
      <c r="D116" s="33" t="s">
        <v>9568</v>
      </c>
      <c r="F116" s="16"/>
    </row>
    <row r="117" spans="1:6" ht="16.5" customHeight="1" x14ac:dyDescent="0.35">
      <c r="A117" s="31" t="s">
        <v>9569</v>
      </c>
      <c r="B117" s="31" t="s">
        <v>9570</v>
      </c>
      <c r="C117" s="32" t="s">
        <v>9571</v>
      </c>
      <c r="D117" s="33" t="s">
        <v>9572</v>
      </c>
      <c r="F117" s="16"/>
    </row>
    <row r="118" spans="1:6" ht="16.5" customHeight="1" x14ac:dyDescent="0.35">
      <c r="A118" s="34" t="s">
        <v>9573</v>
      </c>
      <c r="B118" s="31" t="s">
        <v>9574</v>
      </c>
      <c r="C118" s="32" t="s">
        <v>9575</v>
      </c>
      <c r="D118" s="33" t="s">
        <v>9576</v>
      </c>
      <c r="F118" s="16"/>
    </row>
    <row r="119" spans="1:6" ht="16.5" customHeight="1" x14ac:dyDescent="0.35">
      <c r="A119" s="31" t="s">
        <v>9084</v>
      </c>
      <c r="B119" s="31" t="s">
        <v>9577</v>
      </c>
      <c r="C119" s="32" t="s">
        <v>9578</v>
      </c>
      <c r="D119" s="33" t="s">
        <v>9579</v>
      </c>
      <c r="F119" s="16"/>
    </row>
    <row r="120" spans="1:6" ht="16.5" customHeight="1" x14ac:dyDescent="0.35">
      <c r="A120" s="31" t="s">
        <v>9580</v>
      </c>
      <c r="B120" s="31" t="s">
        <v>9581</v>
      </c>
      <c r="C120" s="32" t="s">
        <v>9582</v>
      </c>
      <c r="D120" s="33" t="s">
        <v>9583</v>
      </c>
      <c r="F120" s="16"/>
    </row>
    <row r="121" spans="1:6" ht="16.5" customHeight="1" x14ac:dyDescent="0.35">
      <c r="A121" s="31" t="s">
        <v>9584</v>
      </c>
      <c r="B121" s="31" t="s">
        <v>9585</v>
      </c>
      <c r="C121" s="32" t="s">
        <v>9586</v>
      </c>
      <c r="D121" s="33" t="s">
        <v>9587</v>
      </c>
      <c r="F121" s="16"/>
    </row>
    <row r="122" spans="1:6" ht="16.5" customHeight="1" x14ac:dyDescent="0.35">
      <c r="A122" s="31" t="s">
        <v>9588</v>
      </c>
      <c r="B122" s="31" t="s">
        <v>9589</v>
      </c>
      <c r="C122" s="32" t="s">
        <v>9590</v>
      </c>
      <c r="D122" s="33" t="s">
        <v>9591</v>
      </c>
      <c r="F122" s="16"/>
    </row>
    <row r="123" spans="1:6" ht="16.5" customHeight="1" x14ac:dyDescent="0.35">
      <c r="A123" s="31" t="s">
        <v>9592</v>
      </c>
      <c r="B123" s="31" t="s">
        <v>9593</v>
      </c>
      <c r="C123" s="32" t="s">
        <v>9594</v>
      </c>
      <c r="D123" s="33" t="s">
        <v>9595</v>
      </c>
      <c r="F123" s="16"/>
    </row>
    <row r="124" spans="1:6" ht="16.5" customHeight="1" x14ac:dyDescent="0.35">
      <c r="A124" s="31" t="s">
        <v>9596</v>
      </c>
      <c r="B124" s="31" t="s">
        <v>9597</v>
      </c>
      <c r="C124" s="32" t="s">
        <v>9598</v>
      </c>
      <c r="D124" s="33" t="s">
        <v>9599</v>
      </c>
      <c r="F124" s="16"/>
    </row>
    <row r="125" spans="1:6" ht="16.5" customHeight="1" x14ac:dyDescent="0.35">
      <c r="A125" s="31" t="s">
        <v>9600</v>
      </c>
      <c r="B125" s="31" t="s">
        <v>9601</v>
      </c>
      <c r="C125" s="32" t="s">
        <v>9602</v>
      </c>
      <c r="D125" s="33" t="s">
        <v>9603</v>
      </c>
      <c r="F125" s="16"/>
    </row>
    <row r="126" spans="1:6" ht="16.5" customHeight="1" x14ac:dyDescent="0.35">
      <c r="A126" s="34" t="s">
        <v>9604</v>
      </c>
      <c r="B126" s="36" t="s">
        <v>9605</v>
      </c>
      <c r="C126" s="37" t="s">
        <v>9606</v>
      </c>
      <c r="D126" s="41" t="s">
        <v>9607</v>
      </c>
      <c r="F126" s="16"/>
    </row>
    <row r="127" spans="1:6" ht="16.5" customHeight="1" x14ac:dyDescent="0.35">
      <c r="A127" s="31" t="s">
        <v>8100</v>
      </c>
      <c r="B127" s="36" t="s">
        <v>9608</v>
      </c>
      <c r="C127" s="32" t="s">
        <v>9609</v>
      </c>
      <c r="D127" s="41" t="s">
        <v>9610</v>
      </c>
      <c r="F127" s="17"/>
    </row>
    <row r="128" spans="1:6" ht="16.5" customHeight="1" x14ac:dyDescent="0.35">
      <c r="A128" s="31" t="s">
        <v>9611</v>
      </c>
      <c r="B128" s="31" t="s">
        <v>9612</v>
      </c>
      <c r="C128" s="32" t="s">
        <v>9613</v>
      </c>
      <c r="D128" s="33" t="s">
        <v>9614</v>
      </c>
      <c r="F128" s="17"/>
    </row>
    <row r="129" spans="1:6" ht="16.5" customHeight="1" x14ac:dyDescent="0.35">
      <c r="A129" s="31" t="s">
        <v>9615</v>
      </c>
      <c r="B129" s="31" t="s">
        <v>9616</v>
      </c>
      <c r="C129" s="32" t="s">
        <v>9617</v>
      </c>
      <c r="D129" s="33" t="s">
        <v>9618</v>
      </c>
      <c r="F129" s="16"/>
    </row>
    <row r="130" spans="1:6" ht="16.5" customHeight="1" x14ac:dyDescent="0.35">
      <c r="A130" s="31" t="s">
        <v>7493</v>
      </c>
      <c r="B130" s="31" t="s">
        <v>9619</v>
      </c>
      <c r="C130" s="32" t="s">
        <v>9620</v>
      </c>
      <c r="D130" s="33" t="s">
        <v>9621</v>
      </c>
      <c r="F130" s="16"/>
    </row>
    <row r="131" spans="1:6" ht="16.5" customHeight="1" x14ac:dyDescent="0.35">
      <c r="A131" s="31" t="s">
        <v>9622</v>
      </c>
      <c r="B131" s="31" t="s">
        <v>9623</v>
      </c>
      <c r="C131" s="32" t="s">
        <v>9624</v>
      </c>
      <c r="D131" s="33" t="s">
        <v>9625</v>
      </c>
      <c r="F131" s="16"/>
    </row>
    <row r="132" spans="1:6" ht="16.5" customHeight="1" x14ac:dyDescent="0.35">
      <c r="A132" s="31" t="s">
        <v>9128</v>
      </c>
      <c r="B132" s="36" t="s">
        <v>9626</v>
      </c>
      <c r="C132" s="32" t="s">
        <v>9627</v>
      </c>
      <c r="D132" s="41" t="s">
        <v>9628</v>
      </c>
      <c r="F132" s="16"/>
    </row>
    <row r="133" spans="1:6" ht="16.5" customHeight="1" x14ac:dyDescent="0.35">
      <c r="A133" s="31" t="s">
        <v>9629</v>
      </c>
      <c r="B133" s="31" t="s">
        <v>9630</v>
      </c>
      <c r="C133" s="32" t="s">
        <v>9631</v>
      </c>
      <c r="D133" s="33" t="s">
        <v>9632</v>
      </c>
      <c r="F133" s="16"/>
    </row>
    <row r="134" spans="1:6" ht="16.5" customHeight="1" x14ac:dyDescent="0.35">
      <c r="A134" s="31" t="s">
        <v>6912</v>
      </c>
      <c r="B134" s="31" t="s">
        <v>9633</v>
      </c>
      <c r="C134" s="32" t="s">
        <v>9634</v>
      </c>
      <c r="D134" s="33" t="s">
        <v>9635</v>
      </c>
      <c r="F134" s="16"/>
    </row>
    <row r="135" spans="1:6" ht="16.5" customHeight="1" x14ac:dyDescent="0.35">
      <c r="A135" s="31" t="s">
        <v>7041</v>
      </c>
      <c r="B135" s="31" t="s">
        <v>9636</v>
      </c>
      <c r="C135" s="32" t="s">
        <v>9637</v>
      </c>
      <c r="D135" s="33" t="s">
        <v>9638</v>
      </c>
      <c r="F135" s="16"/>
    </row>
    <row r="136" spans="1:6" ht="16.5" customHeight="1" x14ac:dyDescent="0.35">
      <c r="A136" s="31" t="s">
        <v>6746</v>
      </c>
      <c r="B136" s="31" t="s">
        <v>9639</v>
      </c>
      <c r="C136" s="32" t="s">
        <v>9640</v>
      </c>
      <c r="D136" s="33" t="s">
        <v>9641</v>
      </c>
      <c r="F136" s="16"/>
    </row>
    <row r="137" spans="1:6" ht="16.5" customHeight="1" x14ac:dyDescent="0.35">
      <c r="A137" s="31" t="s">
        <v>9642</v>
      </c>
      <c r="B137" s="36" t="s">
        <v>9643</v>
      </c>
      <c r="C137" s="37" t="s">
        <v>9644</v>
      </c>
      <c r="D137" s="41" t="s">
        <v>9645</v>
      </c>
      <c r="F137" s="16"/>
    </row>
    <row r="138" spans="1:6" ht="16.5" customHeight="1" x14ac:dyDescent="0.35">
      <c r="A138" s="31" t="s">
        <v>9646</v>
      </c>
      <c r="B138" s="31" t="s">
        <v>9647</v>
      </c>
      <c r="C138" s="32" t="s">
        <v>9648</v>
      </c>
      <c r="D138" s="33" t="s">
        <v>9649</v>
      </c>
      <c r="F138" s="16"/>
    </row>
    <row r="139" spans="1:6" ht="16.5" customHeight="1" x14ac:dyDescent="0.35">
      <c r="A139" s="31" t="s">
        <v>9650</v>
      </c>
      <c r="B139" s="31" t="s">
        <v>9651</v>
      </c>
      <c r="C139" s="32" t="s">
        <v>9652</v>
      </c>
      <c r="D139" s="33" t="s">
        <v>9653</v>
      </c>
      <c r="F139" s="16"/>
    </row>
    <row r="140" spans="1:6" ht="16.5" customHeight="1" x14ac:dyDescent="0.35">
      <c r="A140" s="34" t="s">
        <v>9654</v>
      </c>
      <c r="B140" s="31" t="s">
        <v>9655</v>
      </c>
      <c r="C140" s="32" t="s">
        <v>9656</v>
      </c>
      <c r="D140" s="33" t="s">
        <v>9657</v>
      </c>
      <c r="F140" s="16"/>
    </row>
    <row r="141" spans="1:6" ht="16.5" customHeight="1" x14ac:dyDescent="0.35">
      <c r="A141" s="31" t="s">
        <v>9658</v>
      </c>
      <c r="B141" s="36" t="s">
        <v>9659</v>
      </c>
      <c r="C141" s="37" t="s">
        <v>9660</v>
      </c>
      <c r="D141" s="41" t="s">
        <v>9661</v>
      </c>
      <c r="F141" s="16"/>
    </row>
    <row r="142" spans="1:6" ht="16.5" customHeight="1" x14ac:dyDescent="0.35">
      <c r="A142" s="34" t="s">
        <v>9039</v>
      </c>
      <c r="B142" s="31" t="s">
        <v>9662</v>
      </c>
      <c r="C142" s="32" t="s">
        <v>9663</v>
      </c>
      <c r="D142" s="33" t="s">
        <v>9664</v>
      </c>
      <c r="F142" s="16"/>
    </row>
    <row r="143" spans="1:6" ht="16.5" customHeight="1" x14ac:dyDescent="0.35">
      <c r="A143" s="31" t="s">
        <v>9665</v>
      </c>
      <c r="B143" s="31" t="s">
        <v>9666</v>
      </c>
      <c r="C143" s="32" t="s">
        <v>9667</v>
      </c>
      <c r="D143" s="33" t="s">
        <v>9668</v>
      </c>
      <c r="F143" s="16"/>
    </row>
    <row r="144" spans="1:6" ht="16.5" customHeight="1" x14ac:dyDescent="0.35">
      <c r="A144" s="34" t="s">
        <v>9669</v>
      </c>
      <c r="B144" s="31" t="s">
        <v>9670</v>
      </c>
      <c r="C144" s="32" t="s">
        <v>9671</v>
      </c>
      <c r="D144" s="33" t="s">
        <v>9672</v>
      </c>
      <c r="F144" s="16"/>
    </row>
    <row r="145" spans="1:6" ht="16.5" customHeight="1" x14ac:dyDescent="0.35">
      <c r="A145" s="34" t="s">
        <v>9673</v>
      </c>
      <c r="B145" s="31" t="s">
        <v>9674</v>
      </c>
      <c r="C145" s="32" t="s">
        <v>9675</v>
      </c>
      <c r="D145" s="33" t="s">
        <v>9676</v>
      </c>
      <c r="F145" s="16"/>
    </row>
    <row r="146" spans="1:6" ht="16.5" customHeight="1" x14ac:dyDescent="0.35">
      <c r="A146" s="31" t="s">
        <v>7167</v>
      </c>
      <c r="B146" s="31" t="s">
        <v>9677</v>
      </c>
      <c r="C146" s="32" t="s">
        <v>9678</v>
      </c>
      <c r="D146" s="33" t="s">
        <v>9679</v>
      </c>
      <c r="F146" s="16"/>
    </row>
    <row r="147" spans="1:6" ht="16.5" customHeight="1" x14ac:dyDescent="0.35">
      <c r="A147" s="31" t="s">
        <v>9680</v>
      </c>
      <c r="B147" s="31" t="s">
        <v>9681</v>
      </c>
      <c r="C147" s="32" t="s">
        <v>9682</v>
      </c>
      <c r="D147" s="33" t="s">
        <v>9683</v>
      </c>
      <c r="F147" s="16"/>
    </row>
    <row r="148" spans="1:6" ht="16.5" customHeight="1" x14ac:dyDescent="0.35">
      <c r="A148" s="31" t="s">
        <v>9684</v>
      </c>
      <c r="B148" s="31" t="s">
        <v>9685</v>
      </c>
      <c r="C148" s="32" t="s">
        <v>9686</v>
      </c>
      <c r="D148" s="33" t="s">
        <v>9687</v>
      </c>
      <c r="F148" s="16"/>
    </row>
    <row r="149" spans="1:6" ht="16.5" customHeight="1" x14ac:dyDescent="0.35">
      <c r="A149" s="31" t="s">
        <v>9688</v>
      </c>
      <c r="B149" s="34" t="s">
        <v>9689</v>
      </c>
      <c r="C149" s="32" t="s">
        <v>9690</v>
      </c>
      <c r="D149" s="33" t="s">
        <v>9691</v>
      </c>
      <c r="F149" s="16"/>
    </row>
    <row r="150" spans="1:6" ht="16.5" customHeight="1" x14ac:dyDescent="0.35">
      <c r="A150" s="34" t="s">
        <v>9692</v>
      </c>
      <c r="B150" s="34" t="s">
        <v>9693</v>
      </c>
      <c r="C150" s="32" t="s">
        <v>9694</v>
      </c>
      <c r="D150" s="33" t="s">
        <v>9695</v>
      </c>
      <c r="F150" s="16"/>
    </row>
    <row r="151" spans="1:6" ht="16.5" customHeight="1" x14ac:dyDescent="0.35">
      <c r="A151" s="34" t="s">
        <v>9696</v>
      </c>
      <c r="B151" s="36" t="s">
        <v>9697</v>
      </c>
      <c r="C151" s="37" t="s">
        <v>9698</v>
      </c>
      <c r="D151" s="41" t="s">
        <v>9699</v>
      </c>
      <c r="F151" s="16"/>
    </row>
    <row r="152" spans="1:6" ht="16.5" customHeight="1" x14ac:dyDescent="0.35">
      <c r="A152" s="34" t="s">
        <v>9700</v>
      </c>
      <c r="B152" s="31" t="s">
        <v>9701</v>
      </c>
      <c r="C152" s="32" t="s">
        <v>9702</v>
      </c>
      <c r="D152" s="33" t="s">
        <v>9703</v>
      </c>
      <c r="F152" s="16"/>
    </row>
    <row r="153" spans="1:6" ht="16.5" customHeight="1" x14ac:dyDescent="0.35">
      <c r="A153" s="34" t="s">
        <v>9704</v>
      </c>
      <c r="B153" s="31" t="s">
        <v>395</v>
      </c>
      <c r="C153" s="32" t="s">
        <v>9705</v>
      </c>
      <c r="D153" s="33" t="s">
        <v>9706</v>
      </c>
      <c r="F153" s="16"/>
    </row>
    <row r="154" spans="1:6" ht="16.5" customHeight="1" x14ac:dyDescent="0.35">
      <c r="A154" s="31" t="s">
        <v>9707</v>
      </c>
      <c r="B154" s="31" t="s">
        <v>9708</v>
      </c>
      <c r="C154" s="32" t="s">
        <v>9709</v>
      </c>
      <c r="D154" s="33" t="s">
        <v>9710</v>
      </c>
      <c r="F154" s="16"/>
    </row>
    <row r="155" spans="1:6" ht="16.5" customHeight="1" x14ac:dyDescent="0.35">
      <c r="A155" s="31" t="s">
        <v>9711</v>
      </c>
      <c r="B155" s="31" t="s">
        <v>9712</v>
      </c>
      <c r="C155" s="32" t="s">
        <v>9713</v>
      </c>
      <c r="D155" s="33" t="s">
        <v>9714</v>
      </c>
      <c r="F155" s="16"/>
    </row>
    <row r="156" spans="1:6" ht="16.5" customHeight="1" x14ac:dyDescent="0.35">
      <c r="A156" s="31" t="s">
        <v>9715</v>
      </c>
      <c r="B156" s="39" t="s">
        <v>9716</v>
      </c>
      <c r="C156" s="37" t="s">
        <v>9717</v>
      </c>
      <c r="D156" s="41" t="s">
        <v>9718</v>
      </c>
      <c r="F156" s="17"/>
    </row>
    <row r="157" spans="1:6" ht="16.5" customHeight="1" x14ac:dyDescent="0.35">
      <c r="A157" s="31" t="s">
        <v>9719</v>
      </c>
      <c r="B157" s="31" t="s">
        <v>9720</v>
      </c>
      <c r="C157" s="32" t="s">
        <v>9721</v>
      </c>
      <c r="D157" s="33" t="s">
        <v>9722</v>
      </c>
      <c r="F157" s="16"/>
    </row>
    <row r="158" spans="1:6" ht="16.5" customHeight="1" x14ac:dyDescent="0.35">
      <c r="A158" s="31" t="s">
        <v>8802</v>
      </c>
      <c r="B158" s="36" t="s">
        <v>9723</v>
      </c>
      <c r="C158" s="32" t="s">
        <v>9724</v>
      </c>
      <c r="D158" s="41" t="s">
        <v>9725</v>
      </c>
      <c r="F158" s="16"/>
    </row>
    <row r="159" spans="1:6" ht="16.5" customHeight="1" x14ac:dyDescent="0.35">
      <c r="A159" s="31" t="s">
        <v>9726</v>
      </c>
      <c r="B159" s="31" t="s">
        <v>9727</v>
      </c>
      <c r="C159" s="32" t="s">
        <v>9728</v>
      </c>
      <c r="D159" s="33" t="s">
        <v>9729</v>
      </c>
      <c r="F159" s="16"/>
    </row>
    <row r="160" spans="1:6" ht="16.5" customHeight="1" x14ac:dyDescent="0.35">
      <c r="A160" s="31" t="s">
        <v>8183</v>
      </c>
      <c r="B160" s="39" t="s">
        <v>9730</v>
      </c>
      <c r="C160" s="32" t="s">
        <v>9731</v>
      </c>
      <c r="D160" s="41" t="s">
        <v>9732</v>
      </c>
      <c r="F160" s="16"/>
    </row>
    <row r="161" spans="1:6" ht="16.5" customHeight="1" x14ac:dyDescent="0.35">
      <c r="A161" s="34" t="s">
        <v>9733</v>
      </c>
      <c r="B161" s="31" t="s">
        <v>9734</v>
      </c>
      <c r="C161" s="32" t="s">
        <v>9735</v>
      </c>
      <c r="D161" s="33" t="s">
        <v>9736</v>
      </c>
      <c r="F161" s="16"/>
    </row>
    <row r="162" spans="1:6" ht="16.5" customHeight="1" x14ac:dyDescent="0.35">
      <c r="A162" s="31" t="s">
        <v>9737</v>
      </c>
      <c r="B162" s="31" t="s">
        <v>9738</v>
      </c>
      <c r="C162" s="32" t="s">
        <v>9739</v>
      </c>
      <c r="D162" s="33" t="s">
        <v>9740</v>
      </c>
      <c r="F162" s="16"/>
    </row>
    <row r="163" spans="1:6" ht="16.5" customHeight="1" x14ac:dyDescent="0.35">
      <c r="A163" s="31" t="s">
        <v>9741</v>
      </c>
      <c r="B163" s="31" t="s">
        <v>9742</v>
      </c>
      <c r="C163" s="32" t="s">
        <v>9743</v>
      </c>
      <c r="D163" s="33" t="s">
        <v>9744</v>
      </c>
      <c r="F163" s="16"/>
    </row>
    <row r="164" spans="1:6" ht="16.5" customHeight="1" x14ac:dyDescent="0.35">
      <c r="A164" s="31" t="s">
        <v>9745</v>
      </c>
      <c r="B164" s="31" t="s">
        <v>9746</v>
      </c>
      <c r="C164" s="32" t="s">
        <v>9747</v>
      </c>
      <c r="D164" s="33" t="s">
        <v>9748</v>
      </c>
      <c r="F164" s="16"/>
    </row>
    <row r="165" spans="1:6" ht="16.5" customHeight="1" x14ac:dyDescent="0.35">
      <c r="A165" s="31" t="s">
        <v>9749</v>
      </c>
      <c r="B165" s="36" t="s">
        <v>9750</v>
      </c>
      <c r="C165" s="32" t="s">
        <v>9751</v>
      </c>
      <c r="D165" s="41" t="s">
        <v>9752</v>
      </c>
      <c r="F165" s="16"/>
    </row>
    <row r="166" spans="1:6" ht="16.5" customHeight="1" x14ac:dyDescent="0.35">
      <c r="A166" s="31" t="s">
        <v>8095</v>
      </c>
      <c r="B166" s="31" t="s">
        <v>9753</v>
      </c>
      <c r="C166" s="32" t="s">
        <v>9754</v>
      </c>
      <c r="D166" s="33" t="s">
        <v>9755</v>
      </c>
      <c r="F166" s="16"/>
    </row>
    <row r="167" spans="1:6" ht="16.5" customHeight="1" x14ac:dyDescent="0.35">
      <c r="A167" s="31" t="s">
        <v>9756</v>
      </c>
      <c r="B167" s="31" t="s">
        <v>9757</v>
      </c>
      <c r="C167" s="32" t="s">
        <v>9758</v>
      </c>
      <c r="D167" s="33" t="s">
        <v>9759</v>
      </c>
      <c r="F167" s="16"/>
    </row>
    <row r="168" spans="1:6" ht="16.5" customHeight="1" x14ac:dyDescent="0.35">
      <c r="A168" s="31" t="s">
        <v>6378</v>
      </c>
      <c r="B168" s="39" t="s">
        <v>9760</v>
      </c>
      <c r="C168" s="32" t="s">
        <v>9761</v>
      </c>
      <c r="D168" s="41" t="s">
        <v>9762</v>
      </c>
      <c r="F168" s="16"/>
    </row>
    <row r="169" spans="1:6" ht="16.5" customHeight="1" x14ac:dyDescent="0.35">
      <c r="A169" s="34" t="s">
        <v>9763</v>
      </c>
      <c r="B169" s="39" t="s">
        <v>9764</v>
      </c>
      <c r="C169" s="37" t="s">
        <v>9765</v>
      </c>
      <c r="D169" s="41" t="s">
        <v>9766</v>
      </c>
      <c r="F169" s="16"/>
    </row>
    <row r="170" spans="1:6" ht="16.5" customHeight="1" x14ac:dyDescent="0.35">
      <c r="A170" s="34" t="s">
        <v>9767</v>
      </c>
      <c r="B170" s="31" t="s">
        <v>9768</v>
      </c>
      <c r="C170" s="32" t="s">
        <v>9769</v>
      </c>
      <c r="D170" s="33" t="s">
        <v>9770</v>
      </c>
      <c r="F170" s="16"/>
    </row>
    <row r="171" spans="1:6" ht="16.5" customHeight="1" x14ac:dyDescent="0.35">
      <c r="A171" s="31" t="s">
        <v>9771</v>
      </c>
      <c r="B171" s="31" t="s">
        <v>9772</v>
      </c>
      <c r="C171" s="32" t="s">
        <v>9773</v>
      </c>
      <c r="D171" s="33" t="s">
        <v>9774</v>
      </c>
      <c r="F171" s="16"/>
    </row>
    <row r="172" spans="1:6" ht="16.5" customHeight="1" x14ac:dyDescent="0.35">
      <c r="A172" s="34" t="s">
        <v>9775</v>
      </c>
      <c r="B172" s="31" t="s">
        <v>9776</v>
      </c>
      <c r="C172" s="32" t="s">
        <v>9777</v>
      </c>
      <c r="D172" s="33" t="s">
        <v>9778</v>
      </c>
      <c r="F172" s="16"/>
    </row>
    <row r="173" spans="1:6" ht="16.5" customHeight="1" x14ac:dyDescent="0.35">
      <c r="A173" s="31" t="s">
        <v>9779</v>
      </c>
      <c r="B173" s="31" t="s">
        <v>9780</v>
      </c>
      <c r="C173" s="32" t="s">
        <v>9781</v>
      </c>
      <c r="D173" s="33" t="s">
        <v>9782</v>
      </c>
      <c r="F173" s="16"/>
    </row>
    <row r="174" spans="1:6" ht="16.5" customHeight="1" x14ac:dyDescent="0.35">
      <c r="A174" s="31" t="s">
        <v>9783</v>
      </c>
      <c r="B174" s="31" t="s">
        <v>9784</v>
      </c>
      <c r="C174" s="32" t="s">
        <v>9785</v>
      </c>
      <c r="D174" s="33" t="s">
        <v>9786</v>
      </c>
      <c r="F174" s="16"/>
    </row>
    <row r="175" spans="1:6" ht="16.5" customHeight="1" x14ac:dyDescent="0.35">
      <c r="A175" s="31" t="s">
        <v>9787</v>
      </c>
      <c r="B175" s="31" t="s">
        <v>9788</v>
      </c>
      <c r="C175" s="32" t="s">
        <v>9789</v>
      </c>
      <c r="D175" s="33" t="s">
        <v>9790</v>
      </c>
      <c r="F175" s="16"/>
    </row>
    <row r="176" spans="1:6" ht="16.5" customHeight="1" x14ac:dyDescent="0.35">
      <c r="A176" s="31" t="s">
        <v>9791</v>
      </c>
      <c r="B176" s="31" t="s">
        <v>9792</v>
      </c>
      <c r="C176" s="32" t="s">
        <v>9793</v>
      </c>
      <c r="D176" s="33" t="s">
        <v>9794</v>
      </c>
      <c r="F176" s="16"/>
    </row>
    <row r="177" spans="1:6" ht="16.5" customHeight="1" x14ac:dyDescent="0.35">
      <c r="A177" s="34" t="s">
        <v>9795</v>
      </c>
      <c r="B177" s="36" t="s">
        <v>9796</v>
      </c>
      <c r="C177" s="37" t="s">
        <v>9797</v>
      </c>
      <c r="D177" s="41" t="s">
        <v>9798</v>
      </c>
      <c r="F177" s="16"/>
    </row>
    <row r="178" spans="1:6" ht="16.5" customHeight="1" x14ac:dyDescent="0.35">
      <c r="A178" s="34" t="s">
        <v>8101</v>
      </c>
      <c r="B178" s="39" t="s">
        <v>9799</v>
      </c>
      <c r="C178" s="37" t="s">
        <v>9800</v>
      </c>
      <c r="D178" s="41" t="s">
        <v>9801</v>
      </c>
      <c r="F178" s="16"/>
    </row>
    <row r="179" spans="1:6" ht="16.5" customHeight="1" x14ac:dyDescent="0.35">
      <c r="A179" s="31" t="s">
        <v>9802</v>
      </c>
      <c r="B179" s="36" t="s">
        <v>9803</v>
      </c>
      <c r="C179" s="32" t="s">
        <v>9804</v>
      </c>
      <c r="D179" s="41" t="s">
        <v>9805</v>
      </c>
      <c r="F179" s="16"/>
    </row>
    <row r="180" spans="1:6" ht="16.5" customHeight="1" x14ac:dyDescent="0.35">
      <c r="A180" s="31" t="s">
        <v>9806</v>
      </c>
      <c r="B180" s="31" t="s">
        <v>9807</v>
      </c>
      <c r="C180" s="32" t="s">
        <v>9808</v>
      </c>
      <c r="D180" s="33" t="s">
        <v>9809</v>
      </c>
      <c r="F180" s="16"/>
    </row>
    <row r="181" spans="1:6" ht="16.5" customHeight="1" x14ac:dyDescent="0.35">
      <c r="A181" s="34" t="s">
        <v>9810</v>
      </c>
      <c r="B181" s="39" t="s">
        <v>9811</v>
      </c>
      <c r="C181" s="37" t="s">
        <v>9812</v>
      </c>
      <c r="D181" s="41" t="s">
        <v>9813</v>
      </c>
      <c r="F181" s="16"/>
    </row>
    <row r="182" spans="1:6" ht="16.5" customHeight="1" x14ac:dyDescent="0.35">
      <c r="A182" s="31" t="s">
        <v>9814</v>
      </c>
      <c r="B182" s="31" t="s">
        <v>9815</v>
      </c>
      <c r="C182" s="32" t="s">
        <v>9816</v>
      </c>
      <c r="D182" s="33" t="s">
        <v>9817</v>
      </c>
      <c r="F182" s="16"/>
    </row>
    <row r="183" spans="1:6" ht="16.5" customHeight="1" x14ac:dyDescent="0.35">
      <c r="A183" s="31" t="s">
        <v>9131</v>
      </c>
      <c r="B183" s="36" t="s">
        <v>9818</v>
      </c>
      <c r="C183" s="32" t="s">
        <v>9819</v>
      </c>
      <c r="D183" s="41" t="s">
        <v>9820</v>
      </c>
      <c r="F183" s="16"/>
    </row>
    <row r="184" spans="1:6" ht="16.5" customHeight="1" x14ac:dyDescent="0.35">
      <c r="A184" s="31" t="s">
        <v>9821</v>
      </c>
      <c r="B184" s="31" t="s">
        <v>9822</v>
      </c>
      <c r="C184" s="32" t="s">
        <v>9823</v>
      </c>
      <c r="D184" s="33" t="s">
        <v>9824</v>
      </c>
      <c r="F184" s="16"/>
    </row>
    <row r="185" spans="1:6" ht="16.5" customHeight="1" x14ac:dyDescent="0.35">
      <c r="A185" s="31" t="s">
        <v>9825</v>
      </c>
      <c r="B185" s="39" t="s">
        <v>9826</v>
      </c>
      <c r="C185" s="32" t="s">
        <v>9827</v>
      </c>
      <c r="D185" s="41" t="s">
        <v>9828</v>
      </c>
      <c r="F185" s="16"/>
    </row>
    <row r="186" spans="1:6" ht="16.5" customHeight="1" x14ac:dyDescent="0.35">
      <c r="A186" s="31" t="s">
        <v>9829</v>
      </c>
      <c r="B186" s="31" t="s">
        <v>9830</v>
      </c>
      <c r="C186" s="32" t="s">
        <v>9831</v>
      </c>
      <c r="D186" s="33" t="s">
        <v>9832</v>
      </c>
      <c r="F186" s="16"/>
    </row>
    <row r="187" spans="1:6" ht="16.5" customHeight="1" x14ac:dyDescent="0.35">
      <c r="A187" s="34" t="s">
        <v>9833</v>
      </c>
      <c r="B187" s="31" t="s">
        <v>9834</v>
      </c>
      <c r="C187" s="32" t="s">
        <v>9835</v>
      </c>
      <c r="D187" s="33" t="s">
        <v>9836</v>
      </c>
      <c r="F187" s="16"/>
    </row>
    <row r="188" spans="1:6" ht="16.5" customHeight="1" x14ac:dyDescent="0.35">
      <c r="A188" s="31" t="s">
        <v>9837</v>
      </c>
      <c r="B188" s="36" t="s">
        <v>9838</v>
      </c>
      <c r="C188" s="32" t="s">
        <v>9839</v>
      </c>
      <c r="D188" s="41" t="s">
        <v>9840</v>
      </c>
      <c r="F188" s="16"/>
    </row>
    <row r="189" spans="1:6" ht="16.5" customHeight="1" x14ac:dyDescent="0.35">
      <c r="A189" s="31" t="s">
        <v>7145</v>
      </c>
      <c r="B189" s="31" t="s">
        <v>9841</v>
      </c>
      <c r="C189" s="32" t="s">
        <v>9842</v>
      </c>
      <c r="D189" s="33" t="s">
        <v>9843</v>
      </c>
      <c r="F189" s="16"/>
    </row>
    <row r="190" spans="1:6" ht="16.5" customHeight="1" x14ac:dyDescent="0.35">
      <c r="A190" s="31" t="s">
        <v>9844</v>
      </c>
      <c r="B190" s="31" t="s">
        <v>9845</v>
      </c>
      <c r="C190" s="32" t="s">
        <v>9846</v>
      </c>
      <c r="D190" s="33" t="s">
        <v>9847</v>
      </c>
      <c r="F190" s="16"/>
    </row>
    <row r="191" spans="1:6" ht="16.5" customHeight="1" x14ac:dyDescent="0.35">
      <c r="A191" s="31" t="s">
        <v>8609</v>
      </c>
      <c r="B191" s="34" t="s">
        <v>9848</v>
      </c>
      <c r="C191" s="32" t="s">
        <v>9849</v>
      </c>
      <c r="D191" s="33" t="s">
        <v>9850</v>
      </c>
      <c r="F191" s="16"/>
    </row>
    <row r="192" spans="1:6" ht="16.5" customHeight="1" x14ac:dyDescent="0.35">
      <c r="A192" s="31" t="s">
        <v>7081</v>
      </c>
      <c r="B192" s="34" t="s">
        <v>9851</v>
      </c>
      <c r="C192" s="32" t="s">
        <v>9852</v>
      </c>
      <c r="D192" s="33" t="s">
        <v>9853</v>
      </c>
      <c r="F192" s="17"/>
    </row>
    <row r="193" spans="1:6" ht="16.5" customHeight="1" x14ac:dyDescent="0.35">
      <c r="A193" s="31" t="s">
        <v>9854</v>
      </c>
      <c r="B193" s="34" t="s">
        <v>9855</v>
      </c>
      <c r="C193" s="32" t="s">
        <v>9856</v>
      </c>
      <c r="D193" s="33" t="s">
        <v>9857</v>
      </c>
      <c r="F193" s="16"/>
    </row>
    <row r="194" spans="1:6" ht="16.5" customHeight="1" x14ac:dyDescent="0.35">
      <c r="A194" s="34" t="s">
        <v>9858</v>
      </c>
      <c r="B194" s="34" t="s">
        <v>9859</v>
      </c>
      <c r="C194" s="32" t="s">
        <v>9860</v>
      </c>
      <c r="D194" s="33" t="s">
        <v>9861</v>
      </c>
      <c r="F194" s="17"/>
    </row>
    <row r="195" spans="1:6" ht="16.5" customHeight="1" x14ac:dyDescent="0.35">
      <c r="A195" s="31" t="s">
        <v>9862</v>
      </c>
      <c r="B195" s="34" t="s">
        <v>9863</v>
      </c>
      <c r="C195" s="32" t="s">
        <v>9864</v>
      </c>
      <c r="D195" s="33" t="s">
        <v>9865</v>
      </c>
      <c r="F195" s="16"/>
    </row>
    <row r="196" spans="1:6" ht="16.5" customHeight="1" x14ac:dyDescent="0.35">
      <c r="A196" s="34" t="s">
        <v>9866</v>
      </c>
      <c r="B196" s="39" t="s">
        <v>9867</v>
      </c>
      <c r="C196" s="37" t="s">
        <v>9868</v>
      </c>
      <c r="D196" s="41" t="s">
        <v>9869</v>
      </c>
      <c r="F196" s="16"/>
    </row>
    <row r="197" spans="1:6" ht="16.5" customHeight="1" x14ac:dyDescent="0.35">
      <c r="A197" s="34" t="s">
        <v>9870</v>
      </c>
      <c r="B197" s="34" t="s">
        <v>9871</v>
      </c>
      <c r="C197" s="32" t="s">
        <v>9872</v>
      </c>
      <c r="D197" s="33" t="s">
        <v>9873</v>
      </c>
      <c r="F197" s="17"/>
    </row>
    <row r="198" spans="1:6" ht="16.5" customHeight="1" x14ac:dyDescent="0.35">
      <c r="A198" s="31" t="s">
        <v>9874</v>
      </c>
      <c r="B198" s="34" t="s">
        <v>9875</v>
      </c>
      <c r="C198" s="32" t="s">
        <v>9876</v>
      </c>
      <c r="D198" s="33" t="s">
        <v>9877</v>
      </c>
      <c r="F198" s="16"/>
    </row>
    <row r="199" spans="1:6" ht="16.5" customHeight="1" x14ac:dyDescent="0.35">
      <c r="A199" s="31" t="s">
        <v>8764</v>
      </c>
      <c r="B199" s="34" t="s">
        <v>9878</v>
      </c>
      <c r="C199" s="32" t="s">
        <v>9879</v>
      </c>
      <c r="D199" s="33" t="s">
        <v>9880</v>
      </c>
      <c r="F199" s="16"/>
    </row>
    <row r="200" spans="1:6" ht="16.5" customHeight="1" x14ac:dyDescent="0.35">
      <c r="A200" s="31" t="s">
        <v>9881</v>
      </c>
      <c r="B200" s="34" t="s">
        <v>9882</v>
      </c>
      <c r="C200" s="32" t="s">
        <v>9883</v>
      </c>
      <c r="D200" s="33" t="s">
        <v>9884</v>
      </c>
      <c r="F200" s="16"/>
    </row>
    <row r="201" spans="1:6" ht="16.5" customHeight="1" x14ac:dyDescent="0.35">
      <c r="A201" s="31" t="s">
        <v>9885</v>
      </c>
      <c r="B201" s="34" t="s">
        <v>9886</v>
      </c>
      <c r="C201" s="32" t="s">
        <v>9887</v>
      </c>
      <c r="D201" s="33" t="s">
        <v>9888</v>
      </c>
      <c r="F201" s="16"/>
    </row>
    <row r="202" spans="1:6" ht="16.5" customHeight="1" x14ac:dyDescent="0.35">
      <c r="A202" s="31" t="s">
        <v>9889</v>
      </c>
      <c r="B202" s="34" t="s">
        <v>9890</v>
      </c>
      <c r="C202" s="32" t="s">
        <v>9891</v>
      </c>
      <c r="D202" s="33" t="s">
        <v>9892</v>
      </c>
      <c r="F202" s="16"/>
    </row>
    <row r="203" spans="1:6" ht="16.5" customHeight="1" x14ac:dyDescent="0.35">
      <c r="A203" s="34" t="s">
        <v>9893</v>
      </c>
      <c r="B203" s="36" t="s">
        <v>9894</v>
      </c>
      <c r="C203" s="37" t="s">
        <v>9895</v>
      </c>
      <c r="D203" s="41" t="s">
        <v>9896</v>
      </c>
      <c r="F203" s="16"/>
    </row>
    <row r="204" spans="1:6" ht="16.5" customHeight="1" x14ac:dyDescent="0.35">
      <c r="A204" s="34" t="s">
        <v>9897</v>
      </c>
      <c r="B204" s="36" t="s">
        <v>9898</v>
      </c>
      <c r="C204" s="37" t="s">
        <v>9899</v>
      </c>
      <c r="D204" s="41" t="s">
        <v>9900</v>
      </c>
      <c r="F204" s="16"/>
    </row>
    <row r="205" spans="1:6" ht="16.5" customHeight="1" x14ac:dyDescent="0.35">
      <c r="A205" s="31" t="s">
        <v>9901</v>
      </c>
      <c r="B205" s="34" t="s">
        <v>9902</v>
      </c>
      <c r="C205" s="32" t="s">
        <v>9903</v>
      </c>
      <c r="D205" s="33" t="s">
        <v>9904</v>
      </c>
      <c r="F205" s="16"/>
    </row>
    <row r="206" spans="1:6" ht="16.5" customHeight="1" x14ac:dyDescent="0.35">
      <c r="A206" s="31" t="s">
        <v>9905</v>
      </c>
      <c r="B206" s="34" t="s">
        <v>9906</v>
      </c>
      <c r="C206" s="32" t="s">
        <v>9907</v>
      </c>
      <c r="D206" s="33" t="s">
        <v>9908</v>
      </c>
      <c r="F206" s="16"/>
    </row>
    <row r="207" spans="1:6" ht="16.5" customHeight="1" x14ac:dyDescent="0.35">
      <c r="A207" s="31" t="s">
        <v>9909</v>
      </c>
      <c r="B207" s="34" t="s">
        <v>9910</v>
      </c>
      <c r="C207" s="32" t="s">
        <v>9911</v>
      </c>
      <c r="D207" s="33" t="s">
        <v>9912</v>
      </c>
      <c r="F207" s="16"/>
    </row>
    <row r="208" spans="1:6" ht="16.5" customHeight="1" x14ac:dyDescent="0.35">
      <c r="A208" s="34" t="s">
        <v>9913</v>
      </c>
      <c r="B208" s="36" t="s">
        <v>9914</v>
      </c>
      <c r="C208" s="37" t="s">
        <v>9915</v>
      </c>
      <c r="D208" s="41" t="s">
        <v>9916</v>
      </c>
      <c r="F208" s="16"/>
    </row>
    <row r="209" spans="1:6" ht="16.5" customHeight="1" x14ac:dyDescent="0.35">
      <c r="A209" s="31" t="s">
        <v>9917</v>
      </c>
      <c r="B209" s="36" t="s">
        <v>9918</v>
      </c>
      <c r="C209" s="32" t="s">
        <v>9919</v>
      </c>
      <c r="D209" s="41" t="s">
        <v>9920</v>
      </c>
      <c r="F209" s="16"/>
    </row>
    <row r="210" spans="1:6" ht="16.5" customHeight="1" x14ac:dyDescent="0.35">
      <c r="A210" s="31" t="s">
        <v>9921</v>
      </c>
      <c r="B210" s="34" t="s">
        <v>9922</v>
      </c>
      <c r="C210" s="32" t="s">
        <v>9923</v>
      </c>
      <c r="D210" s="33" t="s">
        <v>9924</v>
      </c>
      <c r="F210" s="16"/>
    </row>
    <row r="211" spans="1:6" ht="16.5" customHeight="1" x14ac:dyDescent="0.35">
      <c r="A211" s="31" t="s">
        <v>9925</v>
      </c>
      <c r="B211" s="34" t="s">
        <v>9926</v>
      </c>
      <c r="C211" s="32" t="s">
        <v>9927</v>
      </c>
      <c r="D211" s="33" t="s">
        <v>9928</v>
      </c>
      <c r="F211" s="16"/>
    </row>
    <row r="212" spans="1:6" ht="16.5" customHeight="1" x14ac:dyDescent="0.35">
      <c r="A212" s="34" t="s">
        <v>9929</v>
      </c>
      <c r="B212" s="34" t="s">
        <v>9930</v>
      </c>
      <c r="C212" s="32" t="s">
        <v>9931</v>
      </c>
      <c r="D212" s="33" t="s">
        <v>9932</v>
      </c>
      <c r="F212" s="16"/>
    </row>
    <row r="213" spans="1:6" ht="16.5" customHeight="1" x14ac:dyDescent="0.35">
      <c r="A213" s="31" t="s">
        <v>7086</v>
      </c>
      <c r="B213" s="34" t="s">
        <v>9933</v>
      </c>
      <c r="C213" s="32" t="s">
        <v>9934</v>
      </c>
      <c r="D213" s="33" t="s">
        <v>9935</v>
      </c>
      <c r="F213" s="16"/>
    </row>
    <row r="214" spans="1:6" ht="16.5" customHeight="1" x14ac:dyDescent="0.35">
      <c r="A214" s="31" t="s">
        <v>9936</v>
      </c>
      <c r="B214" s="36" t="s">
        <v>9937</v>
      </c>
      <c r="C214" s="32" t="s">
        <v>9938</v>
      </c>
      <c r="D214" s="41" t="s">
        <v>9939</v>
      </c>
      <c r="F214" s="16"/>
    </row>
    <row r="215" spans="1:6" ht="16.5" customHeight="1" x14ac:dyDescent="0.35">
      <c r="A215" s="34" t="s">
        <v>9940</v>
      </c>
      <c r="B215" s="34" t="s">
        <v>9941</v>
      </c>
      <c r="C215" s="32" t="s">
        <v>9942</v>
      </c>
      <c r="D215" s="33" t="s">
        <v>9943</v>
      </c>
      <c r="F215" s="16"/>
    </row>
    <row r="216" spans="1:6" ht="16.5" customHeight="1" x14ac:dyDescent="0.35">
      <c r="A216" s="34" t="s">
        <v>9944</v>
      </c>
      <c r="B216" s="34" t="s">
        <v>9945</v>
      </c>
      <c r="C216" s="32" t="s">
        <v>9946</v>
      </c>
      <c r="D216" s="33" t="s">
        <v>9947</v>
      </c>
      <c r="F216" s="16"/>
    </row>
    <row r="217" spans="1:6" ht="16.5" customHeight="1" x14ac:dyDescent="0.35">
      <c r="A217" s="31" t="s">
        <v>9948</v>
      </c>
      <c r="B217" s="34" t="s">
        <v>9949</v>
      </c>
      <c r="C217" s="32" t="s">
        <v>9950</v>
      </c>
      <c r="D217" s="33" t="s">
        <v>9951</v>
      </c>
      <c r="F217" s="16"/>
    </row>
    <row r="218" spans="1:6" ht="16.5" customHeight="1" x14ac:dyDescent="0.35">
      <c r="A218" s="31" t="s">
        <v>9952</v>
      </c>
      <c r="B218" s="34" t="s">
        <v>9953</v>
      </c>
      <c r="C218" s="32" t="s">
        <v>9954</v>
      </c>
      <c r="D218" s="33" t="s">
        <v>9955</v>
      </c>
      <c r="F218" s="16"/>
    </row>
    <row r="219" spans="1:6" ht="16.5" customHeight="1" x14ac:dyDescent="0.35">
      <c r="A219" s="31" t="s">
        <v>9956</v>
      </c>
      <c r="B219" s="34" t="s">
        <v>9957</v>
      </c>
      <c r="C219" s="32" t="s">
        <v>9958</v>
      </c>
      <c r="D219" s="33" t="s">
        <v>9959</v>
      </c>
      <c r="F219" s="16"/>
    </row>
    <row r="220" spans="1:6" ht="16.5" customHeight="1" x14ac:dyDescent="0.35">
      <c r="A220" s="34" t="s">
        <v>9960</v>
      </c>
      <c r="B220" s="36" t="s">
        <v>9961</v>
      </c>
      <c r="C220" s="37" t="s">
        <v>9962</v>
      </c>
      <c r="D220" s="41" t="s">
        <v>9963</v>
      </c>
      <c r="F220" s="16"/>
    </row>
    <row r="221" spans="1:6" ht="16.5" customHeight="1" x14ac:dyDescent="0.35">
      <c r="A221" s="31" t="s">
        <v>9964</v>
      </c>
      <c r="B221" s="34" t="s">
        <v>9965</v>
      </c>
      <c r="C221" s="32" t="s">
        <v>9966</v>
      </c>
      <c r="D221" s="33" t="s">
        <v>9967</v>
      </c>
      <c r="F221" s="16"/>
    </row>
    <row r="222" spans="1:6" ht="16.5" customHeight="1" x14ac:dyDescent="0.35">
      <c r="A222" s="34" t="s">
        <v>9968</v>
      </c>
      <c r="B222" s="36" t="s">
        <v>9969</v>
      </c>
      <c r="C222" s="37" t="s">
        <v>9970</v>
      </c>
      <c r="D222" s="41" t="s">
        <v>9971</v>
      </c>
      <c r="F222" s="16"/>
    </row>
    <row r="223" spans="1:6" ht="16.5" customHeight="1" x14ac:dyDescent="0.35">
      <c r="A223" s="31" t="s">
        <v>9972</v>
      </c>
      <c r="B223" s="36" t="s">
        <v>9973</v>
      </c>
      <c r="C223" s="37" t="s">
        <v>9974</v>
      </c>
      <c r="D223" s="41" t="s">
        <v>9975</v>
      </c>
      <c r="F223" s="16"/>
    </row>
    <row r="224" spans="1:6" ht="16.5" customHeight="1" x14ac:dyDescent="0.35">
      <c r="A224" s="31" t="s">
        <v>9976</v>
      </c>
      <c r="B224" s="34" t="s">
        <v>9977</v>
      </c>
      <c r="C224" s="32" t="s">
        <v>9978</v>
      </c>
      <c r="D224" s="33" t="s">
        <v>9979</v>
      </c>
      <c r="F224" s="16"/>
    </row>
    <row r="225" spans="1:6" ht="16.5" customHeight="1" x14ac:dyDescent="0.35">
      <c r="A225" s="31" t="s">
        <v>9980</v>
      </c>
      <c r="B225" s="36" t="s">
        <v>9981</v>
      </c>
      <c r="C225" s="32" t="s">
        <v>9982</v>
      </c>
      <c r="D225" s="41" t="s">
        <v>9983</v>
      </c>
      <c r="F225" s="16"/>
    </row>
    <row r="226" spans="1:6" ht="16.5" customHeight="1" x14ac:dyDescent="0.35">
      <c r="A226" s="31" t="s">
        <v>6189</v>
      </c>
      <c r="B226" s="36" t="s">
        <v>9984</v>
      </c>
      <c r="C226" s="32" t="s">
        <v>9985</v>
      </c>
      <c r="D226" s="41" t="s">
        <v>9986</v>
      </c>
      <c r="F226" s="16"/>
    </row>
    <row r="227" spans="1:6" ht="16.5" customHeight="1" x14ac:dyDescent="0.35">
      <c r="A227" s="31" t="s">
        <v>9987</v>
      </c>
      <c r="B227" s="34" t="s">
        <v>9988</v>
      </c>
      <c r="C227" s="32" t="s">
        <v>9989</v>
      </c>
      <c r="D227" s="33" t="s">
        <v>9990</v>
      </c>
      <c r="F227" s="16"/>
    </row>
    <row r="228" spans="1:6" ht="16.5" customHeight="1" x14ac:dyDescent="0.35">
      <c r="A228" s="31" t="s">
        <v>9991</v>
      </c>
      <c r="B228" s="36" t="s">
        <v>9992</v>
      </c>
      <c r="C228" s="32" t="s">
        <v>9993</v>
      </c>
      <c r="D228" s="41" t="s">
        <v>9994</v>
      </c>
      <c r="F228" s="16"/>
    </row>
    <row r="229" spans="1:6" ht="16.5" customHeight="1" x14ac:dyDescent="0.35">
      <c r="A229" s="34" t="s">
        <v>9995</v>
      </c>
      <c r="B229" s="36" t="s">
        <v>9996</v>
      </c>
      <c r="C229" s="37" t="s">
        <v>9997</v>
      </c>
      <c r="D229" s="41" t="s">
        <v>9998</v>
      </c>
      <c r="F229" s="16"/>
    </row>
    <row r="230" spans="1:6" ht="16.5" customHeight="1" x14ac:dyDescent="0.35">
      <c r="A230" s="31" t="s">
        <v>9999</v>
      </c>
      <c r="B230" s="34" t="s">
        <v>10000</v>
      </c>
      <c r="C230" s="32" t="s">
        <v>10001</v>
      </c>
      <c r="D230" s="33" t="s">
        <v>10002</v>
      </c>
      <c r="F230" s="16"/>
    </row>
    <row r="231" spans="1:6" ht="16.5" customHeight="1" x14ac:dyDescent="0.35">
      <c r="A231" s="34" t="s">
        <v>10003</v>
      </c>
      <c r="B231" s="39" t="s">
        <v>10004</v>
      </c>
      <c r="C231" s="37" t="s">
        <v>10005</v>
      </c>
      <c r="D231" s="41" t="s">
        <v>10006</v>
      </c>
      <c r="F231" s="16"/>
    </row>
    <row r="232" spans="1:6" ht="16.5" customHeight="1" x14ac:dyDescent="0.35">
      <c r="A232" s="31" t="s">
        <v>10007</v>
      </c>
      <c r="B232" s="36" t="s">
        <v>10008</v>
      </c>
      <c r="C232" s="32" t="s">
        <v>10009</v>
      </c>
      <c r="D232" s="41" t="s">
        <v>10010</v>
      </c>
      <c r="F232" s="16"/>
    </row>
    <row r="233" spans="1:6" ht="16.5" customHeight="1" x14ac:dyDescent="0.35">
      <c r="A233" s="31" t="s">
        <v>9132</v>
      </c>
      <c r="B233" s="36" t="s">
        <v>10011</v>
      </c>
      <c r="C233" s="32" t="s">
        <v>10012</v>
      </c>
      <c r="D233" s="41" t="s">
        <v>10013</v>
      </c>
      <c r="F233" s="16"/>
    </row>
    <row r="234" spans="1:6" ht="16.5" customHeight="1" x14ac:dyDescent="0.35">
      <c r="A234" s="31" t="s">
        <v>10014</v>
      </c>
      <c r="B234" s="34" t="s">
        <v>10015</v>
      </c>
      <c r="C234" s="32" t="s">
        <v>10016</v>
      </c>
      <c r="D234" s="33" t="s">
        <v>10017</v>
      </c>
      <c r="F234" s="16"/>
    </row>
    <row r="235" spans="1:6" ht="16.5" customHeight="1" x14ac:dyDescent="0.35">
      <c r="A235" s="31" t="s">
        <v>10018</v>
      </c>
      <c r="B235" s="36" t="s">
        <v>10019</v>
      </c>
      <c r="C235" s="32" t="s">
        <v>10020</v>
      </c>
      <c r="D235" s="41" t="s">
        <v>10021</v>
      </c>
      <c r="F235" s="16"/>
    </row>
    <row r="236" spans="1:6" ht="16.5" customHeight="1" x14ac:dyDescent="0.35">
      <c r="A236" s="31" t="s">
        <v>9089</v>
      </c>
      <c r="B236" s="34" t="s">
        <v>10022</v>
      </c>
      <c r="C236" s="32" t="s">
        <v>10023</v>
      </c>
      <c r="D236" s="33" t="s">
        <v>10024</v>
      </c>
      <c r="F236" s="16"/>
    </row>
    <row r="237" spans="1:6" ht="16.5" customHeight="1" x14ac:dyDescent="0.35">
      <c r="A237" s="34" t="s">
        <v>10025</v>
      </c>
      <c r="B237" s="36" t="s">
        <v>10026</v>
      </c>
      <c r="C237" s="37" t="s">
        <v>10027</v>
      </c>
      <c r="D237" s="41" t="s">
        <v>10028</v>
      </c>
      <c r="F237" s="16"/>
    </row>
    <row r="238" spans="1:6" ht="16.5" customHeight="1" x14ac:dyDescent="0.35">
      <c r="A238" s="31" t="s">
        <v>10029</v>
      </c>
      <c r="B238" s="36" t="s">
        <v>10030</v>
      </c>
      <c r="C238" s="32" t="s">
        <v>10031</v>
      </c>
      <c r="D238" s="41" t="s">
        <v>10032</v>
      </c>
      <c r="F238" s="16"/>
    </row>
    <row r="239" spans="1:6" ht="16.5" customHeight="1" x14ac:dyDescent="0.35">
      <c r="A239" s="34" t="s">
        <v>10033</v>
      </c>
      <c r="B239" s="39" t="s">
        <v>10034</v>
      </c>
      <c r="C239" s="37" t="s">
        <v>10035</v>
      </c>
      <c r="D239" s="41" t="s">
        <v>10036</v>
      </c>
      <c r="F239" s="16"/>
    </row>
    <row r="240" spans="1:6" ht="16.5" customHeight="1" x14ac:dyDescent="0.35">
      <c r="A240" s="31" t="s">
        <v>10037</v>
      </c>
      <c r="B240" s="36" t="s">
        <v>10038</v>
      </c>
      <c r="C240" s="32" t="s">
        <v>10039</v>
      </c>
      <c r="D240" s="41" t="s">
        <v>10040</v>
      </c>
      <c r="F240" s="16"/>
    </row>
    <row r="241" spans="1:6" ht="16.5" customHeight="1" x14ac:dyDescent="0.35">
      <c r="A241" s="31" t="s">
        <v>10041</v>
      </c>
      <c r="B241" s="36" t="s">
        <v>10042</v>
      </c>
      <c r="C241" s="32" t="s">
        <v>10043</v>
      </c>
      <c r="D241" s="41" t="s">
        <v>10044</v>
      </c>
      <c r="F241" s="16"/>
    </row>
    <row r="242" spans="1:6" ht="16.5" customHeight="1" x14ac:dyDescent="0.35">
      <c r="A242" s="31" t="s">
        <v>10045</v>
      </c>
      <c r="B242" s="34" t="s">
        <v>10046</v>
      </c>
      <c r="C242" s="32" t="s">
        <v>10047</v>
      </c>
      <c r="D242" s="33" t="s">
        <v>10048</v>
      </c>
      <c r="F242" s="16"/>
    </row>
    <row r="243" spans="1:6" ht="16.5" customHeight="1" x14ac:dyDescent="0.35">
      <c r="A243" s="34" t="s">
        <v>10049</v>
      </c>
      <c r="B243" s="34" t="s">
        <v>10050</v>
      </c>
      <c r="C243" s="32" t="s">
        <v>10051</v>
      </c>
      <c r="D243" s="33" t="s">
        <v>10052</v>
      </c>
      <c r="F243" s="16"/>
    </row>
    <row r="244" spans="1:6" ht="16.5" customHeight="1" x14ac:dyDescent="0.35">
      <c r="A244" s="34" t="s">
        <v>10053</v>
      </c>
      <c r="B244" s="36" t="s">
        <v>10054</v>
      </c>
      <c r="C244" s="37" t="s">
        <v>10055</v>
      </c>
      <c r="D244" s="41" t="s">
        <v>10056</v>
      </c>
      <c r="F244" s="16"/>
    </row>
    <row r="245" spans="1:6" ht="16.5" customHeight="1" x14ac:dyDescent="0.35">
      <c r="A245" s="31" t="s">
        <v>10057</v>
      </c>
      <c r="B245" s="34" t="s">
        <v>10058</v>
      </c>
      <c r="C245" s="32" t="s">
        <v>10059</v>
      </c>
      <c r="D245" s="33" t="s">
        <v>10060</v>
      </c>
      <c r="F245" s="16"/>
    </row>
    <row r="246" spans="1:6" ht="16.5" customHeight="1" x14ac:dyDescent="0.35">
      <c r="A246" s="31" t="s">
        <v>7752</v>
      </c>
      <c r="B246" s="34" t="s">
        <v>10061</v>
      </c>
      <c r="C246" s="32" t="s">
        <v>10062</v>
      </c>
      <c r="D246" s="33" t="s">
        <v>10063</v>
      </c>
      <c r="F246" s="16"/>
    </row>
    <row r="247" spans="1:6" ht="16.5" customHeight="1" x14ac:dyDescent="0.35">
      <c r="A247" s="34" t="s">
        <v>10064</v>
      </c>
      <c r="B247" s="36" t="s">
        <v>10065</v>
      </c>
      <c r="C247" s="37" t="s">
        <v>10066</v>
      </c>
      <c r="D247" s="41" t="s">
        <v>10067</v>
      </c>
      <c r="F247" s="16"/>
    </row>
    <row r="248" spans="1:6" ht="16.5" customHeight="1" x14ac:dyDescent="0.35">
      <c r="A248" s="31" t="s">
        <v>10068</v>
      </c>
      <c r="B248" s="34" t="s">
        <v>10069</v>
      </c>
      <c r="C248" s="32" t="s">
        <v>10070</v>
      </c>
      <c r="D248" s="33" t="s">
        <v>10071</v>
      </c>
      <c r="F248" s="16"/>
    </row>
    <row r="249" spans="1:6" ht="16.5" customHeight="1" x14ac:dyDescent="0.35">
      <c r="A249" s="31" t="s">
        <v>10072</v>
      </c>
      <c r="B249" s="34" t="s">
        <v>10073</v>
      </c>
      <c r="C249" s="32" t="s">
        <v>10074</v>
      </c>
      <c r="D249" s="33" t="s">
        <v>10075</v>
      </c>
      <c r="F249" s="16"/>
    </row>
    <row r="250" spans="1:6" ht="16.5" customHeight="1" x14ac:dyDescent="0.35">
      <c r="A250" s="31" t="s">
        <v>10076</v>
      </c>
      <c r="B250" s="34" t="s">
        <v>10077</v>
      </c>
      <c r="C250" s="32" t="s">
        <v>10078</v>
      </c>
      <c r="D250" s="33" t="s">
        <v>10079</v>
      </c>
      <c r="F250" s="16"/>
    </row>
    <row r="251" spans="1:6" ht="16.5" customHeight="1" x14ac:dyDescent="0.35">
      <c r="A251" s="31" t="s">
        <v>7505</v>
      </c>
      <c r="B251" s="34" t="s">
        <v>10080</v>
      </c>
      <c r="C251" s="32" t="s">
        <v>10081</v>
      </c>
      <c r="D251" s="33" t="s">
        <v>10082</v>
      </c>
      <c r="F251" s="16"/>
    </row>
    <row r="252" spans="1:6" ht="16.5" customHeight="1" x14ac:dyDescent="0.35">
      <c r="A252" s="31" t="s">
        <v>8432</v>
      </c>
      <c r="B252" s="34" t="s">
        <v>10083</v>
      </c>
      <c r="C252" s="32" t="s">
        <v>10084</v>
      </c>
      <c r="D252" s="33" t="s">
        <v>10085</v>
      </c>
      <c r="F252" s="16"/>
    </row>
    <row r="253" spans="1:6" ht="16.5" customHeight="1" x14ac:dyDescent="0.35">
      <c r="A253" s="31" t="s">
        <v>10086</v>
      </c>
      <c r="B253" s="36" t="s">
        <v>10087</v>
      </c>
      <c r="C253" s="32" t="s">
        <v>10088</v>
      </c>
      <c r="D253" s="41" t="s">
        <v>10089</v>
      </c>
      <c r="F253" s="16"/>
    </row>
    <row r="254" spans="1:6" ht="16.5" customHeight="1" x14ac:dyDescent="0.35">
      <c r="A254" s="31" t="s">
        <v>10090</v>
      </c>
      <c r="B254" s="34" t="s">
        <v>10091</v>
      </c>
      <c r="C254" s="32" t="s">
        <v>10092</v>
      </c>
      <c r="D254" s="33" t="s">
        <v>10093</v>
      </c>
      <c r="F254" s="16"/>
    </row>
    <row r="255" spans="1:6" ht="16.5" customHeight="1" x14ac:dyDescent="0.35">
      <c r="A255" s="34" t="s">
        <v>10094</v>
      </c>
      <c r="B255" s="36" t="s">
        <v>10095</v>
      </c>
      <c r="C255" s="37" t="s">
        <v>10096</v>
      </c>
      <c r="D255" s="41" t="s">
        <v>10097</v>
      </c>
      <c r="F255" s="16"/>
    </row>
    <row r="256" spans="1:6" ht="16.5" customHeight="1" x14ac:dyDescent="0.35">
      <c r="A256" s="31" t="s">
        <v>8115</v>
      </c>
      <c r="B256" s="34" t="s">
        <v>10098</v>
      </c>
      <c r="C256" s="32" t="s">
        <v>10099</v>
      </c>
      <c r="D256" s="33" t="s">
        <v>10100</v>
      </c>
      <c r="F256" s="16"/>
    </row>
    <row r="257" spans="1:6" ht="16.5" customHeight="1" x14ac:dyDescent="0.35">
      <c r="A257" s="31" t="s">
        <v>10101</v>
      </c>
      <c r="B257" s="34" t="s">
        <v>10102</v>
      </c>
      <c r="C257" s="32" t="s">
        <v>10103</v>
      </c>
      <c r="D257" s="33" t="s">
        <v>10104</v>
      </c>
      <c r="F257" s="16"/>
    </row>
    <row r="258" spans="1:6" ht="16.5" customHeight="1" x14ac:dyDescent="0.35">
      <c r="A258" s="31" t="s">
        <v>7457</v>
      </c>
      <c r="B258" s="34" t="s">
        <v>10105</v>
      </c>
      <c r="C258" s="32" t="s">
        <v>10106</v>
      </c>
      <c r="D258" s="33" t="s">
        <v>10107</v>
      </c>
      <c r="F258" s="16"/>
    </row>
    <row r="259" spans="1:6" ht="16.5" customHeight="1" x14ac:dyDescent="0.35">
      <c r="A259" s="31" t="s">
        <v>10108</v>
      </c>
      <c r="B259" s="34" t="s">
        <v>10109</v>
      </c>
      <c r="C259" s="32" t="s">
        <v>10110</v>
      </c>
      <c r="D259" s="33" t="s">
        <v>10111</v>
      </c>
      <c r="F259" s="16"/>
    </row>
    <row r="260" spans="1:6" ht="16.5" customHeight="1" x14ac:dyDescent="0.35">
      <c r="A260" s="31" t="s">
        <v>10112</v>
      </c>
      <c r="B260" s="36" t="s">
        <v>10113</v>
      </c>
      <c r="C260" s="32" t="s">
        <v>10114</v>
      </c>
      <c r="D260" s="41" t="s">
        <v>10115</v>
      </c>
      <c r="F260" s="16"/>
    </row>
    <row r="261" spans="1:6" ht="16.5" customHeight="1" x14ac:dyDescent="0.35">
      <c r="A261" s="34" t="s">
        <v>10116</v>
      </c>
      <c r="B261" s="34" t="s">
        <v>10117</v>
      </c>
      <c r="C261" s="32" t="s">
        <v>10118</v>
      </c>
      <c r="D261" s="33" t="s">
        <v>10119</v>
      </c>
      <c r="F261" s="16"/>
    </row>
    <row r="262" spans="1:6" ht="16.5" customHeight="1" x14ac:dyDescent="0.35">
      <c r="A262" s="31" t="s">
        <v>10120</v>
      </c>
      <c r="B262" s="36" t="s">
        <v>10121</v>
      </c>
      <c r="C262" s="32" t="s">
        <v>10122</v>
      </c>
      <c r="D262" s="41" t="s">
        <v>10123</v>
      </c>
      <c r="F262" s="16"/>
    </row>
    <row r="263" spans="1:6" ht="16.5" customHeight="1" x14ac:dyDescent="0.35">
      <c r="A263" s="31" t="s">
        <v>10124</v>
      </c>
      <c r="B263" s="36" t="s">
        <v>10125</v>
      </c>
      <c r="C263" s="32" t="s">
        <v>10126</v>
      </c>
      <c r="D263" s="41" t="s">
        <v>10127</v>
      </c>
      <c r="F263" s="16"/>
    </row>
    <row r="264" spans="1:6" ht="16.5" customHeight="1" x14ac:dyDescent="0.35">
      <c r="A264" s="31" t="s">
        <v>10128</v>
      </c>
      <c r="B264" s="34" t="s">
        <v>10129</v>
      </c>
      <c r="C264" s="32" t="s">
        <v>10130</v>
      </c>
      <c r="D264" s="33" t="s">
        <v>10131</v>
      </c>
      <c r="F264" s="16"/>
    </row>
    <row r="265" spans="1:6" ht="16.5" customHeight="1" x14ac:dyDescent="0.35">
      <c r="A265" s="31" t="s">
        <v>8763</v>
      </c>
      <c r="B265" s="34" t="s">
        <v>10132</v>
      </c>
      <c r="C265" s="32" t="s">
        <v>10133</v>
      </c>
      <c r="D265" s="33" t="s">
        <v>10134</v>
      </c>
      <c r="F265" s="16"/>
    </row>
    <row r="266" spans="1:6" ht="16.5" customHeight="1" x14ac:dyDescent="0.35">
      <c r="A266" s="31" t="s">
        <v>10135</v>
      </c>
      <c r="B266" s="39" t="s">
        <v>10136</v>
      </c>
      <c r="C266" s="32" t="s">
        <v>10137</v>
      </c>
      <c r="D266" s="41" t="s">
        <v>10138</v>
      </c>
      <c r="F266" s="16"/>
    </row>
    <row r="267" spans="1:6" ht="16.5" customHeight="1" x14ac:dyDescent="0.35">
      <c r="A267" s="34" t="s">
        <v>10139</v>
      </c>
      <c r="B267" s="34" t="s">
        <v>10140</v>
      </c>
      <c r="C267" s="32" t="s">
        <v>10141</v>
      </c>
      <c r="D267" s="33" t="s">
        <v>10142</v>
      </c>
      <c r="F267" s="16"/>
    </row>
    <row r="268" spans="1:6" ht="16.5" customHeight="1" x14ac:dyDescent="0.35">
      <c r="A268" s="31" t="s">
        <v>10143</v>
      </c>
      <c r="B268" s="34" t="s">
        <v>10144</v>
      </c>
      <c r="C268" s="32" t="s">
        <v>10145</v>
      </c>
      <c r="D268" s="33" t="s">
        <v>10146</v>
      </c>
      <c r="F268" s="16"/>
    </row>
    <row r="269" spans="1:6" ht="16.5" customHeight="1" x14ac:dyDescent="0.35">
      <c r="A269" s="34" t="s">
        <v>10147</v>
      </c>
      <c r="B269" s="36" t="s">
        <v>10148</v>
      </c>
      <c r="C269" s="37" t="s">
        <v>10149</v>
      </c>
      <c r="D269" s="41" t="s">
        <v>10150</v>
      </c>
      <c r="F269" s="16"/>
    </row>
    <row r="270" spans="1:6" ht="16.5" customHeight="1" x14ac:dyDescent="0.35">
      <c r="A270" s="31" t="s">
        <v>8186</v>
      </c>
      <c r="B270" s="36" t="s">
        <v>10151</v>
      </c>
      <c r="C270" s="32" t="s">
        <v>10152</v>
      </c>
      <c r="D270" s="41" t="s">
        <v>10153</v>
      </c>
      <c r="F270" s="16"/>
    </row>
    <row r="271" spans="1:6" ht="16.5" customHeight="1" x14ac:dyDescent="0.35">
      <c r="A271" s="34" t="s">
        <v>10154</v>
      </c>
      <c r="B271" s="36" t="s">
        <v>10155</v>
      </c>
      <c r="C271" s="37" t="s">
        <v>10156</v>
      </c>
      <c r="D271" s="41" t="s">
        <v>10157</v>
      </c>
      <c r="F271" s="16"/>
    </row>
    <row r="272" spans="1:6" ht="16.5" customHeight="1" x14ac:dyDescent="0.35">
      <c r="A272" s="31" t="s">
        <v>6748</v>
      </c>
      <c r="B272" s="34" t="s">
        <v>10158</v>
      </c>
      <c r="C272" s="32" t="s">
        <v>10159</v>
      </c>
      <c r="D272" s="33" t="s">
        <v>10160</v>
      </c>
      <c r="F272" s="16"/>
    </row>
    <row r="273" spans="1:6" ht="16.5" customHeight="1" x14ac:dyDescent="0.35">
      <c r="A273" s="34" t="s">
        <v>10161</v>
      </c>
      <c r="B273" s="36" t="s">
        <v>10162</v>
      </c>
      <c r="C273" s="37" t="s">
        <v>10163</v>
      </c>
      <c r="D273" s="41" t="s">
        <v>10164</v>
      </c>
      <c r="F273" s="16"/>
    </row>
    <row r="274" spans="1:6" ht="16.5" customHeight="1" x14ac:dyDescent="0.35">
      <c r="A274" s="31" t="s">
        <v>10165</v>
      </c>
      <c r="B274" s="34" t="s">
        <v>10166</v>
      </c>
      <c r="C274" s="32" t="s">
        <v>10167</v>
      </c>
      <c r="D274" s="33" t="s">
        <v>10168</v>
      </c>
      <c r="F274" s="16"/>
    </row>
    <row r="275" spans="1:6" ht="16.5" customHeight="1" x14ac:dyDescent="0.35">
      <c r="A275" s="31" t="s">
        <v>10169</v>
      </c>
      <c r="B275" s="39" t="s">
        <v>10170</v>
      </c>
      <c r="C275" s="32" t="s">
        <v>10171</v>
      </c>
      <c r="D275" s="41" t="s">
        <v>10172</v>
      </c>
      <c r="F275" s="16"/>
    </row>
    <row r="276" spans="1:6" ht="16.5" customHeight="1" x14ac:dyDescent="0.35">
      <c r="A276" s="34" t="s">
        <v>10173</v>
      </c>
      <c r="B276" s="34" t="s">
        <v>10174</v>
      </c>
      <c r="C276" s="32" t="s">
        <v>10175</v>
      </c>
      <c r="D276" s="33" t="s">
        <v>10176</v>
      </c>
      <c r="F276" s="16"/>
    </row>
    <row r="277" spans="1:6" ht="16.5" customHeight="1" x14ac:dyDescent="0.35">
      <c r="A277" s="31" t="s">
        <v>8330</v>
      </c>
      <c r="B277" s="34" t="s">
        <v>10177</v>
      </c>
      <c r="C277" s="32" t="s">
        <v>10178</v>
      </c>
      <c r="D277" s="33" t="s">
        <v>10179</v>
      </c>
      <c r="F277" s="16"/>
    </row>
    <row r="278" spans="1:6" ht="16.5" customHeight="1" x14ac:dyDescent="0.35">
      <c r="A278" s="31" t="s">
        <v>10180</v>
      </c>
      <c r="B278" s="36" t="s">
        <v>10181</v>
      </c>
      <c r="C278" s="32" t="s">
        <v>10182</v>
      </c>
      <c r="D278" s="41" t="s">
        <v>10183</v>
      </c>
      <c r="F278" s="16"/>
    </row>
    <row r="279" spans="1:6" ht="16.5" customHeight="1" x14ac:dyDescent="0.35">
      <c r="A279" s="31" t="s">
        <v>10184</v>
      </c>
      <c r="B279" s="34" t="s">
        <v>10185</v>
      </c>
      <c r="C279" s="32" t="s">
        <v>10186</v>
      </c>
      <c r="D279" s="33" t="s">
        <v>10187</v>
      </c>
      <c r="F279" s="16"/>
    </row>
    <row r="280" spans="1:6" ht="16.5" customHeight="1" x14ac:dyDescent="0.35">
      <c r="A280" s="31" t="s">
        <v>10188</v>
      </c>
      <c r="B280" s="34" t="s">
        <v>10189</v>
      </c>
      <c r="C280" s="32" t="s">
        <v>10190</v>
      </c>
      <c r="D280" s="33" t="s">
        <v>10191</v>
      </c>
      <c r="F280" s="16"/>
    </row>
    <row r="281" spans="1:6" ht="16.5" customHeight="1" x14ac:dyDescent="0.35">
      <c r="A281" s="31" t="s">
        <v>10192</v>
      </c>
      <c r="B281" s="36" t="s">
        <v>10193</v>
      </c>
      <c r="C281" s="32" t="s">
        <v>10194</v>
      </c>
      <c r="D281" s="41" t="s">
        <v>10195</v>
      </c>
      <c r="F281" s="16"/>
    </row>
    <row r="282" spans="1:6" ht="16.5" customHeight="1" x14ac:dyDescent="0.35">
      <c r="A282" s="34" t="s">
        <v>10196</v>
      </c>
      <c r="B282" s="34" t="s">
        <v>10197</v>
      </c>
      <c r="C282" s="32" t="s">
        <v>10198</v>
      </c>
      <c r="D282" s="33" t="s">
        <v>10199</v>
      </c>
      <c r="F282" s="16"/>
    </row>
    <row r="283" spans="1:6" ht="16.5" customHeight="1" x14ac:dyDescent="0.35">
      <c r="A283" s="31" t="s">
        <v>10200</v>
      </c>
      <c r="B283" s="36" t="s">
        <v>10201</v>
      </c>
      <c r="C283" s="32" t="s">
        <v>10202</v>
      </c>
      <c r="D283" s="41" t="s">
        <v>10203</v>
      </c>
      <c r="F283" s="16"/>
    </row>
    <row r="284" spans="1:6" ht="16.5" customHeight="1" x14ac:dyDescent="0.35">
      <c r="A284" s="31" t="s">
        <v>9129</v>
      </c>
      <c r="B284" s="36" t="s">
        <v>10204</v>
      </c>
      <c r="C284" s="32" t="s">
        <v>10205</v>
      </c>
      <c r="D284" s="41" t="s">
        <v>10206</v>
      </c>
      <c r="F284" s="16"/>
    </row>
    <row r="285" spans="1:6" ht="16.5" customHeight="1" x14ac:dyDescent="0.35">
      <c r="A285" s="31" t="s">
        <v>10207</v>
      </c>
      <c r="B285" s="34" t="s">
        <v>10208</v>
      </c>
      <c r="C285" s="32" t="s">
        <v>10209</v>
      </c>
      <c r="D285" s="33" t="s">
        <v>10210</v>
      </c>
      <c r="F285" s="16"/>
    </row>
    <row r="286" spans="1:6" ht="16.5" customHeight="1" x14ac:dyDescent="0.35">
      <c r="A286" s="34" t="s">
        <v>10211</v>
      </c>
      <c r="B286" s="36" t="s">
        <v>10212</v>
      </c>
      <c r="C286" s="37" t="s">
        <v>10213</v>
      </c>
      <c r="D286" s="41" t="s">
        <v>10214</v>
      </c>
      <c r="F286" s="16"/>
    </row>
    <row r="287" spans="1:6" ht="16.5" customHeight="1" x14ac:dyDescent="0.35">
      <c r="A287" s="31" t="s">
        <v>10215</v>
      </c>
      <c r="B287" s="36" t="s">
        <v>10216</v>
      </c>
      <c r="C287" s="32" t="s">
        <v>10217</v>
      </c>
      <c r="D287" s="41" t="s">
        <v>10218</v>
      </c>
      <c r="F287" s="16"/>
    </row>
    <row r="288" spans="1:6" ht="16.5" customHeight="1" x14ac:dyDescent="0.35">
      <c r="A288" s="31" t="s">
        <v>7879</v>
      </c>
      <c r="B288" s="36" t="s">
        <v>10219</v>
      </c>
      <c r="C288" s="32" t="s">
        <v>10220</v>
      </c>
      <c r="D288" s="41" t="s">
        <v>10221</v>
      </c>
      <c r="F288" s="16"/>
    </row>
    <row r="289" spans="1:6" ht="16.5" customHeight="1" x14ac:dyDescent="0.35">
      <c r="A289" s="31" t="s">
        <v>10222</v>
      </c>
      <c r="B289" s="34" t="s">
        <v>10223</v>
      </c>
      <c r="C289" s="32" t="s">
        <v>10224</v>
      </c>
      <c r="D289" s="33" t="s">
        <v>10225</v>
      </c>
      <c r="F289" s="16"/>
    </row>
    <row r="290" spans="1:6" ht="16.5" customHeight="1" x14ac:dyDescent="0.35">
      <c r="A290" s="34" t="s">
        <v>10226</v>
      </c>
      <c r="B290" s="34" t="s">
        <v>10227</v>
      </c>
      <c r="C290" s="32" t="s">
        <v>10228</v>
      </c>
      <c r="D290" s="33" t="s">
        <v>10229</v>
      </c>
      <c r="F290" s="16"/>
    </row>
    <row r="291" spans="1:6" ht="16.5" customHeight="1" x14ac:dyDescent="0.35">
      <c r="A291" s="31" t="s">
        <v>10230</v>
      </c>
      <c r="B291" s="36" t="s">
        <v>10231</v>
      </c>
      <c r="C291" s="32" t="s">
        <v>10232</v>
      </c>
      <c r="D291" s="41" t="s">
        <v>10233</v>
      </c>
      <c r="F291" s="16"/>
    </row>
    <row r="292" spans="1:6" ht="16.5" customHeight="1" x14ac:dyDescent="0.35">
      <c r="A292" s="31" t="s">
        <v>10234</v>
      </c>
      <c r="B292" s="36" t="s">
        <v>10235</v>
      </c>
      <c r="C292" s="32" t="s">
        <v>10236</v>
      </c>
      <c r="D292" s="41" t="s">
        <v>10237</v>
      </c>
      <c r="F292" s="16"/>
    </row>
    <row r="293" spans="1:6" ht="16.5" customHeight="1" x14ac:dyDescent="0.35">
      <c r="A293" s="34" t="s">
        <v>10238</v>
      </c>
      <c r="B293" s="34" t="s">
        <v>10239</v>
      </c>
      <c r="C293" s="32" t="s">
        <v>10240</v>
      </c>
      <c r="D293" s="33" t="s">
        <v>10241</v>
      </c>
      <c r="F293" s="16"/>
    </row>
    <row r="294" spans="1:6" ht="16.5" customHeight="1" x14ac:dyDescent="0.35">
      <c r="A294" s="31" t="s">
        <v>10242</v>
      </c>
      <c r="B294" s="34" t="s">
        <v>10243</v>
      </c>
      <c r="C294" s="32" t="s">
        <v>10244</v>
      </c>
      <c r="D294" s="33" t="s">
        <v>10245</v>
      </c>
      <c r="F294" s="16"/>
    </row>
    <row r="295" spans="1:6" ht="16.5" customHeight="1" x14ac:dyDescent="0.35">
      <c r="A295" s="31" t="s">
        <v>7441</v>
      </c>
      <c r="B295" s="36" t="s">
        <v>10246</v>
      </c>
      <c r="C295" s="32" t="s">
        <v>10247</v>
      </c>
      <c r="D295" s="41" t="s">
        <v>10248</v>
      </c>
      <c r="F295" s="16"/>
    </row>
    <row r="296" spans="1:6" ht="16.5" customHeight="1" x14ac:dyDescent="0.35">
      <c r="A296" s="31" t="s">
        <v>10249</v>
      </c>
      <c r="B296" s="36" t="s">
        <v>10250</v>
      </c>
      <c r="C296" s="32" t="s">
        <v>10251</v>
      </c>
      <c r="D296" s="41" t="s">
        <v>10252</v>
      </c>
      <c r="F296" s="16"/>
    </row>
    <row r="297" spans="1:6" ht="16.5" customHeight="1" x14ac:dyDescent="0.35">
      <c r="A297" s="31" t="s">
        <v>10253</v>
      </c>
      <c r="B297" s="36" t="s">
        <v>10254</v>
      </c>
      <c r="C297" s="32" t="s">
        <v>10255</v>
      </c>
      <c r="D297" s="41" t="s">
        <v>10256</v>
      </c>
      <c r="F297" s="16"/>
    </row>
    <row r="298" spans="1:6" ht="16.5" customHeight="1" x14ac:dyDescent="0.35">
      <c r="A298" s="31" t="s">
        <v>10257</v>
      </c>
      <c r="B298" s="34" t="s">
        <v>10258</v>
      </c>
      <c r="C298" s="32" t="s">
        <v>10259</v>
      </c>
      <c r="D298" s="33" t="s">
        <v>10260</v>
      </c>
      <c r="F298" s="16"/>
    </row>
    <row r="299" spans="1:6" ht="16.5" customHeight="1" x14ac:dyDescent="0.35">
      <c r="A299" s="31" t="s">
        <v>10261</v>
      </c>
      <c r="B299" s="36" t="s">
        <v>10262</v>
      </c>
      <c r="C299" s="32" t="s">
        <v>10263</v>
      </c>
      <c r="D299" s="41" t="s">
        <v>10264</v>
      </c>
      <c r="F299" s="16"/>
    </row>
    <row r="300" spans="1:6" ht="16.5" customHeight="1" x14ac:dyDescent="0.35">
      <c r="A300" s="31" t="s">
        <v>10265</v>
      </c>
      <c r="B300" s="36" t="s">
        <v>10266</v>
      </c>
      <c r="C300" s="32" t="s">
        <v>10267</v>
      </c>
      <c r="D300" s="41" t="s">
        <v>10268</v>
      </c>
      <c r="F300" s="16"/>
    </row>
    <row r="301" spans="1:6" ht="16.5" customHeight="1" x14ac:dyDescent="0.35">
      <c r="A301" s="34" t="s">
        <v>10269</v>
      </c>
      <c r="B301" s="36" t="s">
        <v>10270</v>
      </c>
      <c r="C301" s="37" t="s">
        <v>10271</v>
      </c>
      <c r="D301" s="41" t="s">
        <v>10272</v>
      </c>
      <c r="F301" s="16"/>
    </row>
    <row r="302" spans="1:6" ht="16.5" customHeight="1" x14ac:dyDescent="0.35">
      <c r="A302" s="31" t="s">
        <v>7089</v>
      </c>
      <c r="B302" s="34" t="s">
        <v>10273</v>
      </c>
      <c r="C302" s="32" t="s">
        <v>10274</v>
      </c>
      <c r="D302" s="33" t="s">
        <v>10275</v>
      </c>
      <c r="F302" s="16"/>
    </row>
    <row r="303" spans="1:6" ht="16.5" customHeight="1" x14ac:dyDescent="0.35">
      <c r="A303" s="31" t="s">
        <v>10276</v>
      </c>
      <c r="B303" s="34" t="s">
        <v>10277</v>
      </c>
      <c r="C303" s="32" t="s">
        <v>10278</v>
      </c>
      <c r="D303" s="33" t="s">
        <v>10279</v>
      </c>
      <c r="F303" s="16"/>
    </row>
    <row r="304" spans="1:6" ht="16.5" customHeight="1" x14ac:dyDescent="0.35">
      <c r="A304" s="31" t="s">
        <v>7420</v>
      </c>
      <c r="B304" s="36" t="s">
        <v>10280</v>
      </c>
      <c r="C304" s="32" t="s">
        <v>10281</v>
      </c>
      <c r="D304" s="41" t="s">
        <v>10282</v>
      </c>
      <c r="F304" s="16"/>
    </row>
    <row r="305" spans="1:6" ht="16.5" customHeight="1" x14ac:dyDescent="0.35">
      <c r="A305" s="31" t="s">
        <v>10283</v>
      </c>
      <c r="B305" s="36" t="s">
        <v>10284</v>
      </c>
      <c r="C305" s="32" t="s">
        <v>10285</v>
      </c>
      <c r="D305" s="41" t="s">
        <v>10286</v>
      </c>
      <c r="F305" s="16"/>
    </row>
    <row r="306" spans="1:6" ht="16.5" customHeight="1" x14ac:dyDescent="0.35">
      <c r="A306" s="31" t="s">
        <v>10287</v>
      </c>
      <c r="B306" s="34" t="s">
        <v>10288</v>
      </c>
      <c r="C306" s="32" t="s">
        <v>10289</v>
      </c>
      <c r="D306" s="33" t="s">
        <v>10290</v>
      </c>
      <c r="F306" s="16"/>
    </row>
    <row r="307" spans="1:6" ht="16.5" customHeight="1" x14ac:dyDescent="0.35">
      <c r="A307" s="31" t="s">
        <v>8893</v>
      </c>
      <c r="B307" s="34" t="s">
        <v>10291</v>
      </c>
      <c r="C307" s="32" t="s">
        <v>10292</v>
      </c>
      <c r="D307" s="33" t="s">
        <v>10293</v>
      </c>
      <c r="F307" s="16"/>
    </row>
    <row r="308" spans="1:6" ht="16.5" customHeight="1" x14ac:dyDescent="0.35">
      <c r="A308" s="31" t="s">
        <v>10294</v>
      </c>
      <c r="B308" s="36" t="s">
        <v>10295</v>
      </c>
      <c r="C308" s="32" t="s">
        <v>10296</v>
      </c>
      <c r="D308" s="41" t="s">
        <v>10297</v>
      </c>
      <c r="F308" s="16"/>
    </row>
    <row r="309" spans="1:6" ht="16.5" customHeight="1" x14ac:dyDescent="0.35">
      <c r="A309" s="34" t="s">
        <v>10298</v>
      </c>
      <c r="B309" s="36" t="s">
        <v>10299</v>
      </c>
      <c r="C309" s="37" t="s">
        <v>10300</v>
      </c>
      <c r="D309" s="41" t="s">
        <v>10301</v>
      </c>
      <c r="F309" s="16"/>
    </row>
    <row r="310" spans="1:6" ht="16.5" customHeight="1" x14ac:dyDescent="0.35">
      <c r="A310" s="34" t="s">
        <v>10302</v>
      </c>
      <c r="B310" s="36" t="s">
        <v>10303</v>
      </c>
      <c r="C310" s="37" t="s">
        <v>10304</v>
      </c>
      <c r="D310" s="41" t="s">
        <v>10305</v>
      </c>
      <c r="F310" s="16"/>
    </row>
    <row r="311" spans="1:6" ht="16.5" customHeight="1" x14ac:dyDescent="0.35">
      <c r="A311" s="34" t="s">
        <v>10306</v>
      </c>
      <c r="B311" s="34" t="s">
        <v>10307</v>
      </c>
      <c r="C311" s="32" t="s">
        <v>10308</v>
      </c>
      <c r="D311" s="33" t="s">
        <v>10309</v>
      </c>
      <c r="F311" s="16"/>
    </row>
    <row r="312" spans="1:6" ht="16.5" customHeight="1" x14ac:dyDescent="0.35">
      <c r="A312" s="31" t="s">
        <v>10310</v>
      </c>
      <c r="B312" s="36" t="s">
        <v>10311</v>
      </c>
      <c r="C312" s="32" t="s">
        <v>10312</v>
      </c>
      <c r="D312" s="41" t="s">
        <v>10313</v>
      </c>
      <c r="F312" s="16"/>
    </row>
    <row r="313" spans="1:6" ht="16.5" customHeight="1" x14ac:dyDescent="0.35">
      <c r="A313" s="31" t="s">
        <v>10314</v>
      </c>
      <c r="B313" s="39" t="s">
        <v>10315</v>
      </c>
      <c r="C313" s="32" t="s">
        <v>10316</v>
      </c>
      <c r="D313" s="41" t="s">
        <v>10317</v>
      </c>
      <c r="F313" s="16"/>
    </row>
    <row r="314" spans="1:6" ht="16.5" customHeight="1" x14ac:dyDescent="0.35">
      <c r="A314" s="31" t="s">
        <v>10318</v>
      </c>
      <c r="B314" s="36" t="s">
        <v>10319</v>
      </c>
      <c r="C314" s="32" t="s">
        <v>10320</v>
      </c>
      <c r="D314" s="41" t="s">
        <v>10321</v>
      </c>
      <c r="F314" s="16"/>
    </row>
    <row r="315" spans="1:6" ht="16.5" customHeight="1" x14ac:dyDescent="0.35">
      <c r="A315" s="31" t="s">
        <v>10322</v>
      </c>
      <c r="B315" s="36" t="s">
        <v>10323</v>
      </c>
      <c r="C315" s="32" t="s">
        <v>10324</v>
      </c>
      <c r="D315" s="41" t="s">
        <v>10325</v>
      </c>
      <c r="F315" s="16"/>
    </row>
    <row r="316" spans="1:6" ht="16.5" customHeight="1" x14ac:dyDescent="0.35">
      <c r="A316" s="31" t="s">
        <v>8438</v>
      </c>
      <c r="B316" s="34" t="s">
        <v>10326</v>
      </c>
      <c r="C316" s="32" t="s">
        <v>10327</v>
      </c>
      <c r="D316" s="33" t="s">
        <v>10328</v>
      </c>
      <c r="F316" s="16"/>
    </row>
    <row r="317" spans="1:6" ht="16.5" customHeight="1" x14ac:dyDescent="0.35">
      <c r="A317" s="31" t="s">
        <v>10329</v>
      </c>
      <c r="B317" s="36" t="s">
        <v>10330</v>
      </c>
      <c r="C317" s="32" t="s">
        <v>10331</v>
      </c>
      <c r="D317" s="41" t="s">
        <v>10332</v>
      </c>
      <c r="F317" s="16"/>
    </row>
    <row r="318" spans="1:6" ht="16.5" customHeight="1" x14ac:dyDescent="0.35">
      <c r="A318" s="31" t="s">
        <v>10333</v>
      </c>
      <c r="B318" s="34" t="s">
        <v>10334</v>
      </c>
      <c r="C318" s="32" t="s">
        <v>10335</v>
      </c>
      <c r="D318" s="33" t="s">
        <v>10336</v>
      </c>
      <c r="F318" s="16"/>
    </row>
    <row r="319" spans="1:6" ht="16.5" customHeight="1" x14ac:dyDescent="0.35">
      <c r="A319" s="34" t="s">
        <v>10337</v>
      </c>
      <c r="B319" s="34" t="s">
        <v>10338</v>
      </c>
      <c r="C319" s="32" t="s">
        <v>10339</v>
      </c>
      <c r="D319" s="33" t="s">
        <v>10340</v>
      </c>
      <c r="F319" s="16"/>
    </row>
    <row r="320" spans="1:6" ht="16.5" customHeight="1" x14ac:dyDescent="0.35">
      <c r="A320" s="34" t="s">
        <v>10341</v>
      </c>
      <c r="B320" s="36" t="s">
        <v>10342</v>
      </c>
      <c r="C320" s="37" t="s">
        <v>10343</v>
      </c>
      <c r="D320" s="41" t="s">
        <v>10344</v>
      </c>
      <c r="F320" s="16"/>
    </row>
    <row r="321" spans="1:6" ht="16.5" customHeight="1" x14ac:dyDescent="0.35">
      <c r="A321" s="34" t="s">
        <v>10345</v>
      </c>
      <c r="B321" s="36" t="s">
        <v>10346</v>
      </c>
      <c r="C321" s="37" t="s">
        <v>10347</v>
      </c>
      <c r="D321" s="41" t="s">
        <v>10348</v>
      </c>
      <c r="F321" s="16"/>
    </row>
    <row r="322" spans="1:6" ht="16.5" customHeight="1" x14ac:dyDescent="0.35">
      <c r="A322" s="34" t="s">
        <v>10349</v>
      </c>
      <c r="B322" s="34" t="s">
        <v>10350</v>
      </c>
      <c r="C322" s="32" t="s">
        <v>10351</v>
      </c>
      <c r="D322" s="33" t="s">
        <v>10352</v>
      </c>
      <c r="F322" s="16"/>
    </row>
    <row r="323" spans="1:6" ht="16.5" customHeight="1" x14ac:dyDescent="0.35">
      <c r="A323" s="31" t="s">
        <v>10353</v>
      </c>
      <c r="B323" s="36" t="s">
        <v>10354</v>
      </c>
      <c r="C323" s="32" t="s">
        <v>10355</v>
      </c>
      <c r="D323" s="41" t="s">
        <v>10356</v>
      </c>
      <c r="F323" s="16"/>
    </row>
    <row r="324" spans="1:6" ht="16.5" customHeight="1" x14ac:dyDescent="0.35">
      <c r="A324" s="31" t="s">
        <v>10357</v>
      </c>
      <c r="B324" s="36" t="s">
        <v>10358</v>
      </c>
      <c r="C324" s="32" t="s">
        <v>10359</v>
      </c>
      <c r="D324" s="41" t="s">
        <v>10360</v>
      </c>
      <c r="F324" s="16"/>
    </row>
    <row r="325" spans="1:6" ht="16.5" customHeight="1" x14ac:dyDescent="0.35">
      <c r="A325" s="31" t="s">
        <v>10361</v>
      </c>
      <c r="B325" s="34" t="s">
        <v>10362</v>
      </c>
      <c r="C325" s="32" t="s">
        <v>10363</v>
      </c>
      <c r="D325" s="33" t="s">
        <v>10364</v>
      </c>
      <c r="F325" s="16"/>
    </row>
    <row r="326" spans="1:6" ht="16.5" customHeight="1" x14ac:dyDescent="0.35">
      <c r="A326" s="31" t="s">
        <v>10365</v>
      </c>
      <c r="B326" s="36" t="s">
        <v>10366</v>
      </c>
      <c r="C326" s="32" t="s">
        <v>10367</v>
      </c>
      <c r="D326" s="41" t="s">
        <v>10368</v>
      </c>
      <c r="F326" s="16"/>
    </row>
    <row r="327" spans="1:6" ht="16.5" customHeight="1" x14ac:dyDescent="0.35">
      <c r="A327" s="31" t="s">
        <v>10369</v>
      </c>
      <c r="B327" s="34" t="s">
        <v>10370</v>
      </c>
      <c r="C327" s="32" t="s">
        <v>10371</v>
      </c>
      <c r="D327" s="33" t="s">
        <v>10372</v>
      </c>
      <c r="F327" s="16"/>
    </row>
    <row r="328" spans="1:6" ht="16.5" customHeight="1" x14ac:dyDescent="0.35">
      <c r="A328" s="31" t="s">
        <v>10373</v>
      </c>
      <c r="B328" s="36" t="s">
        <v>10374</v>
      </c>
      <c r="C328" s="32" t="s">
        <v>10375</v>
      </c>
      <c r="D328" s="41" t="s">
        <v>10376</v>
      </c>
      <c r="F328" s="16"/>
    </row>
    <row r="329" spans="1:6" ht="16.5" customHeight="1" x14ac:dyDescent="0.35">
      <c r="A329" s="31" t="s">
        <v>6483</v>
      </c>
      <c r="B329" s="36" t="s">
        <v>10377</v>
      </c>
      <c r="C329" s="32" t="s">
        <v>10378</v>
      </c>
      <c r="D329" s="41" t="s">
        <v>10379</v>
      </c>
      <c r="F329" s="16"/>
    </row>
    <row r="330" spans="1:6" ht="16.5" customHeight="1" x14ac:dyDescent="0.35">
      <c r="A330" s="31" t="s">
        <v>8011</v>
      </c>
      <c r="B330" s="36" t="s">
        <v>10380</v>
      </c>
      <c r="C330" s="32" t="s">
        <v>10381</v>
      </c>
      <c r="D330" s="41" t="s">
        <v>10382</v>
      </c>
      <c r="F330" s="16"/>
    </row>
    <row r="331" spans="1:6" ht="16.5" customHeight="1" x14ac:dyDescent="0.35">
      <c r="A331" s="34" t="s">
        <v>10383</v>
      </c>
      <c r="B331" s="34" t="s">
        <v>10384</v>
      </c>
      <c r="C331" s="32" t="s">
        <v>10385</v>
      </c>
      <c r="D331" s="33" t="s">
        <v>10386</v>
      </c>
      <c r="F331" s="16"/>
    </row>
    <row r="332" spans="1:6" ht="16.5" customHeight="1" x14ac:dyDescent="0.35">
      <c r="A332" s="34" t="s">
        <v>10387</v>
      </c>
      <c r="B332" s="36" t="s">
        <v>10388</v>
      </c>
      <c r="C332" s="37" t="s">
        <v>10389</v>
      </c>
      <c r="D332" s="35" t="s">
        <v>10390</v>
      </c>
      <c r="F332" s="16"/>
    </row>
    <row r="333" spans="1:6" ht="16.5" customHeight="1" x14ac:dyDescent="0.35">
      <c r="A333" s="31" t="s">
        <v>10391</v>
      </c>
      <c r="B333" s="36" t="s">
        <v>10392</v>
      </c>
      <c r="C333" s="32" t="s">
        <v>10393</v>
      </c>
      <c r="D333" s="33" t="s">
        <v>10394</v>
      </c>
      <c r="F333" s="16"/>
    </row>
    <row r="334" spans="1:6" ht="16.5" customHeight="1" x14ac:dyDescent="0.35">
      <c r="A334" s="31" t="s">
        <v>10395</v>
      </c>
      <c r="B334" s="36" t="s">
        <v>10396</v>
      </c>
      <c r="C334" s="32" t="s">
        <v>10397</v>
      </c>
      <c r="D334" s="33" t="s">
        <v>10398</v>
      </c>
      <c r="F334" s="16"/>
    </row>
    <row r="335" spans="1:6" ht="16.5" customHeight="1" x14ac:dyDescent="0.35">
      <c r="A335" s="31" t="s">
        <v>10399</v>
      </c>
      <c r="B335" s="39" t="s">
        <v>10400</v>
      </c>
      <c r="C335" s="32" t="s">
        <v>10401</v>
      </c>
      <c r="D335" s="33" t="s">
        <v>10402</v>
      </c>
      <c r="F335" s="16"/>
    </row>
    <row r="336" spans="1:6" ht="16.5" customHeight="1" x14ac:dyDescent="0.35">
      <c r="A336" s="31" t="s">
        <v>8710</v>
      </c>
      <c r="B336" s="36" t="s">
        <v>10403</v>
      </c>
      <c r="C336" s="32" t="s">
        <v>10404</v>
      </c>
      <c r="D336" s="33" t="s">
        <v>10405</v>
      </c>
      <c r="F336" s="16"/>
    </row>
    <row r="337" spans="1:6" ht="16.5" customHeight="1" x14ac:dyDescent="0.35">
      <c r="A337" s="34" t="s">
        <v>10406</v>
      </c>
      <c r="B337" s="36" t="s">
        <v>10407</v>
      </c>
      <c r="C337" s="37" t="s">
        <v>10408</v>
      </c>
      <c r="D337" s="35" t="s">
        <v>10409</v>
      </c>
      <c r="F337" s="16"/>
    </row>
    <row r="338" spans="1:6" ht="16.5" customHeight="1" x14ac:dyDescent="0.35">
      <c r="A338" s="34" t="s">
        <v>10410</v>
      </c>
      <c r="B338" s="36" t="s">
        <v>10411</v>
      </c>
      <c r="C338" s="37" t="s">
        <v>10412</v>
      </c>
      <c r="D338" s="35" t="s">
        <v>10413</v>
      </c>
      <c r="F338" s="16"/>
    </row>
    <row r="339" spans="1:6" ht="16.5" customHeight="1" x14ac:dyDescent="0.35">
      <c r="A339" s="34" t="s">
        <v>10414</v>
      </c>
      <c r="B339" s="39" t="s">
        <v>10415</v>
      </c>
      <c r="C339" s="37" t="s">
        <v>10416</v>
      </c>
      <c r="D339" s="35" t="s">
        <v>10417</v>
      </c>
      <c r="F339" s="16"/>
    </row>
    <row r="340" spans="1:6" ht="16.5" customHeight="1" x14ac:dyDescent="0.35">
      <c r="A340" s="34" t="s">
        <v>10418</v>
      </c>
      <c r="B340" s="36" t="s">
        <v>10419</v>
      </c>
      <c r="C340" s="37" t="s">
        <v>10420</v>
      </c>
      <c r="D340" s="35" t="s">
        <v>10421</v>
      </c>
      <c r="F340" s="16"/>
    </row>
    <row r="341" spans="1:6" ht="16.5" customHeight="1" x14ac:dyDescent="0.35">
      <c r="A341" s="31" t="s">
        <v>10422</v>
      </c>
      <c r="B341" s="34" t="s">
        <v>10423</v>
      </c>
      <c r="C341" s="32" t="s">
        <v>10424</v>
      </c>
      <c r="D341" s="33" t="s">
        <v>10425</v>
      </c>
      <c r="F341" s="16"/>
    </row>
    <row r="342" spans="1:6" ht="16.5" customHeight="1" x14ac:dyDescent="0.35">
      <c r="A342" s="34" t="s">
        <v>10426</v>
      </c>
      <c r="B342" s="36" t="s">
        <v>10427</v>
      </c>
      <c r="C342" s="37" t="s">
        <v>10428</v>
      </c>
      <c r="D342" s="43" t="s">
        <v>10429</v>
      </c>
      <c r="F342" s="16"/>
    </row>
    <row r="343" spans="1:6" ht="16.5" customHeight="1" x14ac:dyDescent="0.35">
      <c r="A343" s="31" t="s">
        <v>7213</v>
      </c>
      <c r="B343" s="39" t="s">
        <v>10430</v>
      </c>
      <c r="C343" s="32" t="s">
        <v>10431</v>
      </c>
      <c r="D343" s="33" t="s">
        <v>10432</v>
      </c>
      <c r="F343" s="16"/>
    </row>
    <row r="344" spans="1:6" ht="16.5" customHeight="1" x14ac:dyDescent="0.35">
      <c r="A344" s="31" t="s">
        <v>7216</v>
      </c>
      <c r="B344" s="36" t="s">
        <v>10433</v>
      </c>
      <c r="C344" s="32" t="s">
        <v>10434</v>
      </c>
      <c r="D344" s="33" t="s">
        <v>10435</v>
      </c>
      <c r="F344" s="16"/>
    </row>
    <row r="345" spans="1:6" ht="16.5" customHeight="1" x14ac:dyDescent="0.35">
      <c r="A345" s="31" t="s">
        <v>10436</v>
      </c>
      <c r="B345" s="36" t="s">
        <v>10437</v>
      </c>
      <c r="C345" s="32" t="s">
        <v>10438</v>
      </c>
      <c r="D345" s="33" t="s">
        <v>10439</v>
      </c>
      <c r="F345" s="16"/>
    </row>
    <row r="346" spans="1:6" ht="16.5" customHeight="1" x14ac:dyDescent="0.35">
      <c r="A346" s="31" t="s">
        <v>10440</v>
      </c>
      <c r="B346" s="34" t="s">
        <v>10441</v>
      </c>
      <c r="C346" s="32" t="s">
        <v>10442</v>
      </c>
      <c r="D346" s="33" t="s">
        <v>10443</v>
      </c>
      <c r="F346" s="16"/>
    </row>
    <row r="347" spans="1:6" ht="16.5" customHeight="1" x14ac:dyDescent="0.35">
      <c r="A347" s="34" t="s">
        <v>10444</v>
      </c>
      <c r="B347" s="34" t="s">
        <v>10445</v>
      </c>
      <c r="C347" s="32" t="s">
        <v>10446</v>
      </c>
      <c r="D347" s="33" t="s">
        <v>10447</v>
      </c>
      <c r="F347" s="16"/>
    </row>
    <row r="348" spans="1:6" ht="16.5" customHeight="1" x14ac:dyDescent="0.35">
      <c r="A348" s="34" t="s">
        <v>10448</v>
      </c>
      <c r="B348" s="34" t="s">
        <v>10449</v>
      </c>
      <c r="C348" s="32" t="s">
        <v>10450</v>
      </c>
      <c r="D348" s="33" t="s">
        <v>10451</v>
      </c>
      <c r="F348" s="16"/>
    </row>
    <row r="349" spans="1:6" ht="16.5" customHeight="1" x14ac:dyDescent="0.35">
      <c r="A349" s="34" t="s">
        <v>10452</v>
      </c>
      <c r="B349" s="34" t="s">
        <v>10453</v>
      </c>
      <c r="C349" s="32" t="s">
        <v>10454</v>
      </c>
      <c r="D349" s="33" t="s">
        <v>10455</v>
      </c>
      <c r="F349" s="16"/>
    </row>
    <row r="350" spans="1:6" ht="16.5" customHeight="1" x14ac:dyDescent="0.35">
      <c r="A350" s="34" t="s">
        <v>10456</v>
      </c>
      <c r="B350" s="36" t="s">
        <v>10457</v>
      </c>
      <c r="C350" s="37" t="s">
        <v>10458</v>
      </c>
      <c r="D350" s="38" t="s">
        <v>10459</v>
      </c>
      <c r="F350" s="16"/>
    </row>
    <row r="351" spans="1:6" ht="16.5" customHeight="1" x14ac:dyDescent="0.35">
      <c r="A351" s="31" t="s">
        <v>10460</v>
      </c>
      <c r="B351" s="34" t="s">
        <v>10461</v>
      </c>
      <c r="C351" s="32" t="s">
        <v>10462</v>
      </c>
      <c r="D351" s="33" t="s">
        <v>10463</v>
      </c>
      <c r="F351" s="16"/>
    </row>
    <row r="352" spans="1:6" ht="16.5" customHeight="1" x14ac:dyDescent="0.35">
      <c r="A352" s="34" t="s">
        <v>10464</v>
      </c>
      <c r="B352" s="34" t="s">
        <v>10465</v>
      </c>
      <c r="C352" s="32" t="s">
        <v>10466</v>
      </c>
      <c r="D352" s="33" t="s">
        <v>10467</v>
      </c>
      <c r="F352" s="16"/>
    </row>
    <row r="353" spans="1:6" ht="16.5" customHeight="1" x14ac:dyDescent="0.35">
      <c r="A353" s="34" t="s">
        <v>10468</v>
      </c>
      <c r="B353" s="36" t="s">
        <v>10469</v>
      </c>
      <c r="C353" s="37" t="s">
        <v>10470</v>
      </c>
      <c r="D353" s="41" t="s">
        <v>10471</v>
      </c>
      <c r="F353" s="16"/>
    </row>
    <row r="354" spans="1:6" ht="16.5" customHeight="1" x14ac:dyDescent="0.35">
      <c r="A354" s="31" t="s">
        <v>10472</v>
      </c>
      <c r="B354" s="34" t="s">
        <v>10473</v>
      </c>
      <c r="C354" s="32" t="s">
        <v>10474</v>
      </c>
      <c r="D354" s="33" t="s">
        <v>10475</v>
      </c>
      <c r="F354" s="16"/>
    </row>
    <row r="355" spans="1:6" ht="16.5" customHeight="1" x14ac:dyDescent="0.35">
      <c r="A355" s="34" t="s">
        <v>10476</v>
      </c>
      <c r="B355" s="34" t="s">
        <v>10477</v>
      </c>
      <c r="C355" s="32" t="s">
        <v>10478</v>
      </c>
      <c r="D355" s="33" t="s">
        <v>10479</v>
      </c>
      <c r="F355" s="16"/>
    </row>
    <row r="356" spans="1:6" ht="16.5" customHeight="1" x14ac:dyDescent="0.35">
      <c r="A356" s="34" t="s">
        <v>10480</v>
      </c>
      <c r="B356" s="36" t="s">
        <v>10481</v>
      </c>
      <c r="C356" s="37" t="s">
        <v>10482</v>
      </c>
      <c r="D356" s="41" t="s">
        <v>10483</v>
      </c>
      <c r="F356" s="16"/>
    </row>
    <row r="357" spans="1:6" ht="16.5" customHeight="1" x14ac:dyDescent="0.35">
      <c r="A357" s="34" t="s">
        <v>10484</v>
      </c>
      <c r="B357" s="34" t="s">
        <v>10485</v>
      </c>
      <c r="C357" s="32" t="s">
        <v>10486</v>
      </c>
      <c r="D357" s="33" t="s">
        <v>10487</v>
      </c>
      <c r="F357" s="16"/>
    </row>
    <row r="358" spans="1:6" ht="16.5" customHeight="1" x14ac:dyDescent="0.35">
      <c r="A358" s="34" t="s">
        <v>10488</v>
      </c>
      <c r="B358" s="34" t="s">
        <v>10489</v>
      </c>
      <c r="C358" s="32" t="s">
        <v>10490</v>
      </c>
      <c r="D358" s="33" t="s">
        <v>10491</v>
      </c>
    </row>
    <row r="359" spans="1:6" ht="16.5" customHeight="1" x14ac:dyDescent="0.35">
      <c r="A359" s="34" t="s">
        <v>10492</v>
      </c>
      <c r="B359" s="34" t="s">
        <v>10493</v>
      </c>
      <c r="C359" s="32" t="s">
        <v>10494</v>
      </c>
      <c r="D359" s="33" t="s">
        <v>10495</v>
      </c>
    </row>
    <row r="360" spans="1:6" ht="16.5" customHeight="1" x14ac:dyDescent="0.35">
      <c r="A360" s="34" t="s">
        <v>10496</v>
      </c>
      <c r="B360" s="34" t="s">
        <v>10497</v>
      </c>
      <c r="C360" s="32" t="s">
        <v>10498</v>
      </c>
      <c r="D360" s="33" t="s">
        <v>10499</v>
      </c>
    </row>
    <row r="361" spans="1:6" ht="16.5" customHeight="1" x14ac:dyDescent="0.35">
      <c r="A361" s="34" t="s">
        <v>10500</v>
      </c>
      <c r="B361" s="34" t="s">
        <v>10501</v>
      </c>
      <c r="C361" s="32" t="s">
        <v>10502</v>
      </c>
      <c r="D361" s="33" t="s">
        <v>10503</v>
      </c>
    </row>
    <row r="362" spans="1:6" ht="16.5" customHeight="1" x14ac:dyDescent="0.35">
      <c r="A362" s="34" t="s">
        <v>10504</v>
      </c>
      <c r="B362" s="36" t="s">
        <v>10505</v>
      </c>
      <c r="C362" s="37" t="s">
        <v>10506</v>
      </c>
      <c r="D362" s="41" t="s">
        <v>10507</v>
      </c>
    </row>
    <row r="363" spans="1:6" ht="16.5" customHeight="1" x14ac:dyDescent="0.35">
      <c r="A363" s="34" t="s">
        <v>10508</v>
      </c>
      <c r="B363" s="34" t="s">
        <v>10509</v>
      </c>
      <c r="C363" s="32" t="s">
        <v>10510</v>
      </c>
      <c r="D363" s="33" t="s">
        <v>10511</v>
      </c>
    </row>
    <row r="364" spans="1:6" ht="16.5" customHeight="1" x14ac:dyDescent="0.35">
      <c r="A364" s="34" t="s">
        <v>10512</v>
      </c>
      <c r="B364" s="34" t="s">
        <v>10513</v>
      </c>
      <c r="C364" s="32" t="s">
        <v>10514</v>
      </c>
      <c r="D364" s="33" t="s">
        <v>10515</v>
      </c>
    </row>
    <row r="365" spans="1:6" ht="16.5" customHeight="1" x14ac:dyDescent="0.35">
      <c r="A365" s="34" t="s">
        <v>10516</v>
      </c>
      <c r="B365" s="34" t="s">
        <v>10517</v>
      </c>
      <c r="C365" s="32" t="s">
        <v>10518</v>
      </c>
      <c r="D365" s="33" t="s">
        <v>10519</v>
      </c>
    </row>
    <row r="366" spans="1:6" ht="16.5" customHeight="1" x14ac:dyDescent="0.35">
      <c r="A366" s="34" t="s">
        <v>10520</v>
      </c>
      <c r="B366" s="34" t="s">
        <v>10521</v>
      </c>
      <c r="C366" s="32" t="s">
        <v>10522</v>
      </c>
      <c r="D366" s="33" t="s">
        <v>10523</v>
      </c>
    </row>
    <row r="367" spans="1:6" ht="16.5" customHeight="1" x14ac:dyDescent="0.35">
      <c r="A367" s="31" t="s">
        <v>10524</v>
      </c>
      <c r="B367" s="36" t="s">
        <v>10525</v>
      </c>
      <c r="C367" s="32" t="s">
        <v>10526</v>
      </c>
      <c r="D367" s="33" t="s">
        <v>10527</v>
      </c>
    </row>
    <row r="368" spans="1:6" ht="16.5" customHeight="1" x14ac:dyDescent="0.35">
      <c r="A368" s="34" t="s">
        <v>7442</v>
      </c>
      <c r="B368" s="39" t="s">
        <v>10528</v>
      </c>
      <c r="C368" s="37" t="s">
        <v>10529</v>
      </c>
      <c r="D368" s="43" t="s">
        <v>10530</v>
      </c>
    </row>
    <row r="369" spans="1:4" ht="16.5" customHeight="1" x14ac:dyDescent="0.35">
      <c r="A369" s="34" t="s">
        <v>10531</v>
      </c>
      <c r="B369" s="39" t="s">
        <v>10532</v>
      </c>
      <c r="C369" s="37" t="s">
        <v>10533</v>
      </c>
      <c r="D369" s="35" t="s">
        <v>10534</v>
      </c>
    </row>
    <row r="370" spans="1:4" ht="16.5" customHeight="1" x14ac:dyDescent="0.35">
      <c r="A370" s="31" t="s">
        <v>10535</v>
      </c>
      <c r="B370" s="36" t="s">
        <v>10536</v>
      </c>
      <c r="C370" s="32" t="s">
        <v>10537</v>
      </c>
      <c r="D370" s="33" t="s">
        <v>10538</v>
      </c>
    </row>
    <row r="371" spans="1:4" ht="16.5" customHeight="1" x14ac:dyDescent="0.35">
      <c r="A371" s="34" t="s">
        <v>10539</v>
      </c>
      <c r="B371" s="36" t="s">
        <v>10540</v>
      </c>
      <c r="C371" s="37" t="s">
        <v>10541</v>
      </c>
      <c r="D371" s="35" t="s">
        <v>10542</v>
      </c>
    </row>
    <row r="372" spans="1:4" ht="16.5" customHeight="1" x14ac:dyDescent="0.35">
      <c r="A372" s="31" t="s">
        <v>10543</v>
      </c>
      <c r="B372" s="34" t="s">
        <v>10544</v>
      </c>
      <c r="C372" s="32" t="s">
        <v>10545</v>
      </c>
      <c r="D372" s="33" t="s">
        <v>10546</v>
      </c>
    </row>
    <row r="373" spans="1:4" ht="16.5" customHeight="1" x14ac:dyDescent="0.35">
      <c r="A373" s="34" t="s">
        <v>10547</v>
      </c>
      <c r="B373" s="36" t="s">
        <v>10548</v>
      </c>
      <c r="C373" s="37" t="s">
        <v>10549</v>
      </c>
      <c r="D373" s="43" t="s">
        <v>10550</v>
      </c>
    </row>
    <row r="374" spans="1:4" ht="16.5" customHeight="1" x14ac:dyDescent="0.35">
      <c r="A374" s="31" t="s">
        <v>10551</v>
      </c>
      <c r="B374" s="36" t="s">
        <v>10552</v>
      </c>
      <c r="C374" s="32" t="s">
        <v>10553</v>
      </c>
      <c r="D374" s="44" t="s">
        <v>10554</v>
      </c>
    </row>
    <row r="375" spans="1:4" ht="16.5" customHeight="1" x14ac:dyDescent="0.35">
      <c r="A375" s="31" t="s">
        <v>10555</v>
      </c>
      <c r="B375" s="36" t="s">
        <v>10556</v>
      </c>
      <c r="C375" s="32" t="s">
        <v>10557</v>
      </c>
      <c r="D375" s="33" t="s">
        <v>10558</v>
      </c>
    </row>
    <row r="376" spans="1:4" ht="16.5" customHeight="1" x14ac:dyDescent="0.35">
      <c r="A376" s="31" t="s">
        <v>10559</v>
      </c>
      <c r="B376" s="36" t="s">
        <v>10560</v>
      </c>
      <c r="C376" s="32" t="s">
        <v>10561</v>
      </c>
      <c r="D376" s="33" t="s">
        <v>10562</v>
      </c>
    </row>
    <row r="377" spans="1:4" ht="16.5" customHeight="1" x14ac:dyDescent="0.35">
      <c r="A377" s="34" t="s">
        <v>10563</v>
      </c>
      <c r="B377" s="34" t="s">
        <v>10564</v>
      </c>
      <c r="C377" s="32" t="s">
        <v>10565</v>
      </c>
      <c r="D377" s="33" t="s">
        <v>10566</v>
      </c>
    </row>
    <row r="378" spans="1:4" ht="16.5" customHeight="1" x14ac:dyDescent="0.35">
      <c r="A378" s="31" t="s">
        <v>10567</v>
      </c>
      <c r="B378" s="34" t="s">
        <v>10568</v>
      </c>
      <c r="C378" s="32" t="s">
        <v>10569</v>
      </c>
      <c r="D378" s="33" t="s">
        <v>10570</v>
      </c>
    </row>
    <row r="379" spans="1:4" ht="16.5" customHeight="1" x14ac:dyDescent="0.35">
      <c r="A379" s="34" t="s">
        <v>10571</v>
      </c>
      <c r="B379" s="34" t="s">
        <v>10572</v>
      </c>
      <c r="C379" s="32" t="s">
        <v>10573</v>
      </c>
      <c r="D379" s="33" t="s">
        <v>10574</v>
      </c>
    </row>
    <row r="380" spans="1:4" ht="16.5" customHeight="1" x14ac:dyDescent="0.35">
      <c r="A380" s="31" t="s">
        <v>10575</v>
      </c>
      <c r="B380" s="36" t="s">
        <v>10576</v>
      </c>
      <c r="C380" s="32" t="s">
        <v>10577</v>
      </c>
      <c r="D380" s="41" t="s">
        <v>10578</v>
      </c>
    </row>
    <row r="381" spans="1:4" ht="16.5" customHeight="1" x14ac:dyDescent="0.35">
      <c r="A381" s="34" t="s">
        <v>10579</v>
      </c>
      <c r="B381" s="34" t="s">
        <v>10580</v>
      </c>
      <c r="C381" s="32" t="s">
        <v>10581</v>
      </c>
      <c r="D381" s="33" t="s">
        <v>10582</v>
      </c>
    </row>
    <row r="382" spans="1:4" ht="16.5" customHeight="1" x14ac:dyDescent="0.35">
      <c r="A382" s="31" t="s">
        <v>6749</v>
      </c>
      <c r="B382" s="34" t="s">
        <v>10583</v>
      </c>
      <c r="C382" s="32" t="s">
        <v>10584</v>
      </c>
      <c r="D382" s="33" t="s">
        <v>10585</v>
      </c>
    </row>
    <row r="383" spans="1:4" ht="16.5" customHeight="1" x14ac:dyDescent="0.35">
      <c r="A383" s="34" t="s">
        <v>10586</v>
      </c>
      <c r="B383" s="34" t="s">
        <v>10587</v>
      </c>
      <c r="C383" s="32" t="s">
        <v>10588</v>
      </c>
      <c r="D383" s="33" t="s">
        <v>10589</v>
      </c>
    </row>
    <row r="384" spans="1:4" ht="16.5" customHeight="1" x14ac:dyDescent="0.35">
      <c r="A384" s="34" t="s">
        <v>10590</v>
      </c>
      <c r="B384" s="34" t="s">
        <v>10591</v>
      </c>
      <c r="C384" s="32" t="s">
        <v>10592</v>
      </c>
      <c r="D384" s="33" t="s">
        <v>10593</v>
      </c>
    </row>
    <row r="385" spans="1:5" ht="16.5" customHeight="1" x14ac:dyDescent="0.35">
      <c r="A385" s="31" t="s">
        <v>8092</v>
      </c>
      <c r="B385" s="36" t="s">
        <v>10594</v>
      </c>
      <c r="C385" s="32" t="s">
        <v>10595</v>
      </c>
      <c r="D385" s="41" t="s">
        <v>10596</v>
      </c>
    </row>
    <row r="386" spans="1:5" ht="16.5" customHeight="1" x14ac:dyDescent="0.35">
      <c r="A386" s="31" t="s">
        <v>10597</v>
      </c>
      <c r="B386" s="34" t="s">
        <v>10598</v>
      </c>
      <c r="C386" s="32" t="s">
        <v>10599</v>
      </c>
      <c r="D386" s="33" t="s">
        <v>10600</v>
      </c>
    </row>
    <row r="387" spans="1:5" ht="16.5" customHeight="1" x14ac:dyDescent="0.35">
      <c r="A387" s="31" t="s">
        <v>6669</v>
      </c>
      <c r="B387" s="36" t="s">
        <v>10601</v>
      </c>
      <c r="C387" s="32" t="s">
        <v>10602</v>
      </c>
      <c r="D387" s="33" t="s">
        <v>10603</v>
      </c>
    </row>
    <row r="388" spans="1:5" ht="16.5" customHeight="1" x14ac:dyDescent="0.35">
      <c r="A388" s="34" t="s">
        <v>10604</v>
      </c>
      <c r="B388" s="36" t="s">
        <v>10605</v>
      </c>
      <c r="C388" s="37" t="s">
        <v>10606</v>
      </c>
      <c r="D388" s="35" t="s">
        <v>10607</v>
      </c>
    </row>
    <row r="389" spans="1:5" ht="16.5" customHeight="1" x14ac:dyDescent="0.35">
      <c r="A389" s="34" t="s">
        <v>10608</v>
      </c>
      <c r="B389" s="45" t="s">
        <v>10609</v>
      </c>
      <c r="C389" s="32" t="s">
        <v>10610</v>
      </c>
      <c r="D389" s="33" t="s">
        <v>10611</v>
      </c>
    </row>
    <row r="390" spans="1:5" ht="16.5" customHeight="1" x14ac:dyDescent="0.35">
      <c r="A390" s="31" t="s">
        <v>10612</v>
      </c>
      <c r="B390" s="36" t="s">
        <v>10613</v>
      </c>
      <c r="C390" s="32" t="s">
        <v>10614</v>
      </c>
      <c r="D390" s="44" t="s">
        <v>10615</v>
      </c>
    </row>
    <row r="391" spans="1:5" ht="16.5" customHeight="1" x14ac:dyDescent="0.35">
      <c r="A391" s="31" t="s">
        <v>10616</v>
      </c>
      <c r="B391" s="36" t="s">
        <v>10617</v>
      </c>
      <c r="C391" s="32" t="s">
        <v>10618</v>
      </c>
      <c r="D391" s="44" t="s">
        <v>10619</v>
      </c>
    </row>
    <row r="392" spans="1:5" ht="16.5" customHeight="1" x14ac:dyDescent="0.35">
      <c r="A392" s="31" t="s">
        <v>10620</v>
      </c>
      <c r="B392" s="36" t="s">
        <v>10621</v>
      </c>
      <c r="C392" s="32" t="s">
        <v>10622</v>
      </c>
      <c r="D392" s="33" t="s">
        <v>15021</v>
      </c>
    </row>
    <row r="393" spans="1:5" ht="16.5" customHeight="1" x14ac:dyDescent="0.35">
      <c r="A393" s="31" t="s">
        <v>10623</v>
      </c>
      <c r="B393" s="45" t="s">
        <v>10624</v>
      </c>
      <c r="C393" s="32" t="s">
        <v>10625</v>
      </c>
      <c r="D393" s="33" t="s">
        <v>10626</v>
      </c>
    </row>
    <row r="394" spans="1:5" ht="16.5" customHeight="1" x14ac:dyDescent="0.35">
      <c r="A394" s="34" t="s">
        <v>10627</v>
      </c>
      <c r="B394" s="34" t="s">
        <v>10628</v>
      </c>
      <c r="C394" s="32" t="s">
        <v>10629</v>
      </c>
      <c r="D394" s="33" t="s">
        <v>10630</v>
      </c>
    </row>
    <row r="395" spans="1:5" ht="16.5" customHeight="1" x14ac:dyDescent="0.35">
      <c r="A395" s="31" t="s">
        <v>10631</v>
      </c>
      <c r="B395" s="36" t="s">
        <v>10632</v>
      </c>
      <c r="C395" s="32" t="s">
        <v>10633</v>
      </c>
      <c r="D395" s="33" t="s">
        <v>10634</v>
      </c>
    </row>
    <row r="396" spans="1:5" ht="16.5" customHeight="1" x14ac:dyDescent="0.35">
      <c r="A396" s="31" t="s">
        <v>7939</v>
      </c>
      <c r="B396" s="36" t="s">
        <v>10635</v>
      </c>
      <c r="C396" s="32" t="s">
        <v>10636</v>
      </c>
      <c r="D396" s="33" t="s">
        <v>10637</v>
      </c>
    </row>
    <row r="397" spans="1:5" ht="16.5" customHeight="1" x14ac:dyDescent="0.35">
      <c r="A397" s="31" t="s">
        <v>10638</v>
      </c>
      <c r="B397" s="39" t="s">
        <v>10639</v>
      </c>
      <c r="C397" s="32" t="s">
        <v>10640</v>
      </c>
      <c r="D397" s="33" t="s">
        <v>10641</v>
      </c>
    </row>
    <row r="398" spans="1:5" ht="16.5" customHeight="1" x14ac:dyDescent="0.35">
      <c r="A398" s="31" t="s">
        <v>10642</v>
      </c>
      <c r="B398" s="36" t="s">
        <v>10643</v>
      </c>
      <c r="C398" s="32" t="s">
        <v>10644</v>
      </c>
      <c r="D398" s="33" t="s">
        <v>10645</v>
      </c>
    </row>
    <row r="399" spans="1:5" ht="16.5" customHeight="1" x14ac:dyDescent="0.35">
      <c r="A399" s="34" t="s">
        <v>10646</v>
      </c>
      <c r="B399" s="34" t="s">
        <v>10647</v>
      </c>
      <c r="C399" s="32" t="s">
        <v>10648</v>
      </c>
      <c r="D399" s="33" t="s">
        <v>10649</v>
      </c>
      <c r="E399" s="17"/>
    </row>
    <row r="400" spans="1:5" ht="16.5" customHeight="1" x14ac:dyDescent="0.35">
      <c r="A400" s="34" t="s">
        <v>10650</v>
      </c>
      <c r="B400" s="34" t="s">
        <v>10651</v>
      </c>
      <c r="C400" s="32" t="s">
        <v>10652</v>
      </c>
      <c r="D400" s="33" t="s">
        <v>10653</v>
      </c>
    </row>
    <row r="401" spans="1:4" ht="16.5" customHeight="1" x14ac:dyDescent="0.35">
      <c r="A401" s="31" t="s">
        <v>10654</v>
      </c>
      <c r="B401" s="34" t="s">
        <v>10655</v>
      </c>
      <c r="C401" s="32" t="s">
        <v>10656</v>
      </c>
      <c r="D401" s="33" t="s">
        <v>10657</v>
      </c>
    </row>
    <row r="402" spans="1:4" ht="16.5" customHeight="1" x14ac:dyDescent="0.35">
      <c r="A402" s="31" t="s">
        <v>10658</v>
      </c>
      <c r="B402" s="36" t="s">
        <v>10659</v>
      </c>
      <c r="C402" s="32" t="s">
        <v>10660</v>
      </c>
      <c r="D402" s="33" t="s">
        <v>10661</v>
      </c>
    </row>
    <row r="403" spans="1:4" ht="16.5" customHeight="1" x14ac:dyDescent="0.35">
      <c r="A403" s="31" t="s">
        <v>10662</v>
      </c>
      <c r="B403" s="36" t="s">
        <v>10663</v>
      </c>
      <c r="C403" s="32" t="s">
        <v>10664</v>
      </c>
      <c r="D403" s="33" t="s">
        <v>10665</v>
      </c>
    </row>
    <row r="404" spans="1:4" ht="16.5" customHeight="1" x14ac:dyDescent="0.35">
      <c r="A404" s="31" t="s">
        <v>10666</v>
      </c>
      <c r="B404" s="39" t="s">
        <v>10667</v>
      </c>
      <c r="C404" s="32" t="s">
        <v>10668</v>
      </c>
      <c r="D404" s="33" t="s">
        <v>10669</v>
      </c>
    </row>
    <row r="405" spans="1:4" ht="16.5" customHeight="1" x14ac:dyDescent="0.35">
      <c r="A405" s="34" t="s">
        <v>10670</v>
      </c>
      <c r="B405" s="34" t="s">
        <v>10671</v>
      </c>
      <c r="C405" s="32" t="s">
        <v>10672</v>
      </c>
      <c r="D405" s="33" t="s">
        <v>10673</v>
      </c>
    </row>
    <row r="406" spans="1:4" ht="16.5" customHeight="1" x14ac:dyDescent="0.35">
      <c r="A406" s="31" t="s">
        <v>10674</v>
      </c>
      <c r="B406" s="36" t="s">
        <v>10675</v>
      </c>
      <c r="C406" s="32" t="s">
        <v>10676</v>
      </c>
      <c r="D406" s="33" t="s">
        <v>10677</v>
      </c>
    </row>
    <row r="407" spans="1:4" ht="16.5" customHeight="1" x14ac:dyDescent="0.35">
      <c r="A407" s="31" t="s">
        <v>10678</v>
      </c>
      <c r="B407" s="36" t="s">
        <v>10679</v>
      </c>
      <c r="C407" s="32" t="s">
        <v>10680</v>
      </c>
      <c r="D407" s="33" t="s">
        <v>10681</v>
      </c>
    </row>
    <row r="408" spans="1:4" ht="16.5" customHeight="1" x14ac:dyDescent="0.35">
      <c r="A408" s="31" t="s">
        <v>6422</v>
      </c>
      <c r="B408" s="36" t="s">
        <v>10682</v>
      </c>
      <c r="C408" s="32" t="s">
        <v>10683</v>
      </c>
      <c r="D408" s="33" t="s">
        <v>10684</v>
      </c>
    </row>
    <row r="409" spans="1:4" ht="16.5" customHeight="1" x14ac:dyDescent="0.35">
      <c r="A409" s="31" t="s">
        <v>10685</v>
      </c>
      <c r="B409" s="36" t="s">
        <v>10686</v>
      </c>
      <c r="C409" s="32" t="s">
        <v>10687</v>
      </c>
      <c r="D409" s="44" t="s">
        <v>10688</v>
      </c>
    </row>
    <row r="410" spans="1:4" ht="16.5" customHeight="1" x14ac:dyDescent="0.35">
      <c r="A410" s="31" t="s">
        <v>10689</v>
      </c>
      <c r="B410" s="36" t="s">
        <v>10690</v>
      </c>
      <c r="C410" s="32" t="s">
        <v>10691</v>
      </c>
      <c r="D410" s="33" t="s">
        <v>10692</v>
      </c>
    </row>
    <row r="411" spans="1:4" ht="16.5" customHeight="1" x14ac:dyDescent="0.35">
      <c r="A411" s="34" t="s">
        <v>10693</v>
      </c>
      <c r="B411" s="34" t="s">
        <v>10694</v>
      </c>
      <c r="C411" s="32" t="s">
        <v>10695</v>
      </c>
      <c r="D411" s="33" t="s">
        <v>10696</v>
      </c>
    </row>
    <row r="412" spans="1:4" ht="16.5" customHeight="1" x14ac:dyDescent="0.35">
      <c r="A412" s="31" t="s">
        <v>8331</v>
      </c>
      <c r="B412" s="34" t="s">
        <v>10697</v>
      </c>
      <c r="C412" s="32" t="s">
        <v>10698</v>
      </c>
      <c r="D412" s="33" t="s">
        <v>10699</v>
      </c>
    </row>
    <row r="413" spans="1:4" ht="16.5" customHeight="1" x14ac:dyDescent="0.35">
      <c r="A413" s="34" t="s">
        <v>10700</v>
      </c>
      <c r="B413" s="34" t="s">
        <v>10701</v>
      </c>
      <c r="C413" s="32" t="s">
        <v>10702</v>
      </c>
      <c r="D413" s="33" t="s">
        <v>10703</v>
      </c>
    </row>
    <row r="414" spans="1:4" ht="16.5" customHeight="1" x14ac:dyDescent="0.35">
      <c r="A414" s="34" t="s">
        <v>10704</v>
      </c>
      <c r="B414" s="39" t="s">
        <v>10705</v>
      </c>
      <c r="C414" s="37" t="s">
        <v>10706</v>
      </c>
      <c r="D414" s="35" t="s">
        <v>10707</v>
      </c>
    </row>
    <row r="415" spans="1:4" ht="16.5" customHeight="1" x14ac:dyDescent="0.35">
      <c r="A415" s="34" t="s">
        <v>10708</v>
      </c>
      <c r="B415" s="36" t="s">
        <v>10709</v>
      </c>
      <c r="C415" s="37" t="s">
        <v>10710</v>
      </c>
      <c r="D415" s="35" t="s">
        <v>10711</v>
      </c>
    </row>
    <row r="416" spans="1:4" ht="16.5" customHeight="1" x14ac:dyDescent="0.35">
      <c r="A416" s="31" t="s">
        <v>6914</v>
      </c>
      <c r="B416" s="34" t="s">
        <v>10712</v>
      </c>
      <c r="C416" s="32" t="s">
        <v>10713</v>
      </c>
      <c r="D416" s="33" t="s">
        <v>10714</v>
      </c>
    </row>
    <row r="417" spans="1:4" ht="16.5" customHeight="1" x14ac:dyDescent="0.35">
      <c r="A417" s="34" t="s">
        <v>10715</v>
      </c>
      <c r="B417" s="36" t="s">
        <v>10716</v>
      </c>
      <c r="C417" s="37" t="s">
        <v>10717</v>
      </c>
      <c r="D417" s="35" t="s">
        <v>10718</v>
      </c>
    </row>
    <row r="418" spans="1:4" ht="16.5" customHeight="1" x14ac:dyDescent="0.35">
      <c r="A418" s="31" t="s">
        <v>10719</v>
      </c>
      <c r="B418" s="36" t="s">
        <v>10720</v>
      </c>
      <c r="C418" s="32" t="s">
        <v>10721</v>
      </c>
      <c r="D418" s="33" t="s">
        <v>10722</v>
      </c>
    </row>
    <row r="419" spans="1:4" ht="16.5" customHeight="1" x14ac:dyDescent="0.35">
      <c r="A419" s="31" t="s">
        <v>10723</v>
      </c>
      <c r="B419" s="34" t="s">
        <v>10724</v>
      </c>
      <c r="C419" s="32" t="s">
        <v>10725</v>
      </c>
      <c r="D419" s="33" t="s">
        <v>10726</v>
      </c>
    </row>
    <row r="420" spans="1:4" ht="16.5" customHeight="1" x14ac:dyDescent="0.35">
      <c r="A420" s="31" t="s">
        <v>10727</v>
      </c>
      <c r="B420" s="34" t="s">
        <v>10728</v>
      </c>
      <c r="C420" s="32" t="s">
        <v>10729</v>
      </c>
      <c r="D420" s="33" t="s">
        <v>10730</v>
      </c>
    </row>
    <row r="421" spans="1:4" ht="16.5" customHeight="1" x14ac:dyDescent="0.35">
      <c r="A421" s="34" t="s">
        <v>10731</v>
      </c>
      <c r="B421" s="36" t="s">
        <v>10732</v>
      </c>
      <c r="C421" s="37" t="s">
        <v>10733</v>
      </c>
      <c r="D421" s="43" t="s">
        <v>10734</v>
      </c>
    </row>
    <row r="422" spans="1:4" ht="16.5" customHeight="1" x14ac:dyDescent="0.35">
      <c r="A422" s="34" t="s">
        <v>10735</v>
      </c>
      <c r="B422" s="34" t="s">
        <v>10736</v>
      </c>
      <c r="C422" s="32" t="s">
        <v>10737</v>
      </c>
      <c r="D422" s="33" t="s">
        <v>10738</v>
      </c>
    </row>
    <row r="423" spans="1:4" ht="16.5" customHeight="1" x14ac:dyDescent="0.35">
      <c r="A423" s="31" t="s">
        <v>10739</v>
      </c>
      <c r="B423" s="36" t="s">
        <v>10740</v>
      </c>
      <c r="C423" s="32" t="s">
        <v>10741</v>
      </c>
      <c r="D423" s="33" t="s">
        <v>10742</v>
      </c>
    </row>
    <row r="424" spans="1:4" ht="16.5" customHeight="1" x14ac:dyDescent="0.35">
      <c r="A424" s="34" t="s">
        <v>10743</v>
      </c>
      <c r="B424" s="36" t="s">
        <v>10744</v>
      </c>
      <c r="C424" s="37" t="s">
        <v>10745</v>
      </c>
      <c r="D424" s="35" t="s">
        <v>10746</v>
      </c>
    </row>
    <row r="425" spans="1:4" ht="16.5" customHeight="1" x14ac:dyDescent="0.35">
      <c r="A425" s="31" t="s">
        <v>10747</v>
      </c>
      <c r="B425" s="31" t="s">
        <v>10748</v>
      </c>
      <c r="C425" s="32" t="s">
        <v>10749</v>
      </c>
      <c r="D425" s="33" t="s">
        <v>10750</v>
      </c>
    </row>
    <row r="426" spans="1:4" ht="16.5" customHeight="1" x14ac:dyDescent="0.35">
      <c r="A426" s="31" t="s">
        <v>10751</v>
      </c>
      <c r="B426" s="34" t="s">
        <v>10752</v>
      </c>
      <c r="C426" s="32" t="s">
        <v>10753</v>
      </c>
      <c r="D426" s="33" t="s">
        <v>10754</v>
      </c>
    </row>
    <row r="427" spans="1:4" ht="16.5" customHeight="1" x14ac:dyDescent="0.35">
      <c r="A427" s="34" t="s">
        <v>10755</v>
      </c>
      <c r="B427" s="34" t="s">
        <v>10756</v>
      </c>
      <c r="C427" s="32" t="s">
        <v>10757</v>
      </c>
      <c r="D427" s="33" t="s">
        <v>10758</v>
      </c>
    </row>
    <row r="428" spans="1:4" ht="16.5" customHeight="1" x14ac:dyDescent="0.35">
      <c r="A428" s="31" t="s">
        <v>10759</v>
      </c>
      <c r="B428" s="34" t="s">
        <v>10760</v>
      </c>
      <c r="C428" s="32" t="s">
        <v>10761</v>
      </c>
      <c r="D428" s="33" t="s">
        <v>10762</v>
      </c>
    </row>
    <row r="429" spans="1:4" ht="16.5" customHeight="1" x14ac:dyDescent="0.35">
      <c r="A429" s="31" t="s">
        <v>10763</v>
      </c>
      <c r="B429" s="36" t="s">
        <v>10764</v>
      </c>
      <c r="C429" s="32" t="s">
        <v>10765</v>
      </c>
      <c r="D429" s="33" t="s">
        <v>10766</v>
      </c>
    </row>
    <row r="430" spans="1:4" ht="16.5" customHeight="1" x14ac:dyDescent="0.35">
      <c r="A430" s="34" t="s">
        <v>10767</v>
      </c>
      <c r="B430" s="31" t="s">
        <v>10768</v>
      </c>
      <c r="C430" s="32" t="s">
        <v>10769</v>
      </c>
      <c r="D430" s="33" t="s">
        <v>10770</v>
      </c>
    </row>
    <row r="431" spans="1:4" ht="16.5" customHeight="1" x14ac:dyDescent="0.35">
      <c r="A431" s="34" t="s">
        <v>10771</v>
      </c>
      <c r="B431" s="34" t="s">
        <v>10772</v>
      </c>
      <c r="C431" s="32" t="s">
        <v>10773</v>
      </c>
      <c r="D431" s="33" t="s">
        <v>10774</v>
      </c>
    </row>
    <row r="432" spans="1:4" ht="16.5" customHeight="1" x14ac:dyDescent="0.35">
      <c r="A432" s="31" t="s">
        <v>10775</v>
      </c>
      <c r="B432" s="34" t="s">
        <v>10776</v>
      </c>
      <c r="C432" s="32" t="s">
        <v>10777</v>
      </c>
      <c r="D432" s="33" t="s">
        <v>10778</v>
      </c>
    </row>
    <row r="433" spans="1:4" ht="16.5" customHeight="1" x14ac:dyDescent="0.35">
      <c r="A433" s="31" t="s">
        <v>7867</v>
      </c>
      <c r="B433" s="36" t="s">
        <v>10779</v>
      </c>
      <c r="C433" s="32" t="s">
        <v>10780</v>
      </c>
      <c r="D433" s="33" t="s">
        <v>10781</v>
      </c>
    </row>
    <row r="434" spans="1:4" ht="16.5" customHeight="1" x14ac:dyDescent="0.35">
      <c r="A434" s="34" t="s">
        <v>10782</v>
      </c>
      <c r="B434" s="36" t="s">
        <v>10783</v>
      </c>
      <c r="C434" s="37" t="s">
        <v>10784</v>
      </c>
      <c r="D434" s="35" t="s">
        <v>10785</v>
      </c>
    </row>
    <row r="435" spans="1:4" ht="16.5" customHeight="1" x14ac:dyDescent="0.35">
      <c r="A435" s="34" t="s">
        <v>10786</v>
      </c>
      <c r="B435" s="34" t="s">
        <v>10787</v>
      </c>
      <c r="C435" s="32" t="s">
        <v>10788</v>
      </c>
      <c r="D435" s="33" t="s">
        <v>10789</v>
      </c>
    </row>
    <row r="436" spans="1:4" ht="16.5" customHeight="1" x14ac:dyDescent="0.35">
      <c r="A436" s="34" t="s">
        <v>10790</v>
      </c>
      <c r="B436" s="36" t="s">
        <v>10791</v>
      </c>
      <c r="C436" s="37" t="s">
        <v>10792</v>
      </c>
      <c r="D436" s="35" t="s">
        <v>10793</v>
      </c>
    </row>
    <row r="437" spans="1:4" ht="16.5" customHeight="1" x14ac:dyDescent="0.35">
      <c r="A437" s="31" t="s">
        <v>10794</v>
      </c>
      <c r="B437" s="36" t="s">
        <v>10795</v>
      </c>
      <c r="C437" s="32" t="s">
        <v>10796</v>
      </c>
      <c r="D437" s="33" t="s">
        <v>10797</v>
      </c>
    </row>
    <row r="438" spans="1:4" ht="16.5" customHeight="1" x14ac:dyDescent="0.35">
      <c r="A438" s="31" t="s">
        <v>10798</v>
      </c>
      <c r="B438" s="36" t="s">
        <v>10799</v>
      </c>
      <c r="C438" s="32" t="s">
        <v>10800</v>
      </c>
      <c r="D438" s="33" t="s">
        <v>10801</v>
      </c>
    </row>
    <row r="439" spans="1:4" ht="16.5" customHeight="1" x14ac:dyDescent="0.35">
      <c r="A439" s="31" t="s">
        <v>7775</v>
      </c>
      <c r="B439" s="36" t="s">
        <v>10802</v>
      </c>
      <c r="C439" s="32" t="s">
        <v>10803</v>
      </c>
      <c r="D439" s="33" t="s">
        <v>10804</v>
      </c>
    </row>
    <row r="440" spans="1:4" ht="16.5" customHeight="1" x14ac:dyDescent="0.35">
      <c r="A440" s="31" t="s">
        <v>10805</v>
      </c>
      <c r="B440" s="36" t="s">
        <v>10806</v>
      </c>
      <c r="C440" s="32" t="s">
        <v>10807</v>
      </c>
      <c r="D440" s="33" t="s">
        <v>10808</v>
      </c>
    </row>
    <row r="441" spans="1:4" ht="16.5" customHeight="1" x14ac:dyDescent="0.35">
      <c r="A441" s="34" t="s">
        <v>10809</v>
      </c>
      <c r="B441" s="34" t="s">
        <v>10810</v>
      </c>
      <c r="C441" s="32" t="s">
        <v>10811</v>
      </c>
      <c r="D441" s="33" t="s">
        <v>10812</v>
      </c>
    </row>
    <row r="442" spans="1:4" ht="16.5" customHeight="1" x14ac:dyDescent="0.35">
      <c r="A442" s="31" t="s">
        <v>7755</v>
      </c>
      <c r="B442" s="34" t="s">
        <v>10813</v>
      </c>
      <c r="C442" s="32" t="s">
        <v>10814</v>
      </c>
      <c r="D442" s="33" t="s">
        <v>10815</v>
      </c>
    </row>
    <row r="443" spans="1:4" ht="16.5" customHeight="1" x14ac:dyDescent="0.35">
      <c r="A443" s="31" t="s">
        <v>10816</v>
      </c>
      <c r="B443" s="36" t="s">
        <v>10817</v>
      </c>
      <c r="C443" s="32" t="s">
        <v>10818</v>
      </c>
      <c r="D443" s="41" t="s">
        <v>10819</v>
      </c>
    </row>
    <row r="444" spans="1:4" ht="16.5" customHeight="1" x14ac:dyDescent="0.35">
      <c r="A444" s="34" t="s">
        <v>10820</v>
      </c>
      <c r="B444" s="34" t="s">
        <v>10821</v>
      </c>
      <c r="C444" s="32" t="s">
        <v>10822</v>
      </c>
      <c r="D444" s="33" t="s">
        <v>10823</v>
      </c>
    </row>
    <row r="445" spans="1:4" ht="16.5" customHeight="1" x14ac:dyDescent="0.35">
      <c r="A445" s="34" t="s">
        <v>10824</v>
      </c>
      <c r="B445" s="36" t="s">
        <v>10825</v>
      </c>
      <c r="C445" s="37" t="s">
        <v>10826</v>
      </c>
      <c r="D445" s="35" t="s">
        <v>10827</v>
      </c>
    </row>
    <row r="446" spans="1:4" ht="16.5" customHeight="1" x14ac:dyDescent="0.35">
      <c r="A446" s="34" t="s">
        <v>10828</v>
      </c>
      <c r="B446" s="36" t="s">
        <v>10829</v>
      </c>
      <c r="C446" s="37" t="s">
        <v>10830</v>
      </c>
      <c r="D446" s="35" t="s">
        <v>10831</v>
      </c>
    </row>
    <row r="447" spans="1:4" ht="16.5" customHeight="1" x14ac:dyDescent="0.35">
      <c r="A447" s="31" t="s">
        <v>10832</v>
      </c>
      <c r="B447" s="36" t="s">
        <v>10833</v>
      </c>
      <c r="C447" s="32" t="s">
        <v>10834</v>
      </c>
      <c r="D447" s="33" t="s">
        <v>10835</v>
      </c>
    </row>
    <row r="448" spans="1:4" ht="16.5" customHeight="1" x14ac:dyDescent="0.35">
      <c r="A448" s="31" t="s">
        <v>7553</v>
      </c>
      <c r="B448" s="36" t="s">
        <v>10836</v>
      </c>
      <c r="C448" s="32" t="s">
        <v>10837</v>
      </c>
      <c r="D448" s="33" t="s">
        <v>10838</v>
      </c>
    </row>
    <row r="449" spans="1:4" ht="16.5" customHeight="1" x14ac:dyDescent="0.35">
      <c r="A449" s="31" t="s">
        <v>7210</v>
      </c>
      <c r="B449" s="36" t="s">
        <v>10839</v>
      </c>
      <c r="C449" s="32" t="s">
        <v>10840</v>
      </c>
      <c r="D449" s="33" t="s">
        <v>10841</v>
      </c>
    </row>
    <row r="450" spans="1:4" ht="16.5" customHeight="1" x14ac:dyDescent="0.35">
      <c r="A450" s="34" t="s">
        <v>10842</v>
      </c>
      <c r="B450" s="36" t="s">
        <v>10843</v>
      </c>
      <c r="C450" s="37" t="s">
        <v>10844</v>
      </c>
      <c r="D450" s="35" t="s">
        <v>10845</v>
      </c>
    </row>
    <row r="451" spans="1:4" ht="16.5" customHeight="1" x14ac:dyDescent="0.35">
      <c r="A451" s="31" t="s">
        <v>6708</v>
      </c>
      <c r="B451" s="36" t="s">
        <v>10846</v>
      </c>
      <c r="C451" s="32" t="s">
        <v>10847</v>
      </c>
      <c r="D451" s="33" t="s">
        <v>10848</v>
      </c>
    </row>
    <row r="452" spans="1:4" ht="16.5" customHeight="1" x14ac:dyDescent="0.35">
      <c r="A452" s="34" t="s">
        <v>10849</v>
      </c>
      <c r="B452" s="34" t="s">
        <v>10850</v>
      </c>
      <c r="C452" s="32" t="s">
        <v>10851</v>
      </c>
      <c r="D452" s="33" t="s">
        <v>10852</v>
      </c>
    </row>
    <row r="453" spans="1:4" ht="16.5" customHeight="1" x14ac:dyDescent="0.35">
      <c r="A453" s="34" t="s">
        <v>10853</v>
      </c>
      <c r="B453" s="34" t="s">
        <v>10854</v>
      </c>
      <c r="C453" s="32" t="s">
        <v>10855</v>
      </c>
      <c r="D453" s="33" t="s">
        <v>10856</v>
      </c>
    </row>
    <row r="454" spans="1:4" ht="16.5" customHeight="1" x14ac:dyDescent="0.35">
      <c r="A454" s="31" t="s">
        <v>8666</v>
      </c>
      <c r="B454" s="36" t="s">
        <v>10857</v>
      </c>
      <c r="C454" s="32" t="s">
        <v>10858</v>
      </c>
      <c r="D454" s="41" t="s">
        <v>10859</v>
      </c>
    </row>
    <row r="455" spans="1:4" ht="16.5" customHeight="1" x14ac:dyDescent="0.35">
      <c r="A455" s="34" t="s">
        <v>10860</v>
      </c>
      <c r="B455" s="34" t="s">
        <v>10861</v>
      </c>
      <c r="C455" s="32" t="s">
        <v>10862</v>
      </c>
      <c r="D455" s="33" t="s">
        <v>10863</v>
      </c>
    </row>
    <row r="456" spans="1:4" ht="16.5" customHeight="1" x14ac:dyDescent="0.35">
      <c r="A456" s="34" t="s">
        <v>10864</v>
      </c>
      <c r="B456" s="34" t="s">
        <v>10865</v>
      </c>
      <c r="C456" s="32" t="s">
        <v>10866</v>
      </c>
      <c r="D456" s="33" t="s">
        <v>10867</v>
      </c>
    </row>
    <row r="457" spans="1:4" ht="16.5" customHeight="1" x14ac:dyDescent="0.35">
      <c r="A457" s="31" t="s">
        <v>10868</v>
      </c>
      <c r="B457" s="31" t="s">
        <v>10869</v>
      </c>
      <c r="C457" s="32" t="s">
        <v>10870</v>
      </c>
      <c r="D457" s="33" t="s">
        <v>10871</v>
      </c>
    </row>
    <row r="458" spans="1:4" ht="16.5" customHeight="1" x14ac:dyDescent="0.35">
      <c r="A458" s="31" t="s">
        <v>6992</v>
      </c>
      <c r="B458" s="34" t="s">
        <v>10872</v>
      </c>
      <c r="C458" s="32" t="s">
        <v>10873</v>
      </c>
      <c r="D458" s="33" t="s">
        <v>10874</v>
      </c>
    </row>
    <row r="459" spans="1:4" ht="16.5" customHeight="1" x14ac:dyDescent="0.35">
      <c r="A459" s="34" t="s">
        <v>10875</v>
      </c>
      <c r="B459" s="36" t="s">
        <v>10876</v>
      </c>
      <c r="C459" s="37" t="s">
        <v>10877</v>
      </c>
      <c r="D459" s="35" t="s">
        <v>10878</v>
      </c>
    </row>
    <row r="460" spans="1:4" ht="16.5" customHeight="1" x14ac:dyDescent="0.35">
      <c r="A460" s="31" t="s">
        <v>10879</v>
      </c>
      <c r="B460" s="36" t="s">
        <v>10880</v>
      </c>
      <c r="C460" s="32" t="s">
        <v>10881</v>
      </c>
      <c r="D460" s="33" t="s">
        <v>10882</v>
      </c>
    </row>
    <row r="461" spans="1:4" ht="16.5" customHeight="1" x14ac:dyDescent="0.35">
      <c r="A461" s="34" t="s">
        <v>10883</v>
      </c>
      <c r="B461" s="34" t="s">
        <v>10884</v>
      </c>
      <c r="C461" s="32" t="s">
        <v>10885</v>
      </c>
      <c r="D461" s="33" t="s">
        <v>10886</v>
      </c>
    </row>
    <row r="462" spans="1:4" ht="16.5" customHeight="1" x14ac:dyDescent="0.35">
      <c r="A462" s="31" t="s">
        <v>6255</v>
      </c>
      <c r="B462" s="34" t="s">
        <v>10887</v>
      </c>
      <c r="C462" s="32" t="s">
        <v>10888</v>
      </c>
      <c r="D462" s="33" t="s">
        <v>10889</v>
      </c>
    </row>
    <row r="463" spans="1:4" ht="16.5" customHeight="1" x14ac:dyDescent="0.35">
      <c r="A463" s="31" t="s">
        <v>10890</v>
      </c>
      <c r="B463" s="36" t="s">
        <v>10891</v>
      </c>
      <c r="C463" s="32" t="s">
        <v>10892</v>
      </c>
      <c r="D463" s="41" t="s">
        <v>10893</v>
      </c>
    </row>
    <row r="464" spans="1:4" ht="16.5" customHeight="1" x14ac:dyDescent="0.35">
      <c r="A464" s="31" t="s">
        <v>10894</v>
      </c>
      <c r="B464" s="34" t="s">
        <v>10895</v>
      </c>
      <c r="C464" s="32" t="s">
        <v>10896</v>
      </c>
      <c r="D464" s="33" t="s">
        <v>10897</v>
      </c>
    </row>
    <row r="465" spans="1:4" ht="16.5" customHeight="1" x14ac:dyDescent="0.35">
      <c r="A465" s="31" t="s">
        <v>10898</v>
      </c>
      <c r="B465" s="34" t="s">
        <v>10899</v>
      </c>
      <c r="C465" s="32" t="s">
        <v>10900</v>
      </c>
      <c r="D465" s="33" t="s">
        <v>10901</v>
      </c>
    </row>
    <row r="466" spans="1:4" ht="16.5" customHeight="1" x14ac:dyDescent="0.35">
      <c r="A466" s="31" t="s">
        <v>7234</v>
      </c>
      <c r="B466" s="34" t="s">
        <v>10902</v>
      </c>
      <c r="C466" s="32" t="s">
        <v>10903</v>
      </c>
      <c r="D466" s="33" t="s">
        <v>10904</v>
      </c>
    </row>
    <row r="467" spans="1:4" ht="16.5" customHeight="1" x14ac:dyDescent="0.35">
      <c r="A467" s="31" t="s">
        <v>6254</v>
      </c>
      <c r="B467" s="34" t="s">
        <v>10905</v>
      </c>
      <c r="C467" s="32" t="s">
        <v>10906</v>
      </c>
      <c r="D467" s="33" t="s">
        <v>10907</v>
      </c>
    </row>
    <row r="468" spans="1:4" ht="16.5" customHeight="1" x14ac:dyDescent="0.35">
      <c r="A468" s="31" t="s">
        <v>10908</v>
      </c>
      <c r="B468" s="34" t="s">
        <v>10909</v>
      </c>
      <c r="C468" s="32" t="s">
        <v>10910</v>
      </c>
      <c r="D468" s="33" t="s">
        <v>10911</v>
      </c>
    </row>
    <row r="469" spans="1:4" ht="16.5" customHeight="1" x14ac:dyDescent="0.35">
      <c r="A469" s="34" t="s">
        <v>10912</v>
      </c>
      <c r="B469" s="34" t="s">
        <v>10913</v>
      </c>
      <c r="C469" s="32" t="s">
        <v>10914</v>
      </c>
      <c r="D469" s="33" t="s">
        <v>10915</v>
      </c>
    </row>
    <row r="470" spans="1:4" ht="16.5" customHeight="1" x14ac:dyDescent="0.35">
      <c r="A470" s="31" t="s">
        <v>10916</v>
      </c>
      <c r="B470" s="34" t="s">
        <v>10917</v>
      </c>
      <c r="C470" s="32" t="s">
        <v>10918</v>
      </c>
      <c r="D470" s="33" t="s">
        <v>10919</v>
      </c>
    </row>
    <row r="471" spans="1:4" ht="16.5" customHeight="1" x14ac:dyDescent="0.35">
      <c r="A471" s="31" t="s">
        <v>10920</v>
      </c>
      <c r="B471" s="34" t="s">
        <v>10921</v>
      </c>
      <c r="C471" s="32" t="s">
        <v>10922</v>
      </c>
      <c r="D471" s="33" t="s">
        <v>10923</v>
      </c>
    </row>
    <row r="472" spans="1:4" ht="16.5" customHeight="1" x14ac:dyDescent="0.35">
      <c r="A472" s="31" t="s">
        <v>10924</v>
      </c>
      <c r="B472" s="34" t="s">
        <v>10925</v>
      </c>
      <c r="C472" s="32" t="s">
        <v>10926</v>
      </c>
      <c r="D472" s="33" t="s">
        <v>10927</v>
      </c>
    </row>
    <row r="473" spans="1:4" ht="16.5" customHeight="1" x14ac:dyDescent="0.35">
      <c r="A473" s="31" t="s">
        <v>10928</v>
      </c>
      <c r="B473" s="46" t="s">
        <v>10929</v>
      </c>
      <c r="C473" s="32" t="s">
        <v>10930</v>
      </c>
      <c r="D473" s="33" t="s">
        <v>10931</v>
      </c>
    </row>
    <row r="474" spans="1:4" ht="16.5" customHeight="1" x14ac:dyDescent="0.35">
      <c r="A474" s="31" t="s">
        <v>10932</v>
      </c>
      <c r="B474" s="36" t="s">
        <v>10933</v>
      </c>
      <c r="C474" s="32" t="s">
        <v>10934</v>
      </c>
      <c r="D474" s="33" t="s">
        <v>10935</v>
      </c>
    </row>
    <row r="475" spans="1:4" ht="16.5" customHeight="1" x14ac:dyDescent="0.35">
      <c r="A475" s="31" t="s">
        <v>10936</v>
      </c>
      <c r="B475" s="36" t="s">
        <v>10937</v>
      </c>
      <c r="C475" s="32" t="s">
        <v>10938</v>
      </c>
      <c r="D475" s="33" t="s">
        <v>10939</v>
      </c>
    </row>
    <row r="476" spans="1:4" ht="16.5" customHeight="1" x14ac:dyDescent="0.35">
      <c r="A476" s="31" t="s">
        <v>10940</v>
      </c>
      <c r="B476" s="34" t="s">
        <v>10941</v>
      </c>
      <c r="C476" s="32" t="s">
        <v>10942</v>
      </c>
      <c r="D476" s="33" t="s">
        <v>10943</v>
      </c>
    </row>
    <row r="477" spans="1:4" ht="16.5" customHeight="1" x14ac:dyDescent="0.35">
      <c r="A477" s="31" t="s">
        <v>10944</v>
      </c>
      <c r="B477" s="36" t="s">
        <v>10945</v>
      </c>
      <c r="C477" s="32" t="s">
        <v>10946</v>
      </c>
      <c r="D477" s="33" t="s">
        <v>10947</v>
      </c>
    </row>
    <row r="478" spans="1:4" ht="16.5" customHeight="1" x14ac:dyDescent="0.35">
      <c r="A478" s="31" t="s">
        <v>7483</v>
      </c>
      <c r="B478" s="36" t="s">
        <v>10948</v>
      </c>
      <c r="C478" s="32" t="s">
        <v>10949</v>
      </c>
      <c r="D478" s="33" t="s">
        <v>10950</v>
      </c>
    </row>
    <row r="479" spans="1:4" ht="16.5" customHeight="1" x14ac:dyDescent="0.35">
      <c r="A479" s="31" t="s">
        <v>10951</v>
      </c>
      <c r="B479" s="31" t="s">
        <v>10952</v>
      </c>
      <c r="C479" s="32" t="s">
        <v>10953</v>
      </c>
      <c r="D479" s="33" t="s">
        <v>10954</v>
      </c>
    </row>
    <row r="480" spans="1:4" ht="16.5" customHeight="1" x14ac:dyDescent="0.35">
      <c r="A480" s="34" t="s">
        <v>10955</v>
      </c>
      <c r="B480" s="36" t="s">
        <v>10956</v>
      </c>
      <c r="C480" s="37" t="s">
        <v>10957</v>
      </c>
      <c r="D480" s="35" t="s">
        <v>10958</v>
      </c>
    </row>
    <row r="481" spans="1:4" ht="16.5" customHeight="1" x14ac:dyDescent="0.35">
      <c r="A481" s="34" t="s">
        <v>10959</v>
      </c>
      <c r="B481" s="36" t="s">
        <v>10960</v>
      </c>
      <c r="C481" s="37" t="s">
        <v>10961</v>
      </c>
      <c r="D481" s="35" t="s">
        <v>10962</v>
      </c>
    </row>
    <row r="482" spans="1:4" ht="16.5" customHeight="1" x14ac:dyDescent="0.35">
      <c r="A482" s="31" t="s">
        <v>10963</v>
      </c>
      <c r="B482" s="34" t="s">
        <v>10964</v>
      </c>
      <c r="C482" s="32" t="s">
        <v>10965</v>
      </c>
      <c r="D482" s="33" t="s">
        <v>10966</v>
      </c>
    </row>
    <row r="483" spans="1:4" ht="16.5" customHeight="1" x14ac:dyDescent="0.35">
      <c r="A483" s="31" t="s">
        <v>10967</v>
      </c>
      <c r="B483" s="36" t="s">
        <v>10968</v>
      </c>
      <c r="C483" s="32" t="s">
        <v>10969</v>
      </c>
      <c r="D483" s="41" t="s">
        <v>10970</v>
      </c>
    </row>
    <row r="484" spans="1:4" ht="16.5" customHeight="1" x14ac:dyDescent="0.35">
      <c r="A484" s="34" t="s">
        <v>10971</v>
      </c>
      <c r="B484" s="31" t="s">
        <v>10972</v>
      </c>
      <c r="C484" s="32" t="s">
        <v>10973</v>
      </c>
      <c r="D484" s="33" t="s">
        <v>10974</v>
      </c>
    </row>
    <row r="485" spans="1:4" ht="16.5" customHeight="1" x14ac:dyDescent="0.35">
      <c r="A485" s="34" t="s">
        <v>10975</v>
      </c>
      <c r="B485" s="34" t="s">
        <v>10976</v>
      </c>
      <c r="C485" s="32" t="s">
        <v>10977</v>
      </c>
      <c r="D485" s="33" t="s">
        <v>10978</v>
      </c>
    </row>
    <row r="486" spans="1:4" ht="16.5" customHeight="1" x14ac:dyDescent="0.35">
      <c r="A486" s="34" t="s">
        <v>10979</v>
      </c>
      <c r="B486" s="34" t="s">
        <v>10980</v>
      </c>
      <c r="C486" s="32" t="s">
        <v>10981</v>
      </c>
      <c r="D486" s="33" t="s">
        <v>10982</v>
      </c>
    </row>
    <row r="487" spans="1:4" ht="16.5" customHeight="1" x14ac:dyDescent="0.35">
      <c r="A487" s="34" t="s">
        <v>10983</v>
      </c>
      <c r="B487" s="34" t="s">
        <v>10984</v>
      </c>
      <c r="C487" s="32" t="s">
        <v>10985</v>
      </c>
      <c r="D487" s="33" t="s">
        <v>10986</v>
      </c>
    </row>
    <row r="488" spans="1:4" ht="16.5" customHeight="1" x14ac:dyDescent="0.35">
      <c r="A488" s="31" t="s">
        <v>8592</v>
      </c>
      <c r="B488" s="36" t="s">
        <v>10987</v>
      </c>
      <c r="C488" s="32" t="s">
        <v>10988</v>
      </c>
      <c r="D488" s="33" t="s">
        <v>10989</v>
      </c>
    </row>
    <row r="489" spans="1:4" ht="16.5" customHeight="1" x14ac:dyDescent="0.35">
      <c r="A489" s="31" t="s">
        <v>7328</v>
      </c>
      <c r="B489" s="36" t="s">
        <v>10990</v>
      </c>
      <c r="C489" s="32" t="s">
        <v>10991</v>
      </c>
      <c r="D489" s="33" t="s">
        <v>10992</v>
      </c>
    </row>
    <row r="490" spans="1:4" ht="16.5" customHeight="1" x14ac:dyDescent="0.35">
      <c r="A490" s="31" t="s">
        <v>10993</v>
      </c>
      <c r="B490" s="34" t="s">
        <v>10994</v>
      </c>
      <c r="C490" s="32" t="s">
        <v>10995</v>
      </c>
      <c r="D490" s="33" t="s">
        <v>10996</v>
      </c>
    </row>
    <row r="491" spans="1:4" ht="16.5" customHeight="1" x14ac:dyDescent="0.35">
      <c r="A491" s="31" t="s">
        <v>7927</v>
      </c>
      <c r="B491" s="36" t="s">
        <v>10997</v>
      </c>
      <c r="C491" s="32" t="s">
        <v>10998</v>
      </c>
      <c r="D491" s="41" t="s">
        <v>10999</v>
      </c>
    </row>
    <row r="492" spans="1:4" ht="16.5" customHeight="1" x14ac:dyDescent="0.35">
      <c r="A492" s="31" t="s">
        <v>11000</v>
      </c>
      <c r="B492" s="34" t="s">
        <v>11001</v>
      </c>
      <c r="C492" s="32" t="s">
        <v>11002</v>
      </c>
      <c r="D492" s="33" t="s">
        <v>11003</v>
      </c>
    </row>
    <row r="493" spans="1:4" ht="16.5" customHeight="1" x14ac:dyDescent="0.35">
      <c r="A493" s="31" t="s">
        <v>11004</v>
      </c>
      <c r="B493" s="36" t="s">
        <v>11005</v>
      </c>
      <c r="C493" s="32" t="s">
        <v>11006</v>
      </c>
      <c r="D493" s="41" t="s">
        <v>11007</v>
      </c>
    </row>
    <row r="494" spans="1:4" ht="16.5" customHeight="1" x14ac:dyDescent="0.35">
      <c r="A494" s="31" t="s">
        <v>11008</v>
      </c>
      <c r="B494" s="34" t="s">
        <v>11009</v>
      </c>
      <c r="C494" s="32" t="s">
        <v>11010</v>
      </c>
      <c r="D494" s="33" t="s">
        <v>11011</v>
      </c>
    </row>
    <row r="495" spans="1:4" ht="16.5" customHeight="1" x14ac:dyDescent="0.35">
      <c r="A495" s="31" t="s">
        <v>11012</v>
      </c>
      <c r="B495" s="34" t="s">
        <v>11013</v>
      </c>
      <c r="C495" s="32" t="s">
        <v>11014</v>
      </c>
      <c r="D495" s="33" t="s">
        <v>11015</v>
      </c>
    </row>
    <row r="496" spans="1:4" ht="16.5" customHeight="1" x14ac:dyDescent="0.35">
      <c r="A496" s="34" t="s">
        <v>11016</v>
      </c>
      <c r="B496" s="36" t="s">
        <v>11005</v>
      </c>
      <c r="C496" s="37" t="s">
        <v>11017</v>
      </c>
      <c r="D496" s="35" t="s">
        <v>11018</v>
      </c>
    </row>
    <row r="497" spans="1:4" ht="16.5" customHeight="1" x14ac:dyDescent="0.35">
      <c r="A497" s="31" t="s">
        <v>7486</v>
      </c>
      <c r="B497" s="36" t="s">
        <v>11019</v>
      </c>
      <c r="C497" s="32" t="s">
        <v>11020</v>
      </c>
      <c r="D497" s="33" t="s">
        <v>11021</v>
      </c>
    </row>
    <row r="498" spans="1:4" ht="16.5" customHeight="1" x14ac:dyDescent="0.35">
      <c r="A498" s="31" t="s">
        <v>11022</v>
      </c>
      <c r="B498" s="36" t="s">
        <v>11023</v>
      </c>
      <c r="C498" s="32" t="s">
        <v>11024</v>
      </c>
      <c r="D498" s="33" t="s">
        <v>11025</v>
      </c>
    </row>
    <row r="499" spans="1:4" ht="16.5" customHeight="1" x14ac:dyDescent="0.35">
      <c r="A499" s="34" t="s">
        <v>11026</v>
      </c>
      <c r="B499" s="36" t="s">
        <v>11027</v>
      </c>
      <c r="C499" s="37" t="s">
        <v>11028</v>
      </c>
      <c r="D499" s="35" t="s">
        <v>11029</v>
      </c>
    </row>
    <row r="500" spans="1:4" ht="16.5" customHeight="1" x14ac:dyDescent="0.35">
      <c r="A500" s="34" t="s">
        <v>11030</v>
      </c>
      <c r="B500" s="34" t="s">
        <v>11031</v>
      </c>
      <c r="C500" s="32" t="s">
        <v>11032</v>
      </c>
      <c r="D500" s="33" t="s">
        <v>11033</v>
      </c>
    </row>
    <row r="501" spans="1:4" ht="16.5" customHeight="1" x14ac:dyDescent="0.35">
      <c r="A501" s="31" t="s">
        <v>11034</v>
      </c>
      <c r="B501" s="34" t="s">
        <v>11035</v>
      </c>
      <c r="C501" s="32" t="s">
        <v>11036</v>
      </c>
      <c r="D501" s="33" t="s">
        <v>11037</v>
      </c>
    </row>
    <row r="502" spans="1:4" ht="16.5" customHeight="1" x14ac:dyDescent="0.35">
      <c r="A502" s="34" t="s">
        <v>11038</v>
      </c>
      <c r="B502" s="36" t="s">
        <v>11039</v>
      </c>
      <c r="C502" s="37" t="s">
        <v>11040</v>
      </c>
      <c r="D502" s="41" t="s">
        <v>11041</v>
      </c>
    </row>
    <row r="503" spans="1:4" ht="16.5" customHeight="1" x14ac:dyDescent="0.35">
      <c r="A503" s="31" t="s">
        <v>8366</v>
      </c>
      <c r="B503" s="39" t="s">
        <v>11042</v>
      </c>
      <c r="C503" s="32" t="s">
        <v>11043</v>
      </c>
      <c r="D503" s="41" t="s">
        <v>11044</v>
      </c>
    </row>
    <row r="504" spans="1:4" ht="16.5" customHeight="1" x14ac:dyDescent="0.35">
      <c r="A504" s="34" t="s">
        <v>11045</v>
      </c>
      <c r="B504" s="34" t="s">
        <v>11046</v>
      </c>
      <c r="C504" s="32" t="s">
        <v>11047</v>
      </c>
      <c r="D504" s="33" t="s">
        <v>11048</v>
      </c>
    </row>
    <row r="505" spans="1:4" ht="16.5" customHeight="1" x14ac:dyDescent="0.35">
      <c r="A505" s="34" t="s">
        <v>11049</v>
      </c>
      <c r="B505" s="34" t="s">
        <v>11050</v>
      </c>
      <c r="C505" s="32" t="s">
        <v>11051</v>
      </c>
      <c r="D505" s="33" t="s">
        <v>11052</v>
      </c>
    </row>
    <row r="506" spans="1:4" ht="16.5" customHeight="1" x14ac:dyDescent="0.35">
      <c r="A506" s="31" t="s">
        <v>7785</v>
      </c>
      <c r="B506" s="36" t="s">
        <v>11053</v>
      </c>
      <c r="C506" s="32" t="s">
        <v>11054</v>
      </c>
      <c r="D506" s="41" t="s">
        <v>11055</v>
      </c>
    </row>
    <row r="507" spans="1:4" ht="16.5" customHeight="1" x14ac:dyDescent="0.35">
      <c r="A507" s="34" t="s">
        <v>11056</v>
      </c>
      <c r="B507" s="34" t="s">
        <v>11057</v>
      </c>
      <c r="C507" s="32" t="s">
        <v>11058</v>
      </c>
      <c r="D507" s="33" t="s">
        <v>11059</v>
      </c>
    </row>
    <row r="508" spans="1:4" ht="16.5" customHeight="1" x14ac:dyDescent="0.35">
      <c r="A508" s="31" t="s">
        <v>7942</v>
      </c>
      <c r="B508" s="36" t="s">
        <v>11060</v>
      </c>
      <c r="C508" s="32" t="s">
        <v>11061</v>
      </c>
      <c r="D508" s="33" t="s">
        <v>11062</v>
      </c>
    </row>
    <row r="509" spans="1:4" ht="16.5" customHeight="1" x14ac:dyDescent="0.35">
      <c r="A509" s="34" t="s">
        <v>11063</v>
      </c>
      <c r="B509" s="36" t="s">
        <v>11064</v>
      </c>
      <c r="C509" s="37" t="s">
        <v>11065</v>
      </c>
      <c r="D509" s="35" t="s">
        <v>11066</v>
      </c>
    </row>
    <row r="510" spans="1:4" ht="16.5" customHeight="1" x14ac:dyDescent="0.35">
      <c r="A510" s="31" t="s">
        <v>11067</v>
      </c>
      <c r="B510" s="36" t="s">
        <v>11068</v>
      </c>
      <c r="C510" s="32" t="s">
        <v>11069</v>
      </c>
      <c r="D510" s="33" t="s">
        <v>11070</v>
      </c>
    </row>
    <row r="511" spans="1:4" ht="16.5" customHeight="1" x14ac:dyDescent="0.35">
      <c r="A511" s="31" t="s">
        <v>11071</v>
      </c>
      <c r="B511" s="36" t="s">
        <v>11072</v>
      </c>
      <c r="C511" s="32" t="s">
        <v>11073</v>
      </c>
      <c r="D511" s="33" t="s">
        <v>11074</v>
      </c>
    </row>
    <row r="512" spans="1:4" ht="16.5" customHeight="1" x14ac:dyDescent="0.35">
      <c r="A512" s="34" t="s">
        <v>11075</v>
      </c>
      <c r="B512" s="34" t="s">
        <v>11076</v>
      </c>
      <c r="C512" s="32" t="s">
        <v>11077</v>
      </c>
      <c r="D512" s="33" t="s">
        <v>11078</v>
      </c>
    </row>
    <row r="513" spans="1:4" ht="16.5" customHeight="1" x14ac:dyDescent="0.35">
      <c r="A513" s="34" t="s">
        <v>11079</v>
      </c>
      <c r="B513" s="36" t="s">
        <v>11080</v>
      </c>
      <c r="C513" s="37" t="s">
        <v>11081</v>
      </c>
      <c r="D513" s="35" t="s">
        <v>11082</v>
      </c>
    </row>
    <row r="514" spans="1:4" ht="16.5" customHeight="1" x14ac:dyDescent="0.35">
      <c r="A514" s="31" t="s">
        <v>11083</v>
      </c>
      <c r="B514" s="36" t="s">
        <v>11084</v>
      </c>
      <c r="C514" s="32" t="s">
        <v>11085</v>
      </c>
      <c r="D514" s="33" t="s">
        <v>11086</v>
      </c>
    </row>
    <row r="515" spans="1:4" ht="16.5" customHeight="1" x14ac:dyDescent="0.35">
      <c r="A515" s="31" t="s">
        <v>11087</v>
      </c>
      <c r="B515" s="34" t="s">
        <v>11088</v>
      </c>
      <c r="C515" s="32" t="s">
        <v>11089</v>
      </c>
      <c r="D515" s="33" t="s">
        <v>11090</v>
      </c>
    </row>
    <row r="516" spans="1:4" ht="16.5" customHeight="1" x14ac:dyDescent="0.35">
      <c r="A516" s="34" t="s">
        <v>11091</v>
      </c>
      <c r="B516" s="39" t="s">
        <v>11092</v>
      </c>
      <c r="C516" s="37" t="s">
        <v>11093</v>
      </c>
      <c r="D516" s="41" t="s">
        <v>11094</v>
      </c>
    </row>
    <row r="517" spans="1:4" ht="16.5" customHeight="1" x14ac:dyDescent="0.35">
      <c r="A517" s="34" t="s">
        <v>11095</v>
      </c>
      <c r="B517" s="34" t="s">
        <v>11096</v>
      </c>
      <c r="C517" s="32" t="s">
        <v>11097</v>
      </c>
      <c r="D517" s="33" t="s">
        <v>11098</v>
      </c>
    </row>
    <row r="518" spans="1:4" ht="16.5" customHeight="1" x14ac:dyDescent="0.35">
      <c r="A518" s="31" t="s">
        <v>11099</v>
      </c>
      <c r="B518" s="34" t="s">
        <v>11100</v>
      </c>
      <c r="C518" s="32" t="s">
        <v>11101</v>
      </c>
      <c r="D518" s="33" t="s">
        <v>11102</v>
      </c>
    </row>
    <row r="519" spans="1:4" ht="16.5" customHeight="1" x14ac:dyDescent="0.35">
      <c r="A519" s="31" t="s">
        <v>8014</v>
      </c>
      <c r="B519" s="36" t="s">
        <v>11103</v>
      </c>
      <c r="C519" s="32" t="s">
        <v>11104</v>
      </c>
      <c r="D519" s="33" t="s">
        <v>11105</v>
      </c>
    </row>
    <row r="520" spans="1:4" ht="16.5" customHeight="1" x14ac:dyDescent="0.35">
      <c r="A520" s="31" t="s">
        <v>8017</v>
      </c>
      <c r="B520" s="31" t="s">
        <v>11106</v>
      </c>
      <c r="C520" s="32" t="s">
        <v>11107</v>
      </c>
      <c r="D520" s="33" t="s">
        <v>11108</v>
      </c>
    </row>
    <row r="521" spans="1:4" ht="16.5" customHeight="1" x14ac:dyDescent="0.35">
      <c r="A521" s="31" t="s">
        <v>8020</v>
      </c>
      <c r="B521" s="31" t="s">
        <v>11109</v>
      </c>
      <c r="C521" s="32" t="s">
        <v>11110</v>
      </c>
      <c r="D521" s="33" t="s">
        <v>11111</v>
      </c>
    </row>
    <row r="522" spans="1:4" ht="16.5" customHeight="1" x14ac:dyDescent="0.35">
      <c r="A522" s="31" t="s">
        <v>11112</v>
      </c>
      <c r="B522" s="34" t="s">
        <v>11113</v>
      </c>
      <c r="C522" s="32" t="s">
        <v>11114</v>
      </c>
      <c r="D522" s="33" t="s">
        <v>11115</v>
      </c>
    </row>
    <row r="523" spans="1:4" ht="16.5" customHeight="1" x14ac:dyDescent="0.35">
      <c r="A523" s="31" t="s">
        <v>8023</v>
      </c>
      <c r="B523" s="31" t="s">
        <v>11116</v>
      </c>
      <c r="C523" s="32" t="s">
        <v>11117</v>
      </c>
      <c r="D523" s="33" t="s">
        <v>11118</v>
      </c>
    </row>
    <row r="524" spans="1:4" ht="16.5" customHeight="1" x14ac:dyDescent="0.35">
      <c r="A524" s="34" t="s">
        <v>11119</v>
      </c>
      <c r="B524" s="34" t="s">
        <v>11120</v>
      </c>
      <c r="C524" s="32" t="s">
        <v>11121</v>
      </c>
      <c r="D524" s="33" t="s">
        <v>11122</v>
      </c>
    </row>
    <row r="525" spans="1:4" ht="16.5" customHeight="1" x14ac:dyDescent="0.35">
      <c r="A525" s="31" t="s">
        <v>11123</v>
      </c>
      <c r="B525" s="34" t="s">
        <v>11124</v>
      </c>
      <c r="C525" s="32" t="s">
        <v>11125</v>
      </c>
      <c r="D525" s="33" t="s">
        <v>11126</v>
      </c>
    </row>
    <row r="526" spans="1:4" ht="16.5" customHeight="1" x14ac:dyDescent="0.35">
      <c r="A526" s="31" t="s">
        <v>11127</v>
      </c>
      <c r="B526" s="31" t="s">
        <v>11128</v>
      </c>
      <c r="C526" s="32" t="s">
        <v>11129</v>
      </c>
      <c r="D526" s="33" t="s">
        <v>11130</v>
      </c>
    </row>
    <row r="527" spans="1:4" ht="16.5" customHeight="1" x14ac:dyDescent="0.35">
      <c r="A527" s="31" t="s">
        <v>6958</v>
      </c>
      <c r="B527" s="31" t="s">
        <v>11131</v>
      </c>
      <c r="C527" s="32" t="s">
        <v>11132</v>
      </c>
      <c r="D527" s="33" t="s">
        <v>11133</v>
      </c>
    </row>
    <row r="528" spans="1:4" ht="16.5" customHeight="1" x14ac:dyDescent="0.35">
      <c r="A528" s="31" t="s">
        <v>11134</v>
      </c>
      <c r="B528" s="31" t="s">
        <v>11135</v>
      </c>
      <c r="C528" s="32" t="s">
        <v>11136</v>
      </c>
      <c r="D528" s="33" t="s">
        <v>11137</v>
      </c>
    </row>
    <row r="529" spans="1:4" ht="16.5" customHeight="1" x14ac:dyDescent="0.35">
      <c r="A529" s="34" t="s">
        <v>11138</v>
      </c>
      <c r="B529" s="34" t="s">
        <v>11139</v>
      </c>
      <c r="C529" s="37" t="s">
        <v>11140</v>
      </c>
      <c r="D529" s="35" t="s">
        <v>11141</v>
      </c>
    </row>
    <row r="530" spans="1:4" ht="16.5" customHeight="1" x14ac:dyDescent="0.35">
      <c r="A530" s="31" t="s">
        <v>8026</v>
      </c>
      <c r="B530" s="31" t="s">
        <v>11142</v>
      </c>
      <c r="C530" s="32" t="s">
        <v>11143</v>
      </c>
      <c r="D530" s="33" t="s">
        <v>11144</v>
      </c>
    </row>
    <row r="531" spans="1:4" ht="16.5" customHeight="1" x14ac:dyDescent="0.35">
      <c r="A531" s="31" t="s">
        <v>6512</v>
      </c>
      <c r="B531" s="31" t="s">
        <v>11145</v>
      </c>
      <c r="C531" s="32" t="s">
        <v>11146</v>
      </c>
      <c r="D531" s="33" t="s">
        <v>11147</v>
      </c>
    </row>
    <row r="532" spans="1:4" ht="16.5" customHeight="1" x14ac:dyDescent="0.35">
      <c r="A532" s="31" t="s">
        <v>11148</v>
      </c>
      <c r="B532" s="34" t="s">
        <v>11149</v>
      </c>
      <c r="C532" s="32" t="s">
        <v>11150</v>
      </c>
      <c r="D532" s="33" t="s">
        <v>11151</v>
      </c>
    </row>
    <row r="533" spans="1:4" ht="16.5" customHeight="1" x14ac:dyDescent="0.35">
      <c r="A533" s="31" t="s">
        <v>11152</v>
      </c>
      <c r="B533" s="31" t="s">
        <v>11153</v>
      </c>
      <c r="C533" s="32" t="s">
        <v>11154</v>
      </c>
      <c r="D533" s="33" t="s">
        <v>11155</v>
      </c>
    </row>
    <row r="534" spans="1:4" ht="16.5" customHeight="1" x14ac:dyDescent="0.35">
      <c r="A534" s="31" t="s">
        <v>11156</v>
      </c>
      <c r="B534" s="31" t="s">
        <v>11157</v>
      </c>
      <c r="C534" s="32" t="s">
        <v>11158</v>
      </c>
      <c r="D534" s="33" t="s">
        <v>11159</v>
      </c>
    </row>
    <row r="535" spans="1:4" ht="16.5" customHeight="1" x14ac:dyDescent="0.35">
      <c r="A535" s="31" t="s">
        <v>7701</v>
      </c>
      <c r="B535" s="34" t="s">
        <v>11160</v>
      </c>
      <c r="C535" s="32" t="s">
        <v>11161</v>
      </c>
      <c r="D535" s="33" t="s">
        <v>11162</v>
      </c>
    </row>
    <row r="536" spans="1:4" ht="16.5" customHeight="1" x14ac:dyDescent="0.35">
      <c r="A536" s="34" t="s">
        <v>11163</v>
      </c>
      <c r="B536" s="34" t="s">
        <v>11164</v>
      </c>
      <c r="C536" s="37" t="s">
        <v>11165</v>
      </c>
      <c r="D536" s="35" t="s">
        <v>11166</v>
      </c>
    </row>
    <row r="537" spans="1:4" ht="16.5" customHeight="1" x14ac:dyDescent="0.35">
      <c r="A537" s="31" t="s">
        <v>11167</v>
      </c>
      <c r="B537" s="31" t="s">
        <v>11168</v>
      </c>
      <c r="C537" s="32" t="s">
        <v>11169</v>
      </c>
      <c r="D537" s="33" t="s">
        <v>11170</v>
      </c>
    </row>
    <row r="538" spans="1:4" ht="16.5" customHeight="1" x14ac:dyDescent="0.35">
      <c r="A538" s="34" t="s">
        <v>11171</v>
      </c>
      <c r="B538" s="34" t="s">
        <v>11172</v>
      </c>
      <c r="C538" s="37" t="s">
        <v>11173</v>
      </c>
      <c r="D538" s="35" t="s">
        <v>11174</v>
      </c>
    </row>
    <row r="539" spans="1:4" ht="16.5" customHeight="1" x14ac:dyDescent="0.35">
      <c r="A539" s="31" t="s">
        <v>8355</v>
      </c>
      <c r="B539" s="47" t="s">
        <v>11175</v>
      </c>
      <c r="C539" s="32" t="s">
        <v>11176</v>
      </c>
      <c r="D539" s="33" t="s">
        <v>11177</v>
      </c>
    </row>
    <row r="540" spans="1:4" ht="16.5" customHeight="1" x14ac:dyDescent="0.35">
      <c r="A540" s="34" t="s">
        <v>11178</v>
      </c>
      <c r="B540" s="34" t="s">
        <v>11179</v>
      </c>
      <c r="C540" s="32" t="s">
        <v>11180</v>
      </c>
      <c r="D540" s="33" t="s">
        <v>11181</v>
      </c>
    </row>
    <row r="541" spans="1:4" ht="16.5" customHeight="1" x14ac:dyDescent="0.35">
      <c r="A541" s="31" t="s">
        <v>11182</v>
      </c>
      <c r="B541" s="39" t="s">
        <v>11183</v>
      </c>
      <c r="C541" s="32" t="s">
        <v>11184</v>
      </c>
      <c r="D541" s="33" t="s">
        <v>11185</v>
      </c>
    </row>
    <row r="542" spans="1:4" ht="16.5" customHeight="1" x14ac:dyDescent="0.35">
      <c r="A542" s="31" t="s">
        <v>7237</v>
      </c>
      <c r="B542" s="34" t="s">
        <v>11186</v>
      </c>
      <c r="C542" s="32" t="s">
        <v>11187</v>
      </c>
      <c r="D542" s="33" t="s">
        <v>11188</v>
      </c>
    </row>
    <row r="543" spans="1:4" ht="16.5" customHeight="1" x14ac:dyDescent="0.35">
      <c r="A543" s="34" t="s">
        <v>11189</v>
      </c>
      <c r="B543" s="36" t="s">
        <v>11190</v>
      </c>
      <c r="C543" s="37" t="s">
        <v>11191</v>
      </c>
      <c r="D543" s="35" t="s">
        <v>11192</v>
      </c>
    </row>
    <row r="544" spans="1:4" ht="16.5" customHeight="1" x14ac:dyDescent="0.35">
      <c r="A544" s="31" t="s">
        <v>11193</v>
      </c>
      <c r="B544" s="34" t="s">
        <v>11194</v>
      </c>
      <c r="C544" s="32" t="s">
        <v>11195</v>
      </c>
      <c r="D544" s="33" t="s">
        <v>11196</v>
      </c>
    </row>
    <row r="545" spans="1:4" ht="16.5" customHeight="1" x14ac:dyDescent="0.35">
      <c r="A545" s="31" t="s">
        <v>6602</v>
      </c>
      <c r="B545" s="36" t="s">
        <v>11197</v>
      </c>
      <c r="C545" s="32" t="s">
        <v>11198</v>
      </c>
      <c r="D545" s="33" t="s">
        <v>11199</v>
      </c>
    </row>
    <row r="546" spans="1:4" ht="16.5" customHeight="1" x14ac:dyDescent="0.35">
      <c r="A546" s="34" t="s">
        <v>11200</v>
      </c>
      <c r="B546" s="36" t="s">
        <v>11201</v>
      </c>
      <c r="C546" s="37" t="s">
        <v>11202</v>
      </c>
      <c r="D546" s="35" t="s">
        <v>11203</v>
      </c>
    </row>
    <row r="547" spans="1:4" ht="16.5" customHeight="1" x14ac:dyDescent="0.35">
      <c r="A547" s="31" t="s">
        <v>11204</v>
      </c>
      <c r="B547" s="34" t="s">
        <v>11205</v>
      </c>
      <c r="C547" s="32" t="s">
        <v>11206</v>
      </c>
      <c r="D547" s="33" t="s">
        <v>11207</v>
      </c>
    </row>
    <row r="548" spans="1:4" ht="16.5" customHeight="1" x14ac:dyDescent="0.35">
      <c r="A548" s="31" t="s">
        <v>11208</v>
      </c>
      <c r="B548" s="36" t="s">
        <v>11209</v>
      </c>
      <c r="C548" s="32" t="s">
        <v>11210</v>
      </c>
      <c r="D548" s="33" t="s">
        <v>11211</v>
      </c>
    </row>
    <row r="549" spans="1:4" ht="16.5" customHeight="1" x14ac:dyDescent="0.35">
      <c r="A549" s="31" t="s">
        <v>11212</v>
      </c>
      <c r="B549" s="36" t="s">
        <v>11213</v>
      </c>
      <c r="C549" s="32" t="s">
        <v>11214</v>
      </c>
      <c r="D549" s="33" t="s">
        <v>11215</v>
      </c>
    </row>
    <row r="550" spans="1:4" ht="16.5" customHeight="1" x14ac:dyDescent="0.35">
      <c r="A550" s="31" t="s">
        <v>6973</v>
      </c>
      <c r="B550" s="36" t="s">
        <v>11216</v>
      </c>
      <c r="C550" s="32" t="s">
        <v>11217</v>
      </c>
      <c r="D550" s="33" t="s">
        <v>11218</v>
      </c>
    </row>
    <row r="551" spans="1:4" ht="16.5" customHeight="1" x14ac:dyDescent="0.35">
      <c r="A551" s="31" t="s">
        <v>6974</v>
      </c>
      <c r="B551" s="36" t="s">
        <v>11219</v>
      </c>
      <c r="C551" s="32" t="s">
        <v>11220</v>
      </c>
      <c r="D551" s="33" t="s">
        <v>11221</v>
      </c>
    </row>
    <row r="552" spans="1:4" ht="16.5" customHeight="1" x14ac:dyDescent="0.35">
      <c r="A552" s="31" t="s">
        <v>11222</v>
      </c>
      <c r="B552" s="39" t="s">
        <v>11223</v>
      </c>
      <c r="C552" s="32" t="s">
        <v>11224</v>
      </c>
      <c r="D552" s="33" t="s">
        <v>11225</v>
      </c>
    </row>
    <row r="553" spans="1:4" ht="16.5" customHeight="1" x14ac:dyDescent="0.35">
      <c r="A553" s="34" t="s">
        <v>11226</v>
      </c>
      <c r="B553" s="36" t="s">
        <v>11227</v>
      </c>
      <c r="C553" s="37" t="s">
        <v>11228</v>
      </c>
      <c r="D553" s="35" t="s">
        <v>11229</v>
      </c>
    </row>
    <row r="554" spans="1:4" ht="16.5" customHeight="1" x14ac:dyDescent="0.35">
      <c r="A554" s="31" t="s">
        <v>11230</v>
      </c>
      <c r="B554" s="36" t="s">
        <v>11231</v>
      </c>
      <c r="C554" s="32" t="s">
        <v>11232</v>
      </c>
      <c r="D554" s="33" t="s">
        <v>11233</v>
      </c>
    </row>
    <row r="555" spans="1:4" ht="16.5" customHeight="1" x14ac:dyDescent="0.35">
      <c r="A555" s="31" t="s">
        <v>6672</v>
      </c>
      <c r="B555" s="36" t="s">
        <v>11234</v>
      </c>
      <c r="C555" s="32" t="s">
        <v>11235</v>
      </c>
      <c r="D555" s="33" t="s">
        <v>11236</v>
      </c>
    </row>
    <row r="556" spans="1:4" ht="16.5" customHeight="1" x14ac:dyDescent="0.35">
      <c r="A556" s="34" t="s">
        <v>11237</v>
      </c>
      <c r="B556" s="36" t="s">
        <v>11238</v>
      </c>
      <c r="C556" s="37" t="s">
        <v>11239</v>
      </c>
      <c r="D556" s="35" t="s">
        <v>11240</v>
      </c>
    </row>
    <row r="557" spans="1:4" ht="16.5" customHeight="1" x14ac:dyDescent="0.35">
      <c r="A557" s="34" t="s">
        <v>11241</v>
      </c>
      <c r="B557" s="39" t="s">
        <v>11242</v>
      </c>
      <c r="C557" s="37" t="s">
        <v>11243</v>
      </c>
      <c r="D557" s="35" t="s">
        <v>11244</v>
      </c>
    </row>
    <row r="558" spans="1:4" ht="16.5" customHeight="1" x14ac:dyDescent="0.35">
      <c r="A558" s="34" t="s">
        <v>11245</v>
      </c>
      <c r="B558" s="36" t="s">
        <v>11246</v>
      </c>
      <c r="C558" s="37" t="s">
        <v>11247</v>
      </c>
      <c r="D558" s="35" t="s">
        <v>11248</v>
      </c>
    </row>
    <row r="559" spans="1:4" ht="16.5" customHeight="1" x14ac:dyDescent="0.35">
      <c r="A559" s="31" t="s">
        <v>11249</v>
      </c>
      <c r="B559" s="34" t="s">
        <v>11250</v>
      </c>
      <c r="C559" s="32" t="s">
        <v>11251</v>
      </c>
      <c r="D559" s="33" t="s">
        <v>11252</v>
      </c>
    </row>
    <row r="560" spans="1:4" ht="16.5" customHeight="1" x14ac:dyDescent="0.35">
      <c r="A560" s="34" t="s">
        <v>11253</v>
      </c>
      <c r="B560" s="36" t="s">
        <v>11254</v>
      </c>
      <c r="C560" s="37" t="s">
        <v>11255</v>
      </c>
      <c r="D560" s="35" t="s">
        <v>11256</v>
      </c>
    </row>
    <row r="561" spans="1:4" ht="16.5" customHeight="1" x14ac:dyDescent="0.35">
      <c r="A561" s="31" t="s">
        <v>11257</v>
      </c>
      <c r="B561" s="36" t="s">
        <v>11258</v>
      </c>
      <c r="C561" s="32" t="s">
        <v>11259</v>
      </c>
      <c r="D561" s="33" t="s">
        <v>11260</v>
      </c>
    </row>
    <row r="562" spans="1:4" ht="16.5" customHeight="1" x14ac:dyDescent="0.35">
      <c r="A562" s="34" t="s">
        <v>11261</v>
      </c>
      <c r="B562" s="36" t="s">
        <v>11262</v>
      </c>
      <c r="C562" s="37" t="s">
        <v>11263</v>
      </c>
      <c r="D562" s="35" t="s">
        <v>11264</v>
      </c>
    </row>
    <row r="563" spans="1:4" ht="16.5" customHeight="1" x14ac:dyDescent="0.35">
      <c r="A563" s="34" t="s">
        <v>11265</v>
      </c>
      <c r="B563" s="34" t="s">
        <v>11266</v>
      </c>
      <c r="C563" s="32" t="s">
        <v>11267</v>
      </c>
      <c r="D563" s="33" t="s">
        <v>11268</v>
      </c>
    </row>
    <row r="564" spans="1:4" ht="16.5" customHeight="1" x14ac:dyDescent="0.35">
      <c r="A564" s="34" t="s">
        <v>11269</v>
      </c>
      <c r="B564" s="34" t="s">
        <v>11270</v>
      </c>
      <c r="C564" s="32" t="s">
        <v>11271</v>
      </c>
      <c r="D564" s="33" t="s">
        <v>11272</v>
      </c>
    </row>
    <row r="565" spans="1:4" ht="16.5" customHeight="1" x14ac:dyDescent="0.35">
      <c r="A565" s="31" t="s">
        <v>8433</v>
      </c>
      <c r="B565" s="34" t="s">
        <v>11273</v>
      </c>
      <c r="C565" s="32" t="s">
        <v>11274</v>
      </c>
      <c r="D565" s="33" t="s">
        <v>11275</v>
      </c>
    </row>
    <row r="566" spans="1:4" ht="16.5" customHeight="1" x14ac:dyDescent="0.35">
      <c r="A566" s="34" t="s">
        <v>11276</v>
      </c>
      <c r="B566" s="36" t="s">
        <v>11277</v>
      </c>
      <c r="C566" s="37" t="s">
        <v>11278</v>
      </c>
      <c r="D566" s="35" t="s">
        <v>11279</v>
      </c>
    </row>
    <row r="567" spans="1:4" ht="16.5" customHeight="1" x14ac:dyDescent="0.35">
      <c r="A567" s="31" t="s">
        <v>7084</v>
      </c>
      <c r="B567" s="34" t="s">
        <v>11280</v>
      </c>
      <c r="C567" s="32" t="s">
        <v>11281</v>
      </c>
      <c r="D567" s="33" t="s">
        <v>11282</v>
      </c>
    </row>
    <row r="568" spans="1:4" ht="16.5" customHeight="1" x14ac:dyDescent="0.35">
      <c r="A568" s="31" t="s">
        <v>11283</v>
      </c>
      <c r="B568" s="36" t="s">
        <v>11284</v>
      </c>
      <c r="C568" s="32" t="s">
        <v>11285</v>
      </c>
      <c r="D568" s="33" t="s">
        <v>11286</v>
      </c>
    </row>
    <row r="569" spans="1:4" ht="16.5" customHeight="1" x14ac:dyDescent="0.35">
      <c r="A569" s="31" t="s">
        <v>8239</v>
      </c>
      <c r="B569" s="34" t="s">
        <v>11287</v>
      </c>
      <c r="C569" s="32" t="s">
        <v>11288</v>
      </c>
      <c r="D569" s="33" t="s">
        <v>11289</v>
      </c>
    </row>
    <row r="570" spans="1:4" ht="16.5" customHeight="1" x14ac:dyDescent="0.35">
      <c r="A570" s="31" t="s">
        <v>11290</v>
      </c>
      <c r="B570" s="34" t="s">
        <v>11291</v>
      </c>
      <c r="C570" s="32" t="s">
        <v>11292</v>
      </c>
      <c r="D570" s="33" t="s">
        <v>11293</v>
      </c>
    </row>
    <row r="571" spans="1:4" ht="16.5" customHeight="1" x14ac:dyDescent="0.35">
      <c r="A571" s="31" t="s">
        <v>11294</v>
      </c>
      <c r="B571" s="34" t="s">
        <v>11295</v>
      </c>
      <c r="C571" s="32" t="s">
        <v>11296</v>
      </c>
      <c r="D571" s="33" t="s">
        <v>11297</v>
      </c>
    </row>
    <row r="572" spans="1:4" ht="16.5" customHeight="1" x14ac:dyDescent="0.35">
      <c r="A572" s="31" t="s">
        <v>11298</v>
      </c>
      <c r="B572" s="34" t="s">
        <v>11299</v>
      </c>
      <c r="C572" s="32" t="s">
        <v>11300</v>
      </c>
      <c r="D572" s="33" t="s">
        <v>11301</v>
      </c>
    </row>
    <row r="573" spans="1:4" ht="16.5" customHeight="1" x14ac:dyDescent="0.35">
      <c r="A573" s="31" t="s">
        <v>11302</v>
      </c>
      <c r="B573" s="34" t="s">
        <v>11303</v>
      </c>
      <c r="C573" s="32" t="s">
        <v>11304</v>
      </c>
      <c r="D573" s="33" t="s">
        <v>11305</v>
      </c>
    </row>
    <row r="574" spans="1:4" ht="16.5" customHeight="1" x14ac:dyDescent="0.35">
      <c r="A574" s="31" t="s">
        <v>11306</v>
      </c>
      <c r="B574" s="34" t="s">
        <v>11307</v>
      </c>
      <c r="C574" s="32" t="s">
        <v>11308</v>
      </c>
      <c r="D574" s="33" t="s">
        <v>11309</v>
      </c>
    </row>
    <row r="575" spans="1:4" ht="16.5" customHeight="1" x14ac:dyDescent="0.35">
      <c r="A575" s="34" t="s">
        <v>11310</v>
      </c>
      <c r="B575" s="34" t="s">
        <v>11311</v>
      </c>
      <c r="C575" s="32" t="s">
        <v>11312</v>
      </c>
      <c r="D575" s="33" t="s">
        <v>11313</v>
      </c>
    </row>
    <row r="576" spans="1:4" ht="16.5" customHeight="1" x14ac:dyDescent="0.35">
      <c r="A576" s="31" t="s">
        <v>11314</v>
      </c>
      <c r="B576" s="34" t="s">
        <v>11315</v>
      </c>
      <c r="C576" s="32" t="s">
        <v>11316</v>
      </c>
      <c r="D576" s="33" t="s">
        <v>11317</v>
      </c>
    </row>
    <row r="577" spans="1:4" ht="16.5" customHeight="1" x14ac:dyDescent="0.35">
      <c r="A577" s="34" t="s">
        <v>11318</v>
      </c>
      <c r="B577" s="34" t="s">
        <v>11319</v>
      </c>
      <c r="C577" s="32" t="s">
        <v>11320</v>
      </c>
      <c r="D577" s="33" t="s">
        <v>11321</v>
      </c>
    </row>
    <row r="578" spans="1:4" ht="16.5" customHeight="1" x14ac:dyDescent="0.35">
      <c r="A578" s="31" t="s">
        <v>11322</v>
      </c>
      <c r="B578" s="36" t="s">
        <v>11323</v>
      </c>
      <c r="C578" s="32" t="s">
        <v>11324</v>
      </c>
      <c r="D578" s="33" t="s">
        <v>11325</v>
      </c>
    </row>
    <row r="579" spans="1:4" ht="16.5" customHeight="1" x14ac:dyDescent="0.35">
      <c r="A579" s="31" t="s">
        <v>11326</v>
      </c>
      <c r="B579" s="39" t="s">
        <v>11327</v>
      </c>
      <c r="C579" s="32" t="s">
        <v>11328</v>
      </c>
      <c r="D579" s="33" t="s">
        <v>11329</v>
      </c>
    </row>
    <row r="580" spans="1:4" ht="16.5" customHeight="1" x14ac:dyDescent="0.35">
      <c r="A580" s="31" t="s">
        <v>11330</v>
      </c>
      <c r="B580" s="36" t="s">
        <v>11331</v>
      </c>
      <c r="C580" s="32" t="s">
        <v>11332</v>
      </c>
      <c r="D580" s="33" t="s">
        <v>11333</v>
      </c>
    </row>
    <row r="581" spans="1:4" ht="16.5" customHeight="1" x14ac:dyDescent="0.35">
      <c r="A581" s="31" t="s">
        <v>11334</v>
      </c>
      <c r="B581" s="39" t="s">
        <v>11335</v>
      </c>
      <c r="C581" s="32" t="s">
        <v>11336</v>
      </c>
      <c r="D581" s="33" t="s">
        <v>11337</v>
      </c>
    </row>
    <row r="582" spans="1:4" ht="16.5" customHeight="1" x14ac:dyDescent="0.35">
      <c r="A582" s="31" t="s">
        <v>11338</v>
      </c>
      <c r="B582" s="36" t="s">
        <v>11339</v>
      </c>
      <c r="C582" s="32" t="s">
        <v>11340</v>
      </c>
      <c r="D582" s="33" t="s">
        <v>11341</v>
      </c>
    </row>
    <row r="583" spans="1:4" ht="16.5" customHeight="1" x14ac:dyDescent="0.35">
      <c r="A583" s="31" t="s">
        <v>8029</v>
      </c>
      <c r="B583" s="36" t="s">
        <v>11342</v>
      </c>
      <c r="C583" s="32" t="s">
        <v>11343</v>
      </c>
      <c r="D583" s="33" t="s">
        <v>11344</v>
      </c>
    </row>
    <row r="584" spans="1:4" ht="16.5" customHeight="1" x14ac:dyDescent="0.35">
      <c r="A584" s="31" t="s">
        <v>11345</v>
      </c>
      <c r="B584" s="36" t="s">
        <v>11346</v>
      </c>
      <c r="C584" s="32" t="s">
        <v>11347</v>
      </c>
      <c r="D584" s="33" t="s">
        <v>11348</v>
      </c>
    </row>
    <row r="585" spans="1:4" ht="16.5" customHeight="1" x14ac:dyDescent="0.35">
      <c r="A585" s="31" t="s">
        <v>11349</v>
      </c>
      <c r="B585" s="36" t="s">
        <v>11350</v>
      </c>
      <c r="C585" s="32" t="s">
        <v>11351</v>
      </c>
      <c r="D585" s="33" t="s">
        <v>11352</v>
      </c>
    </row>
    <row r="586" spans="1:4" ht="16.5" customHeight="1" x14ac:dyDescent="0.35">
      <c r="A586" s="31" t="s">
        <v>11353</v>
      </c>
      <c r="B586" s="39" t="s">
        <v>11354</v>
      </c>
      <c r="C586" s="32" t="s">
        <v>11355</v>
      </c>
      <c r="D586" s="33" t="s">
        <v>11356</v>
      </c>
    </row>
    <row r="587" spans="1:4" ht="16.5" customHeight="1" x14ac:dyDescent="0.35">
      <c r="A587" s="31" t="s">
        <v>11357</v>
      </c>
      <c r="B587" s="39" t="s">
        <v>11358</v>
      </c>
      <c r="C587" s="32" t="s">
        <v>11359</v>
      </c>
      <c r="D587" s="33" t="s">
        <v>11360</v>
      </c>
    </row>
    <row r="588" spans="1:4" ht="16.5" customHeight="1" x14ac:dyDescent="0.35">
      <c r="A588" s="31" t="s">
        <v>11361</v>
      </c>
      <c r="B588" s="36" t="s">
        <v>11362</v>
      </c>
      <c r="C588" s="32" t="s">
        <v>11363</v>
      </c>
      <c r="D588" s="33" t="s">
        <v>11364</v>
      </c>
    </row>
    <row r="589" spans="1:4" ht="16.5" customHeight="1" x14ac:dyDescent="0.35">
      <c r="A589" s="31" t="s">
        <v>11365</v>
      </c>
      <c r="B589" s="36" t="s">
        <v>11366</v>
      </c>
      <c r="C589" s="32" t="s">
        <v>11367</v>
      </c>
      <c r="D589" s="33" t="s">
        <v>11368</v>
      </c>
    </row>
    <row r="590" spans="1:4" ht="16.5" customHeight="1" x14ac:dyDescent="0.35">
      <c r="A590" s="31" t="s">
        <v>8591</v>
      </c>
      <c r="B590" s="36" t="s">
        <v>11369</v>
      </c>
      <c r="C590" s="32" t="s">
        <v>11370</v>
      </c>
      <c r="D590" s="33" t="s">
        <v>11371</v>
      </c>
    </row>
    <row r="591" spans="1:4" ht="16.5" customHeight="1" x14ac:dyDescent="0.35">
      <c r="A591" s="31" t="s">
        <v>11372</v>
      </c>
      <c r="B591" s="36" t="s">
        <v>11373</v>
      </c>
      <c r="C591" s="32" t="s">
        <v>11374</v>
      </c>
      <c r="D591" s="33" t="s">
        <v>11375</v>
      </c>
    </row>
    <row r="592" spans="1:4" ht="16.5" customHeight="1" x14ac:dyDescent="0.35">
      <c r="A592" s="31" t="s">
        <v>11376</v>
      </c>
      <c r="B592" s="39" t="s">
        <v>11377</v>
      </c>
      <c r="C592" s="32" t="s">
        <v>11378</v>
      </c>
      <c r="D592" s="33" t="s">
        <v>11379</v>
      </c>
    </row>
    <row r="593" spans="1:4" ht="16.5" customHeight="1" x14ac:dyDescent="0.35">
      <c r="A593" s="31" t="s">
        <v>8032</v>
      </c>
      <c r="B593" s="36" t="s">
        <v>11380</v>
      </c>
      <c r="C593" s="32" t="s">
        <v>11381</v>
      </c>
      <c r="D593" s="33" t="s">
        <v>11382</v>
      </c>
    </row>
    <row r="594" spans="1:4" ht="16.5" customHeight="1" x14ac:dyDescent="0.35">
      <c r="A594" s="31" t="s">
        <v>11383</v>
      </c>
      <c r="B594" s="36" t="s">
        <v>11384</v>
      </c>
      <c r="C594" s="32" t="s">
        <v>11385</v>
      </c>
      <c r="D594" s="33" t="s">
        <v>11386</v>
      </c>
    </row>
    <row r="595" spans="1:4" ht="16.5" customHeight="1" x14ac:dyDescent="0.35">
      <c r="A595" s="31" t="s">
        <v>11387</v>
      </c>
      <c r="B595" s="31" t="s">
        <v>11388</v>
      </c>
      <c r="C595" s="32" t="s">
        <v>11389</v>
      </c>
      <c r="D595" s="33" t="s">
        <v>11390</v>
      </c>
    </row>
    <row r="596" spans="1:4" ht="16.5" customHeight="1" x14ac:dyDescent="0.35">
      <c r="A596" s="31" t="s">
        <v>11391</v>
      </c>
      <c r="B596" s="39" t="s">
        <v>11392</v>
      </c>
      <c r="C596" s="32" t="s">
        <v>11393</v>
      </c>
      <c r="D596" s="33" t="s">
        <v>11394</v>
      </c>
    </row>
    <row r="597" spans="1:4" ht="16.5" customHeight="1" x14ac:dyDescent="0.35">
      <c r="A597" s="31" t="s">
        <v>11395</v>
      </c>
      <c r="B597" s="39" t="s">
        <v>11396</v>
      </c>
      <c r="C597" s="32" t="s">
        <v>11397</v>
      </c>
      <c r="D597" s="33" t="s">
        <v>11398</v>
      </c>
    </row>
    <row r="598" spans="1:4" ht="16.5" customHeight="1" x14ac:dyDescent="0.35">
      <c r="A598" s="31" t="s">
        <v>11399</v>
      </c>
      <c r="B598" s="39" t="s">
        <v>11400</v>
      </c>
      <c r="C598" s="32" t="s">
        <v>11401</v>
      </c>
      <c r="D598" s="33" t="s">
        <v>11402</v>
      </c>
    </row>
    <row r="599" spans="1:4" ht="16.5" customHeight="1" x14ac:dyDescent="0.35">
      <c r="A599" s="31" t="s">
        <v>11403</v>
      </c>
      <c r="B599" s="36" t="s">
        <v>11404</v>
      </c>
      <c r="C599" s="32" t="s">
        <v>11405</v>
      </c>
      <c r="D599" s="33" t="s">
        <v>11406</v>
      </c>
    </row>
    <row r="600" spans="1:4" ht="16.5" customHeight="1" x14ac:dyDescent="0.35">
      <c r="A600" s="31" t="s">
        <v>11407</v>
      </c>
      <c r="B600" s="36" t="s">
        <v>11408</v>
      </c>
      <c r="C600" s="32" t="s">
        <v>11409</v>
      </c>
      <c r="D600" s="33" t="s">
        <v>11410</v>
      </c>
    </row>
    <row r="601" spans="1:4" ht="16.5" customHeight="1" x14ac:dyDescent="0.35">
      <c r="A601" s="31" t="s">
        <v>7875</v>
      </c>
      <c r="B601" s="36" t="s">
        <v>11411</v>
      </c>
      <c r="C601" s="32" t="s">
        <v>11412</v>
      </c>
      <c r="D601" s="33" t="s">
        <v>11413</v>
      </c>
    </row>
    <row r="602" spans="1:4" ht="16.5" customHeight="1" x14ac:dyDescent="0.35">
      <c r="A602" s="34" t="s">
        <v>11414</v>
      </c>
      <c r="B602" s="36" t="s">
        <v>11415</v>
      </c>
      <c r="C602" s="37" t="s">
        <v>11416</v>
      </c>
      <c r="D602" s="35" t="s">
        <v>11417</v>
      </c>
    </row>
    <row r="603" spans="1:4" ht="16.5" customHeight="1" x14ac:dyDescent="0.35">
      <c r="A603" s="31" t="s">
        <v>7219</v>
      </c>
      <c r="B603" s="39" t="s">
        <v>11418</v>
      </c>
      <c r="C603" s="32" t="s">
        <v>11419</v>
      </c>
      <c r="D603" s="33" t="s">
        <v>11420</v>
      </c>
    </row>
    <row r="604" spans="1:4" ht="16.5" customHeight="1" x14ac:dyDescent="0.35">
      <c r="A604" s="31" t="s">
        <v>11421</v>
      </c>
      <c r="B604" s="34" t="s">
        <v>11422</v>
      </c>
      <c r="C604" s="32" t="s">
        <v>11423</v>
      </c>
      <c r="D604" s="33" t="s">
        <v>11424</v>
      </c>
    </row>
    <row r="605" spans="1:4" ht="16.5" customHeight="1" x14ac:dyDescent="0.35">
      <c r="A605" s="34" t="s">
        <v>11425</v>
      </c>
      <c r="B605" s="34" t="s">
        <v>11426</v>
      </c>
      <c r="C605" s="32" t="s">
        <v>11427</v>
      </c>
      <c r="D605" s="33" t="s">
        <v>11428</v>
      </c>
    </row>
    <row r="606" spans="1:4" ht="16.5" customHeight="1" x14ac:dyDescent="0.35">
      <c r="A606" s="31" t="s">
        <v>11429</v>
      </c>
      <c r="B606" s="34" t="s">
        <v>11430</v>
      </c>
      <c r="C606" s="32" t="s">
        <v>11431</v>
      </c>
      <c r="D606" s="33" t="s">
        <v>11432</v>
      </c>
    </row>
    <row r="607" spans="1:4" ht="16.5" customHeight="1" x14ac:dyDescent="0.35">
      <c r="A607" s="31" t="s">
        <v>11433</v>
      </c>
      <c r="B607" s="34" t="s">
        <v>11434</v>
      </c>
      <c r="C607" s="32" t="s">
        <v>11435</v>
      </c>
      <c r="D607" s="33" t="s">
        <v>11436</v>
      </c>
    </row>
    <row r="608" spans="1:4" ht="16.5" customHeight="1" x14ac:dyDescent="0.35">
      <c r="A608" s="31" t="s">
        <v>11437</v>
      </c>
      <c r="B608" s="34" t="s">
        <v>11438</v>
      </c>
      <c r="C608" s="32" t="s">
        <v>11439</v>
      </c>
      <c r="D608" s="33" t="s">
        <v>11440</v>
      </c>
    </row>
    <row r="609" spans="1:4" ht="16.5" customHeight="1" x14ac:dyDescent="0.35">
      <c r="A609" s="31" t="s">
        <v>11441</v>
      </c>
      <c r="B609" s="39" t="s">
        <v>11442</v>
      </c>
      <c r="C609" s="32" t="s">
        <v>11443</v>
      </c>
      <c r="D609" s="33" t="s">
        <v>11444</v>
      </c>
    </row>
    <row r="610" spans="1:4" ht="16.5" customHeight="1" x14ac:dyDescent="0.35">
      <c r="A610" s="31" t="s">
        <v>8625</v>
      </c>
      <c r="B610" s="48" t="s">
        <v>11445</v>
      </c>
      <c r="C610" s="32" t="s">
        <v>11446</v>
      </c>
      <c r="D610" s="33" t="s">
        <v>11447</v>
      </c>
    </row>
    <row r="611" spans="1:4" ht="16.5" customHeight="1" x14ac:dyDescent="0.35">
      <c r="A611" s="31" t="s">
        <v>8632</v>
      </c>
      <c r="B611" s="36" t="s">
        <v>11448</v>
      </c>
      <c r="C611" s="32" t="s">
        <v>11449</v>
      </c>
      <c r="D611" s="33" t="s">
        <v>11450</v>
      </c>
    </row>
    <row r="612" spans="1:4" ht="16.5" customHeight="1" x14ac:dyDescent="0.35">
      <c r="A612" s="34" t="s">
        <v>11451</v>
      </c>
      <c r="B612" s="36" t="s">
        <v>11452</v>
      </c>
      <c r="C612" s="37" t="s">
        <v>11453</v>
      </c>
      <c r="D612" s="35" t="s">
        <v>11454</v>
      </c>
    </row>
    <row r="613" spans="1:4" ht="16.5" customHeight="1" x14ac:dyDescent="0.35">
      <c r="A613" s="34" t="s">
        <v>11455</v>
      </c>
      <c r="B613" s="39" t="s">
        <v>11456</v>
      </c>
      <c r="C613" s="37" t="s">
        <v>11457</v>
      </c>
      <c r="D613" s="35" t="s">
        <v>11458</v>
      </c>
    </row>
    <row r="614" spans="1:4" ht="16.5" customHeight="1" x14ac:dyDescent="0.35">
      <c r="A614" s="34" t="s">
        <v>11459</v>
      </c>
      <c r="B614" s="36" t="s">
        <v>11460</v>
      </c>
      <c r="C614" s="37" t="s">
        <v>11461</v>
      </c>
      <c r="D614" s="35" t="s">
        <v>11462</v>
      </c>
    </row>
    <row r="615" spans="1:4" ht="16.5" customHeight="1" x14ac:dyDescent="0.35">
      <c r="A615" s="31" t="s">
        <v>7324</v>
      </c>
      <c r="B615" s="36" t="s">
        <v>11463</v>
      </c>
      <c r="C615" s="32" t="s">
        <v>11464</v>
      </c>
      <c r="D615" s="33" t="s">
        <v>11465</v>
      </c>
    </row>
    <row r="616" spans="1:4" ht="16.5" customHeight="1" x14ac:dyDescent="0.35">
      <c r="A616" s="31" t="s">
        <v>7488</v>
      </c>
      <c r="B616" s="36" t="s">
        <v>11466</v>
      </c>
      <c r="C616" s="32" t="s">
        <v>11467</v>
      </c>
      <c r="D616" s="33" t="s">
        <v>11468</v>
      </c>
    </row>
    <row r="617" spans="1:4" ht="16.5" customHeight="1" x14ac:dyDescent="0.35">
      <c r="A617" s="31" t="s">
        <v>7327</v>
      </c>
      <c r="B617" s="36" t="s">
        <v>11469</v>
      </c>
      <c r="C617" s="32" t="s">
        <v>11470</v>
      </c>
      <c r="D617" s="33" t="s">
        <v>11471</v>
      </c>
    </row>
    <row r="618" spans="1:4" ht="16.5" customHeight="1" x14ac:dyDescent="0.35">
      <c r="A618" s="31" t="s">
        <v>11472</v>
      </c>
      <c r="B618" s="36" t="s">
        <v>11473</v>
      </c>
      <c r="C618" s="32" t="s">
        <v>11474</v>
      </c>
      <c r="D618" s="33" t="s">
        <v>11475</v>
      </c>
    </row>
    <row r="619" spans="1:4" ht="16.5" customHeight="1" x14ac:dyDescent="0.35">
      <c r="A619" s="31" t="s">
        <v>11476</v>
      </c>
      <c r="B619" s="36" t="s">
        <v>11477</v>
      </c>
      <c r="C619" s="32" t="s">
        <v>11478</v>
      </c>
      <c r="D619" s="33" t="s">
        <v>11479</v>
      </c>
    </row>
    <row r="620" spans="1:4" ht="16.5" customHeight="1" x14ac:dyDescent="0.35">
      <c r="A620" s="31" t="s">
        <v>11480</v>
      </c>
      <c r="B620" s="39" t="s">
        <v>11481</v>
      </c>
      <c r="C620" s="32" t="s">
        <v>11482</v>
      </c>
      <c r="D620" s="33" t="s">
        <v>11483</v>
      </c>
    </row>
    <row r="621" spans="1:4" ht="16.5" customHeight="1" x14ac:dyDescent="0.35">
      <c r="A621" s="31" t="s">
        <v>11484</v>
      </c>
      <c r="B621" s="36" t="s">
        <v>11485</v>
      </c>
      <c r="C621" s="32" t="s">
        <v>11486</v>
      </c>
      <c r="D621" s="33" t="s">
        <v>11487</v>
      </c>
    </row>
    <row r="622" spans="1:4" ht="16.5" customHeight="1" x14ac:dyDescent="0.35">
      <c r="A622" s="31" t="s">
        <v>11488</v>
      </c>
      <c r="B622" s="36" t="s">
        <v>11489</v>
      </c>
      <c r="C622" s="32" t="s">
        <v>11490</v>
      </c>
      <c r="D622" s="33" t="s">
        <v>11491</v>
      </c>
    </row>
    <row r="623" spans="1:4" ht="16.5" customHeight="1" x14ac:dyDescent="0.35">
      <c r="A623" s="31" t="s">
        <v>11492</v>
      </c>
      <c r="B623" s="34" t="s">
        <v>11493</v>
      </c>
      <c r="C623" s="32" t="s">
        <v>11494</v>
      </c>
      <c r="D623" s="33" t="s">
        <v>11495</v>
      </c>
    </row>
    <row r="624" spans="1:4" ht="16.5" customHeight="1" x14ac:dyDescent="0.35">
      <c r="A624" s="31" t="s">
        <v>11496</v>
      </c>
      <c r="B624" s="34" t="s">
        <v>11497</v>
      </c>
      <c r="C624" s="32" t="s">
        <v>11498</v>
      </c>
      <c r="D624" s="33" t="s">
        <v>11499</v>
      </c>
    </row>
    <row r="625" spans="1:4" ht="16.5" customHeight="1" x14ac:dyDescent="0.35">
      <c r="A625" s="31" t="s">
        <v>11500</v>
      </c>
      <c r="B625" s="36" t="s">
        <v>11501</v>
      </c>
      <c r="C625" s="32" t="s">
        <v>11502</v>
      </c>
      <c r="D625" s="33" t="s">
        <v>11503</v>
      </c>
    </row>
    <row r="626" spans="1:4" ht="16.5" customHeight="1" x14ac:dyDescent="0.35">
      <c r="A626" s="31" t="s">
        <v>8627</v>
      </c>
      <c r="B626" s="39" t="s">
        <v>11504</v>
      </c>
      <c r="C626" s="32" t="s">
        <v>11505</v>
      </c>
      <c r="D626" s="33" t="s">
        <v>11506</v>
      </c>
    </row>
    <row r="627" spans="1:4" ht="16.5" customHeight="1" x14ac:dyDescent="0.35">
      <c r="A627" s="31" t="s">
        <v>8608</v>
      </c>
      <c r="B627" s="34" t="s">
        <v>11507</v>
      </c>
      <c r="C627" s="32" t="s">
        <v>11508</v>
      </c>
      <c r="D627" s="33" t="s">
        <v>11509</v>
      </c>
    </row>
    <row r="628" spans="1:4" ht="16.5" customHeight="1" x14ac:dyDescent="0.35">
      <c r="A628" s="34" t="s">
        <v>11510</v>
      </c>
      <c r="B628" s="39" t="s">
        <v>11511</v>
      </c>
      <c r="C628" s="37" t="s">
        <v>11512</v>
      </c>
      <c r="D628" s="35" t="s">
        <v>11513</v>
      </c>
    </row>
    <row r="629" spans="1:4" ht="16.5" customHeight="1" x14ac:dyDescent="0.35">
      <c r="A629" s="31" t="s">
        <v>7222</v>
      </c>
      <c r="B629" s="36" t="s">
        <v>11514</v>
      </c>
      <c r="C629" s="32" t="s">
        <v>11515</v>
      </c>
      <c r="D629" s="33" t="s">
        <v>11516</v>
      </c>
    </row>
    <row r="630" spans="1:4" ht="16.5" customHeight="1" x14ac:dyDescent="0.35">
      <c r="A630" s="31" t="s">
        <v>11517</v>
      </c>
      <c r="B630" s="39" t="s">
        <v>11518</v>
      </c>
      <c r="C630" s="32" t="s">
        <v>11519</v>
      </c>
      <c r="D630" s="33" t="s">
        <v>11520</v>
      </c>
    </row>
    <row r="631" spans="1:4" ht="16.5" customHeight="1" x14ac:dyDescent="0.35">
      <c r="A631" s="34" t="s">
        <v>11521</v>
      </c>
      <c r="B631" s="48" t="s">
        <v>11522</v>
      </c>
      <c r="C631" s="37" t="s">
        <v>11523</v>
      </c>
      <c r="D631" s="35" t="s">
        <v>11524</v>
      </c>
    </row>
    <row r="632" spans="1:4" ht="16.5" customHeight="1" x14ac:dyDescent="0.35">
      <c r="A632" s="34" t="s">
        <v>11525</v>
      </c>
      <c r="B632" s="36" t="s">
        <v>11526</v>
      </c>
      <c r="C632" s="37" t="s">
        <v>11527</v>
      </c>
      <c r="D632" s="35" t="s">
        <v>11528</v>
      </c>
    </row>
    <row r="633" spans="1:4" ht="16.5" customHeight="1" x14ac:dyDescent="0.35">
      <c r="A633" s="34" t="s">
        <v>11529</v>
      </c>
      <c r="B633" s="36" t="s">
        <v>11530</v>
      </c>
      <c r="C633" s="37" t="s">
        <v>11531</v>
      </c>
      <c r="D633" s="35" t="s">
        <v>11532</v>
      </c>
    </row>
    <row r="634" spans="1:4" ht="16.5" customHeight="1" x14ac:dyDescent="0.35">
      <c r="A634" s="34" t="s">
        <v>11533</v>
      </c>
      <c r="B634" s="39" t="s">
        <v>11534</v>
      </c>
      <c r="C634" s="37" t="s">
        <v>11535</v>
      </c>
      <c r="D634" s="35" t="s">
        <v>11536</v>
      </c>
    </row>
    <row r="635" spans="1:4" ht="16.5" customHeight="1" x14ac:dyDescent="0.35">
      <c r="A635" s="31" t="s">
        <v>8110</v>
      </c>
      <c r="B635" s="36" t="s">
        <v>11537</v>
      </c>
      <c r="C635" s="32" t="s">
        <v>11538</v>
      </c>
      <c r="D635" s="33" t="s">
        <v>11539</v>
      </c>
    </row>
    <row r="636" spans="1:4" ht="16.5" customHeight="1" x14ac:dyDescent="0.35">
      <c r="A636" s="31" t="s">
        <v>8111</v>
      </c>
      <c r="B636" s="36" t="s">
        <v>11540</v>
      </c>
      <c r="C636" s="32" t="s">
        <v>11541</v>
      </c>
      <c r="D636" s="33" t="s">
        <v>11542</v>
      </c>
    </row>
    <row r="637" spans="1:4" ht="16.5" customHeight="1" x14ac:dyDescent="0.35">
      <c r="A637" s="31" t="s">
        <v>11543</v>
      </c>
      <c r="B637" s="34" t="s">
        <v>11544</v>
      </c>
      <c r="C637" s="32" t="s">
        <v>11545</v>
      </c>
      <c r="D637" s="33" t="s">
        <v>11546</v>
      </c>
    </row>
    <row r="638" spans="1:4" ht="16.5" customHeight="1" x14ac:dyDescent="0.35">
      <c r="A638" s="31" t="s">
        <v>11547</v>
      </c>
      <c r="B638" s="36" t="s">
        <v>11548</v>
      </c>
      <c r="C638" s="32" t="s">
        <v>11549</v>
      </c>
      <c r="D638" s="33" t="s">
        <v>11550</v>
      </c>
    </row>
    <row r="639" spans="1:4" ht="16.5" customHeight="1" x14ac:dyDescent="0.35">
      <c r="A639" s="31" t="s">
        <v>11551</v>
      </c>
      <c r="B639" s="36" t="s">
        <v>11552</v>
      </c>
      <c r="C639" s="32" t="s">
        <v>11553</v>
      </c>
      <c r="D639" s="33" t="s">
        <v>11554</v>
      </c>
    </row>
    <row r="640" spans="1:4" ht="16.5" customHeight="1" x14ac:dyDescent="0.35">
      <c r="A640" s="34" t="s">
        <v>11555</v>
      </c>
      <c r="B640" s="36" t="s">
        <v>11556</v>
      </c>
      <c r="C640" s="37" t="s">
        <v>11557</v>
      </c>
      <c r="D640" s="35" t="s">
        <v>11558</v>
      </c>
    </row>
    <row r="641" spans="1:4" ht="16.5" customHeight="1" x14ac:dyDescent="0.35">
      <c r="A641" s="34" t="s">
        <v>11559</v>
      </c>
      <c r="B641" s="48" t="s">
        <v>11560</v>
      </c>
      <c r="C641" s="37" t="s">
        <v>11561</v>
      </c>
      <c r="D641" s="35" t="s">
        <v>11562</v>
      </c>
    </row>
    <row r="642" spans="1:4" ht="16.5" customHeight="1" x14ac:dyDescent="0.35">
      <c r="A642" s="31" t="s">
        <v>11563</v>
      </c>
      <c r="B642" s="36" t="s">
        <v>11564</v>
      </c>
      <c r="C642" s="32" t="s">
        <v>11565</v>
      </c>
      <c r="D642" s="33" t="s">
        <v>11566</v>
      </c>
    </row>
    <row r="643" spans="1:4" ht="16.5" customHeight="1" x14ac:dyDescent="0.35">
      <c r="A643" s="34" t="s">
        <v>8242</v>
      </c>
      <c r="B643" s="48" t="s">
        <v>11567</v>
      </c>
      <c r="C643" s="37" t="s">
        <v>11568</v>
      </c>
      <c r="D643" s="35" t="s">
        <v>11569</v>
      </c>
    </row>
    <row r="644" spans="1:4" ht="16.5" customHeight="1" x14ac:dyDescent="0.35">
      <c r="A644" s="31" t="s">
        <v>11570</v>
      </c>
      <c r="B644" s="36" t="s">
        <v>11571</v>
      </c>
      <c r="C644" s="32" t="s">
        <v>11572</v>
      </c>
      <c r="D644" s="33" t="s">
        <v>11573</v>
      </c>
    </row>
    <row r="645" spans="1:4" ht="16.5" customHeight="1" x14ac:dyDescent="0.35">
      <c r="A645" s="31" t="s">
        <v>7020</v>
      </c>
      <c r="B645" s="34" t="s">
        <v>11574</v>
      </c>
      <c r="C645" s="32" t="s">
        <v>11575</v>
      </c>
      <c r="D645" s="33" t="s">
        <v>11576</v>
      </c>
    </row>
    <row r="646" spans="1:4" ht="16.5" customHeight="1" x14ac:dyDescent="0.35">
      <c r="A646" s="34" t="s">
        <v>11577</v>
      </c>
      <c r="B646" s="36" t="s">
        <v>11578</v>
      </c>
      <c r="C646" s="37" t="s">
        <v>11579</v>
      </c>
      <c r="D646" s="35" t="s">
        <v>11580</v>
      </c>
    </row>
    <row r="647" spans="1:4" ht="16.5" customHeight="1" x14ac:dyDescent="0.35">
      <c r="A647" s="31" t="s">
        <v>11581</v>
      </c>
      <c r="B647" s="36" t="s">
        <v>11582</v>
      </c>
      <c r="C647" s="32" t="s">
        <v>11583</v>
      </c>
      <c r="D647" s="33" t="s">
        <v>11584</v>
      </c>
    </row>
    <row r="648" spans="1:4" ht="16.5" customHeight="1" x14ac:dyDescent="0.35">
      <c r="A648" s="31" t="s">
        <v>6358</v>
      </c>
      <c r="B648" s="34" t="s">
        <v>11585</v>
      </c>
      <c r="C648" s="32" t="s">
        <v>11586</v>
      </c>
      <c r="D648" s="33" t="s">
        <v>11587</v>
      </c>
    </row>
    <row r="649" spans="1:4" ht="16.5" customHeight="1" x14ac:dyDescent="0.35">
      <c r="A649" s="31" t="s">
        <v>11588</v>
      </c>
      <c r="B649" s="36" t="s">
        <v>11589</v>
      </c>
      <c r="C649" s="32" t="s">
        <v>11590</v>
      </c>
      <c r="D649" s="33" t="s">
        <v>11591</v>
      </c>
    </row>
    <row r="650" spans="1:4" ht="16.5" customHeight="1" x14ac:dyDescent="0.35">
      <c r="A650" s="31" t="s">
        <v>11592</v>
      </c>
      <c r="B650" s="39" t="s">
        <v>11593</v>
      </c>
      <c r="C650" s="32" t="s">
        <v>11594</v>
      </c>
      <c r="D650" s="33" t="s">
        <v>11595</v>
      </c>
    </row>
    <row r="651" spans="1:4" ht="16.5" customHeight="1" x14ac:dyDescent="0.35">
      <c r="A651" s="31" t="s">
        <v>11596</v>
      </c>
      <c r="B651" s="36" t="s">
        <v>11597</v>
      </c>
      <c r="C651" s="32" t="s">
        <v>11598</v>
      </c>
      <c r="D651" s="33" t="s">
        <v>11599</v>
      </c>
    </row>
    <row r="652" spans="1:4" ht="16.5" customHeight="1" x14ac:dyDescent="0.35">
      <c r="A652" s="31" t="s">
        <v>11600</v>
      </c>
      <c r="B652" s="36" t="s">
        <v>11601</v>
      </c>
      <c r="C652" s="32" t="s">
        <v>11602</v>
      </c>
      <c r="D652" s="44" t="s">
        <v>11603</v>
      </c>
    </row>
    <row r="653" spans="1:4" ht="16.5" customHeight="1" x14ac:dyDescent="0.35">
      <c r="A653" s="31" t="s">
        <v>11604</v>
      </c>
      <c r="B653" s="36" t="s">
        <v>11605</v>
      </c>
      <c r="C653" s="32" t="s">
        <v>11606</v>
      </c>
      <c r="D653" s="33" t="s">
        <v>11607</v>
      </c>
    </row>
    <row r="654" spans="1:4" ht="16.5" customHeight="1" x14ac:dyDescent="0.35">
      <c r="A654" s="31" t="s">
        <v>7286</v>
      </c>
      <c r="B654" s="36" t="s">
        <v>11608</v>
      </c>
      <c r="C654" s="32" t="s">
        <v>11609</v>
      </c>
      <c r="D654" s="33" t="s">
        <v>11610</v>
      </c>
    </row>
    <row r="655" spans="1:4" ht="16.5" customHeight="1" x14ac:dyDescent="0.35">
      <c r="A655" s="31" t="s">
        <v>11611</v>
      </c>
      <c r="B655" s="34" t="s">
        <v>11612</v>
      </c>
      <c r="C655" s="32" t="s">
        <v>11613</v>
      </c>
      <c r="D655" s="33" t="s">
        <v>11614</v>
      </c>
    </row>
    <row r="656" spans="1:4" ht="16.5" customHeight="1" x14ac:dyDescent="0.35">
      <c r="A656" s="31" t="s">
        <v>11615</v>
      </c>
      <c r="B656" s="34" t="s">
        <v>11616</v>
      </c>
      <c r="C656" s="32" t="s">
        <v>11617</v>
      </c>
      <c r="D656" s="33" t="s">
        <v>11618</v>
      </c>
    </row>
    <row r="657" spans="1:4" ht="16.5" customHeight="1" x14ac:dyDescent="0.35">
      <c r="A657" s="31" t="s">
        <v>11619</v>
      </c>
      <c r="B657" s="34" t="s">
        <v>11620</v>
      </c>
      <c r="C657" s="32" t="s">
        <v>11621</v>
      </c>
      <c r="D657" s="33" t="s">
        <v>11622</v>
      </c>
    </row>
    <row r="658" spans="1:4" ht="16.5" customHeight="1" x14ac:dyDescent="0.35">
      <c r="A658" s="31" t="s">
        <v>11623</v>
      </c>
      <c r="B658" s="36" t="s">
        <v>11624</v>
      </c>
      <c r="C658" s="32" t="s">
        <v>11625</v>
      </c>
      <c r="D658" s="33" t="s">
        <v>11626</v>
      </c>
    </row>
    <row r="659" spans="1:4" ht="16.5" customHeight="1" x14ac:dyDescent="0.35">
      <c r="A659" s="31" t="s">
        <v>11627</v>
      </c>
      <c r="B659" s="48" t="s">
        <v>11628</v>
      </c>
      <c r="C659" s="32" t="s">
        <v>11629</v>
      </c>
      <c r="D659" s="33" t="s">
        <v>11630</v>
      </c>
    </row>
    <row r="660" spans="1:4" ht="16.5" customHeight="1" x14ac:dyDescent="0.35">
      <c r="A660" s="31" t="s">
        <v>11631</v>
      </c>
      <c r="B660" s="39" t="s">
        <v>11632</v>
      </c>
      <c r="C660" s="32" t="s">
        <v>11633</v>
      </c>
      <c r="D660" s="33" t="s">
        <v>11634</v>
      </c>
    </row>
    <row r="661" spans="1:4" ht="16.5" customHeight="1" x14ac:dyDescent="0.35">
      <c r="A661" s="31" t="s">
        <v>11635</v>
      </c>
      <c r="B661" s="34" t="s">
        <v>11636</v>
      </c>
      <c r="C661" s="32" t="s">
        <v>11637</v>
      </c>
      <c r="D661" s="33" t="s">
        <v>11638</v>
      </c>
    </row>
    <row r="662" spans="1:4" ht="16.5" customHeight="1" x14ac:dyDescent="0.35">
      <c r="A662" s="31" t="s">
        <v>11639</v>
      </c>
      <c r="B662" s="36" t="s">
        <v>11640</v>
      </c>
      <c r="C662" s="32" t="s">
        <v>11641</v>
      </c>
      <c r="D662" s="33" t="s">
        <v>11642</v>
      </c>
    </row>
    <row r="663" spans="1:4" ht="16.5" customHeight="1" x14ac:dyDescent="0.35">
      <c r="A663" s="31" t="s">
        <v>11643</v>
      </c>
      <c r="B663" s="34" t="s">
        <v>11644</v>
      </c>
      <c r="C663" s="32" t="s">
        <v>11645</v>
      </c>
      <c r="D663" s="33" t="s">
        <v>11646</v>
      </c>
    </row>
    <row r="664" spans="1:4" ht="16.5" customHeight="1" x14ac:dyDescent="0.35">
      <c r="A664" s="31" t="s">
        <v>11647</v>
      </c>
      <c r="B664" s="36" t="s">
        <v>11648</v>
      </c>
      <c r="C664" s="32" t="s">
        <v>11649</v>
      </c>
      <c r="D664" s="33" t="s">
        <v>11650</v>
      </c>
    </row>
    <row r="665" spans="1:4" ht="16.5" customHeight="1" x14ac:dyDescent="0.35">
      <c r="A665" s="31" t="s">
        <v>11651</v>
      </c>
      <c r="B665" s="39" t="s">
        <v>11652</v>
      </c>
      <c r="C665" s="32" t="s">
        <v>11653</v>
      </c>
      <c r="D665" s="33" t="s">
        <v>11654</v>
      </c>
    </row>
    <row r="666" spans="1:4" ht="16.5" customHeight="1" x14ac:dyDescent="0.35">
      <c r="A666" s="31" t="s">
        <v>11655</v>
      </c>
      <c r="B666" s="36" t="s">
        <v>11656</v>
      </c>
      <c r="C666" s="32" t="s">
        <v>11657</v>
      </c>
      <c r="D666" s="33" t="s">
        <v>11658</v>
      </c>
    </row>
    <row r="667" spans="1:4" ht="16.5" customHeight="1" x14ac:dyDescent="0.35">
      <c r="A667" s="31" t="s">
        <v>11659</v>
      </c>
      <c r="B667" s="39" t="s">
        <v>11660</v>
      </c>
      <c r="C667" s="32" t="s">
        <v>11661</v>
      </c>
      <c r="D667" s="33" t="s">
        <v>11662</v>
      </c>
    </row>
    <row r="668" spans="1:4" ht="16.5" customHeight="1" x14ac:dyDescent="0.35">
      <c r="A668" s="31" t="s">
        <v>11663</v>
      </c>
      <c r="B668" s="36" t="s">
        <v>11664</v>
      </c>
      <c r="C668" s="32" t="s">
        <v>11665</v>
      </c>
      <c r="D668" s="33" t="s">
        <v>11666</v>
      </c>
    </row>
    <row r="669" spans="1:4" ht="16.5" customHeight="1" x14ac:dyDescent="0.35">
      <c r="A669" s="31" t="s">
        <v>7325</v>
      </c>
      <c r="B669" s="36" t="s">
        <v>11667</v>
      </c>
      <c r="C669" s="32" t="s">
        <v>11668</v>
      </c>
      <c r="D669" s="33" t="s">
        <v>11669</v>
      </c>
    </row>
    <row r="670" spans="1:4" ht="16.5" customHeight="1" x14ac:dyDescent="0.35">
      <c r="A670" s="31" t="s">
        <v>11670</v>
      </c>
      <c r="B670" s="39" t="s">
        <v>11671</v>
      </c>
      <c r="C670" s="32" t="s">
        <v>11672</v>
      </c>
      <c r="D670" s="33" t="s">
        <v>11673</v>
      </c>
    </row>
    <row r="671" spans="1:4" ht="16.5" customHeight="1" x14ac:dyDescent="0.35">
      <c r="A671" s="34" t="s">
        <v>11674</v>
      </c>
      <c r="B671" s="39" t="s">
        <v>11675</v>
      </c>
      <c r="C671" s="37" t="s">
        <v>11676</v>
      </c>
      <c r="D671" s="35" t="s">
        <v>11677</v>
      </c>
    </row>
    <row r="672" spans="1:4" ht="16.5" customHeight="1" x14ac:dyDescent="0.35">
      <c r="A672" s="31" t="s">
        <v>11678</v>
      </c>
      <c r="B672" s="48" t="s">
        <v>11679</v>
      </c>
      <c r="C672" s="32" t="s">
        <v>11680</v>
      </c>
      <c r="D672" s="33" t="s">
        <v>11681</v>
      </c>
    </row>
    <row r="673" spans="1:4" ht="16.5" customHeight="1" x14ac:dyDescent="0.35">
      <c r="A673" s="34" t="s">
        <v>11682</v>
      </c>
      <c r="B673" s="36" t="s">
        <v>11683</v>
      </c>
      <c r="C673" s="37" t="s">
        <v>11684</v>
      </c>
      <c r="D673" s="35" t="s">
        <v>11685</v>
      </c>
    </row>
    <row r="674" spans="1:4" ht="16.5" customHeight="1" x14ac:dyDescent="0.35">
      <c r="A674" s="31" t="s">
        <v>11686</v>
      </c>
      <c r="B674" s="36" t="s">
        <v>11687</v>
      </c>
      <c r="C674" s="32" t="s">
        <v>11688</v>
      </c>
      <c r="D674" s="33" t="s">
        <v>11689</v>
      </c>
    </row>
    <row r="675" spans="1:4" ht="16.5" customHeight="1" x14ac:dyDescent="0.35">
      <c r="A675" s="31" t="s">
        <v>11690</v>
      </c>
      <c r="B675" s="36" t="s">
        <v>11691</v>
      </c>
      <c r="C675" s="32" t="s">
        <v>11692</v>
      </c>
      <c r="D675" s="33" t="s">
        <v>11693</v>
      </c>
    </row>
    <row r="676" spans="1:4" ht="16.5" customHeight="1" x14ac:dyDescent="0.35">
      <c r="A676" s="31" t="s">
        <v>11694</v>
      </c>
      <c r="B676" s="36" t="s">
        <v>11695</v>
      </c>
      <c r="C676" s="32" t="s">
        <v>11696</v>
      </c>
      <c r="D676" s="33" t="s">
        <v>11697</v>
      </c>
    </row>
    <row r="677" spans="1:4" ht="16.5" customHeight="1" x14ac:dyDescent="0.35">
      <c r="A677" s="34" t="s">
        <v>11698</v>
      </c>
      <c r="B677" s="48" t="s">
        <v>11699</v>
      </c>
      <c r="C677" s="37" t="s">
        <v>11700</v>
      </c>
      <c r="D677" s="35" t="s">
        <v>11701</v>
      </c>
    </row>
    <row r="678" spans="1:4" ht="16.5" customHeight="1" x14ac:dyDescent="0.35">
      <c r="A678" s="34" t="s">
        <v>11702</v>
      </c>
      <c r="B678" s="39" t="s">
        <v>11703</v>
      </c>
      <c r="C678" s="37" t="s">
        <v>11704</v>
      </c>
      <c r="D678" s="35" t="s">
        <v>11705</v>
      </c>
    </row>
    <row r="679" spans="1:4" ht="16.5" customHeight="1" x14ac:dyDescent="0.35">
      <c r="A679" s="31" t="s">
        <v>8360</v>
      </c>
      <c r="B679" s="31" t="s">
        <v>11706</v>
      </c>
      <c r="C679" s="32" t="s">
        <v>11707</v>
      </c>
      <c r="D679" s="33" t="s">
        <v>11708</v>
      </c>
    </row>
    <row r="680" spans="1:4" ht="16.5" customHeight="1" x14ac:dyDescent="0.35">
      <c r="A680" s="31" t="s">
        <v>11709</v>
      </c>
      <c r="B680" s="36" t="s">
        <v>11710</v>
      </c>
      <c r="C680" s="32" t="s">
        <v>11711</v>
      </c>
      <c r="D680" s="33" t="s">
        <v>11712</v>
      </c>
    </row>
    <row r="681" spans="1:4" ht="16.5" customHeight="1" x14ac:dyDescent="0.35">
      <c r="A681" s="31" t="s">
        <v>11713</v>
      </c>
      <c r="B681" s="34" t="s">
        <v>11714</v>
      </c>
      <c r="C681" s="32" t="s">
        <v>11715</v>
      </c>
      <c r="D681" s="33" t="s">
        <v>11716</v>
      </c>
    </row>
    <row r="682" spans="1:4" ht="16.5" customHeight="1" x14ac:dyDescent="0.35">
      <c r="A682" s="31" t="s">
        <v>11717</v>
      </c>
      <c r="B682" s="31" t="s">
        <v>11718</v>
      </c>
      <c r="C682" s="32" t="s">
        <v>11719</v>
      </c>
      <c r="D682" s="33" t="s">
        <v>11720</v>
      </c>
    </row>
    <row r="683" spans="1:4" ht="16.5" customHeight="1" x14ac:dyDescent="0.35">
      <c r="A683" s="34" t="s">
        <v>11721</v>
      </c>
      <c r="B683" s="34" t="s">
        <v>11722</v>
      </c>
      <c r="C683" s="32" t="s">
        <v>11723</v>
      </c>
      <c r="D683" s="33" t="s">
        <v>11724</v>
      </c>
    </row>
    <row r="684" spans="1:4" ht="16.5" customHeight="1" x14ac:dyDescent="0.35">
      <c r="A684" s="34" t="s">
        <v>11725</v>
      </c>
      <c r="B684" s="34" t="s">
        <v>11726</v>
      </c>
      <c r="C684" s="32" t="s">
        <v>11727</v>
      </c>
      <c r="D684" s="33" t="s">
        <v>11728</v>
      </c>
    </row>
    <row r="685" spans="1:4" ht="16.5" customHeight="1" x14ac:dyDescent="0.35">
      <c r="A685" s="34" t="s">
        <v>11729</v>
      </c>
      <c r="B685" s="36" t="s">
        <v>11730</v>
      </c>
      <c r="C685" s="37" t="s">
        <v>11731</v>
      </c>
      <c r="D685" s="35" t="s">
        <v>11732</v>
      </c>
    </row>
    <row r="686" spans="1:4" ht="16.5" customHeight="1" x14ac:dyDescent="0.35">
      <c r="A686" s="31" t="s">
        <v>11733</v>
      </c>
      <c r="B686" s="36" t="s">
        <v>11734</v>
      </c>
      <c r="C686" s="32" t="s">
        <v>11735</v>
      </c>
      <c r="D686" s="33" t="s">
        <v>11736</v>
      </c>
    </row>
    <row r="687" spans="1:4" ht="16.5" customHeight="1" x14ac:dyDescent="0.35">
      <c r="A687" s="31" t="s">
        <v>11737</v>
      </c>
      <c r="B687" s="39" t="s">
        <v>11738</v>
      </c>
      <c r="C687" s="32" t="s">
        <v>11739</v>
      </c>
      <c r="D687" s="33" t="s">
        <v>11740</v>
      </c>
    </row>
    <row r="688" spans="1:4" ht="16.5" customHeight="1" x14ac:dyDescent="0.35">
      <c r="A688" s="31" t="s">
        <v>11741</v>
      </c>
      <c r="B688" s="39" t="s">
        <v>11742</v>
      </c>
      <c r="C688" s="32" t="s">
        <v>11743</v>
      </c>
      <c r="D688" s="33" t="s">
        <v>11744</v>
      </c>
    </row>
    <row r="689" spans="1:4" ht="16.5" customHeight="1" x14ac:dyDescent="0.35">
      <c r="A689" s="31" t="s">
        <v>11745</v>
      </c>
      <c r="B689" s="39" t="s">
        <v>11746</v>
      </c>
      <c r="C689" s="32" t="s">
        <v>11747</v>
      </c>
      <c r="D689" s="33" t="s">
        <v>11748</v>
      </c>
    </row>
    <row r="690" spans="1:4" ht="16.5" customHeight="1" x14ac:dyDescent="0.35">
      <c r="A690" s="31" t="s">
        <v>11749</v>
      </c>
      <c r="B690" s="36" t="s">
        <v>11750</v>
      </c>
      <c r="C690" s="32" t="s">
        <v>11751</v>
      </c>
      <c r="D690" s="33" t="s">
        <v>11752</v>
      </c>
    </row>
    <row r="691" spans="1:4" ht="16.5" customHeight="1" x14ac:dyDescent="0.35">
      <c r="A691" s="31" t="s">
        <v>11753</v>
      </c>
      <c r="B691" s="36" t="s">
        <v>11754</v>
      </c>
      <c r="C691" s="32" t="s">
        <v>11755</v>
      </c>
      <c r="D691" s="33" t="s">
        <v>11756</v>
      </c>
    </row>
    <row r="692" spans="1:4" ht="16.5" customHeight="1" x14ac:dyDescent="0.35">
      <c r="A692" s="31" t="s">
        <v>11757</v>
      </c>
      <c r="B692" s="36" t="s">
        <v>11758</v>
      </c>
      <c r="C692" s="32" t="s">
        <v>11759</v>
      </c>
      <c r="D692" s="33" t="s">
        <v>11760</v>
      </c>
    </row>
    <row r="693" spans="1:4" ht="16.5" customHeight="1" x14ac:dyDescent="0.35">
      <c r="A693" s="34" t="s">
        <v>11761</v>
      </c>
      <c r="B693" s="36" t="s">
        <v>11762</v>
      </c>
      <c r="C693" s="37" t="s">
        <v>11763</v>
      </c>
      <c r="D693" s="35" t="s">
        <v>11764</v>
      </c>
    </row>
    <row r="694" spans="1:4" ht="16.5" customHeight="1" x14ac:dyDescent="0.35">
      <c r="A694" s="31" t="s">
        <v>11765</v>
      </c>
      <c r="B694" s="36" t="s">
        <v>11766</v>
      </c>
      <c r="C694" s="32" t="s">
        <v>11767</v>
      </c>
      <c r="D694" s="33" t="s">
        <v>11768</v>
      </c>
    </row>
    <row r="695" spans="1:4" ht="16.5" customHeight="1" x14ac:dyDescent="0.35">
      <c r="A695" s="31" t="s">
        <v>11769</v>
      </c>
      <c r="B695" s="36" t="s">
        <v>11770</v>
      </c>
      <c r="C695" s="32" t="s">
        <v>11771</v>
      </c>
      <c r="D695" s="33" t="s">
        <v>11772</v>
      </c>
    </row>
    <row r="696" spans="1:4" ht="16.5" customHeight="1" x14ac:dyDescent="0.35">
      <c r="A696" s="31" t="s">
        <v>6652</v>
      </c>
      <c r="B696" s="39" t="s">
        <v>11773</v>
      </c>
      <c r="C696" s="32" t="s">
        <v>11774</v>
      </c>
      <c r="D696" s="33" t="s">
        <v>11775</v>
      </c>
    </row>
    <row r="697" spans="1:4" ht="16.5" customHeight="1" x14ac:dyDescent="0.35">
      <c r="A697" s="31" t="s">
        <v>11776</v>
      </c>
      <c r="B697" s="34" t="s">
        <v>11777</v>
      </c>
      <c r="C697" s="32" t="s">
        <v>11778</v>
      </c>
      <c r="D697" s="33" t="s">
        <v>11779</v>
      </c>
    </row>
    <row r="698" spans="1:4" ht="16.5" customHeight="1" x14ac:dyDescent="0.35">
      <c r="A698" s="31" t="s">
        <v>11780</v>
      </c>
      <c r="B698" s="34" t="s">
        <v>11781</v>
      </c>
      <c r="C698" s="32" t="s">
        <v>11782</v>
      </c>
      <c r="D698" s="33" t="s">
        <v>11783</v>
      </c>
    </row>
    <row r="699" spans="1:4" ht="16.5" customHeight="1" x14ac:dyDescent="0.35">
      <c r="A699" s="31" t="s">
        <v>11784</v>
      </c>
      <c r="B699" s="31" t="s">
        <v>11785</v>
      </c>
      <c r="C699" s="32" t="s">
        <v>11786</v>
      </c>
      <c r="D699" s="33" t="s">
        <v>11787</v>
      </c>
    </row>
    <row r="700" spans="1:4" ht="16.5" customHeight="1" x14ac:dyDescent="0.35">
      <c r="A700" s="31" t="s">
        <v>11788</v>
      </c>
      <c r="B700" s="31" t="s">
        <v>11789</v>
      </c>
      <c r="C700" s="32" t="s">
        <v>11790</v>
      </c>
      <c r="D700" s="33" t="s">
        <v>11791</v>
      </c>
    </row>
    <row r="701" spans="1:4" ht="16.5" customHeight="1" x14ac:dyDescent="0.35">
      <c r="A701" s="31" t="s">
        <v>11792</v>
      </c>
      <c r="B701" s="48" t="s">
        <v>11793</v>
      </c>
      <c r="C701" s="32" t="s">
        <v>11794</v>
      </c>
      <c r="D701" s="33" t="s">
        <v>11795</v>
      </c>
    </row>
    <row r="702" spans="1:4" ht="16.5" customHeight="1" x14ac:dyDescent="0.35">
      <c r="A702" s="34" t="s">
        <v>11796</v>
      </c>
      <c r="B702" s="31" t="s">
        <v>11797</v>
      </c>
      <c r="C702" s="32" t="s">
        <v>11798</v>
      </c>
      <c r="D702" s="33" t="s">
        <v>11799</v>
      </c>
    </row>
    <row r="703" spans="1:4" ht="16.5" customHeight="1" x14ac:dyDescent="0.35">
      <c r="A703" s="31" t="s">
        <v>7021</v>
      </c>
      <c r="B703" s="31" t="s">
        <v>11800</v>
      </c>
      <c r="C703" s="32" t="s">
        <v>11801</v>
      </c>
      <c r="D703" s="33" t="s">
        <v>11802</v>
      </c>
    </row>
    <row r="704" spans="1:4" ht="16.5" customHeight="1" x14ac:dyDescent="0.35">
      <c r="A704" s="34" t="s">
        <v>11803</v>
      </c>
      <c r="B704" s="31" t="s">
        <v>11804</v>
      </c>
      <c r="C704" s="32" t="s">
        <v>11805</v>
      </c>
      <c r="D704" s="33" t="s">
        <v>11806</v>
      </c>
    </row>
    <row r="705" spans="1:4" ht="16.5" customHeight="1" x14ac:dyDescent="0.35">
      <c r="A705" s="34" t="s">
        <v>11807</v>
      </c>
      <c r="B705" s="34" t="s">
        <v>11808</v>
      </c>
      <c r="C705" s="32" t="s">
        <v>11809</v>
      </c>
      <c r="D705" s="33" t="s">
        <v>11810</v>
      </c>
    </row>
    <row r="706" spans="1:4" ht="16.5" customHeight="1" x14ac:dyDescent="0.35">
      <c r="A706" s="31" t="s">
        <v>11811</v>
      </c>
      <c r="B706" s="39" t="s">
        <v>11812</v>
      </c>
      <c r="C706" s="32" t="s">
        <v>11813</v>
      </c>
      <c r="D706" s="33" t="s">
        <v>11814</v>
      </c>
    </row>
    <row r="707" spans="1:4" ht="16.5" customHeight="1" x14ac:dyDescent="0.35">
      <c r="A707" s="31" t="s">
        <v>11815</v>
      </c>
      <c r="B707" s="36" t="s">
        <v>11816</v>
      </c>
      <c r="C707" s="32" t="s">
        <v>11817</v>
      </c>
      <c r="D707" s="33" t="s">
        <v>11818</v>
      </c>
    </row>
    <row r="708" spans="1:4" ht="16.5" customHeight="1" x14ac:dyDescent="0.35">
      <c r="A708" s="34" t="s">
        <v>11819</v>
      </c>
      <c r="B708" s="39" t="s">
        <v>11820</v>
      </c>
      <c r="C708" s="37" t="s">
        <v>11821</v>
      </c>
      <c r="D708" s="35" t="s">
        <v>11822</v>
      </c>
    </row>
    <row r="709" spans="1:4" ht="16.5" customHeight="1" x14ac:dyDescent="0.35">
      <c r="A709" s="31" t="s">
        <v>7498</v>
      </c>
      <c r="B709" s="36" t="s">
        <v>11823</v>
      </c>
      <c r="C709" s="32" t="s">
        <v>11824</v>
      </c>
      <c r="D709" s="33" t="s">
        <v>11825</v>
      </c>
    </row>
    <row r="710" spans="1:4" ht="16.5" customHeight="1" x14ac:dyDescent="0.35">
      <c r="A710" s="31" t="s">
        <v>11826</v>
      </c>
      <c r="B710" s="36" t="s">
        <v>11827</v>
      </c>
      <c r="C710" s="32" t="s">
        <v>11828</v>
      </c>
      <c r="D710" s="33" t="s">
        <v>11829</v>
      </c>
    </row>
    <row r="711" spans="1:4" ht="16.5" customHeight="1" x14ac:dyDescent="0.35">
      <c r="A711" s="34" t="s">
        <v>11830</v>
      </c>
      <c r="B711" s="36" t="s">
        <v>11831</v>
      </c>
      <c r="C711" s="37" t="s">
        <v>11832</v>
      </c>
      <c r="D711" s="35" t="s">
        <v>11833</v>
      </c>
    </row>
    <row r="712" spans="1:4" ht="16.5" customHeight="1" x14ac:dyDescent="0.35">
      <c r="A712" s="34" t="s">
        <v>11834</v>
      </c>
      <c r="B712" s="34" t="s">
        <v>11835</v>
      </c>
      <c r="C712" s="32" t="s">
        <v>11836</v>
      </c>
      <c r="D712" s="33" t="s">
        <v>11837</v>
      </c>
    </row>
    <row r="713" spans="1:4" ht="16.5" customHeight="1" x14ac:dyDescent="0.35">
      <c r="A713" s="31" t="s">
        <v>6915</v>
      </c>
      <c r="B713" s="34" t="s">
        <v>11838</v>
      </c>
      <c r="C713" s="32" t="s">
        <v>11839</v>
      </c>
      <c r="D713" s="33" t="s">
        <v>11840</v>
      </c>
    </row>
    <row r="714" spans="1:4" ht="16.5" customHeight="1" x14ac:dyDescent="0.35">
      <c r="A714" s="31" t="s">
        <v>11841</v>
      </c>
      <c r="B714" s="36" t="s">
        <v>11842</v>
      </c>
      <c r="C714" s="32" t="s">
        <v>11843</v>
      </c>
      <c r="D714" s="44" t="s">
        <v>11844</v>
      </c>
    </row>
    <row r="715" spans="1:4" ht="16.5" customHeight="1" x14ac:dyDescent="0.35">
      <c r="A715" s="31" t="s">
        <v>11845</v>
      </c>
      <c r="B715" s="39" t="s">
        <v>11846</v>
      </c>
      <c r="C715" s="32" t="s">
        <v>11847</v>
      </c>
      <c r="D715" s="33" t="s">
        <v>11848</v>
      </c>
    </row>
    <row r="716" spans="1:4" ht="16.5" customHeight="1" x14ac:dyDescent="0.35">
      <c r="A716" s="34" t="s">
        <v>11849</v>
      </c>
      <c r="B716" s="31" t="s">
        <v>11850</v>
      </c>
      <c r="C716" s="32" t="s">
        <v>11851</v>
      </c>
      <c r="D716" s="33" t="s">
        <v>11852</v>
      </c>
    </row>
    <row r="717" spans="1:4" ht="16.5" customHeight="1" x14ac:dyDescent="0.35">
      <c r="A717" s="31" t="s">
        <v>11853</v>
      </c>
      <c r="B717" s="34" t="s">
        <v>11854</v>
      </c>
      <c r="C717" s="32" t="s">
        <v>11855</v>
      </c>
      <c r="D717" s="33" t="s">
        <v>11856</v>
      </c>
    </row>
    <row r="718" spans="1:4" ht="16.5" customHeight="1" x14ac:dyDescent="0.35">
      <c r="A718" s="31" t="s">
        <v>11857</v>
      </c>
      <c r="B718" s="34" t="s">
        <v>11858</v>
      </c>
      <c r="C718" s="32" t="s">
        <v>11859</v>
      </c>
      <c r="D718" s="33" t="s">
        <v>11860</v>
      </c>
    </row>
    <row r="719" spans="1:4" ht="16.5" customHeight="1" x14ac:dyDescent="0.35">
      <c r="A719" s="31" t="s">
        <v>11861</v>
      </c>
      <c r="B719" s="34" t="s">
        <v>11862</v>
      </c>
      <c r="C719" s="32" t="s">
        <v>11863</v>
      </c>
      <c r="D719" s="33" t="s">
        <v>11864</v>
      </c>
    </row>
    <row r="720" spans="1:4" ht="16.5" customHeight="1" x14ac:dyDescent="0.35">
      <c r="A720" s="34" t="s">
        <v>11865</v>
      </c>
      <c r="B720" s="36" t="s">
        <v>11866</v>
      </c>
      <c r="C720" s="37" t="s">
        <v>11867</v>
      </c>
      <c r="D720" s="35" t="s">
        <v>11868</v>
      </c>
    </row>
    <row r="721" spans="1:4" ht="16.5" customHeight="1" x14ac:dyDescent="0.35">
      <c r="A721" s="31" t="s">
        <v>11869</v>
      </c>
      <c r="B721" s="36" t="s">
        <v>11870</v>
      </c>
      <c r="C721" s="32" t="s">
        <v>11871</v>
      </c>
      <c r="D721" s="33" t="s">
        <v>11872</v>
      </c>
    </row>
    <row r="722" spans="1:4" ht="16.5" customHeight="1" x14ac:dyDescent="0.35">
      <c r="A722" s="31" t="s">
        <v>11873</v>
      </c>
      <c r="B722" s="34" t="s">
        <v>11874</v>
      </c>
      <c r="C722" s="32" t="s">
        <v>11875</v>
      </c>
      <c r="D722" s="33" t="s">
        <v>11876</v>
      </c>
    </row>
    <row r="723" spans="1:4" ht="16.5" customHeight="1" x14ac:dyDescent="0.35">
      <c r="A723" s="31" t="s">
        <v>11877</v>
      </c>
      <c r="B723" s="49" t="s">
        <v>11878</v>
      </c>
      <c r="C723" s="32" t="s">
        <v>11879</v>
      </c>
      <c r="D723" s="33" t="s">
        <v>11880</v>
      </c>
    </row>
    <row r="724" spans="1:4" ht="16.5" customHeight="1" x14ac:dyDescent="0.35">
      <c r="A724" s="31" t="s">
        <v>11881</v>
      </c>
      <c r="B724" s="34" t="s">
        <v>11882</v>
      </c>
      <c r="C724" s="32" t="s">
        <v>11883</v>
      </c>
      <c r="D724" s="33" t="s">
        <v>11884</v>
      </c>
    </row>
    <row r="725" spans="1:4" ht="16.5" customHeight="1" x14ac:dyDescent="0.35">
      <c r="A725" s="31" t="s">
        <v>11885</v>
      </c>
      <c r="B725" s="39" t="s">
        <v>11886</v>
      </c>
      <c r="C725" s="32" t="s">
        <v>11887</v>
      </c>
      <c r="D725" s="33" t="s">
        <v>11888</v>
      </c>
    </row>
    <row r="726" spans="1:4" ht="16.5" customHeight="1" x14ac:dyDescent="0.35">
      <c r="A726" s="31" t="s">
        <v>11889</v>
      </c>
      <c r="B726" s="36" t="s">
        <v>11890</v>
      </c>
      <c r="C726" s="32" t="s">
        <v>11891</v>
      </c>
      <c r="D726" s="33" t="s">
        <v>11892</v>
      </c>
    </row>
    <row r="727" spans="1:4" ht="16.5" customHeight="1" x14ac:dyDescent="0.35">
      <c r="A727" s="31" t="s">
        <v>11893</v>
      </c>
      <c r="B727" s="36" t="s">
        <v>11894</v>
      </c>
      <c r="C727" s="32" t="s">
        <v>11895</v>
      </c>
      <c r="D727" s="33" t="s">
        <v>11896</v>
      </c>
    </row>
    <row r="728" spans="1:4" ht="16.5" customHeight="1" x14ac:dyDescent="0.35">
      <c r="A728" s="31" t="s">
        <v>11897</v>
      </c>
      <c r="B728" s="39" t="s">
        <v>11898</v>
      </c>
      <c r="C728" s="32" t="s">
        <v>11899</v>
      </c>
      <c r="D728" s="33" t="s">
        <v>11900</v>
      </c>
    </row>
    <row r="729" spans="1:4" ht="16.5" customHeight="1" x14ac:dyDescent="0.35">
      <c r="A729" s="31" t="s">
        <v>8244</v>
      </c>
      <c r="B729" s="36" t="s">
        <v>11901</v>
      </c>
      <c r="C729" s="32" t="s">
        <v>11902</v>
      </c>
      <c r="D729" s="33" t="s">
        <v>11903</v>
      </c>
    </row>
    <row r="730" spans="1:4" ht="16.5" customHeight="1" x14ac:dyDescent="0.35">
      <c r="A730" s="31" t="s">
        <v>8240</v>
      </c>
      <c r="B730" s="48" t="s">
        <v>11904</v>
      </c>
      <c r="C730" s="32" t="s">
        <v>11905</v>
      </c>
      <c r="D730" s="33" t="s">
        <v>11906</v>
      </c>
    </row>
    <row r="731" spans="1:4" ht="16.5" customHeight="1" x14ac:dyDescent="0.35">
      <c r="A731" s="31" t="s">
        <v>11907</v>
      </c>
      <c r="B731" s="36" t="s">
        <v>11908</v>
      </c>
      <c r="C731" s="32" t="s">
        <v>11909</v>
      </c>
      <c r="D731" s="33" t="s">
        <v>11910</v>
      </c>
    </row>
    <row r="732" spans="1:4" ht="16.5" customHeight="1" x14ac:dyDescent="0.35">
      <c r="A732" s="31" t="s">
        <v>11911</v>
      </c>
      <c r="B732" s="36" t="s">
        <v>11912</v>
      </c>
      <c r="C732" s="32" t="s">
        <v>11913</v>
      </c>
      <c r="D732" s="33" t="s">
        <v>11914</v>
      </c>
    </row>
    <row r="733" spans="1:4" ht="16.5" customHeight="1" x14ac:dyDescent="0.35">
      <c r="A733" s="31" t="s">
        <v>11915</v>
      </c>
      <c r="B733" s="34" t="s">
        <v>11916</v>
      </c>
      <c r="C733" s="32" t="s">
        <v>11917</v>
      </c>
      <c r="D733" s="33" t="s">
        <v>11918</v>
      </c>
    </row>
    <row r="734" spans="1:4" ht="16.5" customHeight="1" x14ac:dyDescent="0.35">
      <c r="A734" s="31" t="s">
        <v>11919</v>
      </c>
      <c r="B734" s="36" t="s">
        <v>11920</v>
      </c>
      <c r="C734" s="32" t="s">
        <v>11921</v>
      </c>
      <c r="D734" s="33" t="s">
        <v>11922</v>
      </c>
    </row>
    <row r="735" spans="1:4" ht="16.5" customHeight="1" x14ac:dyDescent="0.35">
      <c r="A735" s="31" t="s">
        <v>8035</v>
      </c>
      <c r="B735" s="36" t="s">
        <v>11923</v>
      </c>
      <c r="C735" s="32" t="s">
        <v>11924</v>
      </c>
      <c r="D735" s="33" t="s">
        <v>11925</v>
      </c>
    </row>
    <row r="736" spans="1:4" ht="16.5" customHeight="1" x14ac:dyDescent="0.35">
      <c r="A736" s="31" t="s">
        <v>11926</v>
      </c>
      <c r="B736" s="36" t="s">
        <v>11927</v>
      </c>
      <c r="C736" s="32" t="s">
        <v>11928</v>
      </c>
      <c r="D736" s="33" t="s">
        <v>11929</v>
      </c>
    </row>
    <row r="737" spans="1:4" ht="16.5" customHeight="1" x14ac:dyDescent="0.35">
      <c r="A737" s="31" t="s">
        <v>11930</v>
      </c>
      <c r="B737" s="39" t="s">
        <v>11931</v>
      </c>
      <c r="C737" s="32" t="s">
        <v>11932</v>
      </c>
      <c r="D737" s="33" t="s">
        <v>11933</v>
      </c>
    </row>
    <row r="738" spans="1:4" ht="16.5" customHeight="1" x14ac:dyDescent="0.35">
      <c r="A738" s="31" t="s">
        <v>11934</v>
      </c>
      <c r="B738" s="36" t="s">
        <v>11935</v>
      </c>
      <c r="C738" s="32" t="s">
        <v>11936</v>
      </c>
      <c r="D738" s="33" t="s">
        <v>11937</v>
      </c>
    </row>
    <row r="739" spans="1:4" ht="16.5" customHeight="1" x14ac:dyDescent="0.35">
      <c r="A739" s="31" t="s">
        <v>8038</v>
      </c>
      <c r="B739" s="36" t="s">
        <v>11938</v>
      </c>
      <c r="C739" s="32" t="s">
        <v>11939</v>
      </c>
      <c r="D739" s="33" t="s">
        <v>11940</v>
      </c>
    </row>
    <row r="740" spans="1:4" ht="16.5" customHeight="1" x14ac:dyDescent="0.35">
      <c r="A740" s="31" t="s">
        <v>11941</v>
      </c>
      <c r="B740" s="36" t="s">
        <v>11942</v>
      </c>
      <c r="C740" s="32" t="s">
        <v>11943</v>
      </c>
      <c r="D740" s="33" t="s">
        <v>11944</v>
      </c>
    </row>
    <row r="741" spans="1:4" ht="16.5" customHeight="1" x14ac:dyDescent="0.35">
      <c r="A741" s="34" t="s">
        <v>11945</v>
      </c>
      <c r="B741" s="36" t="s">
        <v>11946</v>
      </c>
      <c r="C741" s="37" t="s">
        <v>11947</v>
      </c>
      <c r="D741" s="35" t="s">
        <v>11948</v>
      </c>
    </row>
    <row r="742" spans="1:4" ht="16.5" customHeight="1" x14ac:dyDescent="0.35">
      <c r="A742" s="31" t="s">
        <v>11949</v>
      </c>
      <c r="B742" s="39" t="s">
        <v>11950</v>
      </c>
      <c r="C742" s="32" t="s">
        <v>11951</v>
      </c>
      <c r="D742" s="33" t="s">
        <v>11952</v>
      </c>
    </row>
    <row r="743" spans="1:4" ht="16.5" customHeight="1" x14ac:dyDescent="0.35">
      <c r="A743" s="31" t="s">
        <v>11953</v>
      </c>
      <c r="B743" s="34" t="s">
        <v>11954</v>
      </c>
      <c r="C743" s="32" t="s">
        <v>11955</v>
      </c>
      <c r="D743" s="33" t="s">
        <v>11956</v>
      </c>
    </row>
    <row r="744" spans="1:4" ht="16.5" customHeight="1" x14ac:dyDescent="0.35">
      <c r="A744" s="34" t="s">
        <v>11957</v>
      </c>
      <c r="B744" s="31" t="s">
        <v>11958</v>
      </c>
      <c r="C744" s="32" t="s">
        <v>11959</v>
      </c>
      <c r="D744" s="33" t="s">
        <v>11960</v>
      </c>
    </row>
    <row r="745" spans="1:4" ht="16.5" customHeight="1" x14ac:dyDescent="0.35">
      <c r="A745" s="34" t="s">
        <v>11961</v>
      </c>
      <c r="B745" s="34" t="s">
        <v>11962</v>
      </c>
      <c r="C745" s="32" t="s">
        <v>11963</v>
      </c>
      <c r="D745" s="33" t="s">
        <v>11964</v>
      </c>
    </row>
    <row r="746" spans="1:4" ht="16.5" customHeight="1" x14ac:dyDescent="0.35">
      <c r="A746" s="34" t="s">
        <v>11965</v>
      </c>
      <c r="B746" s="34" t="s">
        <v>11966</v>
      </c>
      <c r="C746" s="32" t="s">
        <v>11967</v>
      </c>
      <c r="D746" s="33" t="s">
        <v>11968</v>
      </c>
    </row>
    <row r="747" spans="1:4" ht="16.5" customHeight="1" x14ac:dyDescent="0.35">
      <c r="A747" s="31" t="s">
        <v>7428</v>
      </c>
      <c r="B747" s="36" t="s">
        <v>11969</v>
      </c>
      <c r="C747" s="32" t="s">
        <v>11970</v>
      </c>
      <c r="D747" s="33" t="s">
        <v>11971</v>
      </c>
    </row>
    <row r="748" spans="1:4" ht="16.5" customHeight="1" x14ac:dyDescent="0.35">
      <c r="A748" s="31" t="s">
        <v>7429</v>
      </c>
      <c r="B748" s="36" t="s">
        <v>11972</v>
      </c>
      <c r="C748" s="32" t="s">
        <v>11973</v>
      </c>
      <c r="D748" s="33" t="s">
        <v>11974</v>
      </c>
    </row>
    <row r="749" spans="1:4" ht="16.5" customHeight="1" x14ac:dyDescent="0.35">
      <c r="A749" s="31" t="s">
        <v>11975</v>
      </c>
      <c r="B749" s="48" t="s">
        <v>11976</v>
      </c>
      <c r="C749" s="32" t="s">
        <v>11977</v>
      </c>
      <c r="D749" s="33" t="s">
        <v>11978</v>
      </c>
    </row>
    <row r="750" spans="1:4" ht="16.5" customHeight="1" x14ac:dyDescent="0.35">
      <c r="A750" s="31" t="s">
        <v>11979</v>
      </c>
      <c r="B750" s="39" t="s">
        <v>11980</v>
      </c>
      <c r="C750" s="32" t="s">
        <v>11981</v>
      </c>
      <c r="D750" s="33" t="s">
        <v>11982</v>
      </c>
    </row>
    <row r="751" spans="1:4" ht="16.5" customHeight="1" x14ac:dyDescent="0.35">
      <c r="A751" s="31" t="s">
        <v>6670</v>
      </c>
      <c r="B751" s="36" t="s">
        <v>11983</v>
      </c>
      <c r="C751" s="32" t="s">
        <v>11984</v>
      </c>
      <c r="D751" s="33" t="s">
        <v>11985</v>
      </c>
    </row>
    <row r="752" spans="1:4" ht="16.5" customHeight="1" x14ac:dyDescent="0.35">
      <c r="A752" s="31" t="s">
        <v>7499</v>
      </c>
      <c r="B752" s="48" t="s">
        <v>11986</v>
      </c>
      <c r="C752" s="32" t="s">
        <v>11987</v>
      </c>
      <c r="D752" s="33" t="s">
        <v>11988</v>
      </c>
    </row>
    <row r="753" spans="1:4" ht="16.5" customHeight="1" x14ac:dyDescent="0.35">
      <c r="A753" s="34" t="s">
        <v>11989</v>
      </c>
      <c r="B753" s="39" t="s">
        <v>11990</v>
      </c>
      <c r="C753" s="37" t="s">
        <v>11991</v>
      </c>
      <c r="D753" s="35" t="s">
        <v>11992</v>
      </c>
    </row>
    <row r="754" spans="1:4" ht="16.5" customHeight="1" x14ac:dyDescent="0.35">
      <c r="A754" s="34" t="s">
        <v>11993</v>
      </c>
      <c r="B754" s="39" t="s">
        <v>11994</v>
      </c>
      <c r="C754" s="37" t="s">
        <v>11995</v>
      </c>
      <c r="D754" s="35" t="s">
        <v>11996</v>
      </c>
    </row>
    <row r="755" spans="1:4" ht="16.5" customHeight="1" x14ac:dyDescent="0.35">
      <c r="A755" s="31" t="s">
        <v>6359</v>
      </c>
      <c r="B755" s="49" t="s">
        <v>11997</v>
      </c>
      <c r="C755" s="32" t="s">
        <v>11998</v>
      </c>
      <c r="D755" s="33" t="s">
        <v>11999</v>
      </c>
    </row>
    <row r="756" spans="1:4" ht="16.5" customHeight="1" x14ac:dyDescent="0.35">
      <c r="A756" s="34" t="s">
        <v>12000</v>
      </c>
      <c r="B756" s="36" t="s">
        <v>12001</v>
      </c>
      <c r="C756" s="37" t="s">
        <v>12002</v>
      </c>
      <c r="D756" s="35" t="s">
        <v>12003</v>
      </c>
    </row>
    <row r="757" spans="1:4" ht="16.5" customHeight="1" x14ac:dyDescent="0.35">
      <c r="A757" s="31" t="s">
        <v>12004</v>
      </c>
      <c r="B757" s="36" t="s">
        <v>12005</v>
      </c>
      <c r="C757" s="32" t="s">
        <v>12006</v>
      </c>
      <c r="D757" s="33" t="s">
        <v>12007</v>
      </c>
    </row>
    <row r="758" spans="1:4" ht="16.5" customHeight="1" x14ac:dyDescent="0.35">
      <c r="A758" s="34" t="s">
        <v>12008</v>
      </c>
      <c r="B758" s="36" t="s">
        <v>12009</v>
      </c>
      <c r="C758" s="37" t="s">
        <v>12010</v>
      </c>
      <c r="D758" s="35" t="s">
        <v>12011</v>
      </c>
    </row>
    <row r="759" spans="1:4" ht="16.5" customHeight="1" x14ac:dyDescent="0.35">
      <c r="A759" s="34" t="s">
        <v>12012</v>
      </c>
      <c r="B759" s="50" t="s">
        <v>12013</v>
      </c>
      <c r="C759" s="32" t="s">
        <v>12014</v>
      </c>
      <c r="D759" s="33" t="s">
        <v>12015</v>
      </c>
    </row>
    <row r="760" spans="1:4" ht="16.5" customHeight="1" x14ac:dyDescent="0.35">
      <c r="A760" s="34" t="s">
        <v>12016</v>
      </c>
      <c r="B760" s="36" t="s">
        <v>12017</v>
      </c>
      <c r="C760" s="37" t="s">
        <v>12018</v>
      </c>
      <c r="D760" s="35" t="s">
        <v>12019</v>
      </c>
    </row>
    <row r="761" spans="1:4" ht="16.5" customHeight="1" x14ac:dyDescent="0.35">
      <c r="A761" s="31" t="s">
        <v>12020</v>
      </c>
      <c r="B761" s="31" t="s">
        <v>12021</v>
      </c>
      <c r="C761" s="32" t="s">
        <v>12022</v>
      </c>
      <c r="D761" s="33" t="s">
        <v>12023</v>
      </c>
    </row>
    <row r="762" spans="1:4" ht="16.5" customHeight="1" x14ac:dyDescent="0.35">
      <c r="A762" s="31" t="s">
        <v>12024</v>
      </c>
      <c r="B762" s="48" t="s">
        <v>12025</v>
      </c>
      <c r="C762" s="32" t="s">
        <v>12026</v>
      </c>
      <c r="D762" s="33" t="s">
        <v>12027</v>
      </c>
    </row>
    <row r="763" spans="1:4" ht="16.5" customHeight="1" x14ac:dyDescent="0.35">
      <c r="A763" s="31" t="s">
        <v>12028</v>
      </c>
      <c r="B763" s="39" t="s">
        <v>12029</v>
      </c>
      <c r="C763" s="32" t="s">
        <v>12030</v>
      </c>
      <c r="D763" s="33" t="s">
        <v>12031</v>
      </c>
    </row>
    <row r="764" spans="1:4" ht="16.5" customHeight="1" x14ac:dyDescent="0.35">
      <c r="A764" s="34" t="s">
        <v>12032</v>
      </c>
      <c r="B764" s="48" t="s">
        <v>12033</v>
      </c>
      <c r="C764" s="37" t="s">
        <v>12034</v>
      </c>
      <c r="D764" s="35" t="s">
        <v>12035</v>
      </c>
    </row>
    <row r="765" spans="1:4" ht="16.5" customHeight="1" x14ac:dyDescent="0.35">
      <c r="A765" s="34" t="s">
        <v>12036</v>
      </c>
      <c r="B765" s="36" t="s">
        <v>12037</v>
      </c>
      <c r="C765" s="37" t="s">
        <v>12038</v>
      </c>
      <c r="D765" s="35" t="s">
        <v>12039</v>
      </c>
    </row>
    <row r="766" spans="1:4" ht="16.5" customHeight="1" x14ac:dyDescent="0.35">
      <c r="A766" s="34" t="s">
        <v>12040</v>
      </c>
      <c r="B766" s="36" t="s">
        <v>12041</v>
      </c>
      <c r="C766" s="37" t="s">
        <v>12042</v>
      </c>
      <c r="D766" s="35" t="s">
        <v>12043</v>
      </c>
    </row>
    <row r="767" spans="1:4" ht="16.5" customHeight="1" x14ac:dyDescent="0.35">
      <c r="A767" s="34" t="s">
        <v>12044</v>
      </c>
      <c r="B767" s="48" t="s">
        <v>12045</v>
      </c>
      <c r="C767" s="37" t="s">
        <v>12046</v>
      </c>
      <c r="D767" s="35" t="s">
        <v>12047</v>
      </c>
    </row>
    <row r="768" spans="1:4" ht="16.5" customHeight="1" x14ac:dyDescent="0.35">
      <c r="A768" s="34" t="s">
        <v>12048</v>
      </c>
      <c r="B768" s="36" t="s">
        <v>12049</v>
      </c>
      <c r="C768" s="37" t="s">
        <v>12050</v>
      </c>
      <c r="D768" s="35" t="s">
        <v>12051</v>
      </c>
    </row>
    <row r="769" spans="1:4" ht="16.5" customHeight="1" x14ac:dyDescent="0.35">
      <c r="A769" s="34" t="s">
        <v>12052</v>
      </c>
      <c r="B769" s="36" t="s">
        <v>12053</v>
      </c>
      <c r="C769" s="37" t="s">
        <v>12054</v>
      </c>
      <c r="D769" s="35" t="s">
        <v>12055</v>
      </c>
    </row>
    <row r="770" spans="1:4" ht="16.5" customHeight="1" x14ac:dyDescent="0.35">
      <c r="A770" s="31" t="s">
        <v>12056</v>
      </c>
      <c r="B770" s="31" t="s">
        <v>12057</v>
      </c>
      <c r="C770" s="32" t="s">
        <v>12058</v>
      </c>
      <c r="D770" s="33" t="s">
        <v>12059</v>
      </c>
    </row>
    <row r="771" spans="1:4" ht="16.5" customHeight="1" x14ac:dyDescent="0.35">
      <c r="A771" s="31" t="s">
        <v>12060</v>
      </c>
      <c r="B771" s="39" t="s">
        <v>12061</v>
      </c>
      <c r="C771" s="32" t="s">
        <v>12062</v>
      </c>
      <c r="D771" s="33" t="s">
        <v>12063</v>
      </c>
    </row>
    <row r="772" spans="1:4" ht="16.5" customHeight="1" x14ac:dyDescent="0.35">
      <c r="A772" s="31" t="s">
        <v>12064</v>
      </c>
      <c r="B772" s="50" t="s">
        <v>12065</v>
      </c>
      <c r="C772" s="32" t="s">
        <v>12066</v>
      </c>
      <c r="D772" s="33" t="s">
        <v>12067</v>
      </c>
    </row>
    <row r="773" spans="1:4" ht="16.5" customHeight="1" x14ac:dyDescent="0.35">
      <c r="A773" s="31" t="s">
        <v>7423</v>
      </c>
      <c r="B773" s="36" t="s">
        <v>12068</v>
      </c>
      <c r="C773" s="32" t="s">
        <v>12069</v>
      </c>
      <c r="D773" s="33" t="s">
        <v>12070</v>
      </c>
    </row>
    <row r="774" spans="1:4" ht="16.5" customHeight="1" x14ac:dyDescent="0.35">
      <c r="A774" s="31" t="s">
        <v>6375</v>
      </c>
      <c r="B774" s="39" t="s">
        <v>12071</v>
      </c>
      <c r="C774" s="32" t="s">
        <v>12072</v>
      </c>
      <c r="D774" s="33" t="s">
        <v>12073</v>
      </c>
    </row>
    <row r="775" spans="1:4" ht="16.5" customHeight="1" x14ac:dyDescent="0.35">
      <c r="A775" s="31" t="s">
        <v>7240</v>
      </c>
      <c r="B775" s="36" t="s">
        <v>12074</v>
      </c>
      <c r="C775" s="32" t="s">
        <v>12075</v>
      </c>
      <c r="D775" s="33" t="s">
        <v>12076</v>
      </c>
    </row>
    <row r="776" spans="1:4" ht="16.5" customHeight="1" x14ac:dyDescent="0.35">
      <c r="A776" s="34" t="s">
        <v>12077</v>
      </c>
      <c r="B776" s="36" t="s">
        <v>12078</v>
      </c>
      <c r="C776" s="37" t="s">
        <v>12079</v>
      </c>
      <c r="D776" s="35" t="s">
        <v>12080</v>
      </c>
    </row>
    <row r="777" spans="1:4" ht="16.5" customHeight="1" x14ac:dyDescent="0.35">
      <c r="A777" s="31" t="s">
        <v>12081</v>
      </c>
      <c r="B777" s="48" t="s">
        <v>12082</v>
      </c>
      <c r="C777" s="32" t="s">
        <v>12083</v>
      </c>
      <c r="D777" s="33" t="s">
        <v>12084</v>
      </c>
    </row>
    <row r="778" spans="1:4" ht="16.5" customHeight="1" x14ac:dyDescent="0.35">
      <c r="A778" s="31" t="s">
        <v>12085</v>
      </c>
      <c r="B778" s="36" t="s">
        <v>12086</v>
      </c>
      <c r="C778" s="32" t="s">
        <v>12087</v>
      </c>
      <c r="D778" s="33" t="s">
        <v>12088</v>
      </c>
    </row>
    <row r="779" spans="1:4" ht="16.5" customHeight="1" x14ac:dyDescent="0.35">
      <c r="A779" s="31" t="s">
        <v>12089</v>
      </c>
      <c r="B779" s="36" t="s">
        <v>12090</v>
      </c>
      <c r="C779" s="32" t="s">
        <v>12091</v>
      </c>
      <c r="D779" s="33" t="s">
        <v>12092</v>
      </c>
    </row>
    <row r="780" spans="1:4" ht="16.5" customHeight="1" x14ac:dyDescent="0.35">
      <c r="A780" s="31" t="s">
        <v>12093</v>
      </c>
      <c r="B780" s="34" t="s">
        <v>12094</v>
      </c>
      <c r="C780" s="32" t="s">
        <v>12095</v>
      </c>
      <c r="D780" s="33" t="s">
        <v>12096</v>
      </c>
    </row>
    <row r="781" spans="1:4" ht="16.5" customHeight="1" x14ac:dyDescent="0.35">
      <c r="A781" s="31" t="s">
        <v>12097</v>
      </c>
      <c r="B781" s="34" t="s">
        <v>12098</v>
      </c>
      <c r="C781" s="32" t="s">
        <v>12099</v>
      </c>
      <c r="D781" s="33" t="s">
        <v>12100</v>
      </c>
    </row>
    <row r="782" spans="1:4" ht="16.5" customHeight="1" x14ac:dyDescent="0.35">
      <c r="A782" s="31" t="s">
        <v>12101</v>
      </c>
      <c r="B782" s="39" t="s">
        <v>12102</v>
      </c>
      <c r="C782" s="32" t="s">
        <v>12103</v>
      </c>
      <c r="D782" s="44" t="s">
        <v>12104</v>
      </c>
    </row>
    <row r="783" spans="1:4" ht="16.5" customHeight="1" x14ac:dyDescent="0.35">
      <c r="A783" s="31" t="s">
        <v>8502</v>
      </c>
      <c r="B783" s="36" t="s">
        <v>12105</v>
      </c>
      <c r="C783" s="32" t="s">
        <v>12106</v>
      </c>
      <c r="D783" s="33" t="s">
        <v>12107</v>
      </c>
    </row>
    <row r="784" spans="1:4" ht="16.5" customHeight="1" x14ac:dyDescent="0.35">
      <c r="A784" s="31" t="s">
        <v>12108</v>
      </c>
      <c r="B784" s="39" t="s">
        <v>12109</v>
      </c>
      <c r="C784" s="32" t="s">
        <v>12110</v>
      </c>
      <c r="D784" s="33" t="s">
        <v>12111</v>
      </c>
    </row>
    <row r="785" spans="1:4" ht="16.5" customHeight="1" x14ac:dyDescent="0.35">
      <c r="A785" s="31" t="s">
        <v>8093</v>
      </c>
      <c r="B785" s="36" t="s">
        <v>12112</v>
      </c>
      <c r="C785" s="32" t="s">
        <v>12113</v>
      </c>
      <c r="D785" s="33" t="s">
        <v>12114</v>
      </c>
    </row>
    <row r="786" spans="1:4" ht="16.5" customHeight="1" x14ac:dyDescent="0.35">
      <c r="A786" s="31" t="s">
        <v>8096</v>
      </c>
      <c r="B786" s="36" t="s">
        <v>12115</v>
      </c>
      <c r="C786" s="32" t="s">
        <v>12116</v>
      </c>
      <c r="D786" s="33" t="s">
        <v>12117</v>
      </c>
    </row>
    <row r="787" spans="1:4" ht="16.5" customHeight="1" x14ac:dyDescent="0.35">
      <c r="A787" s="31" t="s">
        <v>12118</v>
      </c>
      <c r="B787" s="36" t="s">
        <v>12119</v>
      </c>
      <c r="C787" s="32" t="s">
        <v>12120</v>
      </c>
      <c r="D787" s="33" t="s">
        <v>12121</v>
      </c>
    </row>
    <row r="788" spans="1:4" ht="16.5" customHeight="1" x14ac:dyDescent="0.35">
      <c r="A788" s="31" t="s">
        <v>12122</v>
      </c>
      <c r="B788" s="36" t="s">
        <v>10392</v>
      </c>
      <c r="C788" s="32" t="s">
        <v>12123</v>
      </c>
      <c r="D788" s="33" t="s">
        <v>12124</v>
      </c>
    </row>
    <row r="789" spans="1:4" ht="16.5" customHeight="1" x14ac:dyDescent="0.35">
      <c r="A789" s="34" t="s">
        <v>12125</v>
      </c>
      <c r="B789" s="36" t="s">
        <v>12126</v>
      </c>
      <c r="C789" s="37" t="s">
        <v>12127</v>
      </c>
      <c r="D789" s="35" t="s">
        <v>12128</v>
      </c>
    </row>
    <row r="790" spans="1:4" ht="16.5" customHeight="1" x14ac:dyDescent="0.35">
      <c r="A790" s="34" t="s">
        <v>12129</v>
      </c>
      <c r="B790" s="36" t="s">
        <v>10799</v>
      </c>
      <c r="C790" s="37" t="s">
        <v>12130</v>
      </c>
      <c r="D790" s="35" t="s">
        <v>12131</v>
      </c>
    </row>
    <row r="791" spans="1:4" ht="16.5" customHeight="1" x14ac:dyDescent="0.35">
      <c r="A791" s="31" t="s">
        <v>12132</v>
      </c>
      <c r="B791" s="36" t="s">
        <v>11153</v>
      </c>
      <c r="C791" s="32" t="s">
        <v>12133</v>
      </c>
      <c r="D791" s="33" t="s">
        <v>12134</v>
      </c>
    </row>
    <row r="792" spans="1:4" ht="16.5" customHeight="1" x14ac:dyDescent="0.35">
      <c r="A792" s="31" t="s">
        <v>12135</v>
      </c>
      <c r="B792" s="36" t="s">
        <v>12136</v>
      </c>
      <c r="C792" s="32" t="s">
        <v>12137</v>
      </c>
      <c r="D792" s="33" t="s">
        <v>12138</v>
      </c>
    </row>
    <row r="793" spans="1:4" ht="16.5" customHeight="1" x14ac:dyDescent="0.35">
      <c r="A793" s="31" t="s">
        <v>12139</v>
      </c>
      <c r="B793" s="36" t="s">
        <v>11501</v>
      </c>
      <c r="C793" s="32" t="s">
        <v>12140</v>
      </c>
      <c r="D793" s="33" t="s">
        <v>12141</v>
      </c>
    </row>
    <row r="794" spans="1:4" ht="16.5" customHeight="1" x14ac:dyDescent="0.35">
      <c r="A794" s="31" t="s">
        <v>12142</v>
      </c>
      <c r="B794" s="36" t="s">
        <v>12143</v>
      </c>
      <c r="C794" s="32" t="s">
        <v>12144</v>
      </c>
      <c r="D794" s="33" t="s">
        <v>12145</v>
      </c>
    </row>
    <row r="795" spans="1:4" ht="16.5" customHeight="1" x14ac:dyDescent="0.35">
      <c r="A795" s="31" t="s">
        <v>12146</v>
      </c>
      <c r="B795" s="36" t="s">
        <v>12147</v>
      </c>
      <c r="C795" s="32" t="s">
        <v>12148</v>
      </c>
      <c r="D795" s="33" t="s">
        <v>12149</v>
      </c>
    </row>
    <row r="796" spans="1:4" ht="16.5" customHeight="1" x14ac:dyDescent="0.35">
      <c r="A796" s="31" t="s">
        <v>12150</v>
      </c>
      <c r="B796" s="48" t="s">
        <v>12151</v>
      </c>
      <c r="C796" s="32" t="s">
        <v>12152</v>
      </c>
      <c r="D796" s="33" t="s">
        <v>12153</v>
      </c>
    </row>
    <row r="797" spans="1:4" ht="16.5" customHeight="1" x14ac:dyDescent="0.35">
      <c r="A797" s="31" t="s">
        <v>12154</v>
      </c>
      <c r="B797" s="36" t="s">
        <v>12155</v>
      </c>
      <c r="C797" s="32" t="s">
        <v>12156</v>
      </c>
      <c r="D797" s="33" t="s">
        <v>12157</v>
      </c>
    </row>
    <row r="798" spans="1:4" ht="16.5" customHeight="1" x14ac:dyDescent="0.35">
      <c r="A798" s="31" t="s">
        <v>12158</v>
      </c>
      <c r="B798" s="36" t="s">
        <v>10525</v>
      </c>
      <c r="C798" s="32" t="s">
        <v>12159</v>
      </c>
      <c r="D798" s="33" t="s">
        <v>12160</v>
      </c>
    </row>
    <row r="799" spans="1:4" ht="16.5" customHeight="1" x14ac:dyDescent="0.35">
      <c r="A799" s="31" t="s">
        <v>8766</v>
      </c>
      <c r="B799" s="36" t="s">
        <v>12161</v>
      </c>
      <c r="C799" s="32" t="s">
        <v>12162</v>
      </c>
      <c r="D799" s="33" t="s">
        <v>12163</v>
      </c>
    </row>
    <row r="800" spans="1:4" ht="16.5" customHeight="1" x14ac:dyDescent="0.35">
      <c r="A800" s="31" t="s">
        <v>8767</v>
      </c>
      <c r="B800" s="34" t="s">
        <v>9878</v>
      </c>
      <c r="C800" s="32" t="s">
        <v>12164</v>
      </c>
      <c r="D800" s="33" t="s">
        <v>12165</v>
      </c>
    </row>
    <row r="801" spans="1:4" ht="16.5" customHeight="1" x14ac:dyDescent="0.35">
      <c r="A801" s="31" t="s">
        <v>12166</v>
      </c>
      <c r="B801" s="34" t="s">
        <v>12167</v>
      </c>
      <c r="C801" s="32" t="s">
        <v>12168</v>
      </c>
      <c r="D801" s="33" t="s">
        <v>12169</v>
      </c>
    </row>
    <row r="802" spans="1:4" ht="16.5" customHeight="1" x14ac:dyDescent="0.35">
      <c r="A802" s="31" t="s">
        <v>12170</v>
      </c>
      <c r="B802" s="49" t="s">
        <v>12171</v>
      </c>
      <c r="C802" s="32" t="s">
        <v>12172</v>
      </c>
      <c r="D802" s="33" t="s">
        <v>12173</v>
      </c>
    </row>
    <row r="803" spans="1:4" ht="16.5" customHeight="1" x14ac:dyDescent="0.35">
      <c r="A803" s="31" t="s">
        <v>12174</v>
      </c>
      <c r="B803" s="49" t="s">
        <v>12175</v>
      </c>
      <c r="C803" s="32" t="s">
        <v>12176</v>
      </c>
      <c r="D803" s="33" t="s">
        <v>12177</v>
      </c>
    </row>
    <row r="804" spans="1:4" ht="16.5" customHeight="1" x14ac:dyDescent="0.35">
      <c r="A804" s="31" t="s">
        <v>12178</v>
      </c>
      <c r="B804" s="49" t="s">
        <v>12179</v>
      </c>
      <c r="C804" s="32" t="s">
        <v>12180</v>
      </c>
      <c r="D804" s="33" t="s">
        <v>12181</v>
      </c>
    </row>
    <row r="805" spans="1:4" ht="16.5" customHeight="1" x14ac:dyDescent="0.35">
      <c r="A805" s="31" t="s">
        <v>12182</v>
      </c>
      <c r="B805" s="34" t="s">
        <v>12183</v>
      </c>
      <c r="C805" s="32" t="s">
        <v>12184</v>
      </c>
      <c r="D805" s="33" t="s">
        <v>12185</v>
      </c>
    </row>
    <row r="806" spans="1:4" ht="16.5" customHeight="1" x14ac:dyDescent="0.35">
      <c r="A806" s="31" t="s">
        <v>12186</v>
      </c>
      <c r="B806" s="49" t="s">
        <v>12187</v>
      </c>
      <c r="C806" s="32" t="s">
        <v>12188</v>
      </c>
      <c r="D806" s="33" t="s">
        <v>12189</v>
      </c>
    </row>
    <row r="807" spans="1:4" ht="16.5" customHeight="1" x14ac:dyDescent="0.35">
      <c r="A807" s="34" t="s">
        <v>12190</v>
      </c>
      <c r="B807" s="34" t="s">
        <v>12191</v>
      </c>
      <c r="C807" s="32" t="s">
        <v>12192</v>
      </c>
      <c r="D807" s="33" t="s">
        <v>12193</v>
      </c>
    </row>
    <row r="808" spans="1:4" ht="16.5" customHeight="1" x14ac:dyDescent="0.35">
      <c r="A808" s="34" t="s">
        <v>12194</v>
      </c>
      <c r="B808" s="34" t="s">
        <v>9185</v>
      </c>
      <c r="C808" s="32" t="s">
        <v>12195</v>
      </c>
      <c r="D808" s="33" t="s">
        <v>12196</v>
      </c>
    </row>
    <row r="809" spans="1:4" ht="16.5" customHeight="1" x14ac:dyDescent="0.35">
      <c r="A809" s="34" t="s">
        <v>12197</v>
      </c>
      <c r="B809" s="36" t="s">
        <v>12198</v>
      </c>
      <c r="C809" s="37" t="s">
        <v>12199</v>
      </c>
      <c r="D809" s="35" t="s">
        <v>12200</v>
      </c>
    </row>
    <row r="810" spans="1:4" ht="16.5" customHeight="1" x14ac:dyDescent="0.35">
      <c r="A810" s="31" t="s">
        <v>12201</v>
      </c>
      <c r="B810" s="36" t="s">
        <v>12202</v>
      </c>
      <c r="C810" s="32" t="s">
        <v>12203</v>
      </c>
      <c r="D810" s="33" t="s">
        <v>12204</v>
      </c>
    </row>
    <row r="811" spans="1:4" ht="16.5" customHeight="1" x14ac:dyDescent="0.35">
      <c r="A811" s="34" t="s">
        <v>12205</v>
      </c>
      <c r="B811" s="34" t="s">
        <v>9977</v>
      </c>
      <c r="C811" s="32" t="s">
        <v>12206</v>
      </c>
      <c r="D811" s="33" t="s">
        <v>12207</v>
      </c>
    </row>
    <row r="812" spans="1:4" ht="16.5" customHeight="1" x14ac:dyDescent="0.35">
      <c r="A812" s="34" t="s">
        <v>12208</v>
      </c>
      <c r="B812" s="34" t="s">
        <v>9161</v>
      </c>
      <c r="C812" s="32" t="s">
        <v>12209</v>
      </c>
      <c r="D812" s="33" t="s">
        <v>12210</v>
      </c>
    </row>
    <row r="813" spans="1:4" ht="16.5" customHeight="1" x14ac:dyDescent="0.35">
      <c r="A813" s="31" t="s">
        <v>12211</v>
      </c>
      <c r="B813" s="39" t="s">
        <v>12212</v>
      </c>
      <c r="C813" s="32" t="s">
        <v>12213</v>
      </c>
      <c r="D813" s="33" t="s">
        <v>12214</v>
      </c>
    </row>
    <row r="814" spans="1:4" ht="16.5" customHeight="1" x14ac:dyDescent="0.35">
      <c r="A814" s="31" t="s">
        <v>12215</v>
      </c>
      <c r="B814" s="39" t="s">
        <v>12216</v>
      </c>
      <c r="C814" s="32" t="s">
        <v>12217</v>
      </c>
      <c r="D814" s="33" t="s">
        <v>12218</v>
      </c>
    </row>
    <row r="815" spans="1:4" ht="16.5" customHeight="1" x14ac:dyDescent="0.35">
      <c r="A815" s="34" t="s">
        <v>12219</v>
      </c>
      <c r="B815" s="48" t="s">
        <v>12220</v>
      </c>
      <c r="C815" s="37" t="s">
        <v>12221</v>
      </c>
      <c r="D815" s="35" t="s">
        <v>12222</v>
      </c>
    </row>
    <row r="816" spans="1:4" ht="16.5" customHeight="1" x14ac:dyDescent="0.35">
      <c r="A816" s="31" t="s">
        <v>12223</v>
      </c>
      <c r="B816" s="36" t="s">
        <v>12224</v>
      </c>
      <c r="C816" s="32" t="s">
        <v>12225</v>
      </c>
      <c r="D816" s="33" t="s">
        <v>12226</v>
      </c>
    </row>
    <row r="817" spans="1:4" ht="16.5" customHeight="1" x14ac:dyDescent="0.35">
      <c r="A817" s="31" t="s">
        <v>12227</v>
      </c>
      <c r="B817" s="39" t="s">
        <v>12228</v>
      </c>
      <c r="C817" s="32" t="s">
        <v>12229</v>
      </c>
      <c r="D817" s="33" t="s">
        <v>12230</v>
      </c>
    </row>
    <row r="818" spans="1:4" ht="16.5" customHeight="1" x14ac:dyDescent="0.35">
      <c r="A818" s="23"/>
      <c r="B818" s="12"/>
      <c r="C818" s="24"/>
      <c r="D818" s="25"/>
    </row>
    <row r="819" spans="1:4" ht="16.5" customHeight="1" x14ac:dyDescent="0.35">
      <c r="A819" s="23"/>
      <c r="B819" s="12"/>
      <c r="C819" s="24"/>
      <c r="D819" s="25"/>
    </row>
    <row r="820" spans="1:4" ht="16.5" customHeight="1" x14ac:dyDescent="0.35">
      <c r="A820" s="23"/>
      <c r="B820" s="12"/>
      <c r="C820" s="24"/>
      <c r="D820" s="25"/>
    </row>
    <row r="821" spans="1:4" ht="16.5" customHeight="1" x14ac:dyDescent="0.35">
      <c r="A821" s="23"/>
      <c r="B821" s="12"/>
      <c r="C821" s="24"/>
      <c r="D821" s="25"/>
    </row>
    <row r="822" spans="1:4" ht="16.5" customHeight="1" x14ac:dyDescent="0.35">
      <c r="A822" s="23"/>
      <c r="B822" s="12"/>
      <c r="C822" s="24"/>
      <c r="D822" s="25"/>
    </row>
    <row r="823" spans="1:4" ht="16.5" customHeight="1" x14ac:dyDescent="0.35">
      <c r="A823" s="23"/>
      <c r="B823" s="12"/>
      <c r="C823" s="24"/>
      <c r="D823" s="25"/>
    </row>
    <row r="824" spans="1:4" ht="16.5" customHeight="1" x14ac:dyDescent="0.35">
      <c r="A824" s="23"/>
      <c r="B824" s="12"/>
      <c r="C824" s="24"/>
      <c r="D824" s="25"/>
    </row>
    <row r="825" spans="1:4" ht="16.5" customHeight="1" x14ac:dyDescent="0.35">
      <c r="A825" s="23"/>
      <c r="B825" s="12"/>
      <c r="C825" s="24"/>
      <c r="D825" s="25"/>
    </row>
    <row r="826" spans="1:4" ht="16.5" customHeight="1" x14ac:dyDescent="0.35">
      <c r="A826" s="23"/>
      <c r="B826" s="12"/>
      <c r="C826" s="24"/>
      <c r="D826" s="25"/>
    </row>
    <row r="827" spans="1:4" ht="16.5" customHeight="1" x14ac:dyDescent="0.35">
      <c r="A827" s="23"/>
      <c r="B827" s="12"/>
      <c r="C827" s="24"/>
      <c r="D827" s="25"/>
    </row>
    <row r="828" spans="1:4" ht="16.5" customHeight="1" x14ac:dyDescent="0.35">
      <c r="A828" s="23"/>
      <c r="B828" s="12"/>
      <c r="C828" s="24"/>
      <c r="D828" s="25"/>
    </row>
    <row r="829" spans="1:4" ht="16.5" customHeight="1" x14ac:dyDescent="0.35">
      <c r="A829" s="23"/>
      <c r="B829" s="12"/>
      <c r="C829" s="24"/>
      <c r="D829" s="25"/>
    </row>
    <row r="830" spans="1:4" ht="16.5" customHeight="1" x14ac:dyDescent="0.35">
      <c r="A830" s="23"/>
      <c r="B830" s="12"/>
      <c r="C830" s="24"/>
      <c r="D830" s="25"/>
    </row>
    <row r="831" spans="1:4" ht="16.5" customHeight="1" x14ac:dyDescent="0.35">
      <c r="A831" s="23"/>
      <c r="B831" s="12"/>
      <c r="C831" s="24"/>
      <c r="D831" s="25"/>
    </row>
    <row r="832" spans="1:4" ht="16.5" customHeight="1" x14ac:dyDescent="0.35">
      <c r="A832" s="23"/>
      <c r="B832" s="12"/>
      <c r="C832" s="24"/>
      <c r="D832" s="25"/>
    </row>
    <row r="833" spans="1:4" ht="16.5" customHeight="1" x14ac:dyDescent="0.35">
      <c r="A833" s="23"/>
      <c r="B833" s="12"/>
      <c r="C833" s="24"/>
      <c r="D833" s="25"/>
    </row>
    <row r="834" spans="1:4" ht="16.5" customHeight="1" x14ac:dyDescent="0.35">
      <c r="A834" s="23"/>
      <c r="B834" s="12"/>
      <c r="C834" s="24"/>
      <c r="D834" s="25"/>
    </row>
    <row r="835" spans="1:4" ht="16.5" customHeight="1" x14ac:dyDescent="0.35">
      <c r="A835" s="23"/>
      <c r="B835" s="12"/>
      <c r="C835" s="24"/>
      <c r="D835" s="25"/>
    </row>
    <row r="836" spans="1:4" ht="16.5" customHeight="1" x14ac:dyDescent="0.35">
      <c r="A836" s="23"/>
      <c r="B836" s="12"/>
      <c r="C836" s="24"/>
      <c r="D836" s="25"/>
    </row>
    <row r="837" spans="1:4" ht="16.5" customHeight="1" x14ac:dyDescent="0.35">
      <c r="A837" s="23"/>
      <c r="B837" s="12"/>
      <c r="C837" s="24"/>
      <c r="D837" s="25"/>
    </row>
    <row r="838" spans="1:4" ht="16.5" customHeight="1" x14ac:dyDescent="0.35">
      <c r="A838" s="23"/>
      <c r="B838" s="12"/>
      <c r="C838" s="24"/>
      <c r="D838" s="25"/>
    </row>
    <row r="839" spans="1:4" ht="16.5" customHeight="1" x14ac:dyDescent="0.35">
      <c r="A839" s="23"/>
      <c r="B839" s="12"/>
      <c r="C839" s="24"/>
      <c r="D839" s="25"/>
    </row>
    <row r="840" spans="1:4" ht="16.5" customHeight="1" x14ac:dyDescent="0.35">
      <c r="A840" s="23"/>
      <c r="B840" s="12"/>
      <c r="C840" s="24"/>
      <c r="D840" s="25"/>
    </row>
    <row r="841" spans="1:4" ht="16.5" customHeight="1" x14ac:dyDescent="0.35">
      <c r="A841" s="23"/>
      <c r="B841" s="12"/>
      <c r="C841" s="24"/>
      <c r="D841" s="25"/>
    </row>
    <row r="842" spans="1:4" ht="16.5" customHeight="1" x14ac:dyDescent="0.35">
      <c r="A842" s="23"/>
      <c r="B842" s="12"/>
      <c r="C842" s="24"/>
      <c r="D842" s="25"/>
    </row>
    <row r="843" spans="1:4" ht="16.5" customHeight="1" x14ac:dyDescent="0.35">
      <c r="A843" s="23"/>
      <c r="B843" s="12"/>
      <c r="C843" s="24"/>
      <c r="D843" s="25"/>
    </row>
    <row r="844" spans="1:4" ht="16.5" customHeight="1" x14ac:dyDescent="0.35">
      <c r="A844" s="23"/>
      <c r="B844" s="12"/>
      <c r="C844" s="24"/>
      <c r="D844" s="25"/>
    </row>
    <row r="845" spans="1:4" ht="16.5" customHeight="1" x14ac:dyDescent="0.35">
      <c r="A845" s="23"/>
      <c r="B845" s="12"/>
      <c r="C845" s="24"/>
      <c r="D845" s="25"/>
    </row>
    <row r="846" spans="1:4" ht="16.5" customHeight="1" x14ac:dyDescent="0.35">
      <c r="A846" s="23"/>
      <c r="B846" s="12"/>
      <c r="C846" s="24"/>
      <c r="D846" s="25"/>
    </row>
    <row r="847" spans="1:4" ht="16.5" customHeight="1" x14ac:dyDescent="0.35">
      <c r="A847" s="23"/>
      <c r="B847" s="12"/>
      <c r="C847" s="24"/>
      <c r="D847" s="25"/>
    </row>
    <row r="848" spans="1:4" ht="16.5" customHeight="1" x14ac:dyDescent="0.35">
      <c r="A848" s="23"/>
      <c r="B848" s="12"/>
      <c r="C848" s="24"/>
      <c r="D848" s="25"/>
    </row>
    <row r="849" spans="1:4" ht="16.5" customHeight="1" x14ac:dyDescent="0.35">
      <c r="A849" s="23"/>
      <c r="B849" s="12"/>
      <c r="C849" s="24"/>
      <c r="D849" s="25"/>
    </row>
    <row r="850" spans="1:4" ht="16.5" customHeight="1" x14ac:dyDescent="0.35">
      <c r="A850" s="23"/>
      <c r="B850" s="12"/>
      <c r="C850" s="24"/>
      <c r="D850" s="25"/>
    </row>
    <row r="851" spans="1:4" ht="16.5" customHeight="1" x14ac:dyDescent="0.35">
      <c r="A851" s="23"/>
      <c r="B851" s="12"/>
      <c r="C851" s="24"/>
      <c r="D851" s="25"/>
    </row>
    <row r="852" spans="1:4" ht="16.5" customHeight="1" x14ac:dyDescent="0.35">
      <c r="A852" s="23"/>
      <c r="B852" s="12"/>
      <c r="C852" s="24"/>
      <c r="D852" s="25"/>
    </row>
    <row r="853" spans="1:4" ht="16.5" customHeight="1" x14ac:dyDescent="0.35">
      <c r="A853" s="23"/>
      <c r="B853" s="12"/>
      <c r="C853" s="24"/>
      <c r="D853" s="25"/>
    </row>
    <row r="854" spans="1:4" ht="16.5" customHeight="1" x14ac:dyDescent="0.35">
      <c r="A854" s="23"/>
      <c r="B854" s="12"/>
      <c r="C854" s="24"/>
      <c r="D854" s="25"/>
    </row>
    <row r="855" spans="1:4" ht="16.5" customHeight="1" x14ac:dyDescent="0.35">
      <c r="A855" s="23"/>
      <c r="B855" s="12"/>
      <c r="C855" s="24"/>
      <c r="D855" s="25"/>
    </row>
    <row r="856" spans="1:4" ht="16.5" customHeight="1" x14ac:dyDescent="0.35">
      <c r="A856" s="23"/>
      <c r="B856" s="12"/>
      <c r="C856" s="24"/>
      <c r="D856" s="25"/>
    </row>
    <row r="857" spans="1:4" ht="16.5" customHeight="1" x14ac:dyDescent="0.35">
      <c r="A857" s="23"/>
      <c r="B857" s="12"/>
      <c r="C857" s="24"/>
      <c r="D857" s="25"/>
    </row>
    <row r="858" spans="1:4" ht="16.5" customHeight="1" x14ac:dyDescent="0.35">
      <c r="A858" s="23"/>
      <c r="B858" s="12"/>
      <c r="C858" s="24"/>
      <c r="D858" s="25"/>
    </row>
    <row r="859" spans="1:4" ht="16.5" customHeight="1" x14ac:dyDescent="0.35">
      <c r="A859" s="23"/>
      <c r="B859" s="12"/>
      <c r="C859" s="24"/>
      <c r="D859" s="25"/>
    </row>
    <row r="860" spans="1:4" ht="16.5" customHeight="1" x14ac:dyDescent="0.35">
      <c r="A860" s="23"/>
      <c r="B860" s="12"/>
      <c r="C860" s="24"/>
      <c r="D860" s="25"/>
    </row>
    <row r="861" spans="1:4" ht="16.5" customHeight="1" x14ac:dyDescent="0.35">
      <c r="A861" s="23"/>
      <c r="B861" s="12"/>
      <c r="C861" s="24"/>
      <c r="D861" s="25"/>
    </row>
    <row r="862" spans="1:4" ht="16.5" customHeight="1" x14ac:dyDescent="0.35">
      <c r="A862" s="23"/>
      <c r="B862" s="12"/>
      <c r="C862" s="24"/>
      <c r="D862" s="25"/>
    </row>
    <row r="863" spans="1:4" ht="16.5" customHeight="1" x14ac:dyDescent="0.35">
      <c r="A863" s="23"/>
      <c r="B863" s="12"/>
      <c r="C863" s="24"/>
      <c r="D863" s="25"/>
    </row>
    <row r="864" spans="1:4" ht="16.5" customHeight="1" x14ac:dyDescent="0.35">
      <c r="A864" s="23"/>
      <c r="B864" s="12"/>
      <c r="C864" s="24"/>
      <c r="D864" s="25"/>
    </row>
    <row r="865" spans="1:4" ht="16.5" customHeight="1" x14ac:dyDescent="0.35">
      <c r="A865" s="23"/>
      <c r="B865" s="12"/>
      <c r="C865" s="24"/>
      <c r="D865" s="25"/>
    </row>
    <row r="866" spans="1:4" ht="16.5" customHeight="1" x14ac:dyDescent="0.35">
      <c r="A866" s="23"/>
      <c r="B866" s="12"/>
      <c r="C866" s="24"/>
      <c r="D866" s="25"/>
    </row>
    <row r="867" spans="1:4" ht="16.5" customHeight="1" x14ac:dyDescent="0.35">
      <c r="A867" s="23"/>
      <c r="B867" s="12"/>
      <c r="C867" s="24"/>
      <c r="D867" s="25"/>
    </row>
    <row r="868" spans="1:4" ht="16.5" customHeight="1" x14ac:dyDescent="0.35">
      <c r="A868" s="23"/>
      <c r="B868" s="12"/>
      <c r="C868" s="24"/>
      <c r="D868" s="25"/>
    </row>
    <row r="869" spans="1:4" ht="16.5" customHeight="1" x14ac:dyDescent="0.35">
      <c r="A869" s="23"/>
      <c r="B869" s="12"/>
      <c r="C869" s="24"/>
      <c r="D869" s="25"/>
    </row>
    <row r="870" spans="1:4" ht="16.5" customHeight="1" x14ac:dyDescent="0.35">
      <c r="A870" s="23"/>
      <c r="B870" s="12"/>
      <c r="C870" s="24"/>
      <c r="D870" s="25"/>
    </row>
    <row r="871" spans="1:4" ht="16.5" customHeight="1" x14ac:dyDescent="0.35">
      <c r="A871" s="23"/>
      <c r="B871" s="12"/>
      <c r="C871" s="24"/>
      <c r="D871" s="25"/>
    </row>
    <row r="872" spans="1:4" ht="16.5" customHeight="1" x14ac:dyDescent="0.35">
      <c r="A872" s="23"/>
      <c r="B872" s="12"/>
      <c r="C872" s="24"/>
      <c r="D872" s="25"/>
    </row>
    <row r="873" spans="1:4" ht="16.5" customHeight="1" x14ac:dyDescent="0.35">
      <c r="A873" s="23"/>
      <c r="B873" s="12"/>
      <c r="C873" s="24"/>
      <c r="D873" s="25"/>
    </row>
    <row r="874" spans="1:4" ht="16.5" customHeight="1" x14ac:dyDescent="0.35">
      <c r="A874" s="23"/>
      <c r="B874" s="12"/>
      <c r="C874" s="24"/>
      <c r="D874" s="25"/>
    </row>
    <row r="875" spans="1:4" ht="16.5" customHeight="1" x14ac:dyDescent="0.35">
      <c r="A875" s="23"/>
      <c r="B875" s="12"/>
      <c r="C875" s="24"/>
      <c r="D875" s="25"/>
    </row>
    <row r="876" spans="1:4" ht="16.5" customHeight="1" x14ac:dyDescent="0.35">
      <c r="A876" s="23"/>
      <c r="B876" s="12"/>
      <c r="C876" s="24"/>
      <c r="D876" s="25"/>
    </row>
    <row r="877" spans="1:4" ht="16.5" customHeight="1" x14ac:dyDescent="0.35">
      <c r="A877" s="23"/>
      <c r="B877" s="12"/>
      <c r="C877" s="24"/>
      <c r="D877" s="25"/>
    </row>
    <row r="878" spans="1:4" ht="16.5" customHeight="1" x14ac:dyDescent="0.35">
      <c r="A878" s="23"/>
      <c r="B878" s="12"/>
      <c r="C878" s="24"/>
      <c r="D878" s="25"/>
    </row>
    <row r="879" spans="1:4" ht="16.5" customHeight="1" x14ac:dyDescent="0.35">
      <c r="A879" s="23"/>
      <c r="B879" s="12"/>
      <c r="C879" s="24"/>
      <c r="D879" s="25"/>
    </row>
    <row r="880" spans="1:4" ht="16.5" customHeight="1" x14ac:dyDescent="0.35">
      <c r="A880" s="23"/>
      <c r="B880" s="12"/>
      <c r="C880" s="24"/>
      <c r="D880" s="25"/>
    </row>
    <row r="881" spans="1:4" ht="16.5" customHeight="1" x14ac:dyDescent="0.35">
      <c r="A881" s="23"/>
      <c r="B881" s="12"/>
      <c r="C881" s="24"/>
      <c r="D881" s="25"/>
    </row>
    <row r="882" spans="1:4" ht="16.5" customHeight="1" x14ac:dyDescent="0.35">
      <c r="A882" s="23"/>
      <c r="B882" s="12"/>
      <c r="C882" s="24"/>
      <c r="D882" s="25"/>
    </row>
    <row r="883" spans="1:4" ht="16.5" customHeight="1" x14ac:dyDescent="0.35">
      <c r="A883" s="23"/>
      <c r="B883" s="12"/>
      <c r="C883" s="24"/>
      <c r="D883" s="25"/>
    </row>
    <row r="884" spans="1:4" ht="16.5" customHeight="1" x14ac:dyDescent="0.35">
      <c r="A884" s="23"/>
      <c r="B884" s="12"/>
      <c r="C884" s="24"/>
      <c r="D884" s="25"/>
    </row>
    <row r="885" spans="1:4" ht="16.5" customHeight="1" x14ac:dyDescent="0.35">
      <c r="A885" s="23"/>
      <c r="B885" s="12"/>
      <c r="C885" s="24"/>
      <c r="D885" s="25"/>
    </row>
    <row r="886" spans="1:4" ht="16.5" customHeight="1" x14ac:dyDescent="0.35">
      <c r="A886" s="23"/>
      <c r="B886" s="12"/>
      <c r="C886" s="24"/>
      <c r="D886" s="25"/>
    </row>
    <row r="887" spans="1:4" ht="16.5" customHeight="1" x14ac:dyDescent="0.35">
      <c r="A887" s="23"/>
      <c r="B887" s="12"/>
      <c r="C887" s="24"/>
      <c r="D887" s="25"/>
    </row>
    <row r="888" spans="1:4" ht="16.5" customHeight="1" x14ac:dyDescent="0.35">
      <c r="A888" s="23"/>
      <c r="B888" s="12"/>
      <c r="C888" s="24"/>
      <c r="D888" s="25"/>
    </row>
    <row r="889" spans="1:4" ht="16.5" customHeight="1" x14ac:dyDescent="0.35">
      <c r="A889" s="23"/>
      <c r="B889" s="12"/>
      <c r="C889" s="24"/>
      <c r="D889" s="25"/>
    </row>
    <row r="890" spans="1:4" ht="16.5" customHeight="1" x14ac:dyDescent="0.35">
      <c r="A890" s="23"/>
      <c r="B890" s="12"/>
      <c r="C890" s="24"/>
      <c r="D890" s="25"/>
    </row>
    <row r="891" spans="1:4" ht="16.5" customHeight="1" x14ac:dyDescent="0.35">
      <c r="A891" s="23"/>
      <c r="B891" s="12"/>
      <c r="C891" s="24"/>
      <c r="D891" s="25"/>
    </row>
    <row r="892" spans="1:4" ht="16.5" customHeight="1" x14ac:dyDescent="0.35">
      <c r="A892" s="23"/>
      <c r="B892" s="12"/>
      <c r="C892" s="24"/>
      <c r="D892" s="25"/>
    </row>
    <row r="893" spans="1:4" ht="16.5" customHeight="1" x14ac:dyDescent="0.35">
      <c r="A893" s="23"/>
      <c r="B893" s="12"/>
      <c r="C893" s="24"/>
      <c r="D893" s="25"/>
    </row>
    <row r="894" spans="1:4" ht="16.5" customHeight="1" x14ac:dyDescent="0.35">
      <c r="A894" s="23"/>
      <c r="B894" s="12"/>
      <c r="C894" s="24"/>
      <c r="D894" s="25"/>
    </row>
    <row r="895" spans="1:4" ht="16.5" customHeight="1" x14ac:dyDescent="0.35">
      <c r="A895" s="23"/>
      <c r="B895" s="12"/>
      <c r="C895" s="24"/>
      <c r="D895" s="25"/>
    </row>
    <row r="896" spans="1:4" ht="16.5" customHeight="1" x14ac:dyDescent="0.35">
      <c r="A896" s="23"/>
      <c r="B896" s="12"/>
      <c r="C896" s="24"/>
      <c r="D896" s="25"/>
    </row>
    <row r="897" spans="1:4" ht="16.5" customHeight="1" x14ac:dyDescent="0.35">
      <c r="A897" s="23"/>
      <c r="B897" s="12"/>
      <c r="C897" s="24"/>
      <c r="D897" s="25"/>
    </row>
    <row r="898" spans="1:4" ht="16.5" customHeight="1" x14ac:dyDescent="0.35">
      <c r="A898" s="23"/>
      <c r="B898" s="12"/>
      <c r="C898" s="24"/>
      <c r="D898" s="25"/>
    </row>
    <row r="899" spans="1:4" ht="16.5" customHeight="1" x14ac:dyDescent="0.35">
      <c r="A899" s="23"/>
      <c r="B899" s="12"/>
      <c r="C899" s="24"/>
      <c r="D899" s="25"/>
    </row>
    <row r="900" spans="1:4" ht="16.5" customHeight="1" x14ac:dyDescent="0.35">
      <c r="A900" s="23"/>
      <c r="B900" s="12"/>
      <c r="C900" s="24"/>
      <c r="D900" s="25"/>
    </row>
    <row r="901" spans="1:4" ht="16.5" customHeight="1" x14ac:dyDescent="0.35">
      <c r="A901" s="23"/>
      <c r="B901" s="12"/>
      <c r="C901" s="24"/>
      <c r="D901" s="25"/>
    </row>
    <row r="902" spans="1:4" ht="16.5" customHeight="1" x14ac:dyDescent="0.35">
      <c r="A902" s="23"/>
      <c r="B902" s="12"/>
      <c r="C902" s="24"/>
      <c r="D902" s="25"/>
    </row>
    <row r="903" spans="1:4" ht="16.5" customHeight="1" x14ac:dyDescent="0.35">
      <c r="A903" s="23"/>
      <c r="B903" s="12"/>
      <c r="C903" s="24"/>
      <c r="D903" s="25"/>
    </row>
    <row r="904" spans="1:4" ht="16.5" customHeight="1" x14ac:dyDescent="0.35">
      <c r="A904" s="23"/>
      <c r="B904" s="12"/>
      <c r="C904" s="24"/>
      <c r="D904" s="25"/>
    </row>
    <row r="905" spans="1:4" ht="16.5" customHeight="1" x14ac:dyDescent="0.35">
      <c r="A905" s="23"/>
      <c r="B905" s="12"/>
      <c r="C905" s="24"/>
      <c r="D905" s="25"/>
    </row>
    <row r="906" spans="1:4" ht="16.5" customHeight="1" x14ac:dyDescent="0.35">
      <c r="A906" s="23"/>
      <c r="B906" s="12"/>
      <c r="C906" s="24"/>
      <c r="D906" s="25"/>
    </row>
    <row r="907" spans="1:4" ht="16.5" customHeight="1" x14ac:dyDescent="0.35">
      <c r="A907" s="23"/>
      <c r="B907" s="12"/>
      <c r="C907" s="24"/>
      <c r="D907" s="25"/>
    </row>
    <row r="908" spans="1:4" ht="16.5" customHeight="1" x14ac:dyDescent="0.35">
      <c r="A908" s="23"/>
      <c r="B908" s="12"/>
      <c r="C908" s="24"/>
      <c r="D908" s="25"/>
    </row>
    <row r="909" spans="1:4" ht="16.5" customHeight="1" x14ac:dyDescent="0.35">
      <c r="A909" s="23"/>
      <c r="B909" s="12"/>
      <c r="C909" s="24"/>
      <c r="D909" s="25"/>
    </row>
    <row r="910" spans="1:4" ht="16.5" customHeight="1" x14ac:dyDescent="0.35">
      <c r="A910" s="23"/>
      <c r="B910" s="12"/>
      <c r="C910" s="24"/>
      <c r="D910" s="25"/>
    </row>
    <row r="911" spans="1:4" ht="16.5" customHeight="1" x14ac:dyDescent="0.35">
      <c r="A911" s="23"/>
      <c r="B911" s="12"/>
      <c r="C911" s="24"/>
      <c r="D911" s="25"/>
    </row>
    <row r="912" spans="1:4" ht="16.5" customHeight="1" x14ac:dyDescent="0.35">
      <c r="A912" s="23"/>
      <c r="B912" s="12"/>
      <c r="C912" s="24"/>
      <c r="D912" s="25"/>
    </row>
    <row r="913" spans="1:4" ht="16.5" customHeight="1" x14ac:dyDescent="0.35">
      <c r="A913" s="23"/>
      <c r="B913" s="12"/>
      <c r="C913" s="24"/>
      <c r="D913" s="25"/>
    </row>
    <row r="914" spans="1:4" ht="16.5" customHeight="1" x14ac:dyDescent="0.35">
      <c r="A914" s="23"/>
      <c r="B914" s="12"/>
      <c r="C914" s="24"/>
      <c r="D914" s="25"/>
    </row>
    <row r="915" spans="1:4" ht="16.5" customHeight="1" x14ac:dyDescent="0.35">
      <c r="A915" s="23"/>
      <c r="B915" s="12"/>
      <c r="C915" s="24"/>
      <c r="D915" s="25"/>
    </row>
    <row r="916" spans="1:4" ht="16.5" customHeight="1" x14ac:dyDescent="0.35">
      <c r="A916" s="23"/>
      <c r="B916" s="12"/>
      <c r="C916" s="24"/>
      <c r="D916" s="25"/>
    </row>
    <row r="917" spans="1:4" ht="16.5" customHeight="1" x14ac:dyDescent="0.35">
      <c r="A917" s="23"/>
      <c r="B917" s="12"/>
      <c r="C917" s="24"/>
      <c r="D917" s="25"/>
    </row>
    <row r="918" spans="1:4" ht="16.5" customHeight="1" x14ac:dyDescent="0.35">
      <c r="A918" s="23"/>
      <c r="B918" s="12"/>
      <c r="C918" s="24"/>
      <c r="D918" s="25"/>
    </row>
    <row r="919" spans="1:4" ht="16.5" customHeight="1" x14ac:dyDescent="0.35">
      <c r="A919" s="23"/>
      <c r="B919" s="12"/>
      <c r="C919" s="24"/>
      <c r="D919" s="25"/>
    </row>
    <row r="920" spans="1:4" ht="16.5" customHeight="1" x14ac:dyDescent="0.35">
      <c r="A920" s="23"/>
      <c r="B920" s="12"/>
      <c r="C920" s="24"/>
      <c r="D920" s="25"/>
    </row>
    <row r="921" spans="1:4" ht="16.5" customHeight="1" x14ac:dyDescent="0.35">
      <c r="A921" s="23"/>
      <c r="B921" s="12"/>
      <c r="C921" s="24"/>
      <c r="D921" s="25"/>
    </row>
    <row r="922" spans="1:4" ht="16.5" customHeight="1" x14ac:dyDescent="0.35">
      <c r="A922" s="23"/>
      <c r="B922" s="12"/>
      <c r="C922" s="24"/>
      <c r="D922" s="25"/>
    </row>
    <row r="923" spans="1:4" ht="16.5" customHeight="1" x14ac:dyDescent="0.35">
      <c r="A923" s="23"/>
      <c r="B923" s="12"/>
      <c r="C923" s="24"/>
      <c r="D923" s="25"/>
    </row>
    <row r="924" spans="1:4" ht="16.5" customHeight="1" x14ac:dyDescent="0.35">
      <c r="A924" s="23"/>
      <c r="B924" s="12"/>
      <c r="C924" s="24"/>
      <c r="D924" s="25"/>
    </row>
    <row r="925" spans="1:4" ht="16.5" customHeight="1" x14ac:dyDescent="0.35">
      <c r="A925" s="23"/>
      <c r="B925" s="12"/>
      <c r="C925" s="24"/>
      <c r="D925" s="25"/>
    </row>
    <row r="926" spans="1:4" ht="16.5" customHeight="1" x14ac:dyDescent="0.35">
      <c r="A926" s="23"/>
      <c r="B926" s="12"/>
      <c r="C926" s="24"/>
      <c r="D926" s="25"/>
    </row>
    <row r="927" spans="1:4" ht="16.5" customHeight="1" x14ac:dyDescent="0.35">
      <c r="A927" s="23"/>
      <c r="B927" s="12"/>
      <c r="C927" s="24"/>
      <c r="D927" s="25"/>
    </row>
    <row r="928" spans="1:4" ht="16.5" customHeight="1" x14ac:dyDescent="0.35">
      <c r="A928" s="23"/>
      <c r="B928" s="12"/>
      <c r="C928" s="24"/>
      <c r="D928" s="25"/>
    </row>
    <row r="929" spans="1:4" ht="16.5" customHeight="1" x14ac:dyDescent="0.35">
      <c r="A929" s="23"/>
      <c r="B929" s="12"/>
      <c r="C929" s="24"/>
      <c r="D929" s="25"/>
    </row>
    <row r="930" spans="1:4" ht="16.5" customHeight="1" x14ac:dyDescent="0.35">
      <c r="A930" s="23"/>
      <c r="B930" s="12"/>
      <c r="C930" s="24"/>
      <c r="D930" s="25"/>
    </row>
    <row r="931" spans="1:4" ht="16.5" customHeight="1" x14ac:dyDescent="0.35">
      <c r="A931" s="23"/>
      <c r="B931" s="12"/>
      <c r="C931" s="24"/>
      <c r="D931" s="25"/>
    </row>
    <row r="932" spans="1:4" ht="16.5" customHeight="1" x14ac:dyDescent="0.35">
      <c r="A932" s="23"/>
      <c r="B932" s="12"/>
      <c r="C932" s="24"/>
      <c r="D932" s="25"/>
    </row>
    <row r="933" spans="1:4" ht="16.5" customHeight="1" x14ac:dyDescent="0.35">
      <c r="A933" s="23"/>
      <c r="B933" s="12"/>
      <c r="C933" s="24"/>
      <c r="D933" s="25"/>
    </row>
    <row r="934" spans="1:4" ht="16.5" customHeight="1" x14ac:dyDescent="0.35">
      <c r="A934" s="23"/>
      <c r="B934" s="12"/>
      <c r="C934" s="24"/>
      <c r="D934" s="25"/>
    </row>
    <row r="935" spans="1:4" ht="16.5" customHeight="1" x14ac:dyDescent="0.35">
      <c r="A935" s="23"/>
      <c r="B935" s="12"/>
      <c r="C935" s="24"/>
      <c r="D935" s="25"/>
    </row>
    <row r="936" spans="1:4" ht="16.5" customHeight="1" x14ac:dyDescent="0.35">
      <c r="A936" s="23"/>
      <c r="B936" s="12"/>
      <c r="C936" s="24"/>
      <c r="D936" s="25"/>
    </row>
    <row r="937" spans="1:4" ht="16.5" customHeight="1" x14ac:dyDescent="0.35">
      <c r="A937" s="23"/>
      <c r="B937" s="12"/>
      <c r="C937" s="24"/>
      <c r="D937" s="25"/>
    </row>
    <row r="938" spans="1:4" ht="16.5" customHeight="1" x14ac:dyDescent="0.35">
      <c r="A938" s="23"/>
      <c r="B938" s="12"/>
      <c r="C938" s="24"/>
      <c r="D938" s="25"/>
    </row>
    <row r="939" spans="1:4" ht="16.5" customHeight="1" x14ac:dyDescent="0.35">
      <c r="A939" s="23"/>
      <c r="B939" s="12"/>
      <c r="C939" s="24"/>
      <c r="D939" s="25"/>
    </row>
    <row r="940" spans="1:4" ht="16.5" customHeight="1" x14ac:dyDescent="0.35">
      <c r="A940" s="23"/>
      <c r="B940" s="12"/>
      <c r="C940" s="24"/>
      <c r="D940" s="25"/>
    </row>
    <row r="941" spans="1:4" ht="16.5" customHeight="1" x14ac:dyDescent="0.35">
      <c r="A941" s="23"/>
      <c r="B941" s="12"/>
      <c r="C941" s="24"/>
      <c r="D941" s="25"/>
    </row>
    <row r="942" spans="1:4" ht="16.5" customHeight="1" x14ac:dyDescent="0.35">
      <c r="A942" s="23"/>
      <c r="B942" s="12"/>
      <c r="C942" s="24"/>
      <c r="D942" s="25"/>
    </row>
    <row r="943" spans="1:4" ht="16.5" customHeight="1" x14ac:dyDescent="0.35">
      <c r="A943" s="23"/>
      <c r="B943" s="12"/>
      <c r="C943" s="24"/>
      <c r="D943" s="25"/>
    </row>
    <row r="944" spans="1:4" ht="16.5" customHeight="1" x14ac:dyDescent="0.35">
      <c r="A944" s="23"/>
      <c r="B944" s="12"/>
      <c r="C944" s="24"/>
      <c r="D944" s="25"/>
    </row>
    <row r="945" spans="1:4" ht="16.5" customHeight="1" x14ac:dyDescent="0.35">
      <c r="A945" s="23"/>
      <c r="B945" s="12"/>
      <c r="C945" s="24"/>
      <c r="D945" s="25"/>
    </row>
    <row r="946" spans="1:4" ht="16.5" customHeight="1" x14ac:dyDescent="0.35">
      <c r="A946" s="23"/>
      <c r="B946" s="12"/>
      <c r="C946" s="24"/>
      <c r="D946" s="25"/>
    </row>
    <row r="947" spans="1:4" ht="16.5" customHeight="1" x14ac:dyDescent="0.35">
      <c r="A947" s="23"/>
      <c r="B947" s="12"/>
      <c r="C947" s="24"/>
      <c r="D947" s="25"/>
    </row>
    <row r="948" spans="1:4" ht="16.5" customHeight="1" x14ac:dyDescent="0.35">
      <c r="A948" s="23"/>
      <c r="B948" s="12"/>
      <c r="C948" s="24"/>
      <c r="D948" s="25"/>
    </row>
    <row r="949" spans="1:4" ht="16.5" customHeight="1" x14ac:dyDescent="0.35">
      <c r="A949" s="23"/>
      <c r="B949" s="12"/>
      <c r="C949" s="24"/>
      <c r="D949" s="25"/>
    </row>
    <row r="950" spans="1:4" ht="16.5" customHeight="1" x14ac:dyDescent="0.35">
      <c r="A950" s="23"/>
      <c r="B950" s="12"/>
      <c r="C950" s="24"/>
      <c r="D950" s="25"/>
    </row>
    <row r="951" spans="1:4" ht="16.5" customHeight="1" x14ac:dyDescent="0.35">
      <c r="A951" s="23"/>
      <c r="B951" s="12"/>
      <c r="C951" s="24"/>
      <c r="D951" s="25"/>
    </row>
    <row r="952" spans="1:4" ht="16.5" customHeight="1" x14ac:dyDescent="0.35">
      <c r="A952" s="23"/>
      <c r="B952" s="12"/>
      <c r="C952" s="24"/>
      <c r="D952" s="25"/>
    </row>
    <row r="953" spans="1:4" ht="16.5" customHeight="1" x14ac:dyDescent="0.35">
      <c r="A953" s="23"/>
      <c r="B953" s="12"/>
      <c r="C953" s="24"/>
      <c r="D953" s="25"/>
    </row>
    <row r="954" spans="1:4" ht="16.5" customHeight="1" x14ac:dyDescent="0.35">
      <c r="A954" s="23"/>
      <c r="B954" s="12"/>
      <c r="C954" s="24"/>
      <c r="D954" s="25"/>
    </row>
    <row r="955" spans="1:4" ht="16.5" customHeight="1" x14ac:dyDescent="0.35">
      <c r="A955" s="23"/>
      <c r="B955" s="12"/>
      <c r="C955" s="24"/>
      <c r="D955" s="25"/>
    </row>
    <row r="956" spans="1:4" ht="16.5" customHeight="1" x14ac:dyDescent="0.35">
      <c r="A956" s="23"/>
      <c r="B956" s="12"/>
      <c r="C956" s="24"/>
      <c r="D956" s="25"/>
    </row>
    <row r="957" spans="1:4" ht="16.5" customHeight="1" x14ac:dyDescent="0.35">
      <c r="A957" s="23"/>
      <c r="B957" s="12"/>
      <c r="C957" s="24"/>
      <c r="D957" s="25"/>
    </row>
    <row r="958" spans="1:4" ht="16.5" customHeight="1" x14ac:dyDescent="0.35">
      <c r="A958" s="23"/>
      <c r="B958" s="12"/>
      <c r="C958" s="24"/>
      <c r="D958" s="25"/>
    </row>
    <row r="959" spans="1:4" ht="16.5" customHeight="1" x14ac:dyDescent="0.35">
      <c r="A959" s="23"/>
      <c r="B959" s="12"/>
      <c r="C959" s="24"/>
      <c r="D959" s="25"/>
    </row>
    <row r="960" spans="1:4" ht="16.5" customHeight="1" x14ac:dyDescent="0.35">
      <c r="A960" s="23"/>
      <c r="B960" s="12"/>
      <c r="C960" s="24"/>
      <c r="D960" s="25"/>
    </row>
    <row r="961" spans="1:4" ht="16.5" customHeight="1" x14ac:dyDescent="0.35">
      <c r="A961" s="23"/>
      <c r="B961" s="12"/>
      <c r="C961" s="24"/>
      <c r="D961" s="25"/>
    </row>
    <row r="962" spans="1:4" ht="16.5" customHeight="1" x14ac:dyDescent="0.35">
      <c r="A962" s="23"/>
      <c r="B962" s="12"/>
      <c r="C962" s="24"/>
      <c r="D962" s="25"/>
    </row>
    <row r="963" spans="1:4" ht="16.5" customHeight="1" x14ac:dyDescent="0.35">
      <c r="A963" s="23"/>
      <c r="B963" s="12"/>
      <c r="C963" s="24"/>
      <c r="D963" s="25"/>
    </row>
    <row r="964" spans="1:4" ht="16.5" customHeight="1" x14ac:dyDescent="0.35">
      <c r="A964" s="23"/>
      <c r="B964" s="12"/>
      <c r="C964" s="24"/>
      <c r="D964" s="25"/>
    </row>
    <row r="965" spans="1:4" ht="16.5" customHeight="1" x14ac:dyDescent="0.35">
      <c r="A965" s="23"/>
      <c r="B965" s="12"/>
      <c r="C965" s="24"/>
      <c r="D965" s="25"/>
    </row>
    <row r="966" spans="1:4" ht="16.5" customHeight="1" x14ac:dyDescent="0.35">
      <c r="A966" s="23"/>
      <c r="B966" s="12"/>
      <c r="C966" s="24"/>
      <c r="D966" s="25"/>
    </row>
    <row r="967" spans="1:4" ht="16.5" customHeight="1" x14ac:dyDescent="0.35">
      <c r="A967" s="23"/>
      <c r="B967" s="12"/>
      <c r="C967" s="24"/>
      <c r="D967" s="25"/>
    </row>
    <row r="968" spans="1:4" ht="16.5" customHeight="1" x14ac:dyDescent="0.35">
      <c r="A968" s="23"/>
      <c r="B968" s="12"/>
      <c r="C968" s="24"/>
      <c r="D968" s="25"/>
    </row>
    <row r="969" spans="1:4" ht="16.5" customHeight="1" x14ac:dyDescent="0.35">
      <c r="A969" s="23"/>
      <c r="B969" s="12"/>
      <c r="C969" s="24"/>
      <c r="D969" s="25"/>
    </row>
    <row r="970" spans="1:4" ht="16.5" customHeight="1" x14ac:dyDescent="0.35">
      <c r="A970" s="23"/>
      <c r="B970" s="12"/>
      <c r="C970" s="24"/>
      <c r="D970" s="25"/>
    </row>
    <row r="971" spans="1:4" ht="16.5" customHeight="1" x14ac:dyDescent="0.35">
      <c r="A971" s="23"/>
      <c r="B971" s="12"/>
      <c r="C971" s="24"/>
      <c r="D971" s="25"/>
    </row>
    <row r="972" spans="1:4" ht="16.5" customHeight="1" x14ac:dyDescent="0.35">
      <c r="A972" s="23"/>
      <c r="B972" s="12"/>
      <c r="C972" s="24"/>
      <c r="D972" s="25"/>
    </row>
    <row r="973" spans="1:4" ht="16.5" customHeight="1" x14ac:dyDescent="0.35">
      <c r="A973" s="23"/>
      <c r="B973" s="12"/>
      <c r="C973" s="24"/>
      <c r="D973" s="25"/>
    </row>
    <row r="974" spans="1:4" ht="16.5" customHeight="1" x14ac:dyDescent="0.35">
      <c r="A974" s="23"/>
      <c r="B974" s="12"/>
      <c r="C974" s="24"/>
      <c r="D974" s="25"/>
    </row>
    <row r="975" spans="1:4" ht="16.5" customHeight="1" x14ac:dyDescent="0.35">
      <c r="A975" s="23"/>
      <c r="B975" s="12"/>
      <c r="C975" s="24"/>
      <c r="D975" s="25"/>
    </row>
    <row r="976" spans="1:4" ht="16.5" customHeight="1" x14ac:dyDescent="0.35">
      <c r="A976" s="23"/>
      <c r="B976" s="12"/>
      <c r="C976" s="24"/>
      <c r="D976" s="25"/>
    </row>
    <row r="977" spans="1:4" ht="16.5" customHeight="1" x14ac:dyDescent="0.35">
      <c r="A977" s="23"/>
      <c r="B977" s="12"/>
      <c r="C977" s="24"/>
      <c r="D977" s="25"/>
    </row>
    <row r="978" spans="1:4" ht="16.5" customHeight="1" x14ac:dyDescent="0.35">
      <c r="A978" s="23"/>
      <c r="B978" s="12"/>
      <c r="C978" s="24"/>
      <c r="D978" s="25"/>
    </row>
    <row r="979" spans="1:4" ht="16.5" customHeight="1" x14ac:dyDescent="0.35">
      <c r="A979" s="23"/>
      <c r="B979" s="12"/>
      <c r="C979" s="24"/>
      <c r="D979" s="25"/>
    </row>
    <row r="980" spans="1:4" ht="16.5" customHeight="1" x14ac:dyDescent="0.35">
      <c r="A980" s="23"/>
      <c r="B980" s="12"/>
      <c r="C980" s="24"/>
      <c r="D980" s="25"/>
    </row>
    <row r="981" spans="1:4" ht="16.5" customHeight="1" x14ac:dyDescent="0.35">
      <c r="A981" s="23"/>
      <c r="B981" s="12"/>
      <c r="C981" s="24"/>
      <c r="D981" s="25"/>
    </row>
    <row r="982" spans="1:4" ht="16.5" customHeight="1" x14ac:dyDescent="0.35">
      <c r="A982" s="23"/>
      <c r="B982" s="12"/>
      <c r="C982" s="24"/>
      <c r="D982" s="25"/>
    </row>
    <row r="983" spans="1:4" ht="16.5" customHeight="1" x14ac:dyDescent="0.35">
      <c r="A983" s="23"/>
      <c r="B983" s="12"/>
      <c r="C983" s="24"/>
      <c r="D983" s="25"/>
    </row>
    <row r="984" spans="1:4" ht="16.5" customHeight="1" x14ac:dyDescent="0.35">
      <c r="A984" s="23"/>
      <c r="B984" s="12"/>
      <c r="C984" s="24"/>
      <c r="D984" s="25"/>
    </row>
    <row r="985" spans="1:4" ht="16.5" customHeight="1" x14ac:dyDescent="0.35">
      <c r="A985" s="23"/>
      <c r="B985" s="12"/>
      <c r="C985" s="24"/>
      <c r="D985" s="25"/>
    </row>
    <row r="986" spans="1:4" ht="16.5" customHeight="1" x14ac:dyDescent="0.35">
      <c r="A986" s="23"/>
      <c r="B986" s="12"/>
      <c r="C986" s="24"/>
      <c r="D986" s="25"/>
    </row>
    <row r="987" spans="1:4" ht="16.5" customHeight="1" x14ac:dyDescent="0.35">
      <c r="A987" s="23"/>
      <c r="B987" s="12"/>
      <c r="C987" s="24"/>
      <c r="D987" s="25"/>
    </row>
    <row r="988" spans="1:4" ht="16.5" customHeight="1" x14ac:dyDescent="0.35">
      <c r="A988" s="23"/>
      <c r="B988" s="12"/>
      <c r="C988" s="24"/>
      <c r="D988" s="25"/>
    </row>
    <row r="989" spans="1:4" ht="16.5" customHeight="1" x14ac:dyDescent="0.35">
      <c r="A989" s="23"/>
      <c r="B989" s="12"/>
      <c r="C989" s="24"/>
      <c r="D989" s="25"/>
    </row>
    <row r="990" spans="1:4" ht="16.5" customHeight="1" x14ac:dyDescent="0.35">
      <c r="A990" s="23"/>
      <c r="B990" s="12"/>
      <c r="C990" s="24"/>
      <c r="D990" s="25"/>
    </row>
    <row r="991" spans="1:4" ht="16.5" customHeight="1" x14ac:dyDescent="0.35">
      <c r="A991" s="23"/>
      <c r="B991" s="12"/>
      <c r="C991" s="24"/>
      <c r="D991" s="25"/>
    </row>
    <row r="992" spans="1:4" ht="16.5" customHeight="1" x14ac:dyDescent="0.35">
      <c r="A992" s="23"/>
      <c r="B992" s="12"/>
      <c r="C992" s="24"/>
      <c r="D992" s="25"/>
    </row>
    <row r="993" spans="1:4" ht="16.5" customHeight="1" x14ac:dyDescent="0.35">
      <c r="A993" s="23"/>
      <c r="B993" s="12"/>
      <c r="C993" s="24"/>
      <c r="D993" s="25"/>
    </row>
    <row r="994" spans="1:4" ht="16.5" customHeight="1" x14ac:dyDescent="0.35">
      <c r="A994" s="23"/>
      <c r="B994" s="12"/>
      <c r="C994" s="24"/>
      <c r="D994" s="25"/>
    </row>
    <row r="995" spans="1:4" ht="16.5" customHeight="1" x14ac:dyDescent="0.35">
      <c r="A995" s="23"/>
      <c r="B995" s="12"/>
      <c r="C995" s="24"/>
      <c r="D995" s="25"/>
    </row>
    <row r="996" spans="1:4" ht="16.5" customHeight="1" x14ac:dyDescent="0.35">
      <c r="A996" s="23"/>
      <c r="B996" s="12"/>
      <c r="C996" s="24"/>
      <c r="D996" s="25"/>
    </row>
    <row r="997" spans="1:4" ht="16.5" customHeight="1" x14ac:dyDescent="0.35">
      <c r="A997" s="23"/>
      <c r="B997" s="12"/>
      <c r="C997" s="24"/>
      <c r="D997" s="25"/>
    </row>
    <row r="998" spans="1:4" ht="16.5" customHeight="1" x14ac:dyDescent="0.35">
      <c r="A998" s="23"/>
      <c r="B998" s="12"/>
      <c r="C998" s="24"/>
      <c r="D998" s="25"/>
    </row>
    <row r="999" spans="1:4" ht="16.5" customHeight="1" x14ac:dyDescent="0.35">
      <c r="A999" s="23"/>
      <c r="B999" s="12"/>
      <c r="C999" s="24"/>
      <c r="D999" s="25"/>
    </row>
    <row r="1000" spans="1:4" ht="16.5" customHeight="1" x14ac:dyDescent="0.35">
      <c r="A1000" s="23"/>
      <c r="B1000" s="12"/>
      <c r="C1000" s="24"/>
      <c r="D1000" s="25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/>
  </sheetViews>
  <sheetFormatPr defaultColWidth="12.6328125" defaultRowHeight="12.5" x14ac:dyDescent="0.25"/>
  <cols>
    <col min="1" max="1" width="5.90625" style="63" customWidth="1"/>
    <col min="2" max="2" width="12.6328125" style="63" customWidth="1"/>
    <col min="3" max="3" width="15.6328125" style="63" customWidth="1"/>
    <col min="4" max="4" width="12.453125" style="63" customWidth="1"/>
    <col min="5" max="5" width="19" style="63" customWidth="1"/>
    <col min="6" max="6" width="16.6328125" style="63" customWidth="1"/>
    <col min="7" max="7" width="30.26953125" style="63" customWidth="1"/>
    <col min="8" max="8" width="18.90625" style="63" customWidth="1"/>
    <col min="9" max="10" width="25" style="63" customWidth="1"/>
    <col min="11" max="11" width="33.26953125" style="63" customWidth="1"/>
    <col min="12" max="12" width="43.08984375" style="63" customWidth="1"/>
    <col min="13" max="13" width="56.26953125" style="63" customWidth="1"/>
    <col min="14" max="14" width="78" style="63" customWidth="1"/>
    <col min="15" max="16384" width="12.6328125" style="63"/>
  </cols>
  <sheetData>
    <row r="1" spans="1:16" ht="29" x14ac:dyDescent="0.35">
      <c r="A1" s="51" t="s">
        <v>12231</v>
      </c>
      <c r="B1" s="51" t="s">
        <v>12232</v>
      </c>
      <c r="C1" s="51" t="s">
        <v>12233</v>
      </c>
      <c r="D1" s="51" t="s">
        <v>12234</v>
      </c>
      <c r="E1" s="54" t="s">
        <v>12235</v>
      </c>
      <c r="F1" s="55" t="s">
        <v>12236</v>
      </c>
      <c r="G1" s="56" t="s">
        <v>12237</v>
      </c>
      <c r="H1" s="57" t="s">
        <v>12238</v>
      </c>
      <c r="I1" s="58" t="s">
        <v>12239</v>
      </c>
      <c r="J1" s="59" t="s">
        <v>12240</v>
      </c>
      <c r="K1" s="60" t="s">
        <v>12241</v>
      </c>
      <c r="L1" s="61" t="s">
        <v>12242</v>
      </c>
      <c r="M1" s="62" t="s">
        <v>12243</v>
      </c>
      <c r="N1" s="52" t="s">
        <v>12244</v>
      </c>
    </row>
    <row r="2" spans="1:16" ht="29" x14ac:dyDescent="0.35">
      <c r="A2" s="49">
        <v>1</v>
      </c>
      <c r="B2" s="49" t="s">
        <v>14567</v>
      </c>
      <c r="C2" s="49" t="str">
        <f t="shared" ref="C2:C256" si="0">CONCATENATE(D2,"_mRNA")</f>
        <v>E4_2_1_8_mRNA</v>
      </c>
      <c r="D2" s="49" t="str">
        <f t="shared" ref="D2:D256" si="1">CONCATENATE("E",B2)</f>
        <v>E4_2_1_8</v>
      </c>
      <c r="E2" s="64" t="str">
        <f t="shared" ref="E2:E256" si="2">CONCATENATE("E",B2,"_kcat : 13.7")</f>
        <v>E4_2_1_8_kcat : 13.7</v>
      </c>
      <c r="F2" s="65" t="str">
        <f t="shared" ref="F2:F256" si="3">CONCATENATE("E",B2,"_km : 1")</f>
        <v>E4_2_1_8_km : 1</v>
      </c>
      <c r="G2" s="66" t="str">
        <f t="shared" ref="G2:H2" si="4">CONCATENATE(C2," : ",C2)</f>
        <v>E4_2_1_8_mRNA : E4_2_1_8_mRNA</v>
      </c>
      <c r="H2" s="67" t="str">
        <f t="shared" si="4"/>
        <v>E4_2_1_8 : E4_2_1_8</v>
      </c>
      <c r="I2" s="44" t="str">
        <f t="shared" ref="I2:J2" si="5">CONCATENATE(C2," : ","0")</f>
        <v>E4_2_1_8_mRNA : 0</v>
      </c>
      <c r="J2" s="68" t="str">
        <f t="shared" si="5"/>
        <v>E4_2_1_8 : 0</v>
      </c>
      <c r="K2" s="69" t="str">
        <f t="shared" ref="K2:K256" si="6">CONCATENATE("0.00292 - (0.0093 * ",C2,")")</f>
        <v>0.00292 - (0.0093 * E4_2_1_8_mRNA)</v>
      </c>
      <c r="L2" s="70" t="str">
        <f t="shared" ref="L2:L256" si="7">CONCATENATE("(0.278 * ",C2,")"," - (0.00000278 * ",D2,")")</f>
        <v>(0.278 * E4_2_1_8_mRNA) - (0.00000278 * E4_2_1_8)</v>
      </c>
      <c r="M2" s="71" t="str">
        <f t="shared" ref="M2:M256" si="8">CONCATENATE("mRNA",A2,": -&gt; ",C2," | ","0.00292"," - ","(","0.0093"," * ",C2,")")</f>
        <v>mRNA1: -&gt; E4_2_1_8_mRNA | 0.00292 - (0.0093 * E4_2_1_8_mRNA)</v>
      </c>
      <c r="N2" s="72" t="str">
        <f t="shared" ref="N2:N256" si="9">CONCATENATE("Peptide",A2,": ",C2," -&gt; ",D2," | ","(","0.278"," * ",C2,")"," - ","(","0.000000278"," * ",D2,")")</f>
        <v>Peptide1: E4_2_1_8_mRNA -&gt; E4_2_1_8 | (0.278 * E4_2_1_8_mRNA) - (0.000000278 * E4_2_1_8)</v>
      </c>
    </row>
    <row r="3" spans="1:16" ht="29" x14ac:dyDescent="0.35">
      <c r="A3" s="49">
        <v>2</v>
      </c>
      <c r="B3" s="49" t="s">
        <v>14568</v>
      </c>
      <c r="C3" s="49" t="str">
        <f t="shared" si="0"/>
        <v>E2_7_7_38_mRNA</v>
      </c>
      <c r="D3" s="49" t="str">
        <f t="shared" si="1"/>
        <v>E2_7_7_38</v>
      </c>
      <c r="E3" s="64" t="str">
        <f t="shared" si="2"/>
        <v>E2_7_7_38_kcat : 13.7</v>
      </c>
      <c r="F3" s="65" t="str">
        <f t="shared" si="3"/>
        <v>E2_7_7_38_km : 1</v>
      </c>
      <c r="G3" s="66" t="str">
        <f t="shared" ref="G3:H3" si="10">CONCATENATE(C3," : ",C3)</f>
        <v>E2_7_7_38_mRNA : E2_7_7_38_mRNA</v>
      </c>
      <c r="H3" s="67" t="str">
        <f t="shared" si="10"/>
        <v>E2_7_7_38 : E2_7_7_38</v>
      </c>
      <c r="I3" s="44" t="str">
        <f t="shared" ref="I3:J3" si="11">CONCATENATE(C3," : ","0")</f>
        <v>E2_7_7_38_mRNA : 0</v>
      </c>
      <c r="J3" s="68" t="str">
        <f t="shared" si="11"/>
        <v>E2_7_7_38 : 0</v>
      </c>
      <c r="K3" s="69" t="str">
        <f t="shared" si="6"/>
        <v>0.00292 - (0.0093 * E2_7_7_38_mRNA)</v>
      </c>
      <c r="L3" s="70" t="str">
        <f t="shared" si="7"/>
        <v>(0.278 * E2_7_7_38_mRNA) - (0.00000278 * E2_7_7_38)</v>
      </c>
      <c r="M3" s="71" t="str">
        <f t="shared" si="8"/>
        <v>mRNA2: -&gt; E2_7_7_38_mRNA | 0.00292 - (0.0093 * E2_7_7_38_mRNA)</v>
      </c>
      <c r="N3" s="72" t="str">
        <f t="shared" si="9"/>
        <v>Peptide2: E2_7_7_38_mRNA -&gt; E2_7_7_38 | (0.278 * E2_7_7_38_mRNA) - (0.000000278 * E2_7_7_38)</v>
      </c>
    </row>
    <row r="4" spans="1:16" ht="29" x14ac:dyDescent="0.35">
      <c r="A4" s="49">
        <v>3</v>
      </c>
      <c r="B4" s="73" t="s">
        <v>14569</v>
      </c>
      <c r="C4" s="49" t="str">
        <f t="shared" si="0"/>
        <v>E2_7_1_130_mRNA</v>
      </c>
      <c r="D4" s="49" t="str">
        <f t="shared" si="1"/>
        <v>E2_7_1_130</v>
      </c>
      <c r="E4" s="64" t="str">
        <f t="shared" si="2"/>
        <v>E2_7_1_130_kcat : 13.7</v>
      </c>
      <c r="F4" s="65" t="str">
        <f t="shared" si="3"/>
        <v>E2_7_1_130_km : 1</v>
      </c>
      <c r="G4" s="66" t="str">
        <f t="shared" ref="G4:H4" si="12">CONCATENATE(C4," : ",C4)</f>
        <v>E2_7_1_130_mRNA : E2_7_1_130_mRNA</v>
      </c>
      <c r="H4" s="67" t="str">
        <f t="shared" si="12"/>
        <v>E2_7_1_130 : E2_7_1_130</v>
      </c>
      <c r="I4" s="44" t="str">
        <f t="shared" ref="I4:J4" si="13">CONCATENATE(C4," : ","0")</f>
        <v>E2_7_1_130_mRNA : 0</v>
      </c>
      <c r="J4" s="68" t="str">
        <f t="shared" si="13"/>
        <v>E2_7_1_130 : 0</v>
      </c>
      <c r="K4" s="69" t="str">
        <f t="shared" si="6"/>
        <v>0.00292 - (0.0093 * E2_7_1_130_mRNA)</v>
      </c>
      <c r="L4" s="70" t="str">
        <f t="shared" si="7"/>
        <v>(0.278 * E2_7_1_130_mRNA) - (0.00000278 * E2_7_1_130)</v>
      </c>
      <c r="M4" s="71" t="str">
        <f t="shared" si="8"/>
        <v>mRNA3: -&gt; E2_7_1_130_mRNA | 0.00292 - (0.0093 * E2_7_1_130_mRNA)</v>
      </c>
      <c r="N4" s="72" t="str">
        <f t="shared" si="9"/>
        <v>Peptide3: E2_7_1_130_mRNA -&gt; E2_7_1_130 | (0.278 * E2_7_1_130_mRNA) - (0.000000278 * E2_7_1_130)</v>
      </c>
    </row>
    <row r="5" spans="1:16" ht="29" x14ac:dyDescent="0.35">
      <c r="A5" s="49">
        <v>4</v>
      </c>
      <c r="B5" s="49" t="s">
        <v>14931</v>
      </c>
      <c r="C5" s="49" t="str">
        <f t="shared" si="0"/>
        <v>E7_5_2_5_mRNA</v>
      </c>
      <c r="D5" s="49" t="str">
        <f t="shared" si="1"/>
        <v>E7_5_2_5</v>
      </c>
      <c r="E5" s="64" t="str">
        <f t="shared" si="2"/>
        <v>E7_5_2_5_kcat : 13.7</v>
      </c>
      <c r="F5" s="65" t="str">
        <f t="shared" si="3"/>
        <v>E7_5_2_5_km : 1</v>
      </c>
      <c r="G5" s="66" t="str">
        <f t="shared" ref="G5:H5" si="14">CONCATENATE(C5," : ",C5)</f>
        <v>E7_5_2_5_mRNA : E7_5_2_5_mRNA</v>
      </c>
      <c r="H5" s="67" t="str">
        <f t="shared" si="14"/>
        <v>E7_5_2_5 : E7_5_2_5</v>
      </c>
      <c r="I5" s="44" t="str">
        <f t="shared" ref="I5:J5" si="15">CONCATENATE(C5," : ","0")</f>
        <v>E7_5_2_5_mRNA : 0</v>
      </c>
      <c r="J5" s="68" t="str">
        <f t="shared" si="15"/>
        <v>E7_5_2_5 : 0</v>
      </c>
      <c r="K5" s="69" t="str">
        <f t="shared" si="6"/>
        <v>0.00292 - (0.0093 * E7_5_2_5_mRNA)</v>
      </c>
      <c r="L5" s="70" t="str">
        <f t="shared" si="7"/>
        <v>(0.278 * E7_5_2_5_mRNA) - (0.00000278 * E7_5_2_5)</v>
      </c>
      <c r="M5" s="71" t="str">
        <f t="shared" si="8"/>
        <v>mRNA4: -&gt; E7_5_2_5_mRNA | 0.00292 - (0.0093 * E7_5_2_5_mRNA)</v>
      </c>
      <c r="N5" s="72" t="str">
        <f t="shared" si="9"/>
        <v>Peptide4: E7_5_2_5_mRNA -&gt; E7_5_2_5 | (0.278 * E7_5_2_5_mRNA) - (0.000000278 * E7_5_2_5)</v>
      </c>
    </row>
    <row r="6" spans="1:16" ht="29" x14ac:dyDescent="0.35">
      <c r="A6" s="49">
        <v>5</v>
      </c>
      <c r="B6" s="49" t="s">
        <v>14570</v>
      </c>
      <c r="C6" s="49" t="str">
        <f t="shared" si="0"/>
        <v>E2_7_7_19_mRNA</v>
      </c>
      <c r="D6" s="49" t="str">
        <f t="shared" si="1"/>
        <v>E2_7_7_19</v>
      </c>
      <c r="E6" s="64" t="str">
        <f t="shared" si="2"/>
        <v>E2_7_7_19_kcat : 13.7</v>
      </c>
      <c r="F6" s="65" t="str">
        <f t="shared" si="3"/>
        <v>E2_7_7_19_km : 1</v>
      </c>
      <c r="G6" s="66" t="str">
        <f t="shared" ref="G6:H6" si="16">CONCATENATE(C6," : ",C6)</f>
        <v>E2_7_7_19_mRNA : E2_7_7_19_mRNA</v>
      </c>
      <c r="H6" s="67" t="str">
        <f t="shared" si="16"/>
        <v>E2_7_7_19 : E2_7_7_19</v>
      </c>
      <c r="I6" s="44" t="str">
        <f t="shared" ref="I6:J6" si="17">CONCATENATE(C6," : ","0")</f>
        <v>E2_7_7_19_mRNA : 0</v>
      </c>
      <c r="J6" s="68" t="str">
        <f t="shared" si="17"/>
        <v>E2_7_7_19 : 0</v>
      </c>
      <c r="K6" s="69" t="str">
        <f t="shared" si="6"/>
        <v>0.00292 - (0.0093 * E2_7_7_19_mRNA)</v>
      </c>
      <c r="L6" s="70" t="str">
        <f t="shared" si="7"/>
        <v>(0.278 * E2_7_7_19_mRNA) - (0.00000278 * E2_7_7_19)</v>
      </c>
      <c r="M6" s="71" t="str">
        <f t="shared" si="8"/>
        <v>mRNA5: -&gt; E2_7_7_19_mRNA | 0.00292 - (0.0093 * E2_7_7_19_mRNA)</v>
      </c>
      <c r="N6" s="72" t="str">
        <f t="shared" si="9"/>
        <v>Peptide5: E2_7_7_19_mRNA -&gt; E2_7_7_19 | (0.278 * E2_7_7_19_mRNA) - (0.000000278 * E2_7_7_19)</v>
      </c>
    </row>
    <row r="7" spans="1:16" ht="29" x14ac:dyDescent="0.35">
      <c r="A7" s="49">
        <v>6</v>
      </c>
      <c r="B7" s="49" t="s">
        <v>14571</v>
      </c>
      <c r="C7" s="49" t="str">
        <f t="shared" si="0"/>
        <v>E2_7_6_3_mRNA</v>
      </c>
      <c r="D7" s="49" t="str">
        <f t="shared" si="1"/>
        <v>E2_7_6_3</v>
      </c>
      <c r="E7" s="64" t="str">
        <f t="shared" si="2"/>
        <v>E2_7_6_3_kcat : 13.7</v>
      </c>
      <c r="F7" s="65" t="str">
        <f t="shared" si="3"/>
        <v>E2_7_6_3_km : 1</v>
      </c>
      <c r="G7" s="66" t="str">
        <f t="shared" ref="G7:H7" si="18">CONCATENATE(C7," : ",C7)</f>
        <v>E2_7_6_3_mRNA : E2_7_6_3_mRNA</v>
      </c>
      <c r="H7" s="67" t="str">
        <f t="shared" si="18"/>
        <v>E2_7_6_3 : E2_7_6_3</v>
      </c>
      <c r="I7" s="44" t="str">
        <f t="shared" ref="I7:J7" si="19">CONCATENATE(C7," : ","0")</f>
        <v>E2_7_6_3_mRNA : 0</v>
      </c>
      <c r="J7" s="68" t="str">
        <f t="shared" si="19"/>
        <v>E2_7_6_3 : 0</v>
      </c>
      <c r="K7" s="69" t="str">
        <f t="shared" si="6"/>
        <v>0.00292 - (0.0093 * E2_7_6_3_mRNA)</v>
      </c>
      <c r="L7" s="70" t="str">
        <f t="shared" si="7"/>
        <v>(0.278 * E2_7_6_3_mRNA) - (0.00000278 * E2_7_6_3)</v>
      </c>
      <c r="M7" s="71" t="str">
        <f t="shared" si="8"/>
        <v>mRNA6: -&gt; E2_7_6_3_mRNA | 0.00292 - (0.0093 * E2_7_6_3_mRNA)</v>
      </c>
      <c r="N7" s="72" t="str">
        <f t="shared" si="9"/>
        <v>Peptide6: E2_7_6_3_mRNA -&gt; E2_7_6_3 | (0.278 * E2_7_6_3_mRNA) - (0.000000278 * E2_7_6_3)</v>
      </c>
    </row>
    <row r="8" spans="1:16" ht="29" x14ac:dyDescent="0.35">
      <c r="A8" s="49">
        <v>7</v>
      </c>
      <c r="B8" s="49" t="s">
        <v>14631</v>
      </c>
      <c r="C8" s="49" t="str">
        <f t="shared" si="0"/>
        <v>E3_5_1_28_mRNA</v>
      </c>
      <c r="D8" s="49" t="str">
        <f t="shared" si="1"/>
        <v>E3_5_1_28</v>
      </c>
      <c r="E8" s="64" t="str">
        <f t="shared" si="2"/>
        <v>E3_5_1_28_kcat : 13.7</v>
      </c>
      <c r="F8" s="65" t="str">
        <f t="shared" si="3"/>
        <v>E3_5_1_28_km : 1</v>
      </c>
      <c r="G8" s="66" t="str">
        <f t="shared" ref="G8:H8" si="20">CONCATENATE(C8," : ",C8)</f>
        <v>E3_5_1_28_mRNA : E3_5_1_28_mRNA</v>
      </c>
      <c r="H8" s="67" t="str">
        <f t="shared" si="20"/>
        <v>E3_5_1_28 : E3_5_1_28</v>
      </c>
      <c r="I8" s="44" t="str">
        <f t="shared" ref="I8:J8" si="21">CONCATENATE(C8," : ","0")</f>
        <v>E3_5_1_28_mRNA : 0</v>
      </c>
      <c r="J8" s="68" t="str">
        <f t="shared" si="21"/>
        <v>E3_5_1_28 : 0</v>
      </c>
      <c r="K8" s="69" t="str">
        <f t="shared" si="6"/>
        <v>0.00292 - (0.0093 * E3_5_1_28_mRNA)</v>
      </c>
      <c r="L8" s="70" t="str">
        <f t="shared" si="7"/>
        <v>(0.278 * E3_5_1_28_mRNA) - (0.00000278 * E3_5_1_28)</v>
      </c>
      <c r="M8" s="71" t="str">
        <f t="shared" si="8"/>
        <v>mRNA7: -&gt; E3_5_1_28_mRNA | 0.00292 - (0.0093 * E3_5_1_28_mRNA)</v>
      </c>
      <c r="N8" s="72" t="str">
        <f t="shared" si="9"/>
        <v>Peptide7: E3_5_1_28_mRNA -&gt; E3_5_1_28 | (0.278 * E3_5_1_28_mRNA) - (0.000000278 * E3_5_1_28)</v>
      </c>
    </row>
    <row r="9" spans="1:16" ht="29" x14ac:dyDescent="0.35">
      <c r="A9" s="49">
        <v>8</v>
      </c>
      <c r="B9" s="49" t="s">
        <v>14572</v>
      </c>
      <c r="C9" s="49" t="str">
        <f t="shared" si="0"/>
        <v>E2_5_1_75_mRNA</v>
      </c>
      <c r="D9" s="49" t="str">
        <f t="shared" si="1"/>
        <v>E2_5_1_75</v>
      </c>
      <c r="E9" s="64" t="str">
        <f t="shared" si="2"/>
        <v>E2_5_1_75_kcat : 13.7</v>
      </c>
      <c r="F9" s="65" t="str">
        <f t="shared" si="3"/>
        <v>E2_5_1_75_km : 1</v>
      </c>
      <c r="G9" s="66" t="str">
        <f t="shared" ref="G9:H9" si="22">CONCATENATE(C9," : ",C9)</f>
        <v>E2_5_1_75_mRNA : E2_5_1_75_mRNA</v>
      </c>
      <c r="H9" s="67" t="str">
        <f t="shared" si="22"/>
        <v>E2_5_1_75 : E2_5_1_75</v>
      </c>
      <c r="I9" s="44" t="str">
        <f t="shared" ref="I9:J9" si="23">CONCATENATE(C9," : ","0")</f>
        <v>E2_5_1_75_mRNA : 0</v>
      </c>
      <c r="J9" s="68" t="str">
        <f t="shared" si="23"/>
        <v>E2_5_1_75 : 0</v>
      </c>
      <c r="K9" s="69" t="str">
        <f t="shared" si="6"/>
        <v>0.00292 - (0.0093 * E2_5_1_75_mRNA)</v>
      </c>
      <c r="L9" s="70" t="str">
        <f t="shared" si="7"/>
        <v>(0.278 * E2_5_1_75_mRNA) - (0.00000278 * E2_5_1_75)</v>
      </c>
      <c r="M9" s="71" t="str">
        <f t="shared" si="8"/>
        <v>mRNA8: -&gt; E2_5_1_75_mRNA | 0.00292 - (0.0093 * E2_5_1_75_mRNA)</v>
      </c>
      <c r="N9" s="72" t="str">
        <f t="shared" si="9"/>
        <v>Peptide8: E2_5_1_75_mRNA -&gt; E2_5_1_75 | (0.278 * E2_5_1_75_mRNA) - (0.000000278 * E2_5_1_75)</v>
      </c>
      <c r="P9" s="74"/>
    </row>
    <row r="10" spans="1:16" ht="29" x14ac:dyDescent="0.35">
      <c r="A10" s="49">
        <v>9</v>
      </c>
      <c r="B10" s="49" t="s">
        <v>14573</v>
      </c>
      <c r="C10" s="49" t="str">
        <f t="shared" si="0"/>
        <v>E2_7_7_42_mRNA</v>
      </c>
      <c r="D10" s="49" t="str">
        <f t="shared" si="1"/>
        <v>E2_7_7_42</v>
      </c>
      <c r="E10" s="64" t="str">
        <f t="shared" si="2"/>
        <v>E2_7_7_42_kcat : 13.7</v>
      </c>
      <c r="F10" s="65" t="str">
        <f t="shared" si="3"/>
        <v>E2_7_7_42_km : 1</v>
      </c>
      <c r="G10" s="66" t="str">
        <f t="shared" ref="G10:H10" si="24">CONCATENATE(C10," : ",C10)</f>
        <v>E2_7_7_42_mRNA : E2_7_7_42_mRNA</v>
      </c>
      <c r="H10" s="67" t="str">
        <f t="shared" si="24"/>
        <v>E2_7_7_42 : E2_7_7_42</v>
      </c>
      <c r="I10" s="44" t="str">
        <f t="shared" ref="I10:J10" si="25">CONCATENATE(C10," : ","0")</f>
        <v>E2_7_7_42_mRNA : 0</v>
      </c>
      <c r="J10" s="68" t="str">
        <f t="shared" si="25"/>
        <v>E2_7_7_42 : 0</v>
      </c>
      <c r="K10" s="69" t="str">
        <f t="shared" si="6"/>
        <v>0.00292 - (0.0093 * E2_7_7_42_mRNA)</v>
      </c>
      <c r="L10" s="70" t="str">
        <f t="shared" si="7"/>
        <v>(0.278 * E2_7_7_42_mRNA) - (0.00000278 * E2_7_7_42)</v>
      </c>
      <c r="M10" s="71" t="str">
        <f t="shared" si="8"/>
        <v>mRNA9: -&gt; E2_7_7_42_mRNA | 0.00292 - (0.0093 * E2_7_7_42_mRNA)</v>
      </c>
      <c r="N10" s="72" t="str">
        <f t="shared" si="9"/>
        <v>Peptide9: E2_7_7_42_mRNA -&gt; E2_7_7_42 | (0.278 * E2_7_7_42_mRNA) - (0.000000278 * E2_7_7_42)</v>
      </c>
    </row>
    <row r="11" spans="1:16" ht="29" x14ac:dyDescent="0.35">
      <c r="A11" s="49">
        <v>10</v>
      </c>
      <c r="B11" s="49" t="s">
        <v>14574</v>
      </c>
      <c r="C11" s="49" t="str">
        <f t="shared" si="0"/>
        <v>E2_7_7_89_mRNA</v>
      </c>
      <c r="D11" s="49" t="str">
        <f t="shared" si="1"/>
        <v>E2_7_7_89</v>
      </c>
      <c r="E11" s="64" t="str">
        <f t="shared" si="2"/>
        <v>E2_7_7_89_kcat : 13.7</v>
      </c>
      <c r="F11" s="65" t="str">
        <f t="shared" si="3"/>
        <v>E2_7_7_89_km : 1</v>
      </c>
      <c r="G11" s="66" t="str">
        <f t="shared" ref="G11:H11" si="26">CONCATENATE(C11," : ",C11)</f>
        <v>E2_7_7_89_mRNA : E2_7_7_89_mRNA</v>
      </c>
      <c r="H11" s="67" t="str">
        <f t="shared" si="26"/>
        <v>E2_7_7_89 : E2_7_7_89</v>
      </c>
      <c r="I11" s="44" t="str">
        <f t="shared" ref="I11:J11" si="27">CONCATENATE(C11," : ","0")</f>
        <v>E2_7_7_89_mRNA : 0</v>
      </c>
      <c r="J11" s="68" t="str">
        <f t="shared" si="27"/>
        <v>E2_7_7_89 : 0</v>
      </c>
      <c r="K11" s="69" t="str">
        <f t="shared" si="6"/>
        <v>0.00292 - (0.0093 * E2_7_7_89_mRNA)</v>
      </c>
      <c r="L11" s="70" t="str">
        <f t="shared" si="7"/>
        <v>(0.278 * E2_7_7_89_mRNA) - (0.00000278 * E2_7_7_89)</v>
      </c>
      <c r="M11" s="71" t="str">
        <f t="shared" si="8"/>
        <v>mRNA10: -&gt; E2_7_7_89_mRNA | 0.00292 - (0.0093 * E2_7_7_89_mRNA)</v>
      </c>
      <c r="N11" s="72" t="str">
        <f t="shared" si="9"/>
        <v>Peptide10: E2_7_7_89_mRNA -&gt; E2_7_7_89 | (0.278 * E2_7_7_89_mRNA) - (0.000000278 * E2_7_7_89)</v>
      </c>
    </row>
    <row r="12" spans="1:16" ht="29" x14ac:dyDescent="0.35">
      <c r="A12" s="49">
        <v>11</v>
      </c>
      <c r="B12" s="49" t="s">
        <v>14575</v>
      </c>
      <c r="C12" s="49" t="str">
        <f t="shared" si="0"/>
        <v>E1_17_4_2_mRNA</v>
      </c>
      <c r="D12" s="49" t="str">
        <f t="shared" si="1"/>
        <v>E1_17_4_2</v>
      </c>
      <c r="E12" s="64" t="str">
        <f t="shared" si="2"/>
        <v>E1_17_4_2_kcat : 13.7</v>
      </c>
      <c r="F12" s="65" t="str">
        <f t="shared" si="3"/>
        <v>E1_17_4_2_km : 1</v>
      </c>
      <c r="G12" s="66" t="str">
        <f t="shared" ref="G12:H12" si="28">CONCATENATE(C12," : ",C12)</f>
        <v>E1_17_4_2_mRNA : E1_17_4_2_mRNA</v>
      </c>
      <c r="H12" s="67" t="str">
        <f t="shared" si="28"/>
        <v>E1_17_4_2 : E1_17_4_2</v>
      </c>
      <c r="I12" s="44" t="str">
        <f t="shared" ref="I12:J12" si="29">CONCATENATE(C12," : ","0")</f>
        <v>E1_17_4_2_mRNA : 0</v>
      </c>
      <c r="J12" s="68" t="str">
        <f t="shared" si="29"/>
        <v>E1_17_4_2 : 0</v>
      </c>
      <c r="K12" s="69" t="str">
        <f t="shared" si="6"/>
        <v>0.00292 - (0.0093 * E1_17_4_2_mRNA)</v>
      </c>
      <c r="L12" s="70" t="str">
        <f t="shared" si="7"/>
        <v>(0.278 * E1_17_4_2_mRNA) - (0.00000278 * E1_17_4_2)</v>
      </c>
      <c r="M12" s="71" t="str">
        <f t="shared" si="8"/>
        <v>mRNA11: -&gt; E1_17_4_2_mRNA | 0.00292 - (0.0093 * E1_17_4_2_mRNA)</v>
      </c>
      <c r="N12" s="72" t="str">
        <f t="shared" si="9"/>
        <v>Peptide11: E1_17_4_2_mRNA -&gt; E1_17_4_2 | (0.278 * E1_17_4_2_mRNA) - (0.000000278 * E1_17_4_2)</v>
      </c>
    </row>
    <row r="13" spans="1:16" ht="29" x14ac:dyDescent="0.35">
      <c r="A13" s="49">
        <v>12</v>
      </c>
      <c r="B13" s="49" t="s">
        <v>14576</v>
      </c>
      <c r="C13" s="49" t="str">
        <f t="shared" si="0"/>
        <v>E6_1_1_16_mRNA</v>
      </c>
      <c r="D13" s="49" t="str">
        <f t="shared" si="1"/>
        <v>E6_1_1_16</v>
      </c>
      <c r="E13" s="64" t="str">
        <f t="shared" si="2"/>
        <v>E6_1_1_16_kcat : 13.7</v>
      </c>
      <c r="F13" s="65" t="str">
        <f t="shared" si="3"/>
        <v>E6_1_1_16_km : 1</v>
      </c>
      <c r="G13" s="66" t="str">
        <f t="shared" ref="G13:H13" si="30">CONCATENATE(C13," : ",C13)</f>
        <v>E6_1_1_16_mRNA : E6_1_1_16_mRNA</v>
      </c>
      <c r="H13" s="67" t="str">
        <f t="shared" si="30"/>
        <v>E6_1_1_16 : E6_1_1_16</v>
      </c>
      <c r="I13" s="44" t="str">
        <f t="shared" ref="I13:J13" si="31">CONCATENATE(C13," : ","0")</f>
        <v>E6_1_1_16_mRNA : 0</v>
      </c>
      <c r="J13" s="68" t="str">
        <f t="shared" si="31"/>
        <v>E6_1_1_16 : 0</v>
      </c>
      <c r="K13" s="69" t="str">
        <f t="shared" si="6"/>
        <v>0.00292 - (0.0093 * E6_1_1_16_mRNA)</v>
      </c>
      <c r="L13" s="70" t="str">
        <f t="shared" si="7"/>
        <v>(0.278 * E6_1_1_16_mRNA) - (0.00000278 * E6_1_1_16)</v>
      </c>
      <c r="M13" s="71" t="str">
        <f t="shared" si="8"/>
        <v>mRNA12: -&gt; E6_1_1_16_mRNA | 0.00292 - (0.0093 * E6_1_1_16_mRNA)</v>
      </c>
      <c r="N13" s="72" t="str">
        <f t="shared" si="9"/>
        <v>Peptide12: E6_1_1_16_mRNA -&gt; E6_1_1_16 | (0.278 * E6_1_1_16_mRNA) - (0.000000278 * E6_1_1_16)</v>
      </c>
    </row>
    <row r="14" spans="1:16" ht="29" x14ac:dyDescent="0.35">
      <c r="A14" s="49">
        <v>13</v>
      </c>
      <c r="B14" s="49" t="s">
        <v>14577</v>
      </c>
      <c r="C14" s="49" t="str">
        <f t="shared" si="0"/>
        <v>E5_2_1_8_mRNA</v>
      </c>
      <c r="D14" s="49" t="str">
        <f t="shared" si="1"/>
        <v>E5_2_1_8</v>
      </c>
      <c r="E14" s="64" t="str">
        <f t="shared" si="2"/>
        <v>E5_2_1_8_kcat : 13.7</v>
      </c>
      <c r="F14" s="65" t="str">
        <f t="shared" si="3"/>
        <v>E5_2_1_8_km : 1</v>
      </c>
      <c r="G14" s="66" t="str">
        <f t="shared" ref="G14:H14" si="32">CONCATENATE(C14," : ",C14)</f>
        <v>E5_2_1_8_mRNA : E5_2_1_8_mRNA</v>
      </c>
      <c r="H14" s="67" t="str">
        <f t="shared" si="32"/>
        <v>E5_2_1_8 : E5_2_1_8</v>
      </c>
      <c r="I14" s="44" t="str">
        <f t="shared" ref="I14:J14" si="33">CONCATENATE(C14," : ","0")</f>
        <v>E5_2_1_8_mRNA : 0</v>
      </c>
      <c r="J14" s="68" t="str">
        <f t="shared" si="33"/>
        <v>E5_2_1_8 : 0</v>
      </c>
      <c r="K14" s="69" t="str">
        <f t="shared" si="6"/>
        <v>0.00292 - (0.0093 * E5_2_1_8_mRNA)</v>
      </c>
      <c r="L14" s="70" t="str">
        <f t="shared" si="7"/>
        <v>(0.278 * E5_2_1_8_mRNA) - (0.00000278 * E5_2_1_8)</v>
      </c>
      <c r="M14" s="71" t="str">
        <f t="shared" si="8"/>
        <v>mRNA13: -&gt; E5_2_1_8_mRNA | 0.00292 - (0.0093 * E5_2_1_8_mRNA)</v>
      </c>
      <c r="N14" s="72" t="str">
        <f t="shared" si="9"/>
        <v>Peptide13: E5_2_1_8_mRNA -&gt; E5_2_1_8 | (0.278 * E5_2_1_8_mRNA) - (0.000000278 * E5_2_1_8)</v>
      </c>
    </row>
    <row r="15" spans="1:16" ht="29" x14ac:dyDescent="0.35">
      <c r="A15" s="49">
        <v>14</v>
      </c>
      <c r="B15" s="49" t="s">
        <v>14578</v>
      </c>
      <c r="C15" s="49" t="str">
        <f t="shared" si="0"/>
        <v>E4_2_3_1_mRNA</v>
      </c>
      <c r="D15" s="49" t="str">
        <f t="shared" si="1"/>
        <v>E4_2_3_1</v>
      </c>
      <c r="E15" s="64" t="str">
        <f t="shared" si="2"/>
        <v>E4_2_3_1_kcat : 13.7</v>
      </c>
      <c r="F15" s="65" t="str">
        <f t="shared" si="3"/>
        <v>E4_2_3_1_km : 1</v>
      </c>
      <c r="G15" s="66" t="str">
        <f t="shared" ref="G15:H15" si="34">CONCATENATE(C15," : ",C15)</f>
        <v>E4_2_3_1_mRNA : E4_2_3_1_mRNA</v>
      </c>
      <c r="H15" s="67" t="str">
        <f t="shared" si="34"/>
        <v>E4_2_3_1 : E4_2_3_1</v>
      </c>
      <c r="I15" s="44" t="str">
        <f t="shared" ref="I15:J15" si="35">CONCATENATE(C15," : ","0")</f>
        <v>E4_2_3_1_mRNA : 0</v>
      </c>
      <c r="J15" s="68" t="str">
        <f t="shared" si="35"/>
        <v>E4_2_3_1 : 0</v>
      </c>
      <c r="K15" s="69" t="str">
        <f t="shared" si="6"/>
        <v>0.00292 - (0.0093 * E4_2_3_1_mRNA)</v>
      </c>
      <c r="L15" s="70" t="str">
        <f t="shared" si="7"/>
        <v>(0.278 * E4_2_3_1_mRNA) - (0.00000278 * E4_2_3_1)</v>
      </c>
      <c r="M15" s="71" t="str">
        <f t="shared" si="8"/>
        <v>mRNA14: -&gt; E4_2_3_1_mRNA | 0.00292 - (0.0093 * E4_2_3_1_mRNA)</v>
      </c>
      <c r="N15" s="72" t="str">
        <f t="shared" si="9"/>
        <v>Peptide14: E4_2_3_1_mRNA -&gt; E4_2_3_1 | (0.278 * E4_2_3_1_mRNA) - (0.000000278 * E4_2_3_1)</v>
      </c>
    </row>
    <row r="16" spans="1:16" ht="29" x14ac:dyDescent="0.35">
      <c r="A16" s="49">
        <v>15</v>
      </c>
      <c r="B16" s="49" t="s">
        <v>14579</v>
      </c>
      <c r="C16" s="49" t="str">
        <f t="shared" si="0"/>
        <v>E2_7_1_39_mRNA</v>
      </c>
      <c r="D16" s="49" t="str">
        <f t="shared" si="1"/>
        <v>E2_7_1_39</v>
      </c>
      <c r="E16" s="64" t="str">
        <f t="shared" si="2"/>
        <v>E2_7_1_39_kcat : 13.7</v>
      </c>
      <c r="F16" s="65" t="str">
        <f t="shared" si="3"/>
        <v>E2_7_1_39_km : 1</v>
      </c>
      <c r="G16" s="66" t="str">
        <f t="shared" ref="G16:H16" si="36">CONCATENATE(C16," : ",C16)</f>
        <v>E2_7_1_39_mRNA : E2_7_1_39_mRNA</v>
      </c>
      <c r="H16" s="67" t="str">
        <f t="shared" si="36"/>
        <v>E2_7_1_39 : E2_7_1_39</v>
      </c>
      <c r="I16" s="44" t="str">
        <f t="shared" ref="I16:J16" si="37">CONCATENATE(C16," : ","0")</f>
        <v>E2_7_1_39_mRNA : 0</v>
      </c>
      <c r="J16" s="68" t="str">
        <f t="shared" si="37"/>
        <v>E2_7_1_39 : 0</v>
      </c>
      <c r="K16" s="69" t="str">
        <f t="shared" si="6"/>
        <v>0.00292 - (0.0093 * E2_7_1_39_mRNA)</v>
      </c>
      <c r="L16" s="70" t="str">
        <f t="shared" si="7"/>
        <v>(0.278 * E2_7_1_39_mRNA) - (0.00000278 * E2_7_1_39)</v>
      </c>
      <c r="M16" s="71" t="str">
        <f t="shared" si="8"/>
        <v>mRNA15: -&gt; E2_7_1_39_mRNA | 0.00292 - (0.0093 * E2_7_1_39_mRNA)</v>
      </c>
      <c r="N16" s="72" t="str">
        <f t="shared" si="9"/>
        <v>Peptide15: E2_7_1_39_mRNA -&gt; E2_7_1_39 | (0.278 * E2_7_1_39_mRNA) - (0.000000278 * E2_7_1_39)</v>
      </c>
    </row>
    <row r="17" spans="1:14" ht="29" x14ac:dyDescent="0.35">
      <c r="A17" s="49">
        <v>16</v>
      </c>
      <c r="B17" s="49" t="s">
        <v>14580</v>
      </c>
      <c r="C17" s="49" t="str">
        <f t="shared" si="0"/>
        <v>E1_1_1_3_mRNA</v>
      </c>
      <c r="D17" s="49" t="str">
        <f t="shared" si="1"/>
        <v>E1_1_1_3</v>
      </c>
      <c r="E17" s="64" t="str">
        <f t="shared" si="2"/>
        <v>E1_1_1_3_kcat : 13.7</v>
      </c>
      <c r="F17" s="65" t="str">
        <f t="shared" si="3"/>
        <v>E1_1_1_3_km : 1</v>
      </c>
      <c r="G17" s="66" t="str">
        <f t="shared" ref="G17:H17" si="38">CONCATENATE(C17," : ",C17)</f>
        <v>E1_1_1_3_mRNA : E1_1_1_3_mRNA</v>
      </c>
      <c r="H17" s="67" t="str">
        <f t="shared" si="38"/>
        <v>E1_1_1_3 : E1_1_1_3</v>
      </c>
      <c r="I17" s="44" t="str">
        <f t="shared" ref="I17:J17" si="39">CONCATENATE(C17," : ","0")</f>
        <v>E1_1_1_3_mRNA : 0</v>
      </c>
      <c r="J17" s="68" t="str">
        <f t="shared" si="39"/>
        <v>E1_1_1_3 : 0</v>
      </c>
      <c r="K17" s="69" t="str">
        <f t="shared" si="6"/>
        <v>0.00292 - (0.0093 * E1_1_1_3_mRNA)</v>
      </c>
      <c r="L17" s="70" t="str">
        <f t="shared" si="7"/>
        <v>(0.278 * E1_1_1_3_mRNA) - (0.00000278 * E1_1_1_3)</v>
      </c>
      <c r="M17" s="71" t="str">
        <f t="shared" si="8"/>
        <v>mRNA16: -&gt; E1_1_1_3_mRNA | 0.00292 - (0.0093 * E1_1_1_3_mRNA)</v>
      </c>
      <c r="N17" s="72" t="str">
        <f t="shared" si="9"/>
        <v>Peptide16: E1_1_1_3_mRNA -&gt; E1_1_1_3 | (0.278 * E1_1_1_3_mRNA) - (0.000000278 * E1_1_1_3)</v>
      </c>
    </row>
    <row r="18" spans="1:14" ht="29" x14ac:dyDescent="0.35">
      <c r="A18" s="49">
        <v>17</v>
      </c>
      <c r="B18" s="49" t="s">
        <v>14581</v>
      </c>
      <c r="C18" s="49" t="str">
        <f t="shared" si="0"/>
        <v>E2_7_2_4_mRNA</v>
      </c>
      <c r="D18" s="49" t="str">
        <f t="shared" si="1"/>
        <v>E2_7_2_4</v>
      </c>
      <c r="E18" s="64" t="str">
        <f t="shared" si="2"/>
        <v>E2_7_2_4_kcat : 13.7</v>
      </c>
      <c r="F18" s="65" t="str">
        <f t="shared" si="3"/>
        <v>E2_7_2_4_km : 1</v>
      </c>
      <c r="G18" s="66" t="str">
        <f t="shared" ref="G18:H18" si="40">CONCATENATE(C18," : ",C18)</f>
        <v>E2_7_2_4_mRNA : E2_7_2_4_mRNA</v>
      </c>
      <c r="H18" s="67" t="str">
        <f t="shared" si="40"/>
        <v>E2_7_2_4 : E2_7_2_4</v>
      </c>
      <c r="I18" s="44" t="str">
        <f t="shared" ref="I18:J18" si="41">CONCATENATE(C18," : ","0")</f>
        <v>E2_7_2_4_mRNA : 0</v>
      </c>
      <c r="J18" s="68" t="str">
        <f t="shared" si="41"/>
        <v>E2_7_2_4 : 0</v>
      </c>
      <c r="K18" s="69" t="str">
        <f t="shared" si="6"/>
        <v>0.00292 - (0.0093 * E2_7_2_4_mRNA)</v>
      </c>
      <c r="L18" s="70" t="str">
        <f t="shared" si="7"/>
        <v>(0.278 * E2_7_2_4_mRNA) - (0.00000278 * E2_7_2_4)</v>
      </c>
      <c r="M18" s="71" t="str">
        <f t="shared" si="8"/>
        <v>mRNA17: -&gt; E2_7_2_4_mRNA | 0.00292 - (0.0093 * E2_7_2_4_mRNA)</v>
      </c>
      <c r="N18" s="72" t="str">
        <f t="shared" si="9"/>
        <v>Peptide17: E2_7_2_4_mRNA -&gt; E2_7_2_4 | (0.278 * E2_7_2_4_mRNA) - (0.000000278 * E2_7_2_4)</v>
      </c>
    </row>
    <row r="19" spans="1:14" ht="29" x14ac:dyDescent="0.35">
      <c r="A19" s="49">
        <v>18</v>
      </c>
      <c r="B19" s="49" t="s">
        <v>14582</v>
      </c>
      <c r="C19" s="49" t="str">
        <f t="shared" si="0"/>
        <v>E3_5_1_18_mRNA</v>
      </c>
      <c r="D19" s="49" t="str">
        <f t="shared" si="1"/>
        <v>E3_5_1_18</v>
      </c>
      <c r="E19" s="64" t="str">
        <f t="shared" si="2"/>
        <v>E3_5_1_18_kcat : 13.7</v>
      </c>
      <c r="F19" s="65" t="str">
        <f t="shared" si="3"/>
        <v>E3_5_1_18_km : 1</v>
      </c>
      <c r="G19" s="66" t="str">
        <f t="shared" ref="G19:H19" si="42">CONCATENATE(C19," : ",C19)</f>
        <v>E3_5_1_18_mRNA : E3_5_1_18_mRNA</v>
      </c>
      <c r="H19" s="67" t="str">
        <f t="shared" si="42"/>
        <v>E3_5_1_18 : E3_5_1_18</v>
      </c>
      <c r="I19" s="44" t="str">
        <f t="shared" ref="I19:J19" si="43">CONCATENATE(C19," : ","0")</f>
        <v>E3_5_1_18_mRNA : 0</v>
      </c>
      <c r="J19" s="68" t="str">
        <f t="shared" si="43"/>
        <v>E3_5_1_18 : 0</v>
      </c>
      <c r="K19" s="69" t="str">
        <f t="shared" si="6"/>
        <v>0.00292 - (0.0093 * E3_5_1_18_mRNA)</v>
      </c>
      <c r="L19" s="70" t="str">
        <f t="shared" si="7"/>
        <v>(0.278 * E3_5_1_18_mRNA) - (0.00000278 * E3_5_1_18)</v>
      </c>
      <c r="M19" s="71" t="str">
        <f t="shared" si="8"/>
        <v>mRNA18: -&gt; E3_5_1_18_mRNA | 0.00292 - (0.0093 * E3_5_1_18_mRNA)</v>
      </c>
      <c r="N19" s="72" t="str">
        <f t="shared" si="9"/>
        <v>Peptide18: E3_5_1_18_mRNA -&gt; E3_5_1_18 | (0.278 * E3_5_1_18_mRNA) - (0.000000278 * E3_5_1_18)</v>
      </c>
    </row>
    <row r="20" spans="1:14" ht="29" x14ac:dyDescent="0.35">
      <c r="A20" s="49">
        <v>19</v>
      </c>
      <c r="B20" s="49" t="s">
        <v>14583</v>
      </c>
      <c r="C20" s="49" t="str">
        <f t="shared" si="0"/>
        <v>E6_1_1_11_mRNA</v>
      </c>
      <c r="D20" s="49" t="str">
        <f t="shared" si="1"/>
        <v>E6_1_1_11</v>
      </c>
      <c r="E20" s="64" t="str">
        <f t="shared" si="2"/>
        <v>E6_1_1_11_kcat : 13.7</v>
      </c>
      <c r="F20" s="65" t="str">
        <f t="shared" si="3"/>
        <v>E6_1_1_11_km : 1</v>
      </c>
      <c r="G20" s="66" t="str">
        <f t="shared" ref="G20:H20" si="44">CONCATENATE(C20," : ",C20)</f>
        <v>E6_1_1_11_mRNA : E6_1_1_11_mRNA</v>
      </c>
      <c r="H20" s="67" t="str">
        <f t="shared" si="44"/>
        <v>E6_1_1_11 : E6_1_1_11</v>
      </c>
      <c r="I20" s="44" t="str">
        <f t="shared" ref="I20:J20" si="45">CONCATENATE(C20," : ","0")</f>
        <v>E6_1_1_11_mRNA : 0</v>
      </c>
      <c r="J20" s="68" t="str">
        <f t="shared" si="45"/>
        <v>E6_1_1_11 : 0</v>
      </c>
      <c r="K20" s="69" t="str">
        <f t="shared" si="6"/>
        <v>0.00292 - (0.0093 * E6_1_1_11_mRNA)</v>
      </c>
      <c r="L20" s="70" t="str">
        <f t="shared" si="7"/>
        <v>(0.278 * E6_1_1_11_mRNA) - (0.00000278 * E6_1_1_11)</v>
      </c>
      <c r="M20" s="71" t="str">
        <f t="shared" si="8"/>
        <v>mRNA19: -&gt; E6_1_1_11_mRNA | 0.00292 - (0.0093 * E6_1_1_11_mRNA)</v>
      </c>
      <c r="N20" s="72" t="str">
        <f t="shared" si="9"/>
        <v>Peptide19: E6_1_1_11_mRNA -&gt; E6_1_1_11 | (0.278 * E6_1_1_11_mRNA) - (0.000000278 * E6_1_1_11)</v>
      </c>
    </row>
    <row r="21" spans="1:14" ht="29" x14ac:dyDescent="0.35">
      <c r="A21" s="49">
        <v>20</v>
      </c>
      <c r="B21" s="49" t="s">
        <v>14584</v>
      </c>
      <c r="C21" s="49" t="str">
        <f t="shared" si="0"/>
        <v>E2_1_1_173_mRNA</v>
      </c>
      <c r="D21" s="49" t="str">
        <f t="shared" si="1"/>
        <v>E2_1_1_173</v>
      </c>
      <c r="E21" s="64" t="str">
        <f t="shared" si="2"/>
        <v>E2_1_1_173_kcat : 13.7</v>
      </c>
      <c r="F21" s="65" t="str">
        <f t="shared" si="3"/>
        <v>E2_1_1_173_km : 1</v>
      </c>
      <c r="G21" s="66" t="str">
        <f t="shared" ref="G21:H21" si="46">CONCATENATE(C21," : ",C21)</f>
        <v>E2_1_1_173_mRNA : E2_1_1_173_mRNA</v>
      </c>
      <c r="H21" s="67" t="str">
        <f t="shared" si="46"/>
        <v>E2_1_1_173 : E2_1_1_173</v>
      </c>
      <c r="I21" s="44" t="str">
        <f t="shared" ref="I21:J21" si="47">CONCATENATE(C21," : ","0")</f>
        <v>E2_1_1_173_mRNA : 0</v>
      </c>
      <c r="J21" s="68" t="str">
        <f t="shared" si="47"/>
        <v>E2_1_1_173 : 0</v>
      </c>
      <c r="K21" s="69" t="str">
        <f t="shared" si="6"/>
        <v>0.00292 - (0.0093 * E2_1_1_173_mRNA)</v>
      </c>
      <c r="L21" s="70" t="str">
        <f t="shared" si="7"/>
        <v>(0.278 * E2_1_1_173_mRNA) - (0.00000278 * E2_1_1_173)</v>
      </c>
      <c r="M21" s="71" t="str">
        <f t="shared" si="8"/>
        <v>mRNA20: -&gt; E2_1_1_173_mRNA | 0.00292 - (0.0093 * E2_1_1_173_mRNA)</v>
      </c>
      <c r="N21" s="72" t="str">
        <f t="shared" si="9"/>
        <v>Peptide20: E2_1_1_173_mRNA -&gt; E2_1_1_173 | (0.278 * E2_1_1_173_mRNA) - (0.000000278 * E2_1_1_173)</v>
      </c>
    </row>
    <row r="22" spans="1:14" ht="29" x14ac:dyDescent="0.35">
      <c r="A22" s="49">
        <v>21</v>
      </c>
      <c r="B22" s="49" t="s">
        <v>14932</v>
      </c>
      <c r="C22" s="49" t="str">
        <f t="shared" si="0"/>
        <v>E2_1_1_264_mRNA</v>
      </c>
      <c r="D22" s="49" t="str">
        <f t="shared" si="1"/>
        <v>E2_1_1_264</v>
      </c>
      <c r="E22" s="64" t="str">
        <f t="shared" si="2"/>
        <v>E2_1_1_264_kcat : 13.7</v>
      </c>
      <c r="F22" s="65" t="str">
        <f t="shared" si="3"/>
        <v>E2_1_1_264_km : 1</v>
      </c>
      <c r="G22" s="66" t="str">
        <f t="shared" ref="G22:H22" si="48">CONCATENATE(C22," : ",C22)</f>
        <v>E2_1_1_264_mRNA : E2_1_1_264_mRNA</v>
      </c>
      <c r="H22" s="67" t="str">
        <f t="shared" si="48"/>
        <v>E2_1_1_264 : E2_1_1_264</v>
      </c>
      <c r="I22" s="44" t="str">
        <f t="shared" ref="I22:J22" si="49">CONCATENATE(C22," : ","0")</f>
        <v>E2_1_1_264_mRNA : 0</v>
      </c>
      <c r="J22" s="68" t="str">
        <f t="shared" si="49"/>
        <v>E2_1_1_264 : 0</v>
      </c>
      <c r="K22" s="69" t="str">
        <f t="shared" si="6"/>
        <v>0.00292 - (0.0093 * E2_1_1_264_mRNA)</v>
      </c>
      <c r="L22" s="70" t="str">
        <f t="shared" si="7"/>
        <v>(0.278 * E2_1_1_264_mRNA) - (0.00000278 * E2_1_1_264)</v>
      </c>
      <c r="M22" s="71" t="str">
        <f t="shared" si="8"/>
        <v>mRNA21: -&gt; E2_1_1_264_mRNA | 0.00292 - (0.0093 * E2_1_1_264_mRNA)</v>
      </c>
      <c r="N22" s="72" t="str">
        <f t="shared" si="9"/>
        <v>Peptide21: E2_1_1_264_mRNA -&gt; E2_1_1_264 | (0.278 * E2_1_1_264_mRNA) - (0.000000278 * E2_1_1_264)</v>
      </c>
    </row>
    <row r="23" spans="1:14" ht="29" x14ac:dyDescent="0.35">
      <c r="A23" s="49">
        <v>22</v>
      </c>
      <c r="B23" s="49" t="s">
        <v>14585</v>
      </c>
      <c r="C23" s="49" t="str">
        <f t="shared" si="0"/>
        <v>E6_3_2_45_mRNA</v>
      </c>
      <c r="D23" s="49" t="str">
        <f t="shared" si="1"/>
        <v>E6_3_2_45</v>
      </c>
      <c r="E23" s="64" t="str">
        <f t="shared" si="2"/>
        <v>E6_3_2_45_kcat : 13.7</v>
      </c>
      <c r="F23" s="65" t="str">
        <f t="shared" si="3"/>
        <v>E6_3_2_45_km : 1</v>
      </c>
      <c r="G23" s="66" t="str">
        <f t="shared" ref="G23:H23" si="50">CONCATENATE(C23," : ",C23)</f>
        <v>E6_3_2_45_mRNA : E6_3_2_45_mRNA</v>
      </c>
      <c r="H23" s="67" t="str">
        <f t="shared" si="50"/>
        <v>E6_3_2_45 : E6_3_2_45</v>
      </c>
      <c r="I23" s="44" t="str">
        <f t="shared" ref="I23:J23" si="51">CONCATENATE(C23," : ","0")</f>
        <v>E6_3_2_45_mRNA : 0</v>
      </c>
      <c r="J23" s="68" t="str">
        <f t="shared" si="51"/>
        <v>E6_3_2_45 : 0</v>
      </c>
      <c r="K23" s="69" t="str">
        <f t="shared" si="6"/>
        <v>0.00292 - (0.0093 * E6_3_2_45_mRNA)</v>
      </c>
      <c r="L23" s="70" t="str">
        <f t="shared" si="7"/>
        <v>(0.278 * E6_3_2_45_mRNA) - (0.00000278 * E6_3_2_45)</v>
      </c>
      <c r="M23" s="71" t="str">
        <f t="shared" si="8"/>
        <v>mRNA22: -&gt; E6_3_2_45_mRNA | 0.00292 - (0.0093 * E6_3_2_45_mRNA)</v>
      </c>
      <c r="N23" s="72" t="str">
        <f t="shared" si="9"/>
        <v>Peptide22: E6_3_2_45_mRNA -&gt; E6_3_2_45 | (0.278 * E6_3_2_45_mRNA) - (0.000000278 * E6_3_2_45)</v>
      </c>
    </row>
    <row r="24" spans="1:14" ht="29" x14ac:dyDescent="0.35">
      <c r="A24" s="49">
        <v>23</v>
      </c>
      <c r="B24" s="49" t="s">
        <v>14933</v>
      </c>
      <c r="C24" s="49" t="str">
        <f t="shared" si="0"/>
        <v>E4_4_1_8_mRNA</v>
      </c>
      <c r="D24" s="49" t="str">
        <f t="shared" si="1"/>
        <v>E4_4_1_8</v>
      </c>
      <c r="E24" s="64" t="str">
        <f t="shared" si="2"/>
        <v>E4_4_1_8_kcat : 13.7</v>
      </c>
      <c r="F24" s="65" t="str">
        <f t="shared" si="3"/>
        <v>E4_4_1_8_km : 1</v>
      </c>
      <c r="G24" s="66" t="str">
        <f t="shared" ref="G24:H24" si="52">CONCATENATE(C24," : ",C24)</f>
        <v>E4_4_1_8_mRNA : E4_4_1_8_mRNA</v>
      </c>
      <c r="H24" s="67" t="str">
        <f t="shared" si="52"/>
        <v>E4_4_1_8 : E4_4_1_8</v>
      </c>
      <c r="I24" s="44" t="str">
        <f t="shared" ref="I24:J24" si="53">CONCATENATE(C24," : ","0")</f>
        <v>E4_4_1_8_mRNA : 0</v>
      </c>
      <c r="J24" s="68" t="str">
        <f t="shared" si="53"/>
        <v>E4_4_1_8 : 0</v>
      </c>
      <c r="K24" s="69" t="str">
        <f t="shared" si="6"/>
        <v>0.00292 - (0.0093 * E4_4_1_8_mRNA)</v>
      </c>
      <c r="L24" s="70" t="str">
        <f t="shared" si="7"/>
        <v>(0.278 * E4_4_1_8_mRNA) - (0.00000278 * E4_4_1_8)</v>
      </c>
      <c r="M24" s="71" t="str">
        <f t="shared" si="8"/>
        <v>mRNA23: -&gt; E4_4_1_8_mRNA | 0.00292 - (0.0093 * E4_4_1_8_mRNA)</v>
      </c>
      <c r="N24" s="72" t="str">
        <f t="shared" si="9"/>
        <v>Peptide23: E4_4_1_8_mRNA -&gt; E4_4_1_8 | (0.278 * E4_4_1_8_mRNA) - (0.000000278 * E4_4_1_8)</v>
      </c>
    </row>
    <row r="25" spans="1:14" ht="29" x14ac:dyDescent="0.35">
      <c r="A25" s="49">
        <v>24</v>
      </c>
      <c r="B25" s="49" t="s">
        <v>14586</v>
      </c>
      <c r="C25" s="49" t="str">
        <f t="shared" si="0"/>
        <v>E1_11_1_24_mRNA</v>
      </c>
      <c r="D25" s="49" t="str">
        <f t="shared" si="1"/>
        <v>E1_11_1_24</v>
      </c>
      <c r="E25" s="64" t="str">
        <f t="shared" si="2"/>
        <v>E1_11_1_24_kcat : 13.7</v>
      </c>
      <c r="F25" s="65" t="str">
        <f t="shared" si="3"/>
        <v>E1_11_1_24_km : 1</v>
      </c>
      <c r="G25" s="66" t="str">
        <f t="shared" ref="G25:H25" si="54">CONCATENATE(C25," : ",C25)</f>
        <v>E1_11_1_24_mRNA : E1_11_1_24_mRNA</v>
      </c>
      <c r="H25" s="67" t="str">
        <f t="shared" si="54"/>
        <v>E1_11_1_24 : E1_11_1_24</v>
      </c>
      <c r="I25" s="44" t="str">
        <f t="shared" ref="I25:J25" si="55">CONCATENATE(C25," : ","0")</f>
        <v>E1_11_1_24_mRNA : 0</v>
      </c>
      <c r="J25" s="68" t="str">
        <f t="shared" si="55"/>
        <v>E1_11_1_24 : 0</v>
      </c>
      <c r="K25" s="69" t="str">
        <f t="shared" si="6"/>
        <v>0.00292 - (0.0093 * E1_11_1_24_mRNA)</v>
      </c>
      <c r="L25" s="70" t="str">
        <f t="shared" si="7"/>
        <v>(0.278 * E1_11_1_24_mRNA) - (0.00000278 * E1_11_1_24)</v>
      </c>
      <c r="M25" s="71" t="str">
        <f t="shared" si="8"/>
        <v>mRNA24: -&gt; E1_11_1_24_mRNA | 0.00292 - (0.0093 * E1_11_1_24_mRNA)</v>
      </c>
      <c r="N25" s="72" t="str">
        <f t="shared" si="9"/>
        <v>Peptide24: E1_11_1_24_mRNA -&gt; E1_11_1_24 | (0.278 * E1_11_1_24_mRNA) - (0.000000278 * E1_11_1_24)</v>
      </c>
    </row>
    <row r="26" spans="1:14" ht="29" x14ac:dyDescent="0.35">
      <c r="A26" s="49">
        <v>25</v>
      </c>
      <c r="B26" s="49" t="s">
        <v>14587</v>
      </c>
      <c r="C26" s="49" t="str">
        <f t="shared" si="0"/>
        <v>E2_7_8_5_mRNA</v>
      </c>
      <c r="D26" s="49" t="str">
        <f t="shared" si="1"/>
        <v>E2_7_8_5</v>
      </c>
      <c r="E26" s="64" t="str">
        <f t="shared" si="2"/>
        <v>E2_7_8_5_kcat : 13.7</v>
      </c>
      <c r="F26" s="65" t="str">
        <f t="shared" si="3"/>
        <v>E2_7_8_5_km : 1</v>
      </c>
      <c r="G26" s="66" t="str">
        <f t="shared" ref="G26:H26" si="56">CONCATENATE(C26," : ",C26)</f>
        <v>E2_7_8_5_mRNA : E2_7_8_5_mRNA</v>
      </c>
      <c r="H26" s="67" t="str">
        <f t="shared" si="56"/>
        <v>E2_7_8_5 : E2_7_8_5</v>
      </c>
      <c r="I26" s="44" t="str">
        <f t="shared" ref="I26:J26" si="57">CONCATENATE(C26," : ","0")</f>
        <v>E2_7_8_5_mRNA : 0</v>
      </c>
      <c r="J26" s="68" t="str">
        <f t="shared" si="57"/>
        <v>E2_7_8_5 : 0</v>
      </c>
      <c r="K26" s="69" t="str">
        <f t="shared" si="6"/>
        <v>0.00292 - (0.0093 * E2_7_8_5_mRNA)</v>
      </c>
      <c r="L26" s="70" t="str">
        <f t="shared" si="7"/>
        <v>(0.278 * E2_7_8_5_mRNA) - (0.00000278 * E2_7_8_5)</v>
      </c>
      <c r="M26" s="71" t="str">
        <f t="shared" si="8"/>
        <v>mRNA25: -&gt; E2_7_8_5_mRNA | 0.00292 - (0.0093 * E2_7_8_5_mRNA)</v>
      </c>
      <c r="N26" s="72" t="str">
        <f t="shared" si="9"/>
        <v>Peptide25: E2_7_8_5_mRNA -&gt; E2_7_8_5 | (0.278 * E2_7_8_5_mRNA) - (0.000000278 * E2_7_8_5)</v>
      </c>
    </row>
    <row r="27" spans="1:14" ht="29" x14ac:dyDescent="0.35">
      <c r="A27" s="49">
        <v>26</v>
      </c>
      <c r="B27" s="49" t="s">
        <v>14588</v>
      </c>
      <c r="C27" s="49" t="str">
        <f t="shared" si="0"/>
        <v>E2_7_1_48_mRNA</v>
      </c>
      <c r="D27" s="49" t="str">
        <f t="shared" si="1"/>
        <v>E2_7_1_48</v>
      </c>
      <c r="E27" s="64" t="str">
        <f t="shared" si="2"/>
        <v>E2_7_1_48_kcat : 13.7</v>
      </c>
      <c r="F27" s="65" t="str">
        <f t="shared" si="3"/>
        <v>E2_7_1_48_km : 1</v>
      </c>
      <c r="G27" s="66" t="str">
        <f t="shared" ref="G27:H27" si="58">CONCATENATE(C27," : ",C27)</f>
        <v>E2_7_1_48_mRNA : E2_7_1_48_mRNA</v>
      </c>
      <c r="H27" s="67" t="str">
        <f t="shared" si="58"/>
        <v>E2_7_1_48 : E2_7_1_48</v>
      </c>
      <c r="I27" s="44" t="str">
        <f t="shared" ref="I27:J27" si="59">CONCATENATE(C27," : ","0")</f>
        <v>E2_7_1_48_mRNA : 0</v>
      </c>
      <c r="J27" s="68" t="str">
        <f t="shared" si="59"/>
        <v>E2_7_1_48 : 0</v>
      </c>
      <c r="K27" s="69" t="str">
        <f t="shared" si="6"/>
        <v>0.00292 - (0.0093 * E2_7_1_48_mRNA)</v>
      </c>
      <c r="L27" s="70" t="str">
        <f t="shared" si="7"/>
        <v>(0.278 * E2_7_1_48_mRNA) - (0.00000278 * E2_7_1_48)</v>
      </c>
      <c r="M27" s="71" t="str">
        <f t="shared" si="8"/>
        <v>mRNA26: -&gt; E2_7_1_48_mRNA | 0.00292 - (0.0093 * E2_7_1_48_mRNA)</v>
      </c>
      <c r="N27" s="72" t="str">
        <f t="shared" si="9"/>
        <v>Peptide26: E2_7_1_48_mRNA -&gt; E2_7_1_48 | (0.278 * E2_7_1_48_mRNA) - (0.000000278 * E2_7_1_48)</v>
      </c>
    </row>
    <row r="28" spans="1:14" ht="29" x14ac:dyDescent="0.35">
      <c r="A28" s="49">
        <v>27</v>
      </c>
      <c r="B28" s="49" t="s">
        <v>14589</v>
      </c>
      <c r="C28" s="49" t="str">
        <f t="shared" si="0"/>
        <v>E3_5_4_13_mRNA</v>
      </c>
      <c r="D28" s="49" t="str">
        <f t="shared" si="1"/>
        <v>E3_5_4_13</v>
      </c>
      <c r="E28" s="64" t="str">
        <f t="shared" si="2"/>
        <v>E3_5_4_13_kcat : 13.7</v>
      </c>
      <c r="F28" s="65" t="str">
        <f t="shared" si="3"/>
        <v>E3_5_4_13_km : 1</v>
      </c>
      <c r="G28" s="66" t="str">
        <f t="shared" ref="G28:H28" si="60">CONCATENATE(C28," : ",C28)</f>
        <v>E3_5_4_13_mRNA : E3_5_4_13_mRNA</v>
      </c>
      <c r="H28" s="67" t="str">
        <f t="shared" si="60"/>
        <v>E3_5_4_13 : E3_5_4_13</v>
      </c>
      <c r="I28" s="44" t="str">
        <f t="shared" ref="I28:J28" si="61">CONCATENATE(C28," : ","0")</f>
        <v>E3_5_4_13_mRNA : 0</v>
      </c>
      <c r="J28" s="68" t="str">
        <f t="shared" si="61"/>
        <v>E3_5_4_13 : 0</v>
      </c>
      <c r="K28" s="69" t="str">
        <f t="shared" si="6"/>
        <v>0.00292 - (0.0093 * E3_5_4_13_mRNA)</v>
      </c>
      <c r="L28" s="70" t="str">
        <f t="shared" si="7"/>
        <v>(0.278 * E3_5_4_13_mRNA) - (0.00000278 * E3_5_4_13)</v>
      </c>
      <c r="M28" s="71" t="str">
        <f t="shared" si="8"/>
        <v>mRNA27: -&gt; E3_5_4_13_mRNA | 0.00292 - (0.0093 * E3_5_4_13_mRNA)</v>
      </c>
      <c r="N28" s="72" t="str">
        <f t="shared" si="9"/>
        <v>Peptide27: E3_5_4_13_mRNA -&gt; E3_5_4_13 | (0.278 * E3_5_4_13_mRNA) - (0.000000278 * E3_5_4_13)</v>
      </c>
    </row>
    <row r="29" spans="1:14" ht="29" x14ac:dyDescent="0.35">
      <c r="A29" s="49">
        <v>28</v>
      </c>
      <c r="B29" s="49" t="s">
        <v>14590</v>
      </c>
      <c r="C29" s="49" t="str">
        <f t="shared" si="0"/>
        <v>E2_7_7_7_mRNA</v>
      </c>
      <c r="D29" s="49" t="str">
        <f t="shared" si="1"/>
        <v>E2_7_7_7</v>
      </c>
      <c r="E29" s="64" t="str">
        <f t="shared" si="2"/>
        <v>E2_7_7_7_kcat : 13.7</v>
      </c>
      <c r="F29" s="65" t="str">
        <f t="shared" si="3"/>
        <v>E2_7_7_7_km : 1</v>
      </c>
      <c r="G29" s="66" t="str">
        <f t="shared" ref="G29:H29" si="62">CONCATENATE(C29," : ",C29)</f>
        <v>E2_7_7_7_mRNA : E2_7_7_7_mRNA</v>
      </c>
      <c r="H29" s="67" t="str">
        <f t="shared" si="62"/>
        <v>E2_7_7_7 : E2_7_7_7</v>
      </c>
      <c r="I29" s="44" t="str">
        <f t="shared" ref="I29:J29" si="63">CONCATENATE(C29," : ","0")</f>
        <v>E2_7_7_7_mRNA : 0</v>
      </c>
      <c r="J29" s="68" t="str">
        <f t="shared" si="63"/>
        <v>E2_7_7_7 : 0</v>
      </c>
      <c r="K29" s="69" t="str">
        <f t="shared" si="6"/>
        <v>0.00292 - (0.0093 * E2_7_7_7_mRNA)</v>
      </c>
      <c r="L29" s="70" t="str">
        <f t="shared" si="7"/>
        <v>(0.278 * E2_7_7_7_mRNA) - (0.00000278 * E2_7_7_7)</v>
      </c>
      <c r="M29" s="71" t="str">
        <f t="shared" si="8"/>
        <v>mRNA28: -&gt; E2_7_7_7_mRNA | 0.00292 - (0.0093 * E2_7_7_7_mRNA)</v>
      </c>
      <c r="N29" s="72" t="str">
        <f t="shared" si="9"/>
        <v>Peptide28: E2_7_7_7_mRNA -&gt; E2_7_7_7 | (0.278 * E2_7_7_7_mRNA) - (0.000000278 * E2_7_7_7)</v>
      </c>
    </row>
    <row r="30" spans="1:14" ht="29" x14ac:dyDescent="0.35">
      <c r="A30" s="49">
        <v>29</v>
      </c>
      <c r="B30" s="49" t="s">
        <v>14934</v>
      </c>
      <c r="C30" s="49" t="str">
        <f t="shared" si="0"/>
        <v>E3_1_26_4_mRNA</v>
      </c>
      <c r="D30" s="49" t="str">
        <f t="shared" si="1"/>
        <v>E3_1_26_4</v>
      </c>
      <c r="E30" s="64" t="str">
        <f t="shared" si="2"/>
        <v>E3_1_26_4_kcat : 13.7</v>
      </c>
      <c r="F30" s="65" t="str">
        <f t="shared" si="3"/>
        <v>E3_1_26_4_km : 1</v>
      </c>
      <c r="G30" s="66" t="str">
        <f t="shared" ref="G30:H30" si="64">CONCATENATE(C30," : ",C30)</f>
        <v>E3_1_26_4_mRNA : E3_1_26_4_mRNA</v>
      </c>
      <c r="H30" s="67" t="str">
        <f t="shared" si="64"/>
        <v>E3_1_26_4 : E3_1_26_4</v>
      </c>
      <c r="I30" s="44" t="str">
        <f t="shared" ref="I30:J30" si="65">CONCATENATE(C30," : ","0")</f>
        <v>E3_1_26_4_mRNA : 0</v>
      </c>
      <c r="J30" s="68" t="str">
        <f t="shared" si="65"/>
        <v>E3_1_26_4 : 0</v>
      </c>
      <c r="K30" s="69" t="str">
        <f t="shared" si="6"/>
        <v>0.00292 - (0.0093 * E3_1_26_4_mRNA)</v>
      </c>
      <c r="L30" s="70" t="str">
        <f t="shared" si="7"/>
        <v>(0.278 * E3_1_26_4_mRNA) - (0.00000278 * E3_1_26_4)</v>
      </c>
      <c r="M30" s="71" t="str">
        <f t="shared" si="8"/>
        <v>mRNA29: -&gt; E3_1_26_4_mRNA | 0.00292 - (0.0093 * E3_1_26_4_mRNA)</v>
      </c>
      <c r="N30" s="72" t="str">
        <f t="shared" si="9"/>
        <v>Peptide29: E3_1_26_4_mRNA -&gt; E3_1_26_4 | (0.278 * E3_1_26_4_mRNA) - (0.000000278 * E3_1_26_4)</v>
      </c>
    </row>
    <row r="31" spans="1:14" ht="29" x14ac:dyDescent="0.35">
      <c r="A31" s="49">
        <v>30</v>
      </c>
      <c r="B31" s="49" t="s">
        <v>14591</v>
      </c>
      <c r="C31" s="49" t="str">
        <f t="shared" si="0"/>
        <v>E3_5_1_25_mRNA</v>
      </c>
      <c r="D31" s="49" t="str">
        <f t="shared" si="1"/>
        <v>E3_5_1_25</v>
      </c>
      <c r="E31" s="64" t="str">
        <f t="shared" si="2"/>
        <v>E3_5_1_25_kcat : 13.7</v>
      </c>
      <c r="F31" s="65" t="str">
        <f t="shared" si="3"/>
        <v>E3_5_1_25_km : 1</v>
      </c>
      <c r="G31" s="66" t="str">
        <f t="shared" ref="G31:H31" si="66">CONCATENATE(C31," : ",C31)</f>
        <v>E3_5_1_25_mRNA : E3_5_1_25_mRNA</v>
      </c>
      <c r="H31" s="67" t="str">
        <f t="shared" si="66"/>
        <v>E3_5_1_25 : E3_5_1_25</v>
      </c>
      <c r="I31" s="44" t="str">
        <f t="shared" ref="I31:J31" si="67">CONCATENATE(C31," : ","0")</f>
        <v>E3_5_1_25_mRNA : 0</v>
      </c>
      <c r="J31" s="68" t="str">
        <f t="shared" si="67"/>
        <v>E3_5_1_25 : 0</v>
      </c>
      <c r="K31" s="69" t="str">
        <f t="shared" si="6"/>
        <v>0.00292 - (0.0093 * E3_5_1_25_mRNA)</v>
      </c>
      <c r="L31" s="70" t="str">
        <f t="shared" si="7"/>
        <v>(0.278 * E3_5_1_25_mRNA) - (0.00000278 * E3_5_1_25)</v>
      </c>
      <c r="M31" s="71" t="str">
        <f t="shared" si="8"/>
        <v>mRNA30: -&gt; E3_5_1_25_mRNA | 0.00292 - (0.0093 * E3_5_1_25_mRNA)</v>
      </c>
      <c r="N31" s="72" t="str">
        <f t="shared" si="9"/>
        <v>Peptide30: E3_5_1_25_mRNA -&gt; E3_5_1_25 | (0.278 * E3_5_1_25_mRNA) - (0.000000278 * E3_5_1_25)</v>
      </c>
    </row>
    <row r="32" spans="1:14" ht="29" x14ac:dyDescent="0.35">
      <c r="A32" s="49">
        <v>31</v>
      </c>
      <c r="B32" s="49" t="s">
        <v>14592</v>
      </c>
      <c r="C32" s="49" t="str">
        <f t="shared" si="0"/>
        <v>E3_5_99_6_mRNA</v>
      </c>
      <c r="D32" s="49" t="str">
        <f t="shared" si="1"/>
        <v>E3_5_99_6</v>
      </c>
      <c r="E32" s="64" t="str">
        <f t="shared" si="2"/>
        <v>E3_5_99_6_kcat : 13.7</v>
      </c>
      <c r="F32" s="65" t="str">
        <f t="shared" si="3"/>
        <v>E3_5_99_6_km : 1</v>
      </c>
      <c r="G32" s="66" t="str">
        <f t="shared" ref="G32:H32" si="68">CONCATENATE(C32," : ",C32)</f>
        <v>E3_5_99_6_mRNA : E3_5_99_6_mRNA</v>
      </c>
      <c r="H32" s="67" t="str">
        <f t="shared" si="68"/>
        <v>E3_5_99_6 : E3_5_99_6</v>
      </c>
      <c r="I32" s="44" t="str">
        <f t="shared" ref="I32:J32" si="69">CONCATENATE(C32," : ","0")</f>
        <v>E3_5_99_6_mRNA : 0</v>
      </c>
      <c r="J32" s="68" t="str">
        <f t="shared" si="69"/>
        <v>E3_5_99_6 : 0</v>
      </c>
      <c r="K32" s="69" t="str">
        <f t="shared" si="6"/>
        <v>0.00292 - (0.0093 * E3_5_99_6_mRNA)</v>
      </c>
      <c r="L32" s="70" t="str">
        <f t="shared" si="7"/>
        <v>(0.278 * E3_5_99_6_mRNA) - (0.00000278 * E3_5_99_6)</v>
      </c>
      <c r="M32" s="71" t="str">
        <f t="shared" si="8"/>
        <v>mRNA31: -&gt; E3_5_99_6_mRNA | 0.00292 - (0.0093 * E3_5_99_6_mRNA)</v>
      </c>
      <c r="N32" s="72" t="str">
        <f t="shared" si="9"/>
        <v>Peptide31: E3_5_99_6_mRNA -&gt; E3_5_99_6 | (0.278 * E3_5_99_6_mRNA) - (0.000000278 * E3_5_99_6)</v>
      </c>
    </row>
    <row r="33" spans="1:14" ht="29" x14ac:dyDescent="0.35">
      <c r="A33" s="49">
        <v>32</v>
      </c>
      <c r="B33" s="49" t="s">
        <v>14593</v>
      </c>
      <c r="C33" s="49" t="str">
        <f t="shared" si="0"/>
        <v>E4_1_3_3_mRNA</v>
      </c>
      <c r="D33" s="49" t="str">
        <f t="shared" si="1"/>
        <v>E4_1_3_3</v>
      </c>
      <c r="E33" s="64" t="str">
        <f t="shared" si="2"/>
        <v>E4_1_3_3_kcat : 13.7</v>
      </c>
      <c r="F33" s="65" t="str">
        <f t="shared" si="3"/>
        <v>E4_1_3_3_km : 1</v>
      </c>
      <c r="G33" s="66" t="str">
        <f t="shared" ref="G33:H33" si="70">CONCATENATE(C33," : ",C33)</f>
        <v>E4_1_3_3_mRNA : E4_1_3_3_mRNA</v>
      </c>
      <c r="H33" s="67" t="str">
        <f t="shared" si="70"/>
        <v>E4_1_3_3 : E4_1_3_3</v>
      </c>
      <c r="I33" s="44" t="str">
        <f t="shared" ref="I33:J33" si="71">CONCATENATE(C33," : ","0")</f>
        <v>E4_1_3_3_mRNA : 0</v>
      </c>
      <c r="J33" s="68" t="str">
        <f t="shared" si="71"/>
        <v>E4_1_3_3 : 0</v>
      </c>
      <c r="K33" s="69" t="str">
        <f t="shared" si="6"/>
        <v>0.00292 - (0.0093 * E4_1_3_3_mRNA)</v>
      </c>
      <c r="L33" s="70" t="str">
        <f t="shared" si="7"/>
        <v>(0.278 * E4_1_3_3_mRNA) - (0.00000278 * E4_1_3_3)</v>
      </c>
      <c r="M33" s="71" t="str">
        <f t="shared" si="8"/>
        <v>mRNA32: -&gt; E4_1_3_3_mRNA | 0.00292 - (0.0093 * E4_1_3_3_mRNA)</v>
      </c>
      <c r="N33" s="72" t="str">
        <f t="shared" si="9"/>
        <v>Peptide32: E4_1_3_3_mRNA -&gt; E4_1_3_3 | (0.278 * E4_1_3_3_mRNA) - (0.000000278 * E4_1_3_3)</v>
      </c>
    </row>
    <row r="34" spans="1:14" ht="29" x14ac:dyDescent="0.35">
      <c r="A34" s="49">
        <v>33</v>
      </c>
      <c r="B34" s="49" t="s">
        <v>14594</v>
      </c>
      <c r="C34" s="49" t="str">
        <f t="shared" si="0"/>
        <v>E1_1_1_100_mRNA</v>
      </c>
      <c r="D34" s="49" t="str">
        <f t="shared" si="1"/>
        <v>E1_1_1_100</v>
      </c>
      <c r="E34" s="64" t="str">
        <f t="shared" si="2"/>
        <v>E1_1_1_100_kcat : 13.7</v>
      </c>
      <c r="F34" s="65" t="str">
        <f t="shared" si="3"/>
        <v>E1_1_1_100_km : 1</v>
      </c>
      <c r="G34" s="66" t="str">
        <f t="shared" ref="G34:H34" si="72">CONCATENATE(C34," : ",C34)</f>
        <v>E1_1_1_100_mRNA : E1_1_1_100_mRNA</v>
      </c>
      <c r="H34" s="67" t="str">
        <f t="shared" si="72"/>
        <v>E1_1_1_100 : E1_1_1_100</v>
      </c>
      <c r="I34" s="44" t="str">
        <f t="shared" ref="I34:J34" si="73">CONCATENATE(C34," : ","0")</f>
        <v>E1_1_1_100_mRNA : 0</v>
      </c>
      <c r="J34" s="68" t="str">
        <f t="shared" si="73"/>
        <v>E1_1_1_100 : 0</v>
      </c>
      <c r="K34" s="69" t="str">
        <f t="shared" si="6"/>
        <v>0.00292 - (0.0093 * E1_1_1_100_mRNA)</v>
      </c>
      <c r="L34" s="70" t="str">
        <f t="shared" si="7"/>
        <v>(0.278 * E1_1_1_100_mRNA) - (0.00000278 * E1_1_1_100)</v>
      </c>
      <c r="M34" s="71" t="str">
        <f t="shared" si="8"/>
        <v>mRNA33: -&gt; E1_1_1_100_mRNA | 0.00292 - (0.0093 * E1_1_1_100_mRNA)</v>
      </c>
      <c r="N34" s="72" t="str">
        <f t="shared" si="9"/>
        <v>Peptide33: E1_1_1_100_mRNA -&gt; E1_1_1_100 | (0.278 * E1_1_1_100_mRNA) - (0.000000278 * E1_1_1_100)</v>
      </c>
    </row>
    <row r="35" spans="1:14" ht="29" x14ac:dyDescent="0.35">
      <c r="A35" s="49">
        <v>34</v>
      </c>
      <c r="B35" s="49" t="s">
        <v>14595</v>
      </c>
      <c r="C35" s="49" t="str">
        <f t="shared" si="0"/>
        <v>E2_3_1_39_mRNA</v>
      </c>
      <c r="D35" s="49" t="str">
        <f t="shared" si="1"/>
        <v>E2_3_1_39</v>
      </c>
      <c r="E35" s="64" t="str">
        <f t="shared" si="2"/>
        <v>E2_3_1_39_kcat : 13.7</v>
      </c>
      <c r="F35" s="65" t="str">
        <f t="shared" si="3"/>
        <v>E2_3_1_39_km : 1</v>
      </c>
      <c r="G35" s="66" t="str">
        <f t="shared" ref="G35:H35" si="74">CONCATENATE(C35," : ",C35)</f>
        <v>E2_3_1_39_mRNA : E2_3_1_39_mRNA</v>
      </c>
      <c r="H35" s="67" t="str">
        <f t="shared" si="74"/>
        <v>E2_3_1_39 : E2_3_1_39</v>
      </c>
      <c r="I35" s="44" t="str">
        <f t="shared" ref="I35:J35" si="75">CONCATENATE(C35," : ","0")</f>
        <v>E2_3_1_39_mRNA : 0</v>
      </c>
      <c r="J35" s="68" t="str">
        <f t="shared" si="75"/>
        <v>E2_3_1_39 : 0</v>
      </c>
      <c r="K35" s="69" t="str">
        <f t="shared" si="6"/>
        <v>0.00292 - (0.0093 * E2_3_1_39_mRNA)</v>
      </c>
      <c r="L35" s="70" t="str">
        <f t="shared" si="7"/>
        <v>(0.278 * E2_3_1_39_mRNA) - (0.00000278 * E2_3_1_39)</v>
      </c>
      <c r="M35" s="71" t="str">
        <f t="shared" si="8"/>
        <v>mRNA34: -&gt; E2_3_1_39_mRNA | 0.00292 - (0.0093 * E2_3_1_39_mRNA)</v>
      </c>
      <c r="N35" s="72" t="str">
        <f t="shared" si="9"/>
        <v>Peptide34: E2_3_1_39_mRNA -&gt; E2_3_1_39 | (0.278 * E2_3_1_39_mRNA) - (0.000000278 * E2_3_1_39)</v>
      </c>
    </row>
    <row r="36" spans="1:14" ht="29" x14ac:dyDescent="0.35">
      <c r="A36" s="49">
        <v>35</v>
      </c>
      <c r="B36" s="49" t="s">
        <v>14596</v>
      </c>
      <c r="C36" s="49" t="str">
        <f t="shared" si="0"/>
        <v>E4_1_1_65_mRNA</v>
      </c>
      <c r="D36" s="49" t="str">
        <f t="shared" si="1"/>
        <v>E4_1_1_65</v>
      </c>
      <c r="E36" s="64" t="str">
        <f t="shared" si="2"/>
        <v>E4_1_1_65_kcat : 13.7</v>
      </c>
      <c r="F36" s="65" t="str">
        <f t="shared" si="3"/>
        <v>E4_1_1_65_km : 1</v>
      </c>
      <c r="G36" s="66" t="str">
        <f t="shared" ref="G36:H36" si="76">CONCATENATE(C36," : ",C36)</f>
        <v>E4_1_1_65_mRNA : E4_1_1_65_mRNA</v>
      </c>
      <c r="H36" s="67" t="str">
        <f t="shared" si="76"/>
        <v>E4_1_1_65 : E4_1_1_65</v>
      </c>
      <c r="I36" s="44" t="str">
        <f t="shared" ref="I36:J36" si="77">CONCATENATE(C36," : ","0")</f>
        <v>E4_1_1_65_mRNA : 0</v>
      </c>
      <c r="J36" s="68" t="str">
        <f t="shared" si="77"/>
        <v>E4_1_1_65 : 0</v>
      </c>
      <c r="K36" s="69" t="str">
        <f t="shared" si="6"/>
        <v>0.00292 - (0.0093 * E4_1_1_65_mRNA)</v>
      </c>
      <c r="L36" s="70" t="str">
        <f t="shared" si="7"/>
        <v>(0.278 * E4_1_1_65_mRNA) - (0.00000278 * E4_1_1_65)</v>
      </c>
      <c r="M36" s="71" t="str">
        <f t="shared" si="8"/>
        <v>mRNA35: -&gt; E4_1_1_65_mRNA | 0.00292 - (0.0093 * E4_1_1_65_mRNA)</v>
      </c>
      <c r="N36" s="72" t="str">
        <f t="shared" si="9"/>
        <v>Peptide35: E4_1_1_65_mRNA -&gt; E4_1_1_65 | (0.278 * E4_1_1_65_mRNA) - (0.000000278 * E4_1_1_65)</v>
      </c>
    </row>
    <row r="37" spans="1:14" ht="29" x14ac:dyDescent="0.35">
      <c r="A37" s="49">
        <v>36</v>
      </c>
      <c r="B37" s="49" t="s">
        <v>14597</v>
      </c>
      <c r="C37" s="49" t="str">
        <f t="shared" si="0"/>
        <v>E1_8_1_7_mRNA</v>
      </c>
      <c r="D37" s="49" t="str">
        <f t="shared" si="1"/>
        <v>E1_8_1_7</v>
      </c>
      <c r="E37" s="64" t="str">
        <f t="shared" si="2"/>
        <v>E1_8_1_7_kcat : 13.7</v>
      </c>
      <c r="F37" s="65" t="str">
        <f t="shared" si="3"/>
        <v>E1_8_1_7_km : 1</v>
      </c>
      <c r="G37" s="66" t="str">
        <f t="shared" ref="G37:H37" si="78">CONCATENATE(C37," : ",C37)</f>
        <v>E1_8_1_7_mRNA : E1_8_1_7_mRNA</v>
      </c>
      <c r="H37" s="67" t="str">
        <f t="shared" si="78"/>
        <v>E1_8_1_7 : E1_8_1_7</v>
      </c>
      <c r="I37" s="44" t="str">
        <f t="shared" ref="I37:J37" si="79">CONCATENATE(C37," : ","0")</f>
        <v>E1_8_1_7_mRNA : 0</v>
      </c>
      <c r="J37" s="68" t="str">
        <f t="shared" si="79"/>
        <v>E1_8_1_7 : 0</v>
      </c>
      <c r="K37" s="69" t="str">
        <f t="shared" si="6"/>
        <v>0.00292 - (0.0093 * E1_8_1_7_mRNA)</v>
      </c>
      <c r="L37" s="70" t="str">
        <f t="shared" si="7"/>
        <v>(0.278 * E1_8_1_7_mRNA) - (0.00000278 * E1_8_1_7)</v>
      </c>
      <c r="M37" s="71" t="str">
        <f t="shared" si="8"/>
        <v>mRNA36: -&gt; E1_8_1_7_mRNA | 0.00292 - (0.0093 * E1_8_1_7_mRNA)</v>
      </c>
      <c r="N37" s="72" t="str">
        <f t="shared" si="9"/>
        <v>Peptide36: E1_8_1_7_mRNA -&gt; E1_8_1_7 | (0.278 * E1_8_1_7_mRNA) - (0.000000278 * E1_8_1_7)</v>
      </c>
    </row>
    <row r="38" spans="1:14" ht="29" x14ac:dyDescent="0.35">
      <c r="A38" s="49">
        <v>37</v>
      </c>
      <c r="B38" s="49" t="s">
        <v>14935</v>
      </c>
      <c r="C38" s="49" t="str">
        <f t="shared" si="0"/>
        <v>E7_2_1_1_mRNA</v>
      </c>
      <c r="D38" s="49" t="str">
        <f t="shared" si="1"/>
        <v>E7_2_1_1</v>
      </c>
      <c r="E38" s="64" t="str">
        <f t="shared" si="2"/>
        <v>E7_2_1_1_kcat : 13.7</v>
      </c>
      <c r="F38" s="65" t="str">
        <f t="shared" si="3"/>
        <v>E7_2_1_1_km : 1</v>
      </c>
      <c r="G38" s="66" t="str">
        <f t="shared" ref="G38:H38" si="80">CONCATENATE(C38," : ",C38)</f>
        <v>E7_2_1_1_mRNA : E7_2_1_1_mRNA</v>
      </c>
      <c r="H38" s="67" t="str">
        <f t="shared" si="80"/>
        <v>E7_2_1_1 : E7_2_1_1</v>
      </c>
      <c r="I38" s="44" t="str">
        <f t="shared" ref="I38:J38" si="81">CONCATENATE(C38," : ","0")</f>
        <v>E7_2_1_1_mRNA : 0</v>
      </c>
      <c r="J38" s="68" t="str">
        <f t="shared" si="81"/>
        <v>E7_2_1_1 : 0</v>
      </c>
      <c r="K38" s="69" t="str">
        <f t="shared" si="6"/>
        <v>0.00292 - (0.0093 * E7_2_1_1_mRNA)</v>
      </c>
      <c r="L38" s="70" t="str">
        <f t="shared" si="7"/>
        <v>(0.278 * E7_2_1_1_mRNA) - (0.00000278 * E7_2_1_1)</v>
      </c>
      <c r="M38" s="71" t="str">
        <f t="shared" si="8"/>
        <v>mRNA37: -&gt; E7_2_1_1_mRNA | 0.00292 - (0.0093 * E7_2_1_1_mRNA)</v>
      </c>
      <c r="N38" s="72" t="str">
        <f t="shared" si="9"/>
        <v>Peptide37: E7_2_1_1_mRNA -&gt; E7_2_1_1 | (0.278 * E7_2_1_1_mRNA) - (0.000000278 * E7_2_1_1)</v>
      </c>
    </row>
    <row r="39" spans="1:14" ht="29" x14ac:dyDescent="0.35">
      <c r="A39" s="49">
        <v>38</v>
      </c>
      <c r="B39" s="49" t="s">
        <v>14598</v>
      </c>
      <c r="C39" s="49" t="str">
        <f t="shared" si="0"/>
        <v>E2_8_1_13_mRNA</v>
      </c>
      <c r="D39" s="49" t="str">
        <f t="shared" si="1"/>
        <v>E2_8_1_13</v>
      </c>
      <c r="E39" s="64" t="str">
        <f t="shared" si="2"/>
        <v>E2_8_1_13_kcat : 13.7</v>
      </c>
      <c r="F39" s="65" t="str">
        <f t="shared" si="3"/>
        <v>E2_8_1_13_km : 1</v>
      </c>
      <c r="G39" s="66" t="str">
        <f t="shared" ref="G39:H39" si="82">CONCATENATE(C39," : ",C39)</f>
        <v>E2_8_1_13_mRNA : E2_8_1_13_mRNA</v>
      </c>
      <c r="H39" s="67" t="str">
        <f t="shared" si="82"/>
        <v>E2_8_1_13 : E2_8_1_13</v>
      </c>
      <c r="I39" s="44" t="str">
        <f t="shared" ref="I39:J39" si="83">CONCATENATE(C39," : ","0")</f>
        <v>E2_8_1_13_mRNA : 0</v>
      </c>
      <c r="J39" s="68" t="str">
        <f t="shared" si="83"/>
        <v>E2_8_1_13 : 0</v>
      </c>
      <c r="K39" s="69" t="str">
        <f t="shared" si="6"/>
        <v>0.00292 - (0.0093 * E2_8_1_13_mRNA)</v>
      </c>
      <c r="L39" s="70" t="str">
        <f t="shared" si="7"/>
        <v>(0.278 * E2_8_1_13_mRNA) - (0.00000278 * E2_8_1_13)</v>
      </c>
      <c r="M39" s="71" t="str">
        <f t="shared" si="8"/>
        <v>mRNA38: -&gt; E2_8_1_13_mRNA | 0.00292 - (0.0093 * E2_8_1_13_mRNA)</v>
      </c>
      <c r="N39" s="72" t="str">
        <f t="shared" si="9"/>
        <v>Peptide38: E2_8_1_13_mRNA -&gt; E2_8_1_13 | (0.278 * E2_8_1_13_mRNA) - (0.000000278 * E2_8_1_13)</v>
      </c>
    </row>
    <row r="40" spans="1:14" ht="29" x14ac:dyDescent="0.35">
      <c r="A40" s="49">
        <v>39</v>
      </c>
      <c r="B40" s="53" t="s">
        <v>14936</v>
      </c>
      <c r="C40" s="49" t="str">
        <f t="shared" si="0"/>
        <v>E5_4_99_23_mRNA</v>
      </c>
      <c r="D40" s="49" t="str">
        <f t="shared" si="1"/>
        <v>E5_4_99_23</v>
      </c>
      <c r="E40" s="64" t="str">
        <f t="shared" si="2"/>
        <v>E5_4_99_23_kcat : 13.7</v>
      </c>
      <c r="F40" s="65" t="str">
        <f t="shared" si="3"/>
        <v>E5_4_99_23_km : 1</v>
      </c>
      <c r="G40" s="66" t="str">
        <f t="shared" ref="G40:H40" si="84">CONCATENATE(C40," : ",C40)</f>
        <v>E5_4_99_23_mRNA : E5_4_99_23_mRNA</v>
      </c>
      <c r="H40" s="67" t="str">
        <f t="shared" si="84"/>
        <v>E5_4_99_23 : E5_4_99_23</v>
      </c>
      <c r="I40" s="44" t="str">
        <f t="shared" ref="I40:J40" si="85">CONCATENATE(C40," : ","0")</f>
        <v>E5_4_99_23_mRNA : 0</v>
      </c>
      <c r="J40" s="68" t="str">
        <f t="shared" si="85"/>
        <v>E5_4_99_23 : 0</v>
      </c>
      <c r="K40" s="69" t="str">
        <f t="shared" si="6"/>
        <v>0.00292 - (0.0093 * E5_4_99_23_mRNA)</v>
      </c>
      <c r="L40" s="70" t="str">
        <f t="shared" si="7"/>
        <v>(0.278 * E5_4_99_23_mRNA) - (0.00000278 * E5_4_99_23)</v>
      </c>
      <c r="M40" s="71" t="str">
        <f t="shared" si="8"/>
        <v>mRNA39: -&gt; E5_4_99_23_mRNA | 0.00292 - (0.0093 * E5_4_99_23_mRNA)</v>
      </c>
      <c r="N40" s="72" t="str">
        <f t="shared" si="9"/>
        <v>Peptide39: E5_4_99_23_mRNA -&gt; E5_4_99_23 | (0.278 * E5_4_99_23_mRNA) - (0.000000278 * E5_4_99_23)</v>
      </c>
    </row>
    <row r="41" spans="1:14" ht="29" x14ac:dyDescent="0.35">
      <c r="A41" s="49">
        <v>40</v>
      </c>
      <c r="B41" s="49" t="s">
        <v>14599</v>
      </c>
      <c r="C41" s="49" t="str">
        <f t="shared" si="0"/>
        <v>E1_97_1_4_mRNA</v>
      </c>
      <c r="D41" s="49" t="str">
        <f t="shared" si="1"/>
        <v>E1_97_1_4</v>
      </c>
      <c r="E41" s="64" t="str">
        <f t="shared" si="2"/>
        <v>E1_97_1_4_kcat : 13.7</v>
      </c>
      <c r="F41" s="65" t="str">
        <f t="shared" si="3"/>
        <v>E1_97_1_4_km : 1</v>
      </c>
      <c r="G41" s="66" t="str">
        <f t="shared" ref="G41:H41" si="86">CONCATENATE(C41," : ",C41)</f>
        <v>E1_97_1_4_mRNA : E1_97_1_4_mRNA</v>
      </c>
      <c r="H41" s="67" t="str">
        <f t="shared" si="86"/>
        <v>E1_97_1_4 : E1_97_1_4</v>
      </c>
      <c r="I41" s="44" t="str">
        <f t="shared" ref="I41:J41" si="87">CONCATENATE(C41," : ","0")</f>
        <v>E1_97_1_4_mRNA : 0</v>
      </c>
      <c r="J41" s="68" t="str">
        <f t="shared" si="87"/>
        <v>E1_97_1_4 : 0</v>
      </c>
      <c r="K41" s="69" t="str">
        <f t="shared" si="6"/>
        <v>0.00292 - (0.0093 * E1_97_1_4_mRNA)</v>
      </c>
      <c r="L41" s="70" t="str">
        <f t="shared" si="7"/>
        <v>(0.278 * E1_97_1_4_mRNA) - (0.00000278 * E1_97_1_4)</v>
      </c>
      <c r="M41" s="71" t="str">
        <f t="shared" si="8"/>
        <v>mRNA40: -&gt; E1_97_1_4_mRNA | 0.00292 - (0.0093 * E1_97_1_4_mRNA)</v>
      </c>
      <c r="N41" s="72" t="str">
        <f t="shared" si="9"/>
        <v>Peptide40: E1_97_1_4_mRNA -&gt; E1_97_1_4 | (0.278 * E1_97_1_4_mRNA) - (0.000000278 * E1_97_1_4)</v>
      </c>
    </row>
    <row r="42" spans="1:14" ht="29" x14ac:dyDescent="0.35">
      <c r="A42" s="49">
        <v>41</v>
      </c>
      <c r="B42" s="49" t="s">
        <v>14600</v>
      </c>
      <c r="C42" s="49" t="str">
        <f t="shared" si="0"/>
        <v>E2_3_1_54_mRNA</v>
      </c>
      <c r="D42" s="49" t="str">
        <f t="shared" si="1"/>
        <v>E2_3_1_54</v>
      </c>
      <c r="E42" s="64" t="str">
        <f t="shared" si="2"/>
        <v>E2_3_1_54_kcat : 13.7</v>
      </c>
      <c r="F42" s="65" t="str">
        <f t="shared" si="3"/>
        <v>E2_3_1_54_km : 1</v>
      </c>
      <c r="G42" s="66" t="str">
        <f t="shared" ref="G42:H42" si="88">CONCATENATE(C42," : ",C42)</f>
        <v>E2_3_1_54_mRNA : E2_3_1_54_mRNA</v>
      </c>
      <c r="H42" s="67" t="str">
        <f t="shared" si="88"/>
        <v>E2_3_1_54 : E2_3_1_54</v>
      </c>
      <c r="I42" s="44" t="str">
        <f t="shared" ref="I42:J42" si="89">CONCATENATE(C42," : ","0")</f>
        <v>E2_3_1_54_mRNA : 0</v>
      </c>
      <c r="J42" s="68" t="str">
        <f t="shared" si="89"/>
        <v>E2_3_1_54 : 0</v>
      </c>
      <c r="K42" s="69" t="str">
        <f t="shared" si="6"/>
        <v>0.00292 - (0.0093 * E2_3_1_54_mRNA)</v>
      </c>
      <c r="L42" s="70" t="str">
        <f t="shared" si="7"/>
        <v>(0.278 * E2_3_1_54_mRNA) - (0.00000278 * E2_3_1_54)</v>
      </c>
      <c r="M42" s="71" t="str">
        <f t="shared" si="8"/>
        <v>mRNA41: -&gt; E2_3_1_54_mRNA | 0.00292 - (0.0093 * E2_3_1_54_mRNA)</v>
      </c>
      <c r="N42" s="72" t="str">
        <f t="shared" si="9"/>
        <v>Peptide41: E2_3_1_54_mRNA -&gt; E2_3_1_54 | (0.278 * E2_3_1_54_mRNA) - (0.000000278 * E2_3_1_54)</v>
      </c>
    </row>
    <row r="43" spans="1:14" ht="29" x14ac:dyDescent="0.35">
      <c r="A43" s="49">
        <v>42</v>
      </c>
      <c r="B43" s="49" t="s">
        <v>14601</v>
      </c>
      <c r="C43" s="49" t="str">
        <f t="shared" si="0"/>
        <v>E2_7_1_59_mRNA</v>
      </c>
      <c r="D43" s="49" t="str">
        <f t="shared" si="1"/>
        <v>E2_7_1_59</v>
      </c>
      <c r="E43" s="64" t="str">
        <f t="shared" si="2"/>
        <v>E2_7_1_59_kcat : 13.7</v>
      </c>
      <c r="F43" s="65" t="str">
        <f t="shared" si="3"/>
        <v>E2_7_1_59_km : 1</v>
      </c>
      <c r="G43" s="66" t="str">
        <f t="shared" ref="G43:H43" si="90">CONCATENATE(C43," : ",C43)</f>
        <v>E2_7_1_59_mRNA : E2_7_1_59_mRNA</v>
      </c>
      <c r="H43" s="67" t="str">
        <f t="shared" si="90"/>
        <v>E2_7_1_59 : E2_7_1_59</v>
      </c>
      <c r="I43" s="44" t="str">
        <f t="shared" ref="I43:J43" si="91">CONCATENATE(C43," : ","0")</f>
        <v>E2_7_1_59_mRNA : 0</v>
      </c>
      <c r="J43" s="68" t="str">
        <f t="shared" si="91"/>
        <v>E2_7_1_59 : 0</v>
      </c>
      <c r="K43" s="69" t="str">
        <f t="shared" si="6"/>
        <v>0.00292 - (0.0093 * E2_7_1_59_mRNA)</v>
      </c>
      <c r="L43" s="70" t="str">
        <f t="shared" si="7"/>
        <v>(0.278 * E2_7_1_59_mRNA) - (0.00000278 * E2_7_1_59)</v>
      </c>
      <c r="M43" s="71" t="str">
        <f t="shared" si="8"/>
        <v>mRNA42: -&gt; E2_7_1_59_mRNA | 0.00292 - (0.0093 * E2_7_1_59_mRNA)</v>
      </c>
      <c r="N43" s="72" t="str">
        <f t="shared" si="9"/>
        <v>Peptide42: E2_7_1_59_mRNA -&gt; E2_7_1_59 | (0.278 * E2_7_1_59_mRNA) - (0.000000278 * E2_7_1_59)</v>
      </c>
    </row>
    <row r="44" spans="1:14" ht="29" x14ac:dyDescent="0.35">
      <c r="A44" s="49">
        <v>43</v>
      </c>
      <c r="B44" s="53" t="s">
        <v>14602</v>
      </c>
      <c r="C44" s="49" t="str">
        <f t="shared" si="0"/>
        <v>E3_1_2_12_mRNA</v>
      </c>
      <c r="D44" s="49" t="str">
        <f t="shared" si="1"/>
        <v>E3_1_2_12</v>
      </c>
      <c r="E44" s="64" t="str">
        <f t="shared" si="2"/>
        <v>E3_1_2_12_kcat : 13.7</v>
      </c>
      <c r="F44" s="65" t="str">
        <f t="shared" si="3"/>
        <v>E3_1_2_12_km : 1</v>
      </c>
      <c r="G44" s="66" t="str">
        <f t="shared" ref="G44:H44" si="92">CONCATENATE(C44," : ",C44)</f>
        <v>E3_1_2_12_mRNA : E3_1_2_12_mRNA</v>
      </c>
      <c r="H44" s="67" t="str">
        <f t="shared" si="92"/>
        <v>E3_1_2_12 : E3_1_2_12</v>
      </c>
      <c r="I44" s="44" t="str">
        <f t="shared" ref="I44:J44" si="93">CONCATENATE(C44," : ","0")</f>
        <v>E3_1_2_12_mRNA : 0</v>
      </c>
      <c r="J44" s="68" t="str">
        <f t="shared" si="93"/>
        <v>E3_1_2_12 : 0</v>
      </c>
      <c r="K44" s="69" t="str">
        <f t="shared" si="6"/>
        <v>0.00292 - (0.0093 * E3_1_2_12_mRNA)</v>
      </c>
      <c r="L44" s="70" t="str">
        <f t="shared" si="7"/>
        <v>(0.278 * E3_1_2_12_mRNA) - (0.00000278 * E3_1_2_12)</v>
      </c>
      <c r="M44" s="71" t="str">
        <f t="shared" si="8"/>
        <v>mRNA43: -&gt; E3_1_2_12_mRNA | 0.00292 - (0.0093 * E3_1_2_12_mRNA)</v>
      </c>
      <c r="N44" s="72" t="str">
        <f t="shared" si="9"/>
        <v>Peptide43: E3_1_2_12_mRNA -&gt; E3_1_2_12 | (0.278 * E3_1_2_12_mRNA) - (0.000000278 * E3_1_2_12)</v>
      </c>
    </row>
    <row r="45" spans="1:14" ht="29" x14ac:dyDescent="0.35">
      <c r="A45" s="49">
        <v>44</v>
      </c>
      <c r="B45" s="49" t="s">
        <v>14603</v>
      </c>
      <c r="C45" s="49" t="str">
        <f t="shared" si="0"/>
        <v>E1_4_1_4_mRNA</v>
      </c>
      <c r="D45" s="49" t="str">
        <f t="shared" si="1"/>
        <v>E1_4_1_4</v>
      </c>
      <c r="E45" s="64" t="str">
        <f t="shared" si="2"/>
        <v>E1_4_1_4_kcat : 13.7</v>
      </c>
      <c r="F45" s="65" t="str">
        <f t="shared" si="3"/>
        <v>E1_4_1_4_km : 1</v>
      </c>
      <c r="G45" s="66" t="str">
        <f t="shared" ref="G45:H45" si="94">CONCATENATE(C45," : ",C45)</f>
        <v>E1_4_1_4_mRNA : E1_4_1_4_mRNA</v>
      </c>
      <c r="H45" s="67" t="str">
        <f t="shared" si="94"/>
        <v>E1_4_1_4 : E1_4_1_4</v>
      </c>
      <c r="I45" s="44" t="str">
        <f t="shared" ref="I45:J45" si="95">CONCATENATE(C45," : ","0")</f>
        <v>E1_4_1_4_mRNA : 0</v>
      </c>
      <c r="J45" s="68" t="str">
        <f t="shared" si="95"/>
        <v>E1_4_1_4 : 0</v>
      </c>
      <c r="K45" s="69" t="str">
        <f t="shared" si="6"/>
        <v>0.00292 - (0.0093 * E1_4_1_4_mRNA)</v>
      </c>
      <c r="L45" s="70" t="str">
        <f t="shared" si="7"/>
        <v>(0.278 * E1_4_1_4_mRNA) - (0.00000278 * E1_4_1_4)</v>
      </c>
      <c r="M45" s="71" t="str">
        <f t="shared" si="8"/>
        <v>mRNA44: -&gt; E1_4_1_4_mRNA | 0.00292 - (0.0093 * E1_4_1_4_mRNA)</v>
      </c>
      <c r="N45" s="72" t="str">
        <f t="shared" si="9"/>
        <v>Peptide44: E1_4_1_4_mRNA -&gt; E1_4_1_4 | (0.278 * E1_4_1_4_mRNA) - (0.000000278 * E1_4_1_4)</v>
      </c>
    </row>
    <row r="46" spans="1:14" ht="29" x14ac:dyDescent="0.35">
      <c r="A46" s="49">
        <v>45</v>
      </c>
      <c r="B46" s="49" t="s">
        <v>14604</v>
      </c>
      <c r="C46" s="49" t="str">
        <f t="shared" si="0"/>
        <v>E6_2_1_26_mRNA</v>
      </c>
      <c r="D46" s="49" t="str">
        <f t="shared" si="1"/>
        <v>E6_2_1_26</v>
      </c>
      <c r="E46" s="64" t="str">
        <f t="shared" si="2"/>
        <v>E6_2_1_26_kcat : 13.7</v>
      </c>
      <c r="F46" s="65" t="str">
        <f t="shared" si="3"/>
        <v>E6_2_1_26_km : 1</v>
      </c>
      <c r="G46" s="66" t="str">
        <f t="shared" ref="G46:H46" si="96">CONCATENATE(C46," : ",C46)</f>
        <v>E6_2_1_26_mRNA : E6_2_1_26_mRNA</v>
      </c>
      <c r="H46" s="67" t="str">
        <f t="shared" si="96"/>
        <v>E6_2_1_26 : E6_2_1_26</v>
      </c>
      <c r="I46" s="44" t="str">
        <f t="shared" ref="I46:J46" si="97">CONCATENATE(C46," : ","0")</f>
        <v>E6_2_1_26_mRNA : 0</v>
      </c>
      <c r="J46" s="68" t="str">
        <f t="shared" si="97"/>
        <v>E6_2_1_26 : 0</v>
      </c>
      <c r="K46" s="69" t="str">
        <f t="shared" si="6"/>
        <v>0.00292 - (0.0093 * E6_2_1_26_mRNA)</v>
      </c>
      <c r="L46" s="70" t="str">
        <f t="shared" si="7"/>
        <v>(0.278 * E6_2_1_26_mRNA) - (0.00000278 * E6_2_1_26)</v>
      </c>
      <c r="M46" s="71" t="str">
        <f t="shared" si="8"/>
        <v>mRNA45: -&gt; E6_2_1_26_mRNA | 0.00292 - (0.0093 * E6_2_1_26_mRNA)</v>
      </c>
      <c r="N46" s="72" t="str">
        <f t="shared" si="9"/>
        <v>Peptide45: E6_2_1_26_mRNA -&gt; E6_2_1_26 | (0.278 * E6_2_1_26_mRNA) - (0.000000278 * E6_2_1_26)</v>
      </c>
    </row>
    <row r="47" spans="1:14" ht="29" x14ac:dyDescent="0.35">
      <c r="A47" s="49">
        <v>46</v>
      </c>
      <c r="B47" s="49" t="s">
        <v>14605</v>
      </c>
      <c r="C47" s="49" t="str">
        <f t="shared" si="0"/>
        <v>E4_2_3_5_mRNA</v>
      </c>
      <c r="D47" s="49" t="str">
        <f t="shared" si="1"/>
        <v>E4_2_3_5</v>
      </c>
      <c r="E47" s="64" t="str">
        <f t="shared" si="2"/>
        <v>E4_2_3_5_kcat : 13.7</v>
      </c>
      <c r="F47" s="65" t="str">
        <f t="shared" si="3"/>
        <v>E4_2_3_5_km : 1</v>
      </c>
      <c r="G47" s="66" t="str">
        <f t="shared" ref="G47:H47" si="98">CONCATENATE(C47," : ",C47)</f>
        <v>E4_2_3_5_mRNA : E4_2_3_5_mRNA</v>
      </c>
      <c r="H47" s="67" t="str">
        <f t="shared" si="98"/>
        <v>E4_2_3_5 : E4_2_3_5</v>
      </c>
      <c r="I47" s="44" t="str">
        <f t="shared" ref="I47:J47" si="99">CONCATENATE(C47," : ","0")</f>
        <v>E4_2_3_5_mRNA : 0</v>
      </c>
      <c r="J47" s="68" t="str">
        <f t="shared" si="99"/>
        <v>E4_2_3_5 : 0</v>
      </c>
      <c r="K47" s="69" t="str">
        <f t="shared" si="6"/>
        <v>0.00292 - (0.0093 * E4_2_3_5_mRNA)</v>
      </c>
      <c r="L47" s="70" t="str">
        <f t="shared" si="7"/>
        <v>(0.278 * E4_2_3_5_mRNA) - (0.00000278 * E4_2_3_5)</v>
      </c>
      <c r="M47" s="71" t="str">
        <f t="shared" si="8"/>
        <v>mRNA46: -&gt; E4_2_3_5_mRNA | 0.00292 - (0.0093 * E4_2_3_5_mRNA)</v>
      </c>
      <c r="N47" s="72" t="str">
        <f t="shared" si="9"/>
        <v>Peptide46: E4_2_3_5_mRNA -&gt; E4_2_3_5 | (0.278 * E4_2_3_5_mRNA) - (0.000000278 * E4_2_3_5)</v>
      </c>
    </row>
    <row r="48" spans="1:14" ht="29" x14ac:dyDescent="0.35">
      <c r="A48" s="49">
        <v>47</v>
      </c>
      <c r="B48" s="53" t="s">
        <v>14606</v>
      </c>
      <c r="C48" s="49" t="str">
        <f t="shared" si="0"/>
        <v>E2_3_1_243_mRNA</v>
      </c>
      <c r="D48" s="49" t="str">
        <f t="shared" si="1"/>
        <v>E2_3_1_243</v>
      </c>
      <c r="E48" s="64" t="str">
        <f t="shared" si="2"/>
        <v>E2_3_1_243_kcat : 13.7</v>
      </c>
      <c r="F48" s="65" t="str">
        <f t="shared" si="3"/>
        <v>E2_3_1_243_km : 1</v>
      </c>
      <c r="G48" s="66" t="str">
        <f t="shared" ref="G48:H48" si="100">CONCATENATE(C48," : ",C48)</f>
        <v>E2_3_1_243_mRNA : E2_3_1_243_mRNA</v>
      </c>
      <c r="H48" s="67" t="str">
        <f t="shared" si="100"/>
        <v>E2_3_1_243 : E2_3_1_243</v>
      </c>
      <c r="I48" s="44" t="str">
        <f t="shared" ref="I48:J48" si="101">CONCATENATE(C48," : ","0")</f>
        <v>E2_3_1_243_mRNA : 0</v>
      </c>
      <c r="J48" s="68" t="str">
        <f t="shared" si="101"/>
        <v>E2_3_1_243 : 0</v>
      </c>
      <c r="K48" s="69" t="str">
        <f t="shared" si="6"/>
        <v>0.00292 - (0.0093 * E2_3_1_243_mRNA)</v>
      </c>
      <c r="L48" s="70" t="str">
        <f t="shared" si="7"/>
        <v>(0.278 * E2_3_1_243_mRNA) - (0.00000278 * E2_3_1_243)</v>
      </c>
      <c r="M48" s="71" t="str">
        <f t="shared" si="8"/>
        <v>mRNA47: -&gt; E2_3_1_243_mRNA | 0.00292 - (0.0093 * E2_3_1_243_mRNA)</v>
      </c>
      <c r="N48" s="72" t="str">
        <f t="shared" si="9"/>
        <v>Peptide47: E2_3_1_243_mRNA -&gt; E2_3_1_243 | (0.278 * E2_3_1_243_mRNA) - (0.000000278 * E2_3_1_243)</v>
      </c>
    </row>
    <row r="49" spans="1:14" ht="29" x14ac:dyDescent="0.35">
      <c r="A49" s="49">
        <v>48</v>
      </c>
      <c r="B49" s="49" t="s">
        <v>14607</v>
      </c>
      <c r="C49" s="49" t="str">
        <f t="shared" si="0"/>
        <v>E2_7_9_3_mRNA</v>
      </c>
      <c r="D49" s="49" t="str">
        <f t="shared" si="1"/>
        <v>E2_7_9_3</v>
      </c>
      <c r="E49" s="64" t="str">
        <f t="shared" si="2"/>
        <v>E2_7_9_3_kcat : 13.7</v>
      </c>
      <c r="F49" s="65" t="str">
        <f t="shared" si="3"/>
        <v>E2_7_9_3_km : 1</v>
      </c>
      <c r="G49" s="66" t="str">
        <f t="shared" ref="G49:H49" si="102">CONCATENATE(C49," : ",C49)</f>
        <v>E2_7_9_3_mRNA : E2_7_9_3_mRNA</v>
      </c>
      <c r="H49" s="67" t="str">
        <f t="shared" si="102"/>
        <v>E2_7_9_3 : E2_7_9_3</v>
      </c>
      <c r="I49" s="44" t="str">
        <f t="shared" ref="I49:J49" si="103">CONCATENATE(C49," : ","0")</f>
        <v>E2_7_9_3_mRNA : 0</v>
      </c>
      <c r="J49" s="68" t="str">
        <f t="shared" si="103"/>
        <v>E2_7_9_3 : 0</v>
      </c>
      <c r="K49" s="69" t="str">
        <f t="shared" si="6"/>
        <v>0.00292 - (0.0093 * E2_7_9_3_mRNA)</v>
      </c>
      <c r="L49" s="70" t="str">
        <f t="shared" si="7"/>
        <v>(0.278 * E2_7_9_3_mRNA) - (0.00000278 * E2_7_9_3)</v>
      </c>
      <c r="M49" s="71" t="str">
        <f t="shared" si="8"/>
        <v>mRNA48: -&gt; E2_7_9_3_mRNA | 0.00292 - (0.0093 * E2_7_9_3_mRNA)</v>
      </c>
      <c r="N49" s="72" t="str">
        <f t="shared" si="9"/>
        <v>Peptide48: E2_7_9_3_mRNA -&gt; E2_7_9_3 | (0.278 * E2_7_9_3_mRNA) - (0.000000278 * E2_7_9_3)</v>
      </c>
    </row>
    <row r="50" spans="1:14" ht="29" x14ac:dyDescent="0.35">
      <c r="A50" s="49">
        <v>49</v>
      </c>
      <c r="B50" s="49" t="s">
        <v>14608</v>
      </c>
      <c r="C50" s="49" t="str">
        <f t="shared" si="0"/>
        <v>E2_1_1_228_mRNA</v>
      </c>
      <c r="D50" s="49" t="str">
        <f t="shared" si="1"/>
        <v>E2_1_1_228</v>
      </c>
      <c r="E50" s="64" t="str">
        <f t="shared" si="2"/>
        <v>E2_1_1_228_kcat : 13.7</v>
      </c>
      <c r="F50" s="65" t="str">
        <f t="shared" si="3"/>
        <v>E2_1_1_228_km : 1</v>
      </c>
      <c r="G50" s="66" t="str">
        <f t="shared" ref="G50:H50" si="104">CONCATENATE(C50," : ",C50)</f>
        <v>E2_1_1_228_mRNA : E2_1_1_228_mRNA</v>
      </c>
      <c r="H50" s="67" t="str">
        <f t="shared" si="104"/>
        <v>E2_1_1_228 : E2_1_1_228</v>
      </c>
      <c r="I50" s="44" t="str">
        <f t="shared" ref="I50:J50" si="105">CONCATENATE(C50," : ","0")</f>
        <v>E2_1_1_228_mRNA : 0</v>
      </c>
      <c r="J50" s="68" t="str">
        <f t="shared" si="105"/>
        <v>E2_1_1_228 : 0</v>
      </c>
      <c r="K50" s="69" t="str">
        <f t="shared" si="6"/>
        <v>0.00292 - (0.0093 * E2_1_1_228_mRNA)</v>
      </c>
      <c r="L50" s="70" t="str">
        <f t="shared" si="7"/>
        <v>(0.278 * E2_1_1_228_mRNA) - (0.00000278 * E2_1_1_228)</v>
      </c>
      <c r="M50" s="71" t="str">
        <f t="shared" si="8"/>
        <v>mRNA49: -&gt; E2_1_1_228_mRNA | 0.00292 - (0.0093 * E2_1_1_228_mRNA)</v>
      </c>
      <c r="N50" s="72" t="str">
        <f t="shared" si="9"/>
        <v>Peptide49: E2_1_1_228_mRNA -&gt; E2_1_1_228 | (0.278 * E2_1_1_228_mRNA) - (0.000000278 * E2_1_1_228)</v>
      </c>
    </row>
    <row r="51" spans="1:14" ht="29" x14ac:dyDescent="0.35">
      <c r="A51" s="49">
        <v>50</v>
      </c>
      <c r="B51" s="49" t="s">
        <v>14609</v>
      </c>
      <c r="C51" s="49" t="str">
        <f t="shared" si="0"/>
        <v>E2_7_1_71_mRNA</v>
      </c>
      <c r="D51" s="49" t="str">
        <f t="shared" si="1"/>
        <v>E2_7_1_71</v>
      </c>
      <c r="E51" s="64" t="str">
        <f t="shared" si="2"/>
        <v>E2_7_1_71_kcat : 13.7</v>
      </c>
      <c r="F51" s="65" t="str">
        <f t="shared" si="3"/>
        <v>E2_7_1_71_km : 1</v>
      </c>
      <c r="G51" s="66" t="str">
        <f t="shared" ref="G51:H51" si="106">CONCATENATE(C51," : ",C51)</f>
        <v>E2_7_1_71_mRNA : E2_7_1_71_mRNA</v>
      </c>
      <c r="H51" s="67" t="str">
        <f t="shared" si="106"/>
        <v>E2_7_1_71 : E2_7_1_71</v>
      </c>
      <c r="I51" s="44" t="str">
        <f t="shared" ref="I51:J51" si="107">CONCATENATE(C51," : ","0")</f>
        <v>E2_7_1_71_mRNA : 0</v>
      </c>
      <c r="J51" s="68" t="str">
        <f t="shared" si="107"/>
        <v>E2_7_1_71 : 0</v>
      </c>
      <c r="K51" s="69" t="str">
        <f t="shared" si="6"/>
        <v>0.00292 - (0.0093 * E2_7_1_71_mRNA)</v>
      </c>
      <c r="L51" s="70" t="str">
        <f t="shared" si="7"/>
        <v>(0.278 * E2_7_1_71_mRNA) - (0.00000278 * E2_7_1_71)</v>
      </c>
      <c r="M51" s="71" t="str">
        <f t="shared" si="8"/>
        <v>mRNA50: -&gt; E2_7_1_71_mRNA | 0.00292 - (0.0093 * E2_7_1_71_mRNA)</v>
      </c>
      <c r="N51" s="72" t="str">
        <f t="shared" si="9"/>
        <v>Peptide50: E2_7_1_71_mRNA -&gt; E2_7_1_71 | (0.278 * E2_7_1_71_mRNA) - (0.000000278 * E2_7_1_71)</v>
      </c>
    </row>
    <row r="52" spans="1:14" ht="29" x14ac:dyDescent="0.35">
      <c r="A52" s="49">
        <v>51</v>
      </c>
      <c r="B52" s="49" t="s">
        <v>14610</v>
      </c>
      <c r="C52" s="49" t="str">
        <f t="shared" si="0"/>
        <v>E4_2_3_4_mRNA</v>
      </c>
      <c r="D52" s="49" t="str">
        <f t="shared" si="1"/>
        <v>E4_2_3_4</v>
      </c>
      <c r="E52" s="64" t="str">
        <f t="shared" si="2"/>
        <v>E4_2_3_4_kcat : 13.7</v>
      </c>
      <c r="F52" s="65" t="str">
        <f t="shared" si="3"/>
        <v>E4_2_3_4_km : 1</v>
      </c>
      <c r="G52" s="66" t="str">
        <f t="shared" ref="G52:H52" si="108">CONCATENATE(C52," : ",C52)</f>
        <v>E4_2_3_4_mRNA : E4_2_3_4_mRNA</v>
      </c>
      <c r="H52" s="67" t="str">
        <f t="shared" si="108"/>
        <v>E4_2_3_4 : E4_2_3_4</v>
      </c>
      <c r="I52" s="44" t="str">
        <f t="shared" ref="I52:J52" si="109">CONCATENATE(C52," : ","0")</f>
        <v>E4_2_3_4_mRNA : 0</v>
      </c>
      <c r="J52" s="68" t="str">
        <f t="shared" si="109"/>
        <v>E4_2_3_4 : 0</v>
      </c>
      <c r="K52" s="69" t="str">
        <f t="shared" si="6"/>
        <v>0.00292 - (0.0093 * E4_2_3_4_mRNA)</v>
      </c>
      <c r="L52" s="70" t="str">
        <f t="shared" si="7"/>
        <v>(0.278 * E4_2_3_4_mRNA) - (0.00000278 * E4_2_3_4)</v>
      </c>
      <c r="M52" s="71" t="str">
        <f t="shared" si="8"/>
        <v>mRNA51: -&gt; E4_2_3_4_mRNA | 0.00292 - (0.0093 * E4_2_3_4_mRNA)</v>
      </c>
      <c r="N52" s="72" t="str">
        <f t="shared" si="9"/>
        <v>Peptide51: E4_2_3_4_mRNA -&gt; E4_2_3_4 | (0.278 * E4_2_3_4_mRNA) - (0.000000278 * E4_2_3_4)</v>
      </c>
    </row>
    <row r="53" spans="1:14" ht="29" x14ac:dyDescent="0.35">
      <c r="A53" s="49">
        <v>52</v>
      </c>
      <c r="B53" s="49" t="s">
        <v>14611</v>
      </c>
      <c r="C53" s="49" t="str">
        <f t="shared" si="0"/>
        <v>E2_1_1_72_mRNA</v>
      </c>
      <c r="D53" s="49" t="str">
        <f t="shared" si="1"/>
        <v>E2_1_1_72</v>
      </c>
      <c r="E53" s="64" t="str">
        <f t="shared" si="2"/>
        <v>E2_1_1_72_kcat : 13.7</v>
      </c>
      <c r="F53" s="65" t="str">
        <f t="shared" si="3"/>
        <v>E2_1_1_72_km : 1</v>
      </c>
      <c r="G53" s="66" t="str">
        <f t="shared" ref="G53:H53" si="110">CONCATENATE(C53," : ",C53)</f>
        <v>E2_1_1_72_mRNA : E2_1_1_72_mRNA</v>
      </c>
      <c r="H53" s="67" t="str">
        <f t="shared" si="110"/>
        <v>E2_1_1_72 : E2_1_1_72</v>
      </c>
      <c r="I53" s="44" t="str">
        <f t="shared" ref="I53:J53" si="111">CONCATENATE(C53," : ","0")</f>
        <v>E2_1_1_72_mRNA : 0</v>
      </c>
      <c r="J53" s="68" t="str">
        <f t="shared" si="111"/>
        <v>E2_1_1_72 : 0</v>
      </c>
      <c r="K53" s="69" t="str">
        <f t="shared" si="6"/>
        <v>0.00292 - (0.0093 * E2_1_1_72_mRNA)</v>
      </c>
      <c r="L53" s="70" t="str">
        <f t="shared" si="7"/>
        <v>(0.278 * E2_1_1_72_mRNA) - (0.00000278 * E2_1_1_72)</v>
      </c>
      <c r="M53" s="71" t="str">
        <f t="shared" si="8"/>
        <v>mRNA52: -&gt; E2_1_1_72_mRNA | 0.00292 - (0.0093 * E2_1_1_72_mRNA)</v>
      </c>
      <c r="N53" s="72" t="str">
        <f t="shared" si="9"/>
        <v>Peptide52: E2_1_1_72_mRNA -&gt; E2_1_1_72 | (0.278 * E2_1_1_72_mRNA) - (0.000000278 * E2_1_1_72)</v>
      </c>
    </row>
    <row r="54" spans="1:14" ht="29" x14ac:dyDescent="0.35">
      <c r="A54" s="49">
        <v>53</v>
      </c>
      <c r="B54" s="49" t="s">
        <v>14612</v>
      </c>
      <c r="C54" s="49" t="str">
        <f t="shared" si="0"/>
        <v>E3_5_4_25_mRNA</v>
      </c>
      <c r="D54" s="49" t="str">
        <f t="shared" si="1"/>
        <v>E3_5_4_25</v>
      </c>
      <c r="E54" s="64" t="str">
        <f t="shared" si="2"/>
        <v>E3_5_4_25_kcat : 13.7</v>
      </c>
      <c r="F54" s="65" t="str">
        <f t="shared" si="3"/>
        <v>E3_5_4_25_km : 1</v>
      </c>
      <c r="G54" s="66" t="str">
        <f t="shared" ref="G54:H54" si="112">CONCATENATE(C54," : ",C54)</f>
        <v>E3_5_4_25_mRNA : E3_5_4_25_mRNA</v>
      </c>
      <c r="H54" s="67" t="str">
        <f t="shared" si="112"/>
        <v>E3_5_4_25 : E3_5_4_25</v>
      </c>
      <c r="I54" s="44" t="str">
        <f t="shared" ref="I54:J54" si="113">CONCATENATE(C54," : ","0")</f>
        <v>E3_5_4_25_mRNA : 0</v>
      </c>
      <c r="J54" s="68" t="str">
        <f t="shared" si="113"/>
        <v>E3_5_4_25 : 0</v>
      </c>
      <c r="K54" s="69" t="str">
        <f t="shared" si="6"/>
        <v>0.00292 - (0.0093 * E3_5_4_25_mRNA)</v>
      </c>
      <c r="L54" s="70" t="str">
        <f t="shared" si="7"/>
        <v>(0.278 * E3_5_4_25_mRNA) - (0.00000278 * E3_5_4_25)</v>
      </c>
      <c r="M54" s="71" t="str">
        <f t="shared" si="8"/>
        <v>mRNA53: -&gt; E3_5_4_25_mRNA | 0.00292 - (0.0093 * E3_5_4_25_mRNA)</v>
      </c>
      <c r="N54" s="72" t="str">
        <f t="shared" si="9"/>
        <v>Peptide53: E3_5_4_25_mRNA -&gt; E3_5_4_25 | (0.278 * E3_5_4_25_mRNA) - (0.000000278 * E3_5_4_25)</v>
      </c>
    </row>
    <row r="55" spans="1:14" ht="29" x14ac:dyDescent="0.35">
      <c r="A55" s="49">
        <v>54</v>
      </c>
      <c r="B55" s="49" t="s">
        <v>14937</v>
      </c>
      <c r="C55" s="49" t="str">
        <f t="shared" si="0"/>
        <v>E3_4_24_70_mRNA</v>
      </c>
      <c r="D55" s="49" t="str">
        <f t="shared" si="1"/>
        <v>E3_4_24_70</v>
      </c>
      <c r="E55" s="64" t="str">
        <f t="shared" si="2"/>
        <v>E3_4_24_70_kcat : 13.7</v>
      </c>
      <c r="F55" s="65" t="str">
        <f t="shared" si="3"/>
        <v>E3_4_24_70_km : 1</v>
      </c>
      <c r="G55" s="66" t="str">
        <f t="shared" ref="G55:H55" si="114">CONCATENATE(C55," : ",C55)</f>
        <v>E3_4_24_70_mRNA : E3_4_24_70_mRNA</v>
      </c>
      <c r="H55" s="67" t="str">
        <f t="shared" si="114"/>
        <v>E3_4_24_70 : E3_4_24_70</v>
      </c>
      <c r="I55" s="44" t="str">
        <f t="shared" ref="I55:J55" si="115">CONCATENATE(C55," : ","0")</f>
        <v>E3_4_24_70_mRNA : 0</v>
      </c>
      <c r="J55" s="68" t="str">
        <f t="shared" si="115"/>
        <v>E3_4_24_70 : 0</v>
      </c>
      <c r="K55" s="69" t="str">
        <f t="shared" si="6"/>
        <v>0.00292 - (0.0093 * E3_4_24_70_mRNA)</v>
      </c>
      <c r="L55" s="70" t="str">
        <f t="shared" si="7"/>
        <v>(0.278 * E3_4_24_70_mRNA) - (0.00000278 * E3_4_24_70)</v>
      </c>
      <c r="M55" s="71" t="str">
        <f t="shared" si="8"/>
        <v>mRNA54: -&gt; E3_4_24_70_mRNA | 0.00292 - (0.0093 * E3_4_24_70_mRNA)</v>
      </c>
      <c r="N55" s="72" t="str">
        <f t="shared" si="9"/>
        <v>Peptide54: E3_4_24_70_mRNA -&gt; E3_4_24_70 | (0.278 * E3_4_24_70_mRNA) - (0.000000278 * E3_4_24_70)</v>
      </c>
    </row>
    <row r="56" spans="1:14" ht="29" x14ac:dyDescent="0.35">
      <c r="A56" s="49">
        <v>55</v>
      </c>
      <c r="B56" s="49" t="s">
        <v>14613</v>
      </c>
      <c r="C56" s="49" t="str">
        <f t="shared" si="0"/>
        <v>E6_3_4_15_mRNA</v>
      </c>
      <c r="D56" s="49" t="str">
        <f t="shared" si="1"/>
        <v>E6_3_4_15</v>
      </c>
      <c r="E56" s="64" t="str">
        <f t="shared" si="2"/>
        <v>E6_3_4_15_kcat : 13.7</v>
      </c>
      <c r="F56" s="65" t="str">
        <f t="shared" si="3"/>
        <v>E6_3_4_15_km : 1</v>
      </c>
      <c r="G56" s="66" t="str">
        <f t="shared" ref="G56:H56" si="116">CONCATENATE(C56," : ",C56)</f>
        <v>E6_3_4_15_mRNA : E6_3_4_15_mRNA</v>
      </c>
      <c r="H56" s="67" t="str">
        <f t="shared" si="116"/>
        <v>E6_3_4_15 : E6_3_4_15</v>
      </c>
      <c r="I56" s="44" t="str">
        <f t="shared" ref="I56:J56" si="117">CONCATENATE(C56," : ","0")</f>
        <v>E6_3_4_15_mRNA : 0</v>
      </c>
      <c r="J56" s="68" t="str">
        <f t="shared" si="117"/>
        <v>E6_3_4_15 : 0</v>
      </c>
      <c r="K56" s="69" t="str">
        <f t="shared" si="6"/>
        <v>0.00292 - (0.0093 * E6_3_4_15_mRNA)</v>
      </c>
      <c r="L56" s="70" t="str">
        <f t="shared" si="7"/>
        <v>(0.278 * E6_3_4_15_mRNA) - (0.00000278 * E6_3_4_15)</v>
      </c>
      <c r="M56" s="71" t="str">
        <f t="shared" si="8"/>
        <v>mRNA55: -&gt; E6_3_4_15_mRNA | 0.00292 - (0.0093 * E6_3_4_15_mRNA)</v>
      </c>
      <c r="N56" s="72" t="str">
        <f t="shared" si="9"/>
        <v>Peptide55: E6_3_4_15_mRNA -&gt; E6_3_4_15 | (0.278 * E6_3_4_15_mRNA) - (0.000000278 * E6_3_4_15)</v>
      </c>
    </row>
    <row r="57" spans="1:14" ht="29" x14ac:dyDescent="0.35">
      <c r="A57" s="49">
        <v>56</v>
      </c>
      <c r="B57" s="49" t="s">
        <v>14614</v>
      </c>
      <c r="C57" s="49" t="str">
        <f t="shared" si="0"/>
        <v>E1_1_1_205_mRNA</v>
      </c>
      <c r="D57" s="49" t="str">
        <f t="shared" si="1"/>
        <v>E1_1_1_205</v>
      </c>
      <c r="E57" s="64" t="str">
        <f t="shared" si="2"/>
        <v>E1_1_1_205_kcat : 13.7</v>
      </c>
      <c r="F57" s="65" t="str">
        <f t="shared" si="3"/>
        <v>E1_1_1_205_km : 1</v>
      </c>
      <c r="G57" s="66" t="str">
        <f t="shared" ref="G57:H57" si="118">CONCATENATE(C57," : ",C57)</f>
        <v>E1_1_1_205_mRNA : E1_1_1_205_mRNA</v>
      </c>
      <c r="H57" s="67" t="str">
        <f t="shared" si="118"/>
        <v>E1_1_1_205 : E1_1_1_205</v>
      </c>
      <c r="I57" s="44" t="str">
        <f t="shared" ref="I57:J57" si="119">CONCATENATE(C57," : ","0")</f>
        <v>E1_1_1_205_mRNA : 0</v>
      </c>
      <c r="J57" s="68" t="str">
        <f t="shared" si="119"/>
        <v>E1_1_1_205 : 0</v>
      </c>
      <c r="K57" s="69" t="str">
        <f t="shared" si="6"/>
        <v>0.00292 - (0.0093 * E1_1_1_205_mRNA)</v>
      </c>
      <c r="L57" s="70" t="str">
        <f t="shared" si="7"/>
        <v>(0.278 * E1_1_1_205_mRNA) - (0.00000278 * E1_1_1_205)</v>
      </c>
      <c r="M57" s="71" t="str">
        <f t="shared" si="8"/>
        <v>mRNA56: -&gt; E1_1_1_205_mRNA | 0.00292 - (0.0093 * E1_1_1_205_mRNA)</v>
      </c>
      <c r="N57" s="72" t="str">
        <f t="shared" si="9"/>
        <v>Peptide56: E1_1_1_205_mRNA -&gt; E1_1_1_205 | (0.278 * E1_1_1_205_mRNA) - (0.000000278 * E1_1_1_205)</v>
      </c>
    </row>
    <row r="58" spans="1:14" ht="29" x14ac:dyDescent="0.35">
      <c r="A58" s="49">
        <v>57</v>
      </c>
      <c r="B58" s="49" t="s">
        <v>14615</v>
      </c>
      <c r="C58" s="49" t="str">
        <f t="shared" si="0"/>
        <v>E6_3_5_2_mRNA</v>
      </c>
      <c r="D58" s="49" t="str">
        <f t="shared" si="1"/>
        <v>E6_3_5_2</v>
      </c>
      <c r="E58" s="64" t="str">
        <f t="shared" si="2"/>
        <v>E6_3_5_2_kcat : 13.7</v>
      </c>
      <c r="F58" s="65" t="str">
        <f t="shared" si="3"/>
        <v>E6_3_5_2_km : 1</v>
      </c>
      <c r="G58" s="66" t="str">
        <f t="shared" ref="G58:H58" si="120">CONCATENATE(C58," : ",C58)</f>
        <v>E6_3_5_2_mRNA : E6_3_5_2_mRNA</v>
      </c>
      <c r="H58" s="67" t="str">
        <f t="shared" si="120"/>
        <v>E6_3_5_2 : E6_3_5_2</v>
      </c>
      <c r="I58" s="44" t="str">
        <f t="shared" ref="I58:J58" si="121">CONCATENATE(C58," : ","0")</f>
        <v>E6_3_5_2_mRNA : 0</v>
      </c>
      <c r="J58" s="68" t="str">
        <f t="shared" si="121"/>
        <v>E6_3_5_2 : 0</v>
      </c>
      <c r="K58" s="69" t="str">
        <f t="shared" si="6"/>
        <v>0.00292 - (0.0093 * E6_3_5_2_mRNA)</v>
      </c>
      <c r="L58" s="70" t="str">
        <f t="shared" si="7"/>
        <v>(0.278 * E6_3_5_2_mRNA) - (0.00000278 * E6_3_5_2)</v>
      </c>
      <c r="M58" s="71" t="str">
        <f t="shared" si="8"/>
        <v>mRNA57: -&gt; E6_3_5_2_mRNA | 0.00292 - (0.0093 * E6_3_5_2_mRNA)</v>
      </c>
      <c r="N58" s="72" t="str">
        <f t="shared" si="9"/>
        <v>Peptide57: E6_3_5_2_mRNA -&gt; E6_3_5_2 | (0.278 * E6_3_5_2_mRNA) - (0.000000278 * E6_3_5_2)</v>
      </c>
    </row>
    <row r="59" spans="1:14" ht="29" x14ac:dyDescent="0.35">
      <c r="A59" s="49">
        <v>58</v>
      </c>
      <c r="B59" s="49" t="s">
        <v>14616</v>
      </c>
      <c r="C59" s="49" t="str">
        <f t="shared" si="0"/>
        <v>E2_7_7_8_mRNA</v>
      </c>
      <c r="D59" s="49" t="str">
        <f t="shared" si="1"/>
        <v>E2_7_7_8</v>
      </c>
      <c r="E59" s="64" t="str">
        <f t="shared" si="2"/>
        <v>E2_7_7_8_kcat : 13.7</v>
      </c>
      <c r="F59" s="65" t="str">
        <f t="shared" si="3"/>
        <v>E2_7_7_8_km : 1</v>
      </c>
      <c r="G59" s="66" t="str">
        <f t="shared" ref="G59:H59" si="122">CONCATENATE(C59," : ",C59)</f>
        <v>E2_7_7_8_mRNA : E2_7_7_8_mRNA</v>
      </c>
      <c r="H59" s="67" t="str">
        <f t="shared" si="122"/>
        <v>E2_7_7_8 : E2_7_7_8</v>
      </c>
      <c r="I59" s="44" t="str">
        <f t="shared" ref="I59:J59" si="123">CONCATENATE(C59," : ","0")</f>
        <v>E2_7_7_8_mRNA : 0</v>
      </c>
      <c r="J59" s="68" t="str">
        <f t="shared" si="123"/>
        <v>E2_7_7_8 : 0</v>
      </c>
      <c r="K59" s="69" t="str">
        <f t="shared" si="6"/>
        <v>0.00292 - (0.0093 * E2_7_7_8_mRNA)</v>
      </c>
      <c r="L59" s="70" t="str">
        <f t="shared" si="7"/>
        <v>(0.278 * E2_7_7_8_mRNA) - (0.00000278 * E2_7_7_8)</v>
      </c>
      <c r="M59" s="71" t="str">
        <f t="shared" si="8"/>
        <v>mRNA58: -&gt; E2_7_7_8_mRNA | 0.00292 - (0.0093 * E2_7_7_8_mRNA)</v>
      </c>
      <c r="N59" s="72" t="str">
        <f t="shared" si="9"/>
        <v>Peptide58: E2_7_7_8_mRNA -&gt; E2_7_7_8 | (0.278 * E2_7_7_8_mRNA) - (0.000000278 * E2_7_7_8)</v>
      </c>
    </row>
    <row r="60" spans="1:14" ht="29" x14ac:dyDescent="0.35">
      <c r="A60" s="49">
        <v>59</v>
      </c>
      <c r="B60" s="49" t="s">
        <v>14617</v>
      </c>
      <c r="C60" s="49" t="str">
        <f t="shared" si="0"/>
        <v>E1_20_4_1_mRNA</v>
      </c>
      <c r="D60" s="49" t="str">
        <f t="shared" si="1"/>
        <v>E1_20_4_1</v>
      </c>
      <c r="E60" s="64" t="str">
        <f t="shared" si="2"/>
        <v>E1_20_4_1_kcat : 13.7</v>
      </c>
      <c r="F60" s="65" t="str">
        <f t="shared" si="3"/>
        <v>E1_20_4_1_km : 1</v>
      </c>
      <c r="G60" s="66" t="str">
        <f t="shared" ref="G60:H60" si="124">CONCATENATE(C60," : ",C60)</f>
        <v>E1_20_4_1_mRNA : E1_20_4_1_mRNA</v>
      </c>
      <c r="H60" s="67" t="str">
        <f t="shared" si="124"/>
        <v>E1_20_4_1 : E1_20_4_1</v>
      </c>
      <c r="I60" s="44" t="str">
        <f t="shared" ref="I60:J60" si="125">CONCATENATE(C60," : ","0")</f>
        <v>E1_20_4_1_mRNA : 0</v>
      </c>
      <c r="J60" s="68" t="str">
        <f t="shared" si="125"/>
        <v>E1_20_4_1 : 0</v>
      </c>
      <c r="K60" s="69" t="str">
        <f t="shared" si="6"/>
        <v>0.00292 - (0.0093 * E1_20_4_1_mRNA)</v>
      </c>
      <c r="L60" s="70" t="str">
        <f t="shared" si="7"/>
        <v>(0.278 * E1_20_4_1_mRNA) - (0.00000278 * E1_20_4_1)</v>
      </c>
      <c r="M60" s="71" t="str">
        <f t="shared" si="8"/>
        <v>mRNA59: -&gt; E1_20_4_1_mRNA | 0.00292 - (0.0093 * E1_20_4_1_mRNA)</v>
      </c>
      <c r="N60" s="72" t="str">
        <f t="shared" si="9"/>
        <v>Peptide59: E1_20_4_1_mRNA -&gt; E1_20_4_1 | (0.278 * E1_20_4_1_mRNA) - (0.000000278 * E1_20_4_1)</v>
      </c>
    </row>
    <row r="61" spans="1:14" ht="29" x14ac:dyDescent="0.35">
      <c r="A61" s="49">
        <v>60</v>
      </c>
      <c r="B61" s="49" t="s">
        <v>14618</v>
      </c>
      <c r="C61" s="49" t="str">
        <f t="shared" si="0"/>
        <v>E2_4_2_29_mRNA</v>
      </c>
      <c r="D61" s="49" t="str">
        <f t="shared" si="1"/>
        <v>E2_4_2_29</v>
      </c>
      <c r="E61" s="64" t="str">
        <f t="shared" si="2"/>
        <v>E2_4_2_29_kcat : 13.7</v>
      </c>
      <c r="F61" s="65" t="str">
        <f t="shared" si="3"/>
        <v>E2_4_2_29_km : 1</v>
      </c>
      <c r="G61" s="66" t="str">
        <f t="shared" ref="G61:H61" si="126">CONCATENATE(C61," : ",C61)</f>
        <v>E2_4_2_29_mRNA : E2_4_2_29_mRNA</v>
      </c>
      <c r="H61" s="67" t="str">
        <f t="shared" si="126"/>
        <v>E2_4_2_29 : E2_4_2_29</v>
      </c>
      <c r="I61" s="44" t="str">
        <f t="shared" ref="I61:J61" si="127">CONCATENATE(C61," : ","0")</f>
        <v>E2_4_2_29_mRNA : 0</v>
      </c>
      <c r="J61" s="68" t="str">
        <f t="shared" si="127"/>
        <v>E2_4_2_29 : 0</v>
      </c>
      <c r="K61" s="69" t="str">
        <f t="shared" si="6"/>
        <v>0.00292 - (0.0093 * E2_4_2_29_mRNA)</v>
      </c>
      <c r="L61" s="70" t="str">
        <f t="shared" si="7"/>
        <v>(0.278 * E2_4_2_29_mRNA) - (0.00000278 * E2_4_2_29)</v>
      </c>
      <c r="M61" s="71" t="str">
        <f t="shared" si="8"/>
        <v>mRNA60: -&gt; E2_4_2_29_mRNA | 0.00292 - (0.0093 * E2_4_2_29_mRNA)</v>
      </c>
      <c r="N61" s="72" t="str">
        <f t="shared" si="9"/>
        <v>Peptide60: E2_4_2_29_mRNA -&gt; E2_4_2_29 | (0.278 * E2_4_2_29_mRNA) - (0.000000278 * E2_4_2_29)</v>
      </c>
    </row>
    <row r="62" spans="1:14" ht="29" x14ac:dyDescent="0.35">
      <c r="A62" s="49">
        <v>61</v>
      </c>
      <c r="B62" s="49" t="s">
        <v>14619</v>
      </c>
      <c r="C62" s="49" t="str">
        <f t="shared" si="0"/>
        <v>E2_4_99_17_mRNA</v>
      </c>
      <c r="D62" s="49" t="str">
        <f t="shared" si="1"/>
        <v>E2_4_99_17</v>
      </c>
      <c r="E62" s="64" t="str">
        <f t="shared" si="2"/>
        <v>E2_4_99_17_kcat : 13.7</v>
      </c>
      <c r="F62" s="65" t="str">
        <f t="shared" si="3"/>
        <v>E2_4_99_17_km : 1</v>
      </c>
      <c r="G62" s="66" t="str">
        <f t="shared" ref="G62:H62" si="128">CONCATENATE(C62," : ",C62)</f>
        <v>E2_4_99_17_mRNA : E2_4_99_17_mRNA</v>
      </c>
      <c r="H62" s="67" t="str">
        <f t="shared" si="128"/>
        <v>E2_4_99_17 : E2_4_99_17</v>
      </c>
      <c r="I62" s="44" t="str">
        <f t="shared" ref="I62:J62" si="129">CONCATENATE(C62," : ","0")</f>
        <v>E2_4_99_17_mRNA : 0</v>
      </c>
      <c r="J62" s="68" t="str">
        <f t="shared" si="129"/>
        <v>E2_4_99_17 : 0</v>
      </c>
      <c r="K62" s="69" t="str">
        <f t="shared" si="6"/>
        <v>0.00292 - (0.0093 * E2_4_99_17_mRNA)</v>
      </c>
      <c r="L62" s="70" t="str">
        <f t="shared" si="7"/>
        <v>(0.278 * E2_4_99_17_mRNA) - (0.00000278 * E2_4_99_17)</v>
      </c>
      <c r="M62" s="71" t="str">
        <f t="shared" si="8"/>
        <v>mRNA61: -&gt; E2_4_99_17_mRNA | 0.00292 - (0.0093 * E2_4_99_17_mRNA)</v>
      </c>
      <c r="N62" s="72" t="str">
        <f t="shared" si="9"/>
        <v>Peptide61: E2_4_99_17_mRNA -&gt; E2_4_99_17 | (0.278 * E2_4_99_17_mRNA) - (0.000000278 * E2_4_99_17)</v>
      </c>
    </row>
    <row r="63" spans="1:14" ht="29" x14ac:dyDescent="0.35">
      <c r="A63" s="49">
        <v>62</v>
      </c>
      <c r="B63" s="49" t="s">
        <v>14620</v>
      </c>
      <c r="C63" s="49" t="str">
        <f t="shared" si="0"/>
        <v>E4_3_3_7_mRNA</v>
      </c>
      <c r="D63" s="49" t="str">
        <f t="shared" si="1"/>
        <v>E4_3_3_7</v>
      </c>
      <c r="E63" s="64" t="str">
        <f t="shared" si="2"/>
        <v>E4_3_3_7_kcat : 13.7</v>
      </c>
      <c r="F63" s="65" t="str">
        <f t="shared" si="3"/>
        <v>E4_3_3_7_km : 1</v>
      </c>
      <c r="G63" s="66" t="str">
        <f t="shared" ref="G63:H63" si="130">CONCATENATE(C63," : ",C63)</f>
        <v>E4_3_3_7_mRNA : E4_3_3_7_mRNA</v>
      </c>
      <c r="H63" s="67" t="str">
        <f t="shared" si="130"/>
        <v>E4_3_3_7 : E4_3_3_7</v>
      </c>
      <c r="I63" s="44" t="str">
        <f t="shared" ref="I63:J63" si="131">CONCATENATE(C63," : ","0")</f>
        <v>E4_3_3_7_mRNA : 0</v>
      </c>
      <c r="J63" s="68" t="str">
        <f t="shared" si="131"/>
        <v>E4_3_3_7 : 0</v>
      </c>
      <c r="K63" s="69" t="str">
        <f t="shared" si="6"/>
        <v>0.00292 - (0.0093 * E4_3_3_7_mRNA)</v>
      </c>
      <c r="L63" s="70" t="str">
        <f t="shared" si="7"/>
        <v>(0.278 * E4_3_3_7_mRNA) - (0.00000278 * E4_3_3_7)</v>
      </c>
      <c r="M63" s="71" t="str">
        <f t="shared" si="8"/>
        <v>mRNA62: -&gt; E4_3_3_7_mRNA | 0.00292 - (0.0093 * E4_3_3_7_mRNA)</v>
      </c>
      <c r="N63" s="72" t="str">
        <f t="shared" si="9"/>
        <v>Peptide62: E4_3_3_7_mRNA -&gt; E4_3_3_7 | (0.278 * E4_3_3_7_mRNA) - (0.000000278 * E4_3_3_7)</v>
      </c>
    </row>
    <row r="64" spans="1:14" ht="29" x14ac:dyDescent="0.35">
      <c r="A64" s="49">
        <v>63</v>
      </c>
      <c r="B64" s="53" t="s">
        <v>14621</v>
      </c>
      <c r="C64" s="49" t="str">
        <f t="shared" si="0"/>
        <v>E2_7_1_166_mRNA</v>
      </c>
      <c r="D64" s="49" t="str">
        <f t="shared" si="1"/>
        <v>E2_7_1_166</v>
      </c>
      <c r="E64" s="64" t="str">
        <f t="shared" si="2"/>
        <v>E2_7_1_166_kcat : 13.7</v>
      </c>
      <c r="F64" s="65" t="str">
        <f t="shared" si="3"/>
        <v>E2_7_1_166_km : 1</v>
      </c>
      <c r="G64" s="66" t="str">
        <f t="shared" ref="G64:H64" si="132">CONCATENATE(C64," : ",C64)</f>
        <v>E2_7_1_166_mRNA : E2_7_1_166_mRNA</v>
      </c>
      <c r="H64" s="67" t="str">
        <f t="shared" si="132"/>
        <v>E2_7_1_166 : E2_7_1_166</v>
      </c>
      <c r="I64" s="44" t="str">
        <f t="shared" ref="I64:J64" si="133">CONCATENATE(C64," : ","0")</f>
        <v>E2_7_1_166_mRNA : 0</v>
      </c>
      <c r="J64" s="68" t="str">
        <f t="shared" si="133"/>
        <v>E2_7_1_166 : 0</v>
      </c>
      <c r="K64" s="69" t="str">
        <f t="shared" si="6"/>
        <v>0.00292 - (0.0093 * E2_7_1_166_mRNA)</v>
      </c>
      <c r="L64" s="70" t="str">
        <f t="shared" si="7"/>
        <v>(0.278 * E2_7_1_166_mRNA) - (0.00000278 * E2_7_1_166)</v>
      </c>
      <c r="M64" s="71" t="str">
        <f t="shared" si="8"/>
        <v>mRNA63: -&gt; E2_7_1_166_mRNA | 0.00292 - (0.0093 * E2_7_1_166_mRNA)</v>
      </c>
      <c r="N64" s="72" t="str">
        <f t="shared" si="9"/>
        <v>Peptide63: E2_7_1_166_mRNA -&gt; E2_7_1_166 | (0.278 * E2_7_1_166_mRNA) - (0.000000278 * E2_7_1_166)</v>
      </c>
    </row>
    <row r="65" spans="1:14" ht="29" x14ac:dyDescent="0.35">
      <c r="A65" s="49">
        <v>64</v>
      </c>
      <c r="B65" s="49" t="s">
        <v>14622</v>
      </c>
      <c r="C65" s="49" t="str">
        <f t="shared" si="0"/>
        <v>E4_1_2_25_mRNA</v>
      </c>
      <c r="D65" s="49" t="str">
        <f t="shared" si="1"/>
        <v>E4_1_2_25</v>
      </c>
      <c r="E65" s="64" t="str">
        <f t="shared" si="2"/>
        <v>E4_1_2_25_kcat : 13.7</v>
      </c>
      <c r="F65" s="65" t="str">
        <f t="shared" si="3"/>
        <v>E4_1_2_25_km : 1</v>
      </c>
      <c r="G65" s="66" t="str">
        <f t="shared" ref="G65:H65" si="134">CONCATENATE(C65," : ",C65)</f>
        <v>E4_1_2_25_mRNA : E4_1_2_25_mRNA</v>
      </c>
      <c r="H65" s="67" t="str">
        <f t="shared" si="134"/>
        <v>E4_1_2_25 : E4_1_2_25</v>
      </c>
      <c r="I65" s="44" t="str">
        <f t="shared" ref="I65:J65" si="135">CONCATENATE(C65," : ","0")</f>
        <v>E4_1_2_25_mRNA : 0</v>
      </c>
      <c r="J65" s="68" t="str">
        <f t="shared" si="135"/>
        <v>E4_1_2_25 : 0</v>
      </c>
      <c r="K65" s="69" t="str">
        <f t="shared" si="6"/>
        <v>0.00292 - (0.0093 * E4_1_2_25_mRNA)</v>
      </c>
      <c r="L65" s="70" t="str">
        <f t="shared" si="7"/>
        <v>(0.278 * E4_1_2_25_mRNA) - (0.00000278 * E4_1_2_25)</v>
      </c>
      <c r="M65" s="71" t="str">
        <f t="shared" si="8"/>
        <v>mRNA64: -&gt; E4_1_2_25_mRNA | 0.00292 - (0.0093 * E4_1_2_25_mRNA)</v>
      </c>
      <c r="N65" s="72" t="str">
        <f t="shared" si="9"/>
        <v>Peptide64: E4_1_2_25_mRNA -&gt; E4_1_2_25 | (0.278 * E4_1_2_25_mRNA) - (0.000000278 * E4_1_2_25)</v>
      </c>
    </row>
    <row r="66" spans="1:14" ht="29" x14ac:dyDescent="0.35">
      <c r="A66" s="49">
        <v>65</v>
      </c>
      <c r="B66" s="49" t="s">
        <v>14623</v>
      </c>
      <c r="C66" s="49" t="str">
        <f t="shared" si="0"/>
        <v>E2_3_1_15_mRNA</v>
      </c>
      <c r="D66" s="49" t="str">
        <f t="shared" si="1"/>
        <v>E2_3_1_15</v>
      </c>
      <c r="E66" s="64" t="str">
        <f t="shared" si="2"/>
        <v>E2_3_1_15_kcat : 13.7</v>
      </c>
      <c r="F66" s="65" t="str">
        <f t="shared" si="3"/>
        <v>E2_3_1_15_km : 1</v>
      </c>
      <c r="G66" s="66" t="str">
        <f t="shared" ref="G66:H66" si="136">CONCATENATE(C66," : ",C66)</f>
        <v>E2_3_1_15_mRNA : E2_3_1_15_mRNA</v>
      </c>
      <c r="H66" s="67" t="str">
        <f t="shared" si="136"/>
        <v>E2_3_1_15 : E2_3_1_15</v>
      </c>
      <c r="I66" s="44" t="str">
        <f t="shared" ref="I66:J66" si="137">CONCATENATE(C66," : ","0")</f>
        <v>E2_3_1_15_mRNA : 0</v>
      </c>
      <c r="J66" s="68" t="str">
        <f t="shared" si="137"/>
        <v>E2_3_1_15 : 0</v>
      </c>
      <c r="K66" s="69" t="str">
        <f t="shared" si="6"/>
        <v>0.00292 - (0.0093 * E2_3_1_15_mRNA)</v>
      </c>
      <c r="L66" s="70" t="str">
        <f t="shared" si="7"/>
        <v>(0.278 * E2_3_1_15_mRNA) - (0.00000278 * E2_3_1_15)</v>
      </c>
      <c r="M66" s="71" t="str">
        <f t="shared" si="8"/>
        <v>mRNA65: -&gt; E2_3_1_15_mRNA | 0.00292 - (0.0093 * E2_3_1_15_mRNA)</v>
      </c>
      <c r="N66" s="72" t="str">
        <f t="shared" si="9"/>
        <v>Peptide65: E2_3_1_15_mRNA -&gt; E2_3_1_15 | (0.278 * E2_3_1_15_mRNA) - (0.000000278 * E2_3_1_15)</v>
      </c>
    </row>
    <row r="67" spans="1:14" ht="29" x14ac:dyDescent="0.35">
      <c r="A67" s="49">
        <v>66</v>
      </c>
      <c r="B67" s="49" t="s">
        <v>14938</v>
      </c>
      <c r="C67" s="49" t="str">
        <f t="shared" si="0"/>
        <v>E2_7_13_3_mRNA</v>
      </c>
      <c r="D67" s="49" t="str">
        <f t="shared" si="1"/>
        <v>E2_7_13_3</v>
      </c>
      <c r="E67" s="64" t="str">
        <f t="shared" si="2"/>
        <v>E2_7_13_3_kcat : 13.7</v>
      </c>
      <c r="F67" s="65" t="str">
        <f t="shared" si="3"/>
        <v>E2_7_13_3_km : 1</v>
      </c>
      <c r="G67" s="66" t="str">
        <f t="shared" ref="G67:H67" si="138">CONCATENATE(C67," : ",C67)</f>
        <v>E2_7_13_3_mRNA : E2_7_13_3_mRNA</v>
      </c>
      <c r="H67" s="67" t="str">
        <f t="shared" si="138"/>
        <v>E2_7_13_3 : E2_7_13_3</v>
      </c>
      <c r="I67" s="44" t="str">
        <f t="shared" ref="I67:J67" si="139">CONCATENATE(C67," : ","0")</f>
        <v>E2_7_13_3_mRNA : 0</v>
      </c>
      <c r="J67" s="68" t="str">
        <f t="shared" si="139"/>
        <v>E2_7_13_3 : 0</v>
      </c>
      <c r="K67" s="69" t="str">
        <f t="shared" si="6"/>
        <v>0.00292 - (0.0093 * E2_7_13_3_mRNA)</v>
      </c>
      <c r="L67" s="70" t="str">
        <f t="shared" si="7"/>
        <v>(0.278 * E2_7_13_3_mRNA) - (0.00000278 * E2_7_13_3)</v>
      </c>
      <c r="M67" s="71" t="str">
        <f t="shared" si="8"/>
        <v>mRNA66: -&gt; E2_7_13_3_mRNA | 0.00292 - (0.0093 * E2_7_13_3_mRNA)</v>
      </c>
      <c r="N67" s="72" t="str">
        <f t="shared" si="9"/>
        <v>Peptide66: E2_7_13_3_mRNA -&gt; E2_7_13_3 | (0.278 * E2_7_13_3_mRNA) - (0.000000278 * E2_7_13_3)</v>
      </c>
    </row>
    <row r="68" spans="1:14" ht="29" x14ac:dyDescent="0.35">
      <c r="A68" s="49">
        <v>67</v>
      </c>
      <c r="B68" s="49" t="s">
        <v>14624</v>
      </c>
      <c r="C68" s="49" t="str">
        <f t="shared" si="0"/>
        <v>E1_3_1_98_mRNA</v>
      </c>
      <c r="D68" s="49" t="str">
        <f t="shared" si="1"/>
        <v>E1_3_1_98</v>
      </c>
      <c r="E68" s="64" t="str">
        <f t="shared" si="2"/>
        <v>E1_3_1_98_kcat : 13.7</v>
      </c>
      <c r="F68" s="65" t="str">
        <f t="shared" si="3"/>
        <v>E1_3_1_98_km : 1</v>
      </c>
      <c r="G68" s="66" t="str">
        <f t="shared" ref="G68:H68" si="140">CONCATENATE(C68," : ",C68)</f>
        <v>E1_3_1_98_mRNA : E1_3_1_98_mRNA</v>
      </c>
      <c r="H68" s="67" t="str">
        <f t="shared" si="140"/>
        <v>E1_3_1_98 : E1_3_1_98</v>
      </c>
      <c r="I68" s="44" t="str">
        <f t="shared" ref="I68:J68" si="141">CONCATENATE(C68," : ","0")</f>
        <v>E1_3_1_98_mRNA : 0</v>
      </c>
      <c r="J68" s="68" t="str">
        <f t="shared" si="141"/>
        <v>E1_3_1_98 : 0</v>
      </c>
      <c r="K68" s="69" t="str">
        <f t="shared" si="6"/>
        <v>0.00292 - (0.0093 * E1_3_1_98_mRNA)</v>
      </c>
      <c r="L68" s="70" t="str">
        <f t="shared" si="7"/>
        <v>(0.278 * E1_3_1_98_mRNA) - (0.00000278 * E1_3_1_98)</v>
      </c>
      <c r="M68" s="71" t="str">
        <f t="shared" si="8"/>
        <v>mRNA67: -&gt; E1_3_1_98_mRNA | 0.00292 - (0.0093 * E1_3_1_98_mRNA)</v>
      </c>
      <c r="N68" s="72" t="str">
        <f t="shared" si="9"/>
        <v>Peptide67: E1_3_1_98_mRNA -&gt; E1_3_1_98 | (0.278 * E1_3_1_98_mRNA) - (0.000000278 * E1_3_1_98)</v>
      </c>
    </row>
    <row r="69" spans="1:14" ht="29" x14ac:dyDescent="0.35">
      <c r="A69" s="49">
        <v>68</v>
      </c>
      <c r="B69" s="49" t="s">
        <v>14625</v>
      </c>
      <c r="C69" s="49" t="str">
        <f t="shared" si="0"/>
        <v>E2_4_2_10_mRNA</v>
      </c>
      <c r="D69" s="49" t="str">
        <f t="shared" si="1"/>
        <v>E2_4_2_10</v>
      </c>
      <c r="E69" s="64" t="str">
        <f t="shared" si="2"/>
        <v>E2_4_2_10_kcat : 13.7</v>
      </c>
      <c r="F69" s="65" t="str">
        <f t="shared" si="3"/>
        <v>E2_4_2_10_km : 1</v>
      </c>
      <c r="G69" s="66" t="str">
        <f t="shared" ref="G69:H69" si="142">CONCATENATE(C69," : ",C69)</f>
        <v>E2_4_2_10_mRNA : E2_4_2_10_mRNA</v>
      </c>
      <c r="H69" s="67" t="str">
        <f t="shared" si="142"/>
        <v>E2_4_2_10 : E2_4_2_10</v>
      </c>
      <c r="I69" s="44" t="str">
        <f t="shared" ref="I69:J69" si="143">CONCATENATE(C69," : ","0")</f>
        <v>E2_4_2_10_mRNA : 0</v>
      </c>
      <c r="J69" s="68" t="str">
        <f t="shared" si="143"/>
        <v>E2_4_2_10 : 0</v>
      </c>
      <c r="K69" s="69" t="str">
        <f t="shared" si="6"/>
        <v>0.00292 - (0.0093 * E2_4_2_10_mRNA)</v>
      </c>
      <c r="L69" s="70" t="str">
        <f t="shared" si="7"/>
        <v>(0.278 * E2_4_2_10_mRNA) - (0.00000278 * E2_4_2_10)</v>
      </c>
      <c r="M69" s="71" t="str">
        <f t="shared" si="8"/>
        <v>mRNA68: -&gt; E2_4_2_10_mRNA | 0.00292 - (0.0093 * E2_4_2_10_mRNA)</v>
      </c>
      <c r="N69" s="72" t="str">
        <f t="shared" si="9"/>
        <v>Peptide68: E2_4_2_10_mRNA -&gt; E2_4_2_10 | (0.278 * E2_4_2_10_mRNA) - (0.000000278 * E2_4_2_10)</v>
      </c>
    </row>
    <row r="70" spans="1:14" ht="29" x14ac:dyDescent="0.35">
      <c r="A70" s="49">
        <v>69</v>
      </c>
      <c r="B70" s="53" t="s">
        <v>14626</v>
      </c>
      <c r="C70" s="49" t="str">
        <f t="shared" si="0"/>
        <v>E6_1_1_17_mRNA</v>
      </c>
      <c r="D70" s="49" t="str">
        <f t="shared" si="1"/>
        <v>E6_1_1_17</v>
      </c>
      <c r="E70" s="64" t="str">
        <f t="shared" si="2"/>
        <v>E6_1_1_17_kcat : 13.7</v>
      </c>
      <c r="F70" s="65" t="str">
        <f t="shared" si="3"/>
        <v>E6_1_1_17_km : 1</v>
      </c>
      <c r="G70" s="66" t="str">
        <f t="shared" ref="G70:H70" si="144">CONCATENATE(C70," : ",C70)</f>
        <v>E6_1_1_17_mRNA : E6_1_1_17_mRNA</v>
      </c>
      <c r="H70" s="67" t="str">
        <f t="shared" si="144"/>
        <v>E6_1_1_17 : E6_1_1_17</v>
      </c>
      <c r="I70" s="44" t="str">
        <f t="shared" ref="I70:J70" si="145">CONCATENATE(C70," : ","0")</f>
        <v>E6_1_1_17_mRNA : 0</v>
      </c>
      <c r="J70" s="68" t="str">
        <f t="shared" si="145"/>
        <v>E6_1_1_17 : 0</v>
      </c>
      <c r="K70" s="69" t="str">
        <f t="shared" si="6"/>
        <v>0.00292 - (0.0093 * E6_1_1_17_mRNA)</v>
      </c>
      <c r="L70" s="70" t="str">
        <f t="shared" si="7"/>
        <v>(0.278 * E6_1_1_17_mRNA) - (0.00000278 * E6_1_1_17)</v>
      </c>
      <c r="M70" s="71" t="str">
        <f t="shared" si="8"/>
        <v>mRNA69: -&gt; E6_1_1_17_mRNA | 0.00292 - (0.0093 * E6_1_1_17_mRNA)</v>
      </c>
      <c r="N70" s="72" t="str">
        <f t="shared" si="9"/>
        <v>Peptide69: E6_1_1_17_mRNA -&gt; E6_1_1_17 | (0.278 * E6_1_1_17_mRNA) - (0.000000278 * E6_1_1_17)</v>
      </c>
    </row>
    <row r="71" spans="1:14" ht="29" x14ac:dyDescent="0.35">
      <c r="A71" s="49">
        <v>70</v>
      </c>
      <c r="B71" s="49" t="s">
        <v>14627</v>
      </c>
      <c r="C71" s="49" t="str">
        <f t="shared" si="0"/>
        <v>E2_4_2_3_mRNA</v>
      </c>
      <c r="D71" s="49" t="str">
        <f t="shared" si="1"/>
        <v>E2_4_2_3</v>
      </c>
      <c r="E71" s="64" t="str">
        <f t="shared" si="2"/>
        <v>E2_4_2_3_kcat : 13.7</v>
      </c>
      <c r="F71" s="65" t="str">
        <f t="shared" si="3"/>
        <v>E2_4_2_3_km : 1</v>
      </c>
      <c r="G71" s="66" t="str">
        <f t="shared" ref="G71:H71" si="146">CONCATENATE(C71," : ",C71)</f>
        <v>E2_4_2_3_mRNA : E2_4_2_3_mRNA</v>
      </c>
      <c r="H71" s="67" t="str">
        <f t="shared" si="146"/>
        <v>E2_4_2_3 : E2_4_2_3</v>
      </c>
      <c r="I71" s="44" t="str">
        <f t="shared" ref="I71:J71" si="147">CONCATENATE(C71," : ","0")</f>
        <v>E2_4_2_3_mRNA : 0</v>
      </c>
      <c r="J71" s="68" t="str">
        <f t="shared" si="147"/>
        <v>E2_4_2_3 : 0</v>
      </c>
      <c r="K71" s="69" t="str">
        <f t="shared" si="6"/>
        <v>0.00292 - (0.0093 * E2_4_2_3_mRNA)</v>
      </c>
      <c r="L71" s="70" t="str">
        <f t="shared" si="7"/>
        <v>(0.278 * E2_4_2_3_mRNA) - (0.00000278 * E2_4_2_3)</v>
      </c>
      <c r="M71" s="71" t="str">
        <f t="shared" si="8"/>
        <v>mRNA70: -&gt; E2_4_2_3_mRNA | 0.00292 - (0.0093 * E2_4_2_3_mRNA)</v>
      </c>
      <c r="N71" s="72" t="str">
        <f t="shared" si="9"/>
        <v>Peptide70: E2_4_2_3_mRNA -&gt; E2_4_2_3 | (0.278 * E2_4_2_3_mRNA) - (0.000000278 * E2_4_2_3)</v>
      </c>
    </row>
    <row r="72" spans="1:14" ht="29" x14ac:dyDescent="0.35">
      <c r="A72" s="49">
        <v>71</v>
      </c>
      <c r="B72" s="49" t="s">
        <v>14628</v>
      </c>
      <c r="C72" s="49" t="str">
        <f t="shared" si="0"/>
        <v>E4_2_99_20_mRNA</v>
      </c>
      <c r="D72" s="49" t="str">
        <f t="shared" si="1"/>
        <v>E4_2_99_20</v>
      </c>
      <c r="E72" s="64" t="str">
        <f t="shared" si="2"/>
        <v>E4_2_99_20_kcat : 13.7</v>
      </c>
      <c r="F72" s="65" t="str">
        <f t="shared" si="3"/>
        <v>E4_2_99_20_km : 1</v>
      </c>
      <c r="G72" s="66" t="str">
        <f t="shared" ref="G72:H72" si="148">CONCATENATE(C72," : ",C72)</f>
        <v>E4_2_99_20_mRNA : E4_2_99_20_mRNA</v>
      </c>
      <c r="H72" s="67" t="str">
        <f t="shared" si="148"/>
        <v>E4_2_99_20 : E4_2_99_20</v>
      </c>
      <c r="I72" s="44" t="str">
        <f t="shared" ref="I72:J72" si="149">CONCATENATE(C72," : ","0")</f>
        <v>E4_2_99_20_mRNA : 0</v>
      </c>
      <c r="J72" s="68" t="str">
        <f t="shared" si="149"/>
        <v>E4_2_99_20 : 0</v>
      </c>
      <c r="K72" s="69" t="str">
        <f t="shared" si="6"/>
        <v>0.00292 - (0.0093 * E4_2_99_20_mRNA)</v>
      </c>
      <c r="L72" s="70" t="str">
        <f t="shared" si="7"/>
        <v>(0.278 * E4_2_99_20_mRNA) - (0.00000278 * E4_2_99_20)</v>
      </c>
      <c r="M72" s="71" t="str">
        <f t="shared" si="8"/>
        <v>mRNA71: -&gt; E4_2_99_20_mRNA | 0.00292 - (0.0093 * E4_2_99_20_mRNA)</v>
      </c>
      <c r="N72" s="72" t="str">
        <f t="shared" si="9"/>
        <v>Peptide71: E4_2_99_20_mRNA -&gt; E4_2_99_20 | (0.278 * E4_2_99_20_mRNA) - (0.000000278 * E4_2_99_20)</v>
      </c>
    </row>
    <row r="73" spans="1:14" ht="29" x14ac:dyDescent="0.35">
      <c r="A73" s="49">
        <v>72</v>
      </c>
      <c r="B73" s="53" t="s">
        <v>14629</v>
      </c>
      <c r="C73" s="49" t="str">
        <f t="shared" si="0"/>
        <v>E2_2_1_9_mRNA</v>
      </c>
      <c r="D73" s="49" t="str">
        <f t="shared" si="1"/>
        <v>E2_2_1_9</v>
      </c>
      <c r="E73" s="64" t="str">
        <f t="shared" si="2"/>
        <v>E2_2_1_9_kcat : 13.7</v>
      </c>
      <c r="F73" s="65" t="str">
        <f t="shared" si="3"/>
        <v>E2_2_1_9_km : 1</v>
      </c>
      <c r="G73" s="66" t="str">
        <f t="shared" ref="G73:H73" si="150">CONCATENATE(C73," : ",C73)</f>
        <v>E2_2_1_9_mRNA : E2_2_1_9_mRNA</v>
      </c>
      <c r="H73" s="67" t="str">
        <f t="shared" si="150"/>
        <v>E2_2_1_9 : E2_2_1_9</v>
      </c>
      <c r="I73" s="44" t="str">
        <f t="shared" ref="I73:J73" si="151">CONCATENATE(C73," : ","0")</f>
        <v>E2_2_1_9_mRNA : 0</v>
      </c>
      <c r="J73" s="68" t="str">
        <f t="shared" si="151"/>
        <v>E2_2_1_9 : 0</v>
      </c>
      <c r="K73" s="69" t="str">
        <f t="shared" si="6"/>
        <v>0.00292 - (0.0093 * E2_2_1_9_mRNA)</v>
      </c>
      <c r="L73" s="70" t="str">
        <f t="shared" si="7"/>
        <v>(0.278 * E2_2_1_9_mRNA) - (0.00000278 * E2_2_1_9)</v>
      </c>
      <c r="M73" s="71" t="str">
        <f t="shared" si="8"/>
        <v>mRNA72: -&gt; E2_2_1_9_mRNA | 0.00292 - (0.0093 * E2_2_1_9_mRNA)</v>
      </c>
      <c r="N73" s="72" t="str">
        <f t="shared" si="9"/>
        <v>Peptide72: E2_2_1_9_mRNA -&gt; E2_2_1_9 | (0.278 * E2_2_1_9_mRNA) - (0.000000278 * E2_2_1_9)</v>
      </c>
    </row>
    <row r="74" spans="1:14" ht="29" x14ac:dyDescent="0.35">
      <c r="A74" s="49">
        <v>73</v>
      </c>
      <c r="B74" s="49" t="s">
        <v>14630</v>
      </c>
      <c r="C74" s="49" t="str">
        <f t="shared" si="0"/>
        <v>E4_3_1_17_mRNA</v>
      </c>
      <c r="D74" s="49" t="str">
        <f t="shared" si="1"/>
        <v>E4_3_1_17</v>
      </c>
      <c r="E74" s="64" t="str">
        <f t="shared" si="2"/>
        <v>E4_3_1_17_kcat : 13.7</v>
      </c>
      <c r="F74" s="65" t="str">
        <f t="shared" si="3"/>
        <v>E4_3_1_17_km : 1</v>
      </c>
      <c r="G74" s="66" t="str">
        <f t="shared" ref="G74:H74" si="152">CONCATENATE(C74," : ",C74)</f>
        <v>E4_3_1_17_mRNA : E4_3_1_17_mRNA</v>
      </c>
      <c r="H74" s="67" t="str">
        <f t="shared" si="152"/>
        <v>E4_3_1_17 : E4_3_1_17</v>
      </c>
      <c r="I74" s="44" t="str">
        <f t="shared" ref="I74:J74" si="153">CONCATENATE(C74," : ","0")</f>
        <v>E4_3_1_17_mRNA : 0</v>
      </c>
      <c r="J74" s="68" t="str">
        <f t="shared" si="153"/>
        <v>E4_3_1_17 : 0</v>
      </c>
      <c r="K74" s="69" t="str">
        <f t="shared" si="6"/>
        <v>0.00292 - (0.0093 * E4_3_1_17_mRNA)</v>
      </c>
      <c r="L74" s="70" t="str">
        <f t="shared" si="7"/>
        <v>(0.278 * E4_3_1_17_mRNA) - (0.00000278 * E4_3_1_17)</v>
      </c>
      <c r="M74" s="71" t="str">
        <f t="shared" si="8"/>
        <v>mRNA73: -&gt; E4_3_1_17_mRNA | 0.00292 - (0.0093 * E4_3_1_17_mRNA)</v>
      </c>
      <c r="N74" s="72" t="str">
        <f t="shared" si="9"/>
        <v>Peptide73: E4_3_1_17_mRNA -&gt; E4_3_1_17 | (0.278 * E4_3_1_17_mRNA) - (0.000000278 * E4_3_1_17)</v>
      </c>
    </row>
    <row r="75" spans="1:14" ht="29" x14ac:dyDescent="0.35">
      <c r="A75" s="49">
        <v>74</v>
      </c>
      <c r="B75" s="49" t="s">
        <v>14939</v>
      </c>
      <c r="C75" s="49" t="str">
        <f t="shared" si="0"/>
        <v>E2_1_1_193_mRNA</v>
      </c>
      <c r="D75" s="49" t="str">
        <f t="shared" si="1"/>
        <v>E2_1_1_193</v>
      </c>
      <c r="E75" s="64" t="str">
        <f t="shared" si="2"/>
        <v>E2_1_1_193_kcat : 13.7</v>
      </c>
      <c r="F75" s="65" t="str">
        <f t="shared" si="3"/>
        <v>E2_1_1_193_km : 1</v>
      </c>
      <c r="G75" s="66" t="str">
        <f t="shared" ref="G75:H75" si="154">CONCATENATE(C75," : ",C75)</f>
        <v>E2_1_1_193_mRNA : E2_1_1_193_mRNA</v>
      </c>
      <c r="H75" s="67" t="str">
        <f t="shared" si="154"/>
        <v>E2_1_1_193 : E2_1_1_193</v>
      </c>
      <c r="I75" s="44" t="str">
        <f t="shared" ref="I75:J75" si="155">CONCATENATE(C75," : ","0")</f>
        <v>E2_1_1_193_mRNA : 0</v>
      </c>
      <c r="J75" s="68" t="str">
        <f t="shared" si="155"/>
        <v>E2_1_1_193 : 0</v>
      </c>
      <c r="K75" s="69" t="str">
        <f t="shared" si="6"/>
        <v>0.00292 - (0.0093 * E2_1_1_193_mRNA)</v>
      </c>
      <c r="L75" s="70" t="str">
        <f t="shared" si="7"/>
        <v>(0.278 * E2_1_1_193_mRNA) - (0.00000278 * E2_1_1_193)</v>
      </c>
      <c r="M75" s="71" t="str">
        <f t="shared" si="8"/>
        <v>mRNA74: -&gt; E2_1_1_193_mRNA | 0.00292 - (0.0093 * E2_1_1_193_mRNA)</v>
      </c>
      <c r="N75" s="72" t="str">
        <f t="shared" si="9"/>
        <v>Peptide74: E2_1_1_193_mRNA -&gt; E2_1_1_193 | (0.278 * E2_1_1_193_mRNA) - (0.000000278 * E2_1_1_193)</v>
      </c>
    </row>
    <row r="76" spans="1:14" ht="29" x14ac:dyDescent="0.35">
      <c r="A76" s="49">
        <v>75</v>
      </c>
      <c r="B76" s="49" t="s">
        <v>14940</v>
      </c>
      <c r="C76" s="49" t="str">
        <f t="shared" si="0"/>
        <v>E3_1_22_4_mRNA</v>
      </c>
      <c r="D76" s="49" t="str">
        <f t="shared" si="1"/>
        <v>E3_1_22_4</v>
      </c>
      <c r="E76" s="64" t="str">
        <f t="shared" si="2"/>
        <v>E3_1_22_4_kcat : 13.7</v>
      </c>
      <c r="F76" s="65" t="str">
        <f t="shared" si="3"/>
        <v>E3_1_22_4_km : 1</v>
      </c>
      <c r="G76" s="66" t="str">
        <f t="shared" ref="G76:H76" si="156">CONCATENATE(C76," : ",C76)</f>
        <v>E3_1_22_4_mRNA : E3_1_22_4_mRNA</v>
      </c>
      <c r="H76" s="67" t="str">
        <f t="shared" si="156"/>
        <v>E3_1_22_4 : E3_1_22_4</v>
      </c>
      <c r="I76" s="44" t="str">
        <f t="shared" ref="I76:J76" si="157">CONCATENATE(C76," : ","0")</f>
        <v>E3_1_22_4_mRNA : 0</v>
      </c>
      <c r="J76" s="68" t="str">
        <f t="shared" si="157"/>
        <v>E3_1_22_4 : 0</v>
      </c>
      <c r="K76" s="69" t="str">
        <f t="shared" si="6"/>
        <v>0.00292 - (0.0093 * E3_1_22_4_mRNA)</v>
      </c>
      <c r="L76" s="70" t="str">
        <f t="shared" si="7"/>
        <v>(0.278 * E3_1_22_4_mRNA) - (0.00000278 * E3_1_22_4)</v>
      </c>
      <c r="M76" s="71" t="str">
        <f t="shared" si="8"/>
        <v>mRNA75: -&gt; E3_1_22_4_mRNA | 0.00292 - (0.0093 * E3_1_22_4_mRNA)</v>
      </c>
      <c r="N76" s="72" t="str">
        <f t="shared" si="9"/>
        <v>Peptide75: E3_1_22_4_mRNA -&gt; E3_1_22_4 | (0.278 * E3_1_22_4_mRNA) - (0.000000278 * E3_1_22_4)</v>
      </c>
    </row>
    <row r="77" spans="1:14" ht="29" x14ac:dyDescent="0.35">
      <c r="A77" s="49">
        <v>76</v>
      </c>
      <c r="B77" s="49" t="s">
        <v>14632</v>
      </c>
      <c r="C77" s="49" t="str">
        <f t="shared" si="0"/>
        <v>E1_5_1_2_mRNA</v>
      </c>
      <c r="D77" s="49" t="str">
        <f t="shared" si="1"/>
        <v>E1_5_1_2</v>
      </c>
      <c r="E77" s="64" t="str">
        <f t="shared" si="2"/>
        <v>E1_5_1_2_kcat : 13.7</v>
      </c>
      <c r="F77" s="65" t="str">
        <f t="shared" si="3"/>
        <v>E1_5_1_2_km : 1</v>
      </c>
      <c r="G77" s="66" t="str">
        <f t="shared" ref="G77:H77" si="158">CONCATENATE(C77," : ",C77)</f>
        <v>E1_5_1_2_mRNA : E1_5_1_2_mRNA</v>
      </c>
      <c r="H77" s="67" t="str">
        <f t="shared" si="158"/>
        <v>E1_5_1_2 : E1_5_1_2</v>
      </c>
      <c r="I77" s="44" t="str">
        <f t="shared" ref="I77:J77" si="159">CONCATENATE(C77," : ","0")</f>
        <v>E1_5_1_2_mRNA : 0</v>
      </c>
      <c r="J77" s="68" t="str">
        <f t="shared" si="159"/>
        <v>E1_5_1_2 : 0</v>
      </c>
      <c r="K77" s="69" t="str">
        <f t="shared" si="6"/>
        <v>0.00292 - (0.0093 * E1_5_1_2_mRNA)</v>
      </c>
      <c r="L77" s="70" t="str">
        <f t="shared" si="7"/>
        <v>(0.278 * E1_5_1_2_mRNA) - (0.00000278 * E1_5_1_2)</v>
      </c>
      <c r="M77" s="71" t="str">
        <f t="shared" si="8"/>
        <v>mRNA76: -&gt; E1_5_1_2_mRNA | 0.00292 - (0.0093 * E1_5_1_2_mRNA)</v>
      </c>
      <c r="N77" s="72" t="str">
        <f t="shared" si="9"/>
        <v>Peptide76: E1_5_1_2_mRNA -&gt; E1_5_1_2 | (0.278 * E1_5_1_2_mRNA) - (0.000000278 * E1_5_1_2)</v>
      </c>
    </row>
    <row r="78" spans="1:14" ht="29" x14ac:dyDescent="0.35">
      <c r="A78" s="49">
        <v>77</v>
      </c>
      <c r="B78" s="49" t="s">
        <v>14941</v>
      </c>
      <c r="C78" s="49" t="str">
        <f t="shared" si="0"/>
        <v>E3_6_4_12_mRNA</v>
      </c>
      <c r="D78" s="49" t="str">
        <f t="shared" si="1"/>
        <v>E3_6_4_12</v>
      </c>
      <c r="E78" s="64" t="str">
        <f t="shared" si="2"/>
        <v>E3_6_4_12_kcat : 13.7</v>
      </c>
      <c r="F78" s="65" t="str">
        <f t="shared" si="3"/>
        <v>E3_6_4_12_km : 1</v>
      </c>
      <c r="G78" s="66" t="str">
        <f t="shared" ref="G78:H78" si="160">CONCATENATE(C78," : ",C78)</f>
        <v>E3_6_4_12_mRNA : E3_6_4_12_mRNA</v>
      </c>
      <c r="H78" s="67" t="str">
        <f t="shared" si="160"/>
        <v>E3_6_4_12 : E3_6_4_12</v>
      </c>
      <c r="I78" s="44" t="str">
        <f t="shared" ref="I78:J78" si="161">CONCATENATE(C78," : ","0")</f>
        <v>E3_6_4_12_mRNA : 0</v>
      </c>
      <c r="J78" s="68" t="str">
        <f t="shared" si="161"/>
        <v>E3_6_4_12 : 0</v>
      </c>
      <c r="K78" s="69" t="str">
        <f t="shared" si="6"/>
        <v>0.00292 - (0.0093 * E3_6_4_12_mRNA)</v>
      </c>
      <c r="L78" s="70" t="str">
        <f t="shared" si="7"/>
        <v>(0.278 * E3_6_4_12_mRNA) - (0.00000278 * E3_6_4_12)</v>
      </c>
      <c r="M78" s="71" t="str">
        <f t="shared" si="8"/>
        <v>mRNA77: -&gt; E3_6_4_12_mRNA | 0.00292 - (0.0093 * E3_6_4_12_mRNA)</v>
      </c>
      <c r="N78" s="72" t="str">
        <f t="shared" si="9"/>
        <v>Peptide77: E3_6_4_12_mRNA -&gt; E3_6_4_12 | (0.278 * E3_6_4_12_mRNA) - (0.000000278 * E3_6_4_12)</v>
      </c>
    </row>
    <row r="79" spans="1:14" ht="29" x14ac:dyDescent="0.35">
      <c r="A79" s="49">
        <v>78</v>
      </c>
      <c r="B79" s="49" t="s">
        <v>14942</v>
      </c>
      <c r="C79" s="49" t="str">
        <f t="shared" si="0"/>
        <v>E3_6_1_67_mRNA</v>
      </c>
      <c r="D79" s="49" t="str">
        <f t="shared" si="1"/>
        <v>E3_6_1_67</v>
      </c>
      <c r="E79" s="64" t="str">
        <f t="shared" si="2"/>
        <v>E3_6_1_67_kcat : 13.7</v>
      </c>
      <c r="F79" s="65" t="str">
        <f t="shared" si="3"/>
        <v>E3_6_1_67_km : 1</v>
      </c>
      <c r="G79" s="66" t="str">
        <f t="shared" ref="G79:H79" si="162">CONCATENATE(C79," : ",C79)</f>
        <v>E3_6_1_67_mRNA : E3_6_1_67_mRNA</v>
      </c>
      <c r="H79" s="67" t="str">
        <f t="shared" si="162"/>
        <v>E3_6_1_67 : E3_6_1_67</v>
      </c>
      <c r="I79" s="44" t="str">
        <f t="shared" ref="I79:J79" si="163">CONCATENATE(C79," : ","0")</f>
        <v>E3_6_1_67_mRNA : 0</v>
      </c>
      <c r="J79" s="68" t="str">
        <f t="shared" si="163"/>
        <v>E3_6_1_67 : 0</v>
      </c>
      <c r="K79" s="69" t="str">
        <f t="shared" si="6"/>
        <v>0.00292 - (0.0093 * E3_6_1_67_mRNA)</v>
      </c>
      <c r="L79" s="70" t="str">
        <f t="shared" si="7"/>
        <v>(0.278 * E3_6_1_67_mRNA) - (0.00000278 * E3_6_1_67)</v>
      </c>
      <c r="M79" s="71" t="str">
        <f t="shared" si="8"/>
        <v>mRNA78: -&gt; E3_6_1_67_mRNA | 0.00292 - (0.0093 * E3_6_1_67_mRNA)</v>
      </c>
      <c r="N79" s="72" t="str">
        <f t="shared" si="9"/>
        <v>Peptide78: E3_6_1_67_mRNA -&gt; E3_6_1_67 | (0.278 * E3_6_1_67_mRNA) - (0.000000278 * E3_6_1_67)</v>
      </c>
    </row>
    <row r="80" spans="1:14" ht="29" x14ac:dyDescent="0.35">
      <c r="A80" s="49">
        <v>79</v>
      </c>
      <c r="B80" s="49" t="s">
        <v>14633</v>
      </c>
      <c r="C80" s="49" t="str">
        <f t="shared" si="0"/>
        <v>E6_1_1_12_mRNA</v>
      </c>
      <c r="D80" s="49" t="str">
        <f t="shared" si="1"/>
        <v>E6_1_1_12</v>
      </c>
      <c r="E80" s="64" t="str">
        <f t="shared" si="2"/>
        <v>E6_1_1_12_kcat : 13.7</v>
      </c>
      <c r="F80" s="65" t="str">
        <f t="shared" si="3"/>
        <v>E6_1_1_12_km : 1</v>
      </c>
      <c r="G80" s="66" t="str">
        <f t="shared" ref="G80:H80" si="164">CONCATENATE(C80," : ",C80)</f>
        <v>E6_1_1_12_mRNA : E6_1_1_12_mRNA</v>
      </c>
      <c r="H80" s="67" t="str">
        <f t="shared" si="164"/>
        <v>E6_1_1_12 : E6_1_1_12</v>
      </c>
      <c r="I80" s="44" t="str">
        <f t="shared" ref="I80:J80" si="165">CONCATENATE(C80," : ","0")</f>
        <v>E6_1_1_12_mRNA : 0</v>
      </c>
      <c r="J80" s="68" t="str">
        <f t="shared" si="165"/>
        <v>E6_1_1_12 : 0</v>
      </c>
      <c r="K80" s="69" t="str">
        <f t="shared" si="6"/>
        <v>0.00292 - (0.0093 * E6_1_1_12_mRNA)</v>
      </c>
      <c r="L80" s="70" t="str">
        <f t="shared" si="7"/>
        <v>(0.278 * E6_1_1_12_mRNA) - (0.00000278 * E6_1_1_12)</v>
      </c>
      <c r="M80" s="71" t="str">
        <f t="shared" si="8"/>
        <v>mRNA79: -&gt; E6_1_1_12_mRNA | 0.00292 - (0.0093 * E6_1_1_12_mRNA)</v>
      </c>
      <c r="N80" s="72" t="str">
        <f t="shared" si="9"/>
        <v>Peptide79: E6_1_1_12_mRNA -&gt; E6_1_1_12 | (0.278 * E6_1_1_12_mRNA) - (0.000000278 * E6_1_1_12)</v>
      </c>
    </row>
    <row r="81" spans="1:14" ht="29" x14ac:dyDescent="0.35">
      <c r="A81" s="49">
        <v>80</v>
      </c>
      <c r="B81" s="49" t="s">
        <v>14634</v>
      </c>
      <c r="C81" s="49" t="str">
        <f t="shared" si="0"/>
        <v>E4_4_1_5_mRNA</v>
      </c>
      <c r="D81" s="49" t="str">
        <f t="shared" si="1"/>
        <v>E4_4_1_5</v>
      </c>
      <c r="E81" s="64" t="str">
        <f t="shared" si="2"/>
        <v>E4_4_1_5_kcat : 13.7</v>
      </c>
      <c r="F81" s="65" t="str">
        <f t="shared" si="3"/>
        <v>E4_4_1_5_km : 1</v>
      </c>
      <c r="G81" s="66" t="str">
        <f t="shared" ref="G81:H81" si="166">CONCATENATE(C81," : ",C81)</f>
        <v>E4_4_1_5_mRNA : E4_4_1_5_mRNA</v>
      </c>
      <c r="H81" s="67" t="str">
        <f t="shared" si="166"/>
        <v>E4_4_1_5 : E4_4_1_5</v>
      </c>
      <c r="I81" s="44" t="str">
        <f t="shared" ref="I81:J81" si="167">CONCATENATE(C81," : ","0")</f>
        <v>E4_4_1_5_mRNA : 0</v>
      </c>
      <c r="J81" s="68" t="str">
        <f t="shared" si="167"/>
        <v>E4_4_1_5 : 0</v>
      </c>
      <c r="K81" s="69" t="str">
        <f t="shared" si="6"/>
        <v>0.00292 - (0.0093 * E4_4_1_5_mRNA)</v>
      </c>
      <c r="L81" s="70" t="str">
        <f t="shared" si="7"/>
        <v>(0.278 * E4_4_1_5_mRNA) - (0.00000278 * E4_4_1_5)</v>
      </c>
      <c r="M81" s="71" t="str">
        <f t="shared" si="8"/>
        <v>mRNA80: -&gt; E4_4_1_5_mRNA | 0.00292 - (0.0093 * E4_4_1_5_mRNA)</v>
      </c>
      <c r="N81" s="72" t="str">
        <f t="shared" si="9"/>
        <v>Peptide80: E4_4_1_5_mRNA -&gt; E4_4_1_5 | (0.278 * E4_4_1_5_mRNA) - (0.000000278 * E4_4_1_5)</v>
      </c>
    </row>
    <row r="82" spans="1:14" ht="29" x14ac:dyDescent="0.35">
      <c r="A82" s="49">
        <v>81</v>
      </c>
      <c r="B82" s="49" t="s">
        <v>14943</v>
      </c>
      <c r="C82" s="49" t="str">
        <f t="shared" si="0"/>
        <v>E2_1_1_190_mRNA</v>
      </c>
      <c r="D82" s="49" t="str">
        <f t="shared" si="1"/>
        <v>E2_1_1_190</v>
      </c>
      <c r="E82" s="64" t="str">
        <f t="shared" si="2"/>
        <v>E2_1_1_190_kcat : 13.7</v>
      </c>
      <c r="F82" s="65" t="str">
        <f t="shared" si="3"/>
        <v>E2_1_1_190_km : 1</v>
      </c>
      <c r="G82" s="66" t="str">
        <f t="shared" ref="G82:H82" si="168">CONCATENATE(C82," : ",C82)</f>
        <v>E2_1_1_190_mRNA : E2_1_1_190_mRNA</v>
      </c>
      <c r="H82" s="67" t="str">
        <f t="shared" si="168"/>
        <v>E2_1_1_190 : E2_1_1_190</v>
      </c>
      <c r="I82" s="44" t="str">
        <f t="shared" ref="I82:J82" si="169">CONCATENATE(C82," : ","0")</f>
        <v>E2_1_1_190_mRNA : 0</v>
      </c>
      <c r="J82" s="68" t="str">
        <f t="shared" si="169"/>
        <v>E2_1_1_190 : 0</v>
      </c>
      <c r="K82" s="69" t="str">
        <f t="shared" si="6"/>
        <v>0.00292 - (0.0093 * E2_1_1_190_mRNA)</v>
      </c>
      <c r="L82" s="70" t="str">
        <f t="shared" si="7"/>
        <v>(0.278 * E2_1_1_190_mRNA) - (0.00000278 * E2_1_1_190)</v>
      </c>
      <c r="M82" s="71" t="str">
        <f t="shared" si="8"/>
        <v>mRNA81: -&gt; E2_1_1_190_mRNA | 0.00292 - (0.0093 * E2_1_1_190_mRNA)</v>
      </c>
      <c r="N82" s="72" t="str">
        <f t="shared" si="9"/>
        <v>Peptide81: E2_1_1_190_mRNA -&gt; E2_1_1_190 | (0.278 * E2_1_1_190_mRNA) - (0.000000278 * E2_1_1_190)</v>
      </c>
    </row>
    <row r="83" spans="1:14" ht="29" x14ac:dyDescent="0.35">
      <c r="A83" s="49">
        <v>82</v>
      </c>
      <c r="B83" s="53" t="s">
        <v>14635</v>
      </c>
      <c r="C83" s="49" t="str">
        <f t="shared" si="0"/>
        <v>E2_7_6_5_mRNA</v>
      </c>
      <c r="D83" s="49" t="str">
        <f t="shared" si="1"/>
        <v>E2_7_6_5</v>
      </c>
      <c r="E83" s="64" t="str">
        <f t="shared" si="2"/>
        <v>E2_7_6_5_kcat : 13.7</v>
      </c>
      <c r="F83" s="65" t="str">
        <f t="shared" si="3"/>
        <v>E2_7_6_5_km : 1</v>
      </c>
      <c r="G83" s="66" t="str">
        <f t="shared" ref="G83:H83" si="170">CONCATENATE(C83," : ",C83)</f>
        <v>E2_7_6_5_mRNA : E2_7_6_5_mRNA</v>
      </c>
      <c r="H83" s="67" t="str">
        <f t="shared" si="170"/>
        <v>E2_7_6_5 : E2_7_6_5</v>
      </c>
      <c r="I83" s="44" t="str">
        <f t="shared" ref="I83:J83" si="171">CONCATENATE(C83," : ","0")</f>
        <v>E2_7_6_5_mRNA : 0</v>
      </c>
      <c r="J83" s="68" t="str">
        <f t="shared" si="171"/>
        <v>E2_7_6_5 : 0</v>
      </c>
      <c r="K83" s="69" t="str">
        <f t="shared" si="6"/>
        <v>0.00292 - (0.0093 * E2_7_6_5_mRNA)</v>
      </c>
      <c r="L83" s="70" t="str">
        <f t="shared" si="7"/>
        <v>(0.278 * E2_7_6_5_mRNA) - (0.00000278 * E2_7_6_5)</v>
      </c>
      <c r="M83" s="71" t="str">
        <f t="shared" si="8"/>
        <v>mRNA82: -&gt; E2_7_6_5_mRNA | 0.00292 - (0.0093 * E2_7_6_5_mRNA)</v>
      </c>
      <c r="N83" s="72" t="str">
        <f t="shared" si="9"/>
        <v>Peptide82: E2_7_6_5_mRNA -&gt; E2_7_6_5 | (0.278 * E2_7_6_5_mRNA) - (0.000000278 * E2_7_6_5)</v>
      </c>
    </row>
    <row r="84" spans="1:14" ht="29" x14ac:dyDescent="0.35">
      <c r="A84" s="49">
        <v>83</v>
      </c>
      <c r="B84" s="53" t="s">
        <v>14636</v>
      </c>
      <c r="C84" s="49" t="str">
        <f t="shared" si="0"/>
        <v>E2_7_7_75_mRNA</v>
      </c>
      <c r="D84" s="49" t="str">
        <f t="shared" si="1"/>
        <v>E2_7_7_75</v>
      </c>
      <c r="E84" s="64" t="str">
        <f t="shared" si="2"/>
        <v>E2_7_7_75_kcat : 13.7</v>
      </c>
      <c r="F84" s="65" t="str">
        <f t="shared" si="3"/>
        <v>E2_7_7_75_km : 1</v>
      </c>
      <c r="G84" s="66" t="str">
        <f t="shared" ref="G84:H84" si="172">CONCATENATE(C84," : ",C84)</f>
        <v>E2_7_7_75_mRNA : E2_7_7_75_mRNA</v>
      </c>
      <c r="H84" s="67" t="str">
        <f t="shared" si="172"/>
        <v>E2_7_7_75 : E2_7_7_75</v>
      </c>
      <c r="I84" s="44" t="str">
        <f t="shared" ref="I84:J84" si="173">CONCATENATE(C84," : ","0")</f>
        <v>E2_7_7_75_mRNA : 0</v>
      </c>
      <c r="J84" s="68" t="str">
        <f t="shared" si="173"/>
        <v>E2_7_7_75 : 0</v>
      </c>
      <c r="K84" s="69" t="str">
        <f t="shared" si="6"/>
        <v>0.00292 - (0.0093 * E2_7_7_75_mRNA)</v>
      </c>
      <c r="L84" s="70" t="str">
        <f t="shared" si="7"/>
        <v>(0.278 * E2_7_7_75_mRNA) - (0.00000278 * E2_7_7_75)</v>
      </c>
      <c r="M84" s="71" t="str">
        <f t="shared" si="8"/>
        <v>mRNA83: -&gt; E2_7_7_75_mRNA | 0.00292 - (0.0093 * E2_7_7_75_mRNA)</v>
      </c>
      <c r="N84" s="72" t="str">
        <f t="shared" si="9"/>
        <v>Peptide83: E2_7_7_75_mRNA -&gt; E2_7_7_75 | (0.278 * E2_7_7_75_mRNA) - (0.000000278 * E2_7_7_75)</v>
      </c>
    </row>
    <row r="85" spans="1:14" ht="29" x14ac:dyDescent="0.35">
      <c r="A85" s="49">
        <v>84</v>
      </c>
      <c r="B85" s="49" t="s">
        <v>14637</v>
      </c>
      <c r="C85" s="49" t="str">
        <f t="shared" si="0"/>
        <v>E2_1_1_33_mRNA</v>
      </c>
      <c r="D85" s="49" t="str">
        <f t="shared" si="1"/>
        <v>E2_1_1_33</v>
      </c>
      <c r="E85" s="64" t="str">
        <f t="shared" si="2"/>
        <v>E2_1_1_33_kcat : 13.7</v>
      </c>
      <c r="F85" s="65" t="str">
        <f t="shared" si="3"/>
        <v>E2_1_1_33_km : 1</v>
      </c>
      <c r="G85" s="66" t="str">
        <f t="shared" ref="G85:H85" si="174">CONCATENATE(C85," : ",C85)</f>
        <v>E2_1_1_33_mRNA : E2_1_1_33_mRNA</v>
      </c>
      <c r="H85" s="67" t="str">
        <f t="shared" si="174"/>
        <v>E2_1_1_33 : E2_1_1_33</v>
      </c>
      <c r="I85" s="44" t="str">
        <f t="shared" ref="I85:J85" si="175">CONCATENATE(C85," : ","0")</f>
        <v>E2_1_1_33_mRNA : 0</v>
      </c>
      <c r="J85" s="68" t="str">
        <f t="shared" si="175"/>
        <v>E2_1_1_33 : 0</v>
      </c>
      <c r="K85" s="69" t="str">
        <f t="shared" si="6"/>
        <v>0.00292 - (0.0093 * E2_1_1_33_mRNA)</v>
      </c>
      <c r="L85" s="70" t="str">
        <f t="shared" si="7"/>
        <v>(0.278 * E2_1_1_33_mRNA) - (0.00000278 * E2_1_1_33)</v>
      </c>
      <c r="M85" s="71" t="str">
        <f t="shared" si="8"/>
        <v>mRNA84: -&gt; E2_1_1_33_mRNA | 0.00292 - (0.0093 * E2_1_1_33_mRNA)</v>
      </c>
      <c r="N85" s="72" t="str">
        <f t="shared" si="9"/>
        <v>Peptide84: E2_1_1_33_mRNA -&gt; E2_1_1_33 | (0.278 * E2_1_1_33_mRNA) - (0.000000278 * E2_1_1_33)</v>
      </c>
    </row>
    <row r="86" spans="1:14" ht="29" x14ac:dyDescent="0.35">
      <c r="A86" s="49">
        <v>85</v>
      </c>
      <c r="B86" s="49" t="s">
        <v>14638</v>
      </c>
      <c r="C86" s="49" t="str">
        <f t="shared" si="0"/>
        <v>E2_7_4_3_mRNA</v>
      </c>
      <c r="D86" s="49" t="str">
        <f t="shared" si="1"/>
        <v>E2_7_4_3</v>
      </c>
      <c r="E86" s="64" t="str">
        <f t="shared" si="2"/>
        <v>E2_7_4_3_kcat : 13.7</v>
      </c>
      <c r="F86" s="65" t="str">
        <f t="shared" si="3"/>
        <v>E2_7_4_3_km : 1</v>
      </c>
      <c r="G86" s="66" t="str">
        <f t="shared" ref="G86:H86" si="176">CONCATENATE(C86," : ",C86)</f>
        <v>E2_7_4_3_mRNA : E2_7_4_3_mRNA</v>
      </c>
      <c r="H86" s="67" t="str">
        <f t="shared" si="176"/>
        <v>E2_7_4_3 : E2_7_4_3</v>
      </c>
      <c r="I86" s="44" t="str">
        <f t="shared" ref="I86:J86" si="177">CONCATENATE(C86," : ","0")</f>
        <v>E2_7_4_3_mRNA : 0</v>
      </c>
      <c r="J86" s="68" t="str">
        <f t="shared" si="177"/>
        <v>E2_7_4_3 : 0</v>
      </c>
      <c r="K86" s="69" t="str">
        <f t="shared" si="6"/>
        <v>0.00292 - (0.0093 * E2_7_4_3_mRNA)</v>
      </c>
      <c r="L86" s="70" t="str">
        <f t="shared" si="7"/>
        <v>(0.278 * E2_7_4_3_mRNA) - (0.00000278 * E2_7_4_3)</v>
      </c>
      <c r="M86" s="71" t="str">
        <f t="shared" si="8"/>
        <v>mRNA85: -&gt; E2_7_4_3_mRNA | 0.00292 - (0.0093 * E2_7_4_3_mRNA)</v>
      </c>
      <c r="N86" s="72" t="str">
        <f t="shared" si="9"/>
        <v>Peptide85: E2_7_4_3_mRNA -&gt; E2_7_4_3 | (0.278 * E2_7_4_3_mRNA) - (0.000000278 * E2_7_4_3)</v>
      </c>
    </row>
    <row r="87" spans="1:14" ht="29" x14ac:dyDescent="0.35">
      <c r="A87" s="49">
        <v>86</v>
      </c>
      <c r="B87" s="49" t="s">
        <v>14639</v>
      </c>
      <c r="C87" s="49" t="str">
        <f t="shared" si="0"/>
        <v>E5_1_3_2_mRNA</v>
      </c>
      <c r="D87" s="49" t="str">
        <f t="shared" si="1"/>
        <v>E5_1_3_2</v>
      </c>
      <c r="E87" s="64" t="str">
        <f t="shared" si="2"/>
        <v>E5_1_3_2_kcat : 13.7</v>
      </c>
      <c r="F87" s="65" t="str">
        <f t="shared" si="3"/>
        <v>E5_1_3_2_km : 1</v>
      </c>
      <c r="G87" s="66" t="str">
        <f t="shared" ref="G87:H87" si="178">CONCATENATE(C87," : ",C87)</f>
        <v>E5_1_3_2_mRNA : E5_1_3_2_mRNA</v>
      </c>
      <c r="H87" s="67" t="str">
        <f t="shared" si="178"/>
        <v>E5_1_3_2 : E5_1_3_2</v>
      </c>
      <c r="I87" s="44" t="str">
        <f t="shared" ref="I87:J87" si="179">CONCATENATE(C87," : ","0")</f>
        <v>E5_1_3_2_mRNA : 0</v>
      </c>
      <c r="J87" s="68" t="str">
        <f t="shared" si="179"/>
        <v>E5_1_3_2 : 0</v>
      </c>
      <c r="K87" s="69" t="str">
        <f t="shared" si="6"/>
        <v>0.00292 - (0.0093 * E5_1_3_2_mRNA)</v>
      </c>
      <c r="L87" s="70" t="str">
        <f t="shared" si="7"/>
        <v>(0.278 * E5_1_3_2_mRNA) - (0.00000278 * E5_1_3_2)</v>
      </c>
      <c r="M87" s="71" t="str">
        <f t="shared" si="8"/>
        <v>mRNA86: -&gt; E5_1_3_2_mRNA | 0.00292 - (0.0093 * E5_1_3_2_mRNA)</v>
      </c>
      <c r="N87" s="72" t="str">
        <f t="shared" si="9"/>
        <v>Peptide86: E5_1_3_2_mRNA -&gt; E5_1_3_2 | (0.278 * E5_1_3_2_mRNA) - (0.000000278 * E5_1_3_2)</v>
      </c>
    </row>
    <row r="88" spans="1:14" ht="29" x14ac:dyDescent="0.35">
      <c r="A88" s="49">
        <v>87</v>
      </c>
      <c r="B88" s="49" t="s">
        <v>14944</v>
      </c>
      <c r="C88" s="49" t="str">
        <f t="shared" si="0"/>
        <v>E2_1_1_192_mRNA</v>
      </c>
      <c r="D88" s="49" t="str">
        <f t="shared" si="1"/>
        <v>E2_1_1_192</v>
      </c>
      <c r="E88" s="64" t="str">
        <f t="shared" si="2"/>
        <v>E2_1_1_192_kcat : 13.7</v>
      </c>
      <c r="F88" s="65" t="str">
        <f t="shared" si="3"/>
        <v>E2_1_1_192_km : 1</v>
      </c>
      <c r="G88" s="66" t="str">
        <f t="shared" ref="G88:H88" si="180">CONCATENATE(C88," : ",C88)</f>
        <v>E2_1_1_192_mRNA : E2_1_1_192_mRNA</v>
      </c>
      <c r="H88" s="67" t="str">
        <f t="shared" si="180"/>
        <v>E2_1_1_192 : E2_1_1_192</v>
      </c>
      <c r="I88" s="44" t="str">
        <f t="shared" ref="I88:J88" si="181">CONCATENATE(C88," : ","0")</f>
        <v>E2_1_1_192_mRNA : 0</v>
      </c>
      <c r="J88" s="68" t="str">
        <f t="shared" si="181"/>
        <v>E2_1_1_192 : 0</v>
      </c>
      <c r="K88" s="69" t="str">
        <f t="shared" si="6"/>
        <v>0.00292 - (0.0093 * E2_1_1_192_mRNA)</v>
      </c>
      <c r="L88" s="70" t="str">
        <f t="shared" si="7"/>
        <v>(0.278 * E2_1_1_192_mRNA) - (0.00000278 * E2_1_1_192)</v>
      </c>
      <c r="M88" s="71" t="str">
        <f t="shared" si="8"/>
        <v>mRNA87: -&gt; E2_1_1_192_mRNA | 0.00292 - (0.0093 * E2_1_1_192_mRNA)</v>
      </c>
      <c r="N88" s="72" t="str">
        <f t="shared" si="9"/>
        <v>Peptide87: E2_1_1_192_mRNA -&gt; E2_1_1_192 | (0.278 * E2_1_1_192_mRNA) - (0.000000278 * E2_1_1_192)</v>
      </c>
    </row>
    <row r="89" spans="1:14" ht="29" x14ac:dyDescent="0.35">
      <c r="A89" s="49">
        <v>88</v>
      </c>
      <c r="B89" s="49" t="s">
        <v>14640</v>
      </c>
      <c r="C89" s="49" t="str">
        <f t="shared" si="0"/>
        <v>E1_17_7_1_mRNA</v>
      </c>
      <c r="D89" s="49" t="str">
        <f t="shared" si="1"/>
        <v>E1_17_7_1</v>
      </c>
      <c r="E89" s="64" t="str">
        <f t="shared" si="2"/>
        <v>E1_17_7_1_kcat : 13.7</v>
      </c>
      <c r="F89" s="65" t="str">
        <f t="shared" si="3"/>
        <v>E1_17_7_1_km : 1</v>
      </c>
      <c r="G89" s="66" t="str">
        <f t="shared" ref="G89:H89" si="182">CONCATENATE(C89," : ",C89)</f>
        <v>E1_17_7_1_mRNA : E1_17_7_1_mRNA</v>
      </c>
      <c r="H89" s="67" t="str">
        <f t="shared" si="182"/>
        <v>E1_17_7_1 : E1_17_7_1</v>
      </c>
      <c r="I89" s="44" t="str">
        <f t="shared" ref="I89:J89" si="183">CONCATENATE(C89," : ","0")</f>
        <v>E1_17_7_1_mRNA : 0</v>
      </c>
      <c r="J89" s="68" t="str">
        <f t="shared" si="183"/>
        <v>E1_17_7_1 : 0</v>
      </c>
      <c r="K89" s="69" t="str">
        <f t="shared" si="6"/>
        <v>0.00292 - (0.0093 * E1_17_7_1_mRNA)</v>
      </c>
      <c r="L89" s="70" t="str">
        <f t="shared" si="7"/>
        <v>(0.278 * E1_17_7_1_mRNA) - (0.00000278 * E1_17_7_1)</v>
      </c>
      <c r="M89" s="71" t="str">
        <f t="shared" si="8"/>
        <v>mRNA88: -&gt; E1_17_7_1_mRNA | 0.00292 - (0.0093 * E1_17_7_1_mRNA)</v>
      </c>
      <c r="N89" s="72" t="str">
        <f t="shared" si="9"/>
        <v>Peptide88: E1_17_7_1_mRNA -&gt; E1_17_7_1 | (0.278 * E1_17_7_1_mRNA) - (0.000000278 * E1_17_7_1)</v>
      </c>
    </row>
    <row r="90" spans="1:14" ht="29" x14ac:dyDescent="0.35">
      <c r="A90" s="49">
        <v>89</v>
      </c>
      <c r="B90" s="49" t="s">
        <v>14641</v>
      </c>
      <c r="C90" s="49" t="str">
        <f t="shared" si="0"/>
        <v>E6_1_1_21_mRNA</v>
      </c>
      <c r="D90" s="49" t="str">
        <f t="shared" si="1"/>
        <v>E6_1_1_21</v>
      </c>
      <c r="E90" s="64" t="str">
        <f t="shared" si="2"/>
        <v>E6_1_1_21_kcat : 13.7</v>
      </c>
      <c r="F90" s="65" t="str">
        <f t="shared" si="3"/>
        <v>E6_1_1_21_km : 1</v>
      </c>
      <c r="G90" s="66" t="str">
        <f t="shared" ref="G90:H90" si="184">CONCATENATE(C90," : ",C90)</f>
        <v>E6_1_1_21_mRNA : E6_1_1_21_mRNA</v>
      </c>
      <c r="H90" s="67" t="str">
        <f t="shared" si="184"/>
        <v>E6_1_1_21 : E6_1_1_21</v>
      </c>
      <c r="I90" s="44" t="str">
        <f t="shared" ref="I90:J90" si="185">CONCATENATE(C90," : ","0")</f>
        <v>E6_1_1_21_mRNA : 0</v>
      </c>
      <c r="J90" s="68" t="str">
        <f t="shared" si="185"/>
        <v>E6_1_1_21 : 0</v>
      </c>
      <c r="K90" s="69" t="str">
        <f t="shared" si="6"/>
        <v>0.00292 - (0.0093 * E6_1_1_21_mRNA)</v>
      </c>
      <c r="L90" s="70" t="str">
        <f t="shared" si="7"/>
        <v>(0.278 * E6_1_1_21_mRNA) - (0.00000278 * E6_1_1_21)</v>
      </c>
      <c r="M90" s="71" t="str">
        <f t="shared" si="8"/>
        <v>mRNA89: -&gt; E6_1_1_21_mRNA | 0.00292 - (0.0093 * E6_1_1_21_mRNA)</v>
      </c>
      <c r="N90" s="72" t="str">
        <f t="shared" si="9"/>
        <v>Peptide89: E6_1_1_21_mRNA -&gt; E6_1_1_21 | (0.278 * E6_1_1_21_mRNA) - (0.000000278 * E6_1_1_21)</v>
      </c>
    </row>
    <row r="91" spans="1:14" ht="29" x14ac:dyDescent="0.35">
      <c r="A91" s="49">
        <v>90</v>
      </c>
      <c r="B91" s="49" t="s">
        <v>14642</v>
      </c>
      <c r="C91" s="49" t="str">
        <f t="shared" si="0"/>
        <v>E2_8_1_7_mRNA</v>
      </c>
      <c r="D91" s="49" t="str">
        <f t="shared" si="1"/>
        <v>E2_8_1_7</v>
      </c>
      <c r="E91" s="64" t="str">
        <f t="shared" si="2"/>
        <v>E2_8_1_7_kcat : 13.7</v>
      </c>
      <c r="F91" s="65" t="str">
        <f t="shared" si="3"/>
        <v>E2_8_1_7_km : 1</v>
      </c>
      <c r="G91" s="66" t="str">
        <f t="shared" ref="G91:H91" si="186">CONCATENATE(C91," : ",C91)</f>
        <v>E2_8_1_7_mRNA : E2_8_1_7_mRNA</v>
      </c>
      <c r="H91" s="67" t="str">
        <f t="shared" si="186"/>
        <v>E2_8_1_7 : E2_8_1_7</v>
      </c>
      <c r="I91" s="44" t="str">
        <f t="shared" ref="I91:J91" si="187">CONCATENATE(C91," : ","0")</f>
        <v>E2_8_1_7_mRNA : 0</v>
      </c>
      <c r="J91" s="68" t="str">
        <f t="shared" si="187"/>
        <v>E2_8_1_7 : 0</v>
      </c>
      <c r="K91" s="69" t="str">
        <f t="shared" si="6"/>
        <v>0.00292 - (0.0093 * E2_8_1_7_mRNA)</v>
      </c>
      <c r="L91" s="70" t="str">
        <f t="shared" si="7"/>
        <v>(0.278 * E2_8_1_7_mRNA) - (0.00000278 * E2_8_1_7)</v>
      </c>
      <c r="M91" s="71" t="str">
        <f t="shared" si="8"/>
        <v>mRNA90: -&gt; E2_8_1_7_mRNA | 0.00292 - (0.0093 * E2_8_1_7_mRNA)</v>
      </c>
      <c r="N91" s="72" t="str">
        <f t="shared" si="9"/>
        <v>Peptide90: E2_8_1_7_mRNA -&gt; E2_8_1_7 | (0.278 * E2_8_1_7_mRNA) - (0.000000278 * E2_8_1_7)</v>
      </c>
    </row>
    <row r="92" spans="1:14" ht="29" x14ac:dyDescent="0.35">
      <c r="A92" s="49">
        <v>91</v>
      </c>
      <c r="B92" s="49" t="s">
        <v>14945</v>
      </c>
      <c r="C92" s="49" t="str">
        <f t="shared" si="0"/>
        <v>E2_1_1_200_mRNA</v>
      </c>
      <c r="D92" s="49" t="str">
        <f t="shared" si="1"/>
        <v>E2_1_1_200</v>
      </c>
      <c r="E92" s="64" t="str">
        <f t="shared" si="2"/>
        <v>E2_1_1_200_kcat : 13.7</v>
      </c>
      <c r="F92" s="65" t="str">
        <f t="shared" si="3"/>
        <v>E2_1_1_200_km : 1</v>
      </c>
      <c r="G92" s="66" t="str">
        <f t="shared" ref="G92:H92" si="188">CONCATENATE(C92," : ",C92)</f>
        <v>E2_1_1_200_mRNA : E2_1_1_200_mRNA</v>
      </c>
      <c r="H92" s="67" t="str">
        <f t="shared" si="188"/>
        <v>E2_1_1_200 : E2_1_1_200</v>
      </c>
      <c r="I92" s="44" t="str">
        <f t="shared" ref="I92:J92" si="189">CONCATENATE(C92," : ","0")</f>
        <v>E2_1_1_200_mRNA : 0</v>
      </c>
      <c r="J92" s="68" t="str">
        <f t="shared" si="189"/>
        <v>E2_1_1_200 : 0</v>
      </c>
      <c r="K92" s="69" t="str">
        <f t="shared" si="6"/>
        <v>0.00292 - (0.0093 * E2_1_1_200_mRNA)</v>
      </c>
      <c r="L92" s="70" t="str">
        <f t="shared" si="7"/>
        <v>(0.278 * E2_1_1_200_mRNA) - (0.00000278 * E2_1_1_200)</v>
      </c>
      <c r="M92" s="71" t="str">
        <f t="shared" si="8"/>
        <v>mRNA91: -&gt; E2_1_1_200_mRNA | 0.00292 - (0.0093 * E2_1_1_200_mRNA)</v>
      </c>
      <c r="N92" s="72" t="str">
        <f t="shared" si="9"/>
        <v>Peptide91: E2_1_1_200_mRNA -&gt; E2_1_1_200 | (0.278 * E2_1_1_200_mRNA) - (0.000000278 * E2_1_1_200)</v>
      </c>
    </row>
    <row r="93" spans="1:14" ht="29" x14ac:dyDescent="0.35">
      <c r="A93" s="49">
        <v>92</v>
      </c>
      <c r="B93" s="49" t="s">
        <v>14643</v>
      </c>
      <c r="C93" s="49" t="str">
        <f t="shared" si="0"/>
        <v>E2_3_1_234_mRNA</v>
      </c>
      <c r="D93" s="49" t="str">
        <f t="shared" si="1"/>
        <v>E2_3_1_234</v>
      </c>
      <c r="E93" s="64" t="str">
        <f t="shared" si="2"/>
        <v>E2_3_1_234_kcat : 13.7</v>
      </c>
      <c r="F93" s="65" t="str">
        <f t="shared" si="3"/>
        <v>E2_3_1_234_km : 1</v>
      </c>
      <c r="G93" s="66" t="str">
        <f t="shared" ref="G93:H93" si="190">CONCATENATE(C93," : ",C93)</f>
        <v>E2_3_1_234_mRNA : E2_3_1_234_mRNA</v>
      </c>
      <c r="H93" s="67" t="str">
        <f t="shared" si="190"/>
        <v>E2_3_1_234 : E2_3_1_234</v>
      </c>
      <c r="I93" s="44" t="str">
        <f t="shared" ref="I93:J93" si="191">CONCATENATE(C93," : ","0")</f>
        <v>E2_3_1_234_mRNA : 0</v>
      </c>
      <c r="J93" s="68" t="str">
        <f t="shared" si="191"/>
        <v>E2_3_1_234 : 0</v>
      </c>
      <c r="K93" s="69" t="str">
        <f t="shared" si="6"/>
        <v>0.00292 - (0.0093 * E2_3_1_234_mRNA)</v>
      </c>
      <c r="L93" s="70" t="str">
        <f t="shared" si="7"/>
        <v>(0.278 * E2_3_1_234_mRNA) - (0.00000278 * E2_3_1_234)</v>
      </c>
      <c r="M93" s="71" t="str">
        <f t="shared" si="8"/>
        <v>mRNA92: -&gt; E2_3_1_234_mRNA | 0.00292 - (0.0093 * E2_3_1_234_mRNA)</v>
      </c>
      <c r="N93" s="72" t="str">
        <f t="shared" si="9"/>
        <v>Peptide92: E2_3_1_234_mRNA -&gt; E2_3_1_234 | (0.278 * E2_3_1_234_mRNA) - (0.000000278 * E2_3_1_234)</v>
      </c>
    </row>
    <row r="94" spans="1:14" ht="29" x14ac:dyDescent="0.35">
      <c r="A94" s="49">
        <v>93</v>
      </c>
      <c r="B94" s="49" t="s">
        <v>14644</v>
      </c>
      <c r="C94" s="49" t="str">
        <f t="shared" si="0"/>
        <v>E6_2_1_3_mRNA</v>
      </c>
      <c r="D94" s="49" t="str">
        <f t="shared" si="1"/>
        <v>E6_2_1_3</v>
      </c>
      <c r="E94" s="64" t="str">
        <f t="shared" si="2"/>
        <v>E6_2_1_3_kcat : 13.7</v>
      </c>
      <c r="F94" s="65" t="str">
        <f t="shared" si="3"/>
        <v>E6_2_1_3_km : 1</v>
      </c>
      <c r="G94" s="66" t="str">
        <f t="shared" ref="G94:H94" si="192">CONCATENATE(C94," : ",C94)</f>
        <v>E6_2_1_3_mRNA : E6_2_1_3_mRNA</v>
      </c>
      <c r="H94" s="67" t="str">
        <f t="shared" si="192"/>
        <v>E6_2_1_3 : E6_2_1_3</v>
      </c>
      <c r="I94" s="44" t="str">
        <f t="shared" ref="I94:J94" si="193">CONCATENATE(C94," : ","0")</f>
        <v>E6_2_1_3_mRNA : 0</v>
      </c>
      <c r="J94" s="68" t="str">
        <f t="shared" si="193"/>
        <v>E6_2_1_3 : 0</v>
      </c>
      <c r="K94" s="69" t="str">
        <f t="shared" si="6"/>
        <v>0.00292 - (0.0093 * E6_2_1_3_mRNA)</v>
      </c>
      <c r="L94" s="70" t="str">
        <f t="shared" si="7"/>
        <v>(0.278 * E6_2_1_3_mRNA) - (0.00000278 * E6_2_1_3)</v>
      </c>
      <c r="M94" s="71" t="str">
        <f t="shared" si="8"/>
        <v>mRNA93: -&gt; E6_2_1_3_mRNA | 0.00292 - (0.0093 * E6_2_1_3_mRNA)</v>
      </c>
      <c r="N94" s="72" t="str">
        <f t="shared" si="9"/>
        <v>Peptide93: E6_2_1_3_mRNA -&gt; E6_2_1_3 | (0.278 * E6_2_1_3_mRNA) - (0.000000278 * E6_2_1_3)</v>
      </c>
    </row>
    <row r="95" spans="1:14" ht="29" x14ac:dyDescent="0.35">
      <c r="A95" s="49">
        <v>94</v>
      </c>
      <c r="B95" s="49" t="s">
        <v>14946</v>
      </c>
      <c r="C95" s="49" t="str">
        <f t="shared" si="0"/>
        <v>E3_1_13_5_mRNA</v>
      </c>
      <c r="D95" s="49" t="str">
        <f t="shared" si="1"/>
        <v>E3_1_13_5</v>
      </c>
      <c r="E95" s="64" t="str">
        <f t="shared" si="2"/>
        <v>E3_1_13_5_kcat : 13.7</v>
      </c>
      <c r="F95" s="65" t="str">
        <f t="shared" si="3"/>
        <v>E3_1_13_5_km : 1</v>
      </c>
      <c r="G95" s="66" t="str">
        <f t="shared" ref="G95:H95" si="194">CONCATENATE(C95," : ",C95)</f>
        <v>E3_1_13_5_mRNA : E3_1_13_5_mRNA</v>
      </c>
      <c r="H95" s="67" t="str">
        <f t="shared" si="194"/>
        <v>E3_1_13_5 : E3_1_13_5</v>
      </c>
      <c r="I95" s="44" t="str">
        <f t="shared" ref="I95:J95" si="195">CONCATENATE(C95," : ","0")</f>
        <v>E3_1_13_5_mRNA : 0</v>
      </c>
      <c r="J95" s="68" t="str">
        <f t="shared" si="195"/>
        <v>E3_1_13_5 : 0</v>
      </c>
      <c r="K95" s="69" t="str">
        <f t="shared" si="6"/>
        <v>0.00292 - (0.0093 * E3_1_13_5_mRNA)</v>
      </c>
      <c r="L95" s="70" t="str">
        <f t="shared" si="7"/>
        <v>(0.278 * E3_1_13_5_mRNA) - (0.00000278 * E3_1_13_5)</v>
      </c>
      <c r="M95" s="71" t="str">
        <f t="shared" si="8"/>
        <v>mRNA94: -&gt; E3_1_13_5_mRNA | 0.00292 - (0.0093 * E3_1_13_5_mRNA)</v>
      </c>
      <c r="N95" s="72" t="str">
        <f t="shared" si="9"/>
        <v>Peptide94: E3_1_13_5_mRNA -&gt; E3_1_13_5 | (0.278 * E3_1_13_5_mRNA) - (0.000000278 * E3_1_13_5)</v>
      </c>
    </row>
    <row r="96" spans="1:14" ht="29" x14ac:dyDescent="0.35">
      <c r="A96" s="49">
        <v>95</v>
      </c>
      <c r="B96" s="49" t="s">
        <v>14645</v>
      </c>
      <c r="C96" s="49" t="str">
        <f t="shared" si="0"/>
        <v>E3_1_1_29_mRNA</v>
      </c>
      <c r="D96" s="49" t="str">
        <f t="shared" si="1"/>
        <v>E3_1_1_29</v>
      </c>
      <c r="E96" s="64" t="str">
        <f t="shared" si="2"/>
        <v>E3_1_1_29_kcat : 13.7</v>
      </c>
      <c r="F96" s="65" t="str">
        <f t="shared" si="3"/>
        <v>E3_1_1_29_km : 1</v>
      </c>
      <c r="G96" s="66" t="str">
        <f t="shared" ref="G96:H96" si="196">CONCATENATE(C96," : ",C96)</f>
        <v>E3_1_1_29_mRNA : E3_1_1_29_mRNA</v>
      </c>
      <c r="H96" s="67" t="str">
        <f t="shared" si="196"/>
        <v>E3_1_1_29 : E3_1_1_29</v>
      </c>
      <c r="I96" s="44" t="str">
        <f t="shared" ref="I96:J96" si="197">CONCATENATE(C96," : ","0")</f>
        <v>E3_1_1_29_mRNA : 0</v>
      </c>
      <c r="J96" s="68" t="str">
        <f t="shared" si="197"/>
        <v>E3_1_1_29 : 0</v>
      </c>
      <c r="K96" s="69" t="str">
        <f t="shared" si="6"/>
        <v>0.00292 - (0.0093 * E3_1_1_29_mRNA)</v>
      </c>
      <c r="L96" s="70" t="str">
        <f t="shared" si="7"/>
        <v>(0.278 * E3_1_1_29_mRNA) - (0.00000278 * E3_1_1_29)</v>
      </c>
      <c r="M96" s="71" t="str">
        <f t="shared" si="8"/>
        <v>mRNA95: -&gt; E3_1_1_29_mRNA | 0.00292 - (0.0093 * E3_1_1_29_mRNA)</v>
      </c>
      <c r="N96" s="72" t="str">
        <f t="shared" si="9"/>
        <v>Peptide95: E3_1_1_29_mRNA -&gt; E3_1_1_29 | (0.278 * E3_1_1_29_mRNA) - (0.000000278 * E3_1_1_29)</v>
      </c>
    </row>
    <row r="97" spans="1:14" ht="29" x14ac:dyDescent="0.35">
      <c r="A97" s="49">
        <v>96</v>
      </c>
      <c r="B97" s="49" t="s">
        <v>14947</v>
      </c>
      <c r="C97" s="49" t="str">
        <f t="shared" si="0"/>
        <v>E3_1_11_6_mRNA</v>
      </c>
      <c r="D97" s="49" t="str">
        <f t="shared" si="1"/>
        <v>E3_1_11_6</v>
      </c>
      <c r="E97" s="64" t="str">
        <f t="shared" si="2"/>
        <v>E3_1_11_6_kcat : 13.7</v>
      </c>
      <c r="F97" s="65" t="str">
        <f t="shared" si="3"/>
        <v>E3_1_11_6_km : 1</v>
      </c>
      <c r="G97" s="66" t="str">
        <f t="shared" ref="G97:H97" si="198">CONCATENATE(C97," : ",C97)</f>
        <v>E3_1_11_6_mRNA : E3_1_11_6_mRNA</v>
      </c>
      <c r="H97" s="67" t="str">
        <f t="shared" si="198"/>
        <v>E3_1_11_6 : E3_1_11_6</v>
      </c>
      <c r="I97" s="44" t="str">
        <f t="shared" ref="I97:J97" si="199">CONCATENATE(C97," : ","0")</f>
        <v>E3_1_11_6_mRNA : 0</v>
      </c>
      <c r="J97" s="68" t="str">
        <f t="shared" si="199"/>
        <v>E3_1_11_6 : 0</v>
      </c>
      <c r="K97" s="69" t="str">
        <f t="shared" si="6"/>
        <v>0.00292 - (0.0093 * E3_1_11_6_mRNA)</v>
      </c>
      <c r="L97" s="70" t="str">
        <f t="shared" si="7"/>
        <v>(0.278 * E3_1_11_6_mRNA) - (0.00000278 * E3_1_11_6)</v>
      </c>
      <c r="M97" s="71" t="str">
        <f t="shared" si="8"/>
        <v>mRNA96: -&gt; E3_1_11_6_mRNA | 0.00292 - (0.0093 * E3_1_11_6_mRNA)</v>
      </c>
      <c r="N97" s="72" t="str">
        <f t="shared" si="9"/>
        <v>Peptide96: E3_1_11_6_mRNA -&gt; E3_1_11_6 | (0.278 * E3_1_11_6_mRNA) - (0.000000278 * E3_1_11_6)</v>
      </c>
    </row>
    <row r="98" spans="1:14" ht="29" x14ac:dyDescent="0.35">
      <c r="A98" s="49">
        <v>97</v>
      </c>
      <c r="B98" s="49" t="s">
        <v>14646</v>
      </c>
      <c r="C98" s="49" t="str">
        <f t="shared" si="0"/>
        <v>E3_6_1_13_mRNA</v>
      </c>
      <c r="D98" s="49" t="str">
        <f t="shared" si="1"/>
        <v>E3_6_1_13</v>
      </c>
      <c r="E98" s="64" t="str">
        <f t="shared" si="2"/>
        <v>E3_6_1_13_kcat : 13.7</v>
      </c>
      <c r="F98" s="65" t="str">
        <f t="shared" si="3"/>
        <v>E3_6_1_13_km : 1</v>
      </c>
      <c r="G98" s="66" t="str">
        <f t="shared" ref="G98:H98" si="200">CONCATENATE(C98," : ",C98)</f>
        <v>E3_6_1_13_mRNA : E3_6_1_13_mRNA</v>
      </c>
      <c r="H98" s="67" t="str">
        <f t="shared" si="200"/>
        <v>E3_6_1_13 : E3_6_1_13</v>
      </c>
      <c r="I98" s="44" t="str">
        <f t="shared" ref="I98:J98" si="201">CONCATENATE(C98," : ","0")</f>
        <v>E3_6_1_13_mRNA : 0</v>
      </c>
      <c r="J98" s="68" t="str">
        <f t="shared" si="201"/>
        <v>E3_6_1_13 : 0</v>
      </c>
      <c r="K98" s="69" t="str">
        <f t="shared" si="6"/>
        <v>0.00292 - (0.0093 * E3_6_1_13_mRNA)</v>
      </c>
      <c r="L98" s="70" t="str">
        <f t="shared" si="7"/>
        <v>(0.278 * E3_6_1_13_mRNA) - (0.00000278 * E3_6_1_13)</v>
      </c>
      <c r="M98" s="71" t="str">
        <f t="shared" si="8"/>
        <v>mRNA97: -&gt; E3_6_1_13_mRNA | 0.00292 - (0.0093 * E3_6_1_13_mRNA)</v>
      </c>
      <c r="N98" s="72" t="str">
        <f t="shared" si="9"/>
        <v>Peptide97: E3_6_1_13_mRNA -&gt; E3_6_1_13 | (0.278 * E3_6_1_13_mRNA) - (0.000000278 * E3_6_1_13)</v>
      </c>
    </row>
    <row r="99" spans="1:14" ht="29" x14ac:dyDescent="0.35">
      <c r="A99" s="49">
        <v>98</v>
      </c>
      <c r="B99" s="49" t="s">
        <v>14647</v>
      </c>
      <c r="C99" s="49" t="str">
        <f t="shared" si="0"/>
        <v>E3_1_4_53_mRNA</v>
      </c>
      <c r="D99" s="49" t="str">
        <f t="shared" si="1"/>
        <v>E3_1_4_53</v>
      </c>
      <c r="E99" s="64" t="str">
        <f t="shared" si="2"/>
        <v>E3_1_4_53_kcat : 13.7</v>
      </c>
      <c r="F99" s="65" t="str">
        <f t="shared" si="3"/>
        <v>E3_1_4_53_km : 1</v>
      </c>
      <c r="G99" s="66" t="str">
        <f t="shared" ref="G99:H99" si="202">CONCATENATE(C99," : ",C99)</f>
        <v>E3_1_4_53_mRNA : E3_1_4_53_mRNA</v>
      </c>
      <c r="H99" s="67" t="str">
        <f t="shared" si="202"/>
        <v>E3_1_4_53 : E3_1_4_53</v>
      </c>
      <c r="I99" s="44" t="str">
        <f t="shared" ref="I99:J99" si="203">CONCATENATE(C99," : ","0")</f>
        <v>E3_1_4_53_mRNA : 0</v>
      </c>
      <c r="J99" s="68" t="str">
        <f t="shared" si="203"/>
        <v>E3_1_4_53 : 0</v>
      </c>
      <c r="K99" s="69" t="str">
        <f t="shared" si="6"/>
        <v>0.00292 - (0.0093 * E3_1_4_53_mRNA)</v>
      </c>
      <c r="L99" s="70" t="str">
        <f t="shared" si="7"/>
        <v>(0.278 * E3_1_4_53_mRNA) - (0.00000278 * E3_1_4_53)</v>
      </c>
      <c r="M99" s="71" t="str">
        <f t="shared" si="8"/>
        <v>mRNA98: -&gt; E3_1_4_53_mRNA | 0.00292 - (0.0093 * E3_1_4_53_mRNA)</v>
      </c>
      <c r="N99" s="72" t="str">
        <f t="shared" si="9"/>
        <v>Peptide98: E3_1_4_53_mRNA -&gt; E3_1_4_53 | (0.278 * E3_1_4_53_mRNA) - (0.000000278 * E3_1_4_53)</v>
      </c>
    </row>
    <row r="100" spans="1:14" ht="29" x14ac:dyDescent="0.35">
      <c r="A100" s="49">
        <v>99</v>
      </c>
      <c r="B100" s="49" t="s">
        <v>14648</v>
      </c>
      <c r="C100" s="49" t="str">
        <f t="shared" si="0"/>
        <v>E6_3_4_19_mRNA</v>
      </c>
      <c r="D100" s="49" t="str">
        <f t="shared" si="1"/>
        <v>E6_3_4_19</v>
      </c>
      <c r="E100" s="64" t="str">
        <f t="shared" si="2"/>
        <v>E6_3_4_19_kcat : 13.7</v>
      </c>
      <c r="F100" s="65" t="str">
        <f t="shared" si="3"/>
        <v>E6_3_4_19_km : 1</v>
      </c>
      <c r="G100" s="66" t="str">
        <f t="shared" ref="G100:H100" si="204">CONCATENATE(C100," : ",C100)</f>
        <v>E6_3_4_19_mRNA : E6_3_4_19_mRNA</v>
      </c>
      <c r="H100" s="67" t="str">
        <f t="shared" si="204"/>
        <v>E6_3_4_19 : E6_3_4_19</v>
      </c>
      <c r="I100" s="44" t="str">
        <f t="shared" ref="I100:J100" si="205">CONCATENATE(C100," : ","0")</f>
        <v>E6_3_4_19_mRNA : 0</v>
      </c>
      <c r="J100" s="68" t="str">
        <f t="shared" si="205"/>
        <v>E6_3_4_19 : 0</v>
      </c>
      <c r="K100" s="69" t="str">
        <f t="shared" si="6"/>
        <v>0.00292 - (0.0093 * E6_3_4_19_mRNA)</v>
      </c>
      <c r="L100" s="70" t="str">
        <f t="shared" si="7"/>
        <v>(0.278 * E6_3_4_19_mRNA) - (0.00000278 * E6_3_4_19)</v>
      </c>
      <c r="M100" s="71" t="str">
        <f t="shared" si="8"/>
        <v>mRNA99: -&gt; E6_3_4_19_mRNA | 0.00292 - (0.0093 * E6_3_4_19_mRNA)</v>
      </c>
      <c r="N100" s="72" t="str">
        <f t="shared" si="9"/>
        <v>Peptide99: E6_3_4_19_mRNA -&gt; E6_3_4_19 | (0.278 * E6_3_4_19_mRNA) - (0.000000278 * E6_3_4_19)</v>
      </c>
    </row>
    <row r="101" spans="1:14" ht="29" x14ac:dyDescent="0.35">
      <c r="A101" s="49">
        <v>100</v>
      </c>
      <c r="B101" s="49" t="s">
        <v>14948</v>
      </c>
      <c r="C101" s="49" t="str">
        <f t="shared" si="0"/>
        <v>E5_4_99_24_mRNA</v>
      </c>
      <c r="D101" s="49" t="str">
        <f t="shared" si="1"/>
        <v>E5_4_99_24</v>
      </c>
      <c r="E101" s="64" t="str">
        <f t="shared" si="2"/>
        <v>E5_4_99_24_kcat : 13.7</v>
      </c>
      <c r="F101" s="65" t="str">
        <f t="shared" si="3"/>
        <v>E5_4_99_24_km : 1</v>
      </c>
      <c r="G101" s="66" t="str">
        <f t="shared" ref="G101:H101" si="206">CONCATENATE(C101," : ",C101)</f>
        <v>E5_4_99_24_mRNA : E5_4_99_24_mRNA</v>
      </c>
      <c r="H101" s="67" t="str">
        <f t="shared" si="206"/>
        <v>E5_4_99_24 : E5_4_99_24</v>
      </c>
      <c r="I101" s="44" t="str">
        <f t="shared" ref="I101:J101" si="207">CONCATENATE(C101," : ","0")</f>
        <v>E5_4_99_24_mRNA : 0</v>
      </c>
      <c r="J101" s="68" t="str">
        <f t="shared" si="207"/>
        <v>E5_4_99_24 : 0</v>
      </c>
      <c r="K101" s="69" t="str">
        <f t="shared" si="6"/>
        <v>0.00292 - (0.0093 * E5_4_99_24_mRNA)</v>
      </c>
      <c r="L101" s="70" t="str">
        <f t="shared" si="7"/>
        <v>(0.278 * E5_4_99_24_mRNA) - (0.00000278 * E5_4_99_24)</v>
      </c>
      <c r="M101" s="71" t="str">
        <f t="shared" si="8"/>
        <v>mRNA100: -&gt; E5_4_99_24_mRNA | 0.00292 - (0.0093 * E5_4_99_24_mRNA)</v>
      </c>
      <c r="N101" s="72" t="str">
        <f t="shared" si="9"/>
        <v>Peptide100: E5_4_99_24_mRNA -&gt; E5_4_99_24 | (0.278 * E5_4_99_24_mRNA) - (0.000000278 * E5_4_99_24)</v>
      </c>
    </row>
    <row r="102" spans="1:14" ht="29" x14ac:dyDescent="0.35">
      <c r="A102" s="49">
        <v>101</v>
      </c>
      <c r="B102" s="49" t="s">
        <v>14949</v>
      </c>
      <c r="C102" s="49" t="str">
        <f t="shared" si="0"/>
        <v>E3_1_26_12_mRNA</v>
      </c>
      <c r="D102" s="49" t="str">
        <f t="shared" si="1"/>
        <v>E3_1_26_12</v>
      </c>
      <c r="E102" s="64" t="str">
        <f t="shared" si="2"/>
        <v>E3_1_26_12_kcat : 13.7</v>
      </c>
      <c r="F102" s="65" t="str">
        <f t="shared" si="3"/>
        <v>E3_1_26_12_km : 1</v>
      </c>
      <c r="G102" s="66" t="str">
        <f t="shared" ref="G102:H102" si="208">CONCATENATE(C102," : ",C102)</f>
        <v>E3_1_26_12_mRNA : E3_1_26_12_mRNA</v>
      </c>
      <c r="H102" s="67" t="str">
        <f t="shared" si="208"/>
        <v>E3_1_26_12 : E3_1_26_12</v>
      </c>
      <c r="I102" s="44" t="str">
        <f t="shared" ref="I102:J102" si="209">CONCATENATE(C102," : ","0")</f>
        <v>E3_1_26_12_mRNA : 0</v>
      </c>
      <c r="J102" s="68" t="str">
        <f t="shared" si="209"/>
        <v>E3_1_26_12 : 0</v>
      </c>
      <c r="K102" s="69" t="str">
        <f t="shared" si="6"/>
        <v>0.00292 - (0.0093 * E3_1_26_12_mRNA)</v>
      </c>
      <c r="L102" s="70" t="str">
        <f t="shared" si="7"/>
        <v>(0.278 * E3_1_26_12_mRNA) - (0.00000278 * E3_1_26_12)</v>
      </c>
      <c r="M102" s="71" t="str">
        <f t="shared" si="8"/>
        <v>mRNA101: -&gt; E3_1_26_12_mRNA | 0.00292 - (0.0093 * E3_1_26_12_mRNA)</v>
      </c>
      <c r="N102" s="72" t="str">
        <f t="shared" si="9"/>
        <v>Peptide101: E3_1_26_12_mRNA -&gt; E3_1_26_12 | (0.278 * E3_1_26_12_mRNA) - (0.000000278 * E3_1_26_12)</v>
      </c>
    </row>
    <row r="103" spans="1:14" ht="29" x14ac:dyDescent="0.35">
      <c r="A103" s="49">
        <v>102</v>
      </c>
      <c r="B103" s="49" t="s">
        <v>14649</v>
      </c>
      <c r="C103" s="49" t="str">
        <f t="shared" si="0"/>
        <v>E2_7_1_50_mRNA</v>
      </c>
      <c r="D103" s="49" t="str">
        <f t="shared" si="1"/>
        <v>E2_7_1_50</v>
      </c>
      <c r="E103" s="64" t="str">
        <f t="shared" si="2"/>
        <v>E2_7_1_50_kcat : 13.7</v>
      </c>
      <c r="F103" s="65" t="str">
        <f t="shared" si="3"/>
        <v>E2_7_1_50_km : 1</v>
      </c>
      <c r="G103" s="66" t="str">
        <f t="shared" ref="G103:H103" si="210">CONCATENATE(C103," : ",C103)</f>
        <v>E2_7_1_50_mRNA : E2_7_1_50_mRNA</v>
      </c>
      <c r="H103" s="67" t="str">
        <f t="shared" si="210"/>
        <v>E2_7_1_50 : E2_7_1_50</v>
      </c>
      <c r="I103" s="44" t="str">
        <f t="shared" ref="I103:J103" si="211">CONCATENATE(C103," : ","0")</f>
        <v>E2_7_1_50_mRNA : 0</v>
      </c>
      <c r="J103" s="68" t="str">
        <f t="shared" si="211"/>
        <v>E2_7_1_50 : 0</v>
      </c>
      <c r="K103" s="69" t="str">
        <f t="shared" si="6"/>
        <v>0.00292 - (0.0093 * E2_7_1_50_mRNA)</v>
      </c>
      <c r="L103" s="70" t="str">
        <f t="shared" si="7"/>
        <v>(0.278 * E2_7_1_50_mRNA) - (0.00000278 * E2_7_1_50)</v>
      </c>
      <c r="M103" s="71" t="str">
        <f t="shared" si="8"/>
        <v>mRNA102: -&gt; E2_7_1_50_mRNA | 0.00292 - (0.0093 * E2_7_1_50_mRNA)</v>
      </c>
      <c r="N103" s="72" t="str">
        <f t="shared" si="9"/>
        <v>Peptide102: E2_7_1_50_mRNA -&gt; E2_7_1_50 | (0.278 * E2_7_1_50_mRNA) - (0.000000278 * E2_7_1_50)</v>
      </c>
    </row>
    <row r="104" spans="1:14" ht="29" x14ac:dyDescent="0.35">
      <c r="A104" s="49">
        <v>103</v>
      </c>
      <c r="B104" s="49" t="s">
        <v>14650</v>
      </c>
      <c r="C104" s="49" t="str">
        <f t="shared" si="0"/>
        <v>E2_7_1_49_mRNA</v>
      </c>
      <c r="D104" s="49" t="str">
        <f t="shared" si="1"/>
        <v>E2_7_1_49</v>
      </c>
      <c r="E104" s="64" t="str">
        <f t="shared" si="2"/>
        <v>E2_7_1_49_kcat : 13.7</v>
      </c>
      <c r="F104" s="65" t="str">
        <f t="shared" si="3"/>
        <v>E2_7_1_49_km : 1</v>
      </c>
      <c r="G104" s="66" t="str">
        <f t="shared" ref="G104:H104" si="212">CONCATENATE(C104," : ",C104)</f>
        <v>E2_7_1_49_mRNA : E2_7_1_49_mRNA</v>
      </c>
      <c r="H104" s="67" t="str">
        <f t="shared" si="212"/>
        <v>E2_7_1_49 : E2_7_1_49</v>
      </c>
      <c r="I104" s="44" t="str">
        <f t="shared" ref="I104:J104" si="213">CONCATENATE(C104," : ","0")</f>
        <v>E2_7_1_49_mRNA : 0</v>
      </c>
      <c r="J104" s="68" t="str">
        <f t="shared" si="213"/>
        <v>E2_7_1_49 : 0</v>
      </c>
      <c r="K104" s="69" t="str">
        <f t="shared" si="6"/>
        <v>0.00292 - (0.0093 * E2_7_1_49_mRNA)</v>
      </c>
      <c r="L104" s="70" t="str">
        <f t="shared" si="7"/>
        <v>(0.278 * E2_7_1_49_mRNA) - (0.00000278 * E2_7_1_49)</v>
      </c>
      <c r="M104" s="71" t="str">
        <f t="shared" si="8"/>
        <v>mRNA103: -&gt; E2_7_1_49_mRNA | 0.00292 - (0.0093 * E2_7_1_49_mRNA)</v>
      </c>
      <c r="N104" s="72" t="str">
        <f t="shared" si="9"/>
        <v>Peptide103: E2_7_1_49_mRNA -&gt; E2_7_1_49 | (0.278 * E2_7_1_49_mRNA) - (0.000000278 * E2_7_1_49)</v>
      </c>
    </row>
    <row r="105" spans="1:14" ht="29" x14ac:dyDescent="0.35">
      <c r="A105" s="49">
        <v>104</v>
      </c>
      <c r="B105" s="49" t="s">
        <v>14651</v>
      </c>
      <c r="C105" s="49" t="str">
        <f t="shared" si="0"/>
        <v>E2_7_4_7_mRNA</v>
      </c>
      <c r="D105" s="49" t="str">
        <f t="shared" si="1"/>
        <v>E2_7_4_7</v>
      </c>
      <c r="E105" s="64" t="str">
        <f t="shared" si="2"/>
        <v>E2_7_4_7_kcat : 13.7</v>
      </c>
      <c r="F105" s="65" t="str">
        <f t="shared" si="3"/>
        <v>E2_7_4_7_km : 1</v>
      </c>
      <c r="G105" s="66" t="str">
        <f t="shared" ref="G105:H105" si="214">CONCATENATE(C105," : ",C105)</f>
        <v>E2_7_4_7_mRNA : E2_7_4_7_mRNA</v>
      </c>
      <c r="H105" s="67" t="str">
        <f t="shared" si="214"/>
        <v>E2_7_4_7 : E2_7_4_7</v>
      </c>
      <c r="I105" s="44" t="str">
        <f t="shared" ref="I105:J105" si="215">CONCATENATE(C105," : ","0")</f>
        <v>E2_7_4_7_mRNA : 0</v>
      </c>
      <c r="J105" s="68" t="str">
        <f t="shared" si="215"/>
        <v>E2_7_4_7 : 0</v>
      </c>
      <c r="K105" s="69" t="str">
        <f t="shared" si="6"/>
        <v>0.00292 - (0.0093 * E2_7_4_7_mRNA)</v>
      </c>
      <c r="L105" s="70" t="str">
        <f t="shared" si="7"/>
        <v>(0.278 * E2_7_4_7_mRNA) - (0.00000278 * E2_7_4_7)</v>
      </c>
      <c r="M105" s="71" t="str">
        <f t="shared" si="8"/>
        <v>mRNA104: -&gt; E2_7_4_7_mRNA | 0.00292 - (0.0093 * E2_7_4_7_mRNA)</v>
      </c>
      <c r="N105" s="72" t="str">
        <f t="shared" si="9"/>
        <v>Peptide104: E2_7_4_7_mRNA -&gt; E2_7_4_7 | (0.278 * E2_7_4_7_mRNA) - (0.000000278 * E2_7_4_7)</v>
      </c>
    </row>
    <row r="106" spans="1:14" ht="29" x14ac:dyDescent="0.35">
      <c r="A106" s="49">
        <v>105</v>
      </c>
      <c r="B106" s="49" t="s">
        <v>14950</v>
      </c>
      <c r="C106" s="49" t="str">
        <f t="shared" si="0"/>
        <v>E2_5_1_3_mRNA</v>
      </c>
      <c r="D106" s="49" t="str">
        <f t="shared" si="1"/>
        <v>E2_5_1_3</v>
      </c>
      <c r="E106" s="64" t="str">
        <f t="shared" si="2"/>
        <v>E2_5_1_3_kcat : 13.7</v>
      </c>
      <c r="F106" s="65" t="str">
        <f t="shared" si="3"/>
        <v>E2_5_1_3_km : 1</v>
      </c>
      <c r="G106" s="66" t="str">
        <f t="shared" ref="G106:H106" si="216">CONCATENATE(C106," : ",C106)</f>
        <v>E2_5_1_3_mRNA : E2_5_1_3_mRNA</v>
      </c>
      <c r="H106" s="67" t="str">
        <f t="shared" si="216"/>
        <v>E2_5_1_3 : E2_5_1_3</v>
      </c>
      <c r="I106" s="44" t="str">
        <f t="shared" ref="I106:J106" si="217">CONCATENATE(C106," : ","0")</f>
        <v>E2_5_1_3_mRNA : 0</v>
      </c>
      <c r="J106" s="68" t="str">
        <f t="shared" si="217"/>
        <v>E2_5_1_3 : 0</v>
      </c>
      <c r="K106" s="69" t="str">
        <f t="shared" si="6"/>
        <v>0.00292 - (0.0093 * E2_5_1_3_mRNA)</v>
      </c>
      <c r="L106" s="70" t="str">
        <f t="shared" si="7"/>
        <v>(0.278 * E2_5_1_3_mRNA) - (0.00000278 * E2_5_1_3)</v>
      </c>
      <c r="M106" s="71" t="str">
        <f t="shared" si="8"/>
        <v>mRNA105: -&gt; E2_5_1_3_mRNA | 0.00292 - (0.0093 * E2_5_1_3_mRNA)</v>
      </c>
      <c r="N106" s="72" t="str">
        <f t="shared" si="9"/>
        <v>Peptide105: E2_5_1_3_mRNA -&gt; E2_5_1_3 | (0.278 * E2_5_1_3_mRNA) - (0.000000278 * E2_5_1_3)</v>
      </c>
    </row>
    <row r="107" spans="1:14" ht="29" x14ac:dyDescent="0.35">
      <c r="A107" s="49">
        <v>106</v>
      </c>
      <c r="B107" s="49" t="s">
        <v>14951</v>
      </c>
      <c r="C107" s="49" t="str">
        <f t="shared" si="0"/>
        <v>E3_6_4_13_mRNA</v>
      </c>
      <c r="D107" s="49" t="str">
        <f t="shared" si="1"/>
        <v>E3_6_4_13</v>
      </c>
      <c r="E107" s="64" t="str">
        <f t="shared" si="2"/>
        <v>E3_6_4_13_kcat : 13.7</v>
      </c>
      <c r="F107" s="65" t="str">
        <f t="shared" si="3"/>
        <v>E3_6_4_13_km : 1</v>
      </c>
      <c r="G107" s="66" t="str">
        <f t="shared" ref="G107:H107" si="218">CONCATENATE(C107," : ",C107)</f>
        <v>E3_6_4_13_mRNA : E3_6_4_13_mRNA</v>
      </c>
      <c r="H107" s="67" t="str">
        <f t="shared" si="218"/>
        <v>E3_6_4_13 : E3_6_4_13</v>
      </c>
      <c r="I107" s="44" t="str">
        <f t="shared" ref="I107:J107" si="219">CONCATENATE(C107," : ","0")</f>
        <v>E3_6_4_13_mRNA : 0</v>
      </c>
      <c r="J107" s="68" t="str">
        <f t="shared" si="219"/>
        <v>E3_6_4_13 : 0</v>
      </c>
      <c r="K107" s="69" t="str">
        <f t="shared" si="6"/>
        <v>0.00292 - (0.0093 * E3_6_4_13_mRNA)</v>
      </c>
      <c r="L107" s="70" t="str">
        <f t="shared" si="7"/>
        <v>(0.278 * E3_6_4_13_mRNA) - (0.00000278 * E3_6_4_13)</v>
      </c>
      <c r="M107" s="71" t="str">
        <f t="shared" si="8"/>
        <v>mRNA106: -&gt; E3_6_4_13_mRNA | 0.00292 - (0.0093 * E3_6_4_13_mRNA)</v>
      </c>
      <c r="N107" s="72" t="str">
        <f t="shared" si="9"/>
        <v>Peptide106: E3_6_4_13_mRNA -&gt; E3_6_4_13 | (0.278 * E3_6_4_13_mRNA) - (0.000000278 * E3_6_4_13)</v>
      </c>
    </row>
    <row r="108" spans="1:14" ht="29" x14ac:dyDescent="0.35">
      <c r="A108" s="49">
        <v>107</v>
      </c>
      <c r="B108" s="49" t="s">
        <v>14652</v>
      </c>
      <c r="C108" s="49" t="str">
        <f t="shared" si="0"/>
        <v>E2_7_8_8_mRNA</v>
      </c>
      <c r="D108" s="49" t="str">
        <f t="shared" si="1"/>
        <v>E2_7_8_8</v>
      </c>
      <c r="E108" s="64" t="str">
        <f t="shared" si="2"/>
        <v>E2_7_8_8_kcat : 13.7</v>
      </c>
      <c r="F108" s="65" t="str">
        <f t="shared" si="3"/>
        <v>E2_7_8_8_km : 1</v>
      </c>
      <c r="G108" s="66" t="str">
        <f t="shared" ref="G108:H108" si="220">CONCATENATE(C108," : ",C108)</f>
        <v>E2_7_8_8_mRNA : E2_7_8_8_mRNA</v>
      </c>
      <c r="H108" s="67" t="str">
        <f t="shared" si="220"/>
        <v>E2_7_8_8 : E2_7_8_8</v>
      </c>
      <c r="I108" s="44" t="str">
        <f t="shared" ref="I108:J108" si="221">CONCATENATE(C108," : ","0")</f>
        <v>E2_7_8_8_mRNA : 0</v>
      </c>
      <c r="J108" s="68" t="str">
        <f t="shared" si="221"/>
        <v>E2_7_8_8 : 0</v>
      </c>
      <c r="K108" s="69" t="str">
        <f t="shared" si="6"/>
        <v>0.00292 - (0.0093 * E2_7_8_8_mRNA)</v>
      </c>
      <c r="L108" s="70" t="str">
        <f t="shared" si="7"/>
        <v>(0.278 * E2_7_8_8_mRNA) - (0.00000278 * E2_7_8_8)</v>
      </c>
      <c r="M108" s="71" t="str">
        <f t="shared" si="8"/>
        <v>mRNA107: -&gt; E2_7_8_8_mRNA | 0.00292 - (0.0093 * E2_7_8_8_mRNA)</v>
      </c>
      <c r="N108" s="72" t="str">
        <f t="shared" si="9"/>
        <v>Peptide107: E2_7_8_8_mRNA -&gt; E2_7_8_8 | (0.278 * E2_7_8_8_mRNA) - (0.000000278 * E2_7_8_8)</v>
      </c>
    </row>
    <row r="109" spans="1:14" ht="29" x14ac:dyDescent="0.35">
      <c r="A109" s="49">
        <v>108</v>
      </c>
      <c r="B109" s="49" t="s">
        <v>14653</v>
      </c>
      <c r="C109" s="49" t="str">
        <f t="shared" si="0"/>
        <v>E2_6_1_16_mRNA</v>
      </c>
      <c r="D109" s="49" t="str">
        <f t="shared" si="1"/>
        <v>E2_6_1_16</v>
      </c>
      <c r="E109" s="64" t="str">
        <f t="shared" si="2"/>
        <v>E2_6_1_16_kcat : 13.7</v>
      </c>
      <c r="F109" s="65" t="str">
        <f t="shared" si="3"/>
        <v>E2_6_1_16_km : 1</v>
      </c>
      <c r="G109" s="66" t="str">
        <f t="shared" ref="G109:H109" si="222">CONCATENATE(C109," : ",C109)</f>
        <v>E2_6_1_16_mRNA : E2_6_1_16_mRNA</v>
      </c>
      <c r="H109" s="67" t="str">
        <f t="shared" si="222"/>
        <v>E2_6_1_16 : E2_6_1_16</v>
      </c>
      <c r="I109" s="44" t="str">
        <f t="shared" ref="I109:J109" si="223">CONCATENATE(C109," : ","0")</f>
        <v>E2_6_1_16_mRNA : 0</v>
      </c>
      <c r="J109" s="68" t="str">
        <f t="shared" si="223"/>
        <v>E2_6_1_16 : 0</v>
      </c>
      <c r="K109" s="69" t="str">
        <f t="shared" si="6"/>
        <v>0.00292 - (0.0093 * E2_6_1_16_mRNA)</v>
      </c>
      <c r="L109" s="70" t="str">
        <f t="shared" si="7"/>
        <v>(0.278 * E2_6_1_16_mRNA) - (0.00000278 * E2_6_1_16)</v>
      </c>
      <c r="M109" s="71" t="str">
        <f t="shared" si="8"/>
        <v>mRNA108: -&gt; E2_6_1_16_mRNA | 0.00292 - (0.0093 * E2_6_1_16_mRNA)</v>
      </c>
      <c r="N109" s="72" t="str">
        <f t="shared" si="9"/>
        <v>Peptide108: E2_6_1_16_mRNA -&gt; E2_6_1_16 | (0.278 * E2_6_1_16_mRNA) - (0.000000278 * E2_6_1_16)</v>
      </c>
    </row>
    <row r="110" spans="1:14" ht="29" x14ac:dyDescent="0.35">
      <c r="A110" s="49">
        <v>109</v>
      </c>
      <c r="B110" s="49" t="s">
        <v>14654</v>
      </c>
      <c r="C110" s="49" t="str">
        <f t="shared" si="0"/>
        <v>E3_6_1_22_mRNA</v>
      </c>
      <c r="D110" s="49" t="str">
        <f t="shared" si="1"/>
        <v>E3_6_1_22</v>
      </c>
      <c r="E110" s="64" t="str">
        <f t="shared" si="2"/>
        <v>E3_6_1_22_kcat : 13.7</v>
      </c>
      <c r="F110" s="65" t="str">
        <f t="shared" si="3"/>
        <v>E3_6_1_22_km : 1</v>
      </c>
      <c r="G110" s="66" t="str">
        <f t="shared" ref="G110:H110" si="224">CONCATENATE(C110," : ",C110)</f>
        <v>E3_6_1_22_mRNA : E3_6_1_22_mRNA</v>
      </c>
      <c r="H110" s="67" t="str">
        <f t="shared" si="224"/>
        <v>E3_6_1_22 : E3_6_1_22</v>
      </c>
      <c r="I110" s="44" t="str">
        <f t="shared" ref="I110:J110" si="225">CONCATENATE(C110," : ","0")</f>
        <v>E3_6_1_22_mRNA : 0</v>
      </c>
      <c r="J110" s="68" t="str">
        <f t="shared" si="225"/>
        <v>E3_6_1_22 : 0</v>
      </c>
      <c r="K110" s="69" t="str">
        <f t="shared" si="6"/>
        <v>0.00292 - (0.0093 * E3_6_1_22_mRNA)</v>
      </c>
      <c r="L110" s="70" t="str">
        <f t="shared" si="7"/>
        <v>(0.278 * E3_6_1_22_mRNA) - (0.00000278 * E3_6_1_22)</v>
      </c>
      <c r="M110" s="71" t="str">
        <f t="shared" si="8"/>
        <v>mRNA109: -&gt; E3_6_1_22_mRNA | 0.00292 - (0.0093 * E3_6_1_22_mRNA)</v>
      </c>
      <c r="N110" s="72" t="str">
        <f t="shared" si="9"/>
        <v>Peptide109: E3_6_1_22_mRNA -&gt; E3_6_1_22 | (0.278 * E3_6_1_22_mRNA) - (0.000000278 * E3_6_1_22)</v>
      </c>
    </row>
    <row r="111" spans="1:14" ht="29" x14ac:dyDescent="0.35">
      <c r="A111" s="49">
        <v>110</v>
      </c>
      <c r="B111" s="49" t="s">
        <v>14655</v>
      </c>
      <c r="C111" s="49" t="str">
        <f t="shared" si="0"/>
        <v>E2_7_1_56_mRNA</v>
      </c>
      <c r="D111" s="49" t="str">
        <f t="shared" si="1"/>
        <v>E2_7_1_56</v>
      </c>
      <c r="E111" s="64" t="str">
        <f t="shared" si="2"/>
        <v>E2_7_1_56_kcat : 13.7</v>
      </c>
      <c r="F111" s="65" t="str">
        <f t="shared" si="3"/>
        <v>E2_7_1_56_km : 1</v>
      </c>
      <c r="G111" s="66" t="str">
        <f t="shared" ref="G111:H111" si="226">CONCATENATE(C111," : ",C111)</f>
        <v>E2_7_1_56_mRNA : E2_7_1_56_mRNA</v>
      </c>
      <c r="H111" s="67" t="str">
        <f t="shared" si="226"/>
        <v>E2_7_1_56 : E2_7_1_56</v>
      </c>
      <c r="I111" s="44" t="str">
        <f t="shared" ref="I111:J111" si="227">CONCATENATE(C111," : ","0")</f>
        <v>E2_7_1_56_mRNA : 0</v>
      </c>
      <c r="J111" s="68" t="str">
        <f t="shared" si="227"/>
        <v>E2_7_1_56 : 0</v>
      </c>
      <c r="K111" s="69" t="str">
        <f t="shared" si="6"/>
        <v>0.00292 - (0.0093 * E2_7_1_56_mRNA)</v>
      </c>
      <c r="L111" s="70" t="str">
        <f t="shared" si="7"/>
        <v>(0.278 * E2_7_1_56_mRNA) - (0.00000278 * E2_7_1_56)</v>
      </c>
      <c r="M111" s="71" t="str">
        <f t="shared" si="8"/>
        <v>mRNA110: -&gt; E2_7_1_56_mRNA | 0.00292 - (0.0093 * E2_7_1_56_mRNA)</v>
      </c>
      <c r="N111" s="72" t="str">
        <f t="shared" si="9"/>
        <v>Peptide110: E2_7_1_56_mRNA -&gt; E2_7_1_56 | (0.278 * E2_7_1_56_mRNA) - (0.000000278 * E2_7_1_56)</v>
      </c>
    </row>
    <row r="112" spans="1:14" ht="29" x14ac:dyDescent="0.35">
      <c r="A112" s="49">
        <v>111</v>
      </c>
      <c r="B112" s="49" t="s">
        <v>14656</v>
      </c>
      <c r="C112" s="49" t="str">
        <f t="shared" si="0"/>
        <v>E2_7_4_9_mRNA</v>
      </c>
      <c r="D112" s="49" t="str">
        <f t="shared" si="1"/>
        <v>E2_7_4_9</v>
      </c>
      <c r="E112" s="64" t="str">
        <f t="shared" si="2"/>
        <v>E2_7_4_9_kcat : 13.7</v>
      </c>
      <c r="F112" s="65" t="str">
        <f t="shared" si="3"/>
        <v>E2_7_4_9_km : 1</v>
      </c>
      <c r="G112" s="66" t="str">
        <f t="shared" ref="G112:H112" si="228">CONCATENATE(C112," : ",C112)</f>
        <v>E2_7_4_9_mRNA : E2_7_4_9_mRNA</v>
      </c>
      <c r="H112" s="67" t="str">
        <f t="shared" si="228"/>
        <v>E2_7_4_9 : E2_7_4_9</v>
      </c>
      <c r="I112" s="44" t="str">
        <f t="shared" ref="I112:J112" si="229">CONCATENATE(C112," : ","0")</f>
        <v>E2_7_4_9_mRNA : 0</v>
      </c>
      <c r="J112" s="68" t="str">
        <f t="shared" si="229"/>
        <v>E2_7_4_9 : 0</v>
      </c>
      <c r="K112" s="69" t="str">
        <f t="shared" si="6"/>
        <v>0.00292 - (0.0093 * E2_7_4_9_mRNA)</v>
      </c>
      <c r="L112" s="70" t="str">
        <f t="shared" si="7"/>
        <v>(0.278 * E2_7_4_9_mRNA) - (0.00000278 * E2_7_4_9)</v>
      </c>
      <c r="M112" s="71" t="str">
        <f t="shared" si="8"/>
        <v>mRNA111: -&gt; E2_7_4_9_mRNA | 0.00292 - (0.0093 * E2_7_4_9_mRNA)</v>
      </c>
      <c r="N112" s="72" t="str">
        <f t="shared" si="9"/>
        <v>Peptide111: E2_7_4_9_mRNA -&gt; E2_7_4_9 | (0.278 * E2_7_4_9_mRNA) - (0.000000278 * E2_7_4_9)</v>
      </c>
    </row>
    <row r="113" spans="1:14" ht="29" x14ac:dyDescent="0.35">
      <c r="A113" s="49">
        <v>112</v>
      </c>
      <c r="B113" s="49" t="s">
        <v>14657</v>
      </c>
      <c r="C113" s="49" t="str">
        <f t="shared" si="0"/>
        <v>E2_4_2_9_mRNA</v>
      </c>
      <c r="D113" s="49" t="str">
        <f t="shared" si="1"/>
        <v>E2_4_2_9</v>
      </c>
      <c r="E113" s="64" t="str">
        <f t="shared" si="2"/>
        <v>E2_4_2_9_kcat : 13.7</v>
      </c>
      <c r="F113" s="65" t="str">
        <f t="shared" si="3"/>
        <v>E2_4_2_9_km : 1</v>
      </c>
      <c r="G113" s="66" t="str">
        <f t="shared" ref="G113:H113" si="230">CONCATENATE(C113," : ",C113)</f>
        <v>E2_4_2_9_mRNA : E2_4_2_9_mRNA</v>
      </c>
      <c r="H113" s="67" t="str">
        <f t="shared" si="230"/>
        <v>E2_4_2_9 : E2_4_2_9</v>
      </c>
      <c r="I113" s="44" t="str">
        <f t="shared" ref="I113:J113" si="231">CONCATENATE(C113," : ","0")</f>
        <v>E2_4_2_9_mRNA : 0</v>
      </c>
      <c r="J113" s="68" t="str">
        <f t="shared" si="231"/>
        <v>E2_4_2_9 : 0</v>
      </c>
      <c r="K113" s="69" t="str">
        <f t="shared" si="6"/>
        <v>0.00292 - (0.0093 * E2_4_2_9_mRNA)</v>
      </c>
      <c r="L113" s="70" t="str">
        <f t="shared" si="7"/>
        <v>(0.278 * E2_4_2_9_mRNA) - (0.00000278 * E2_4_2_9)</v>
      </c>
      <c r="M113" s="71" t="str">
        <f t="shared" si="8"/>
        <v>mRNA112: -&gt; E2_4_2_9_mRNA | 0.00292 - (0.0093 * E2_4_2_9_mRNA)</v>
      </c>
      <c r="N113" s="72" t="str">
        <f t="shared" si="9"/>
        <v>Peptide112: E2_4_2_9_mRNA -&gt; E2_4_2_9 | (0.278 * E2_4_2_9_mRNA) - (0.000000278 * E2_4_2_9)</v>
      </c>
    </row>
    <row r="114" spans="1:14" ht="29" x14ac:dyDescent="0.35">
      <c r="A114" s="49">
        <v>113</v>
      </c>
      <c r="B114" s="49" t="s">
        <v>14658</v>
      </c>
      <c r="C114" s="49" t="str">
        <f t="shared" si="0"/>
        <v>E3_6_1_9_mRNA</v>
      </c>
      <c r="D114" s="49" t="str">
        <f t="shared" si="1"/>
        <v>E3_6_1_9</v>
      </c>
      <c r="E114" s="64" t="str">
        <f t="shared" si="2"/>
        <v>E3_6_1_9_kcat : 13.7</v>
      </c>
      <c r="F114" s="65" t="str">
        <f t="shared" si="3"/>
        <v>E3_6_1_9_km : 1</v>
      </c>
      <c r="G114" s="66" t="str">
        <f t="shared" ref="G114:H114" si="232">CONCATENATE(C114," : ",C114)</f>
        <v>E3_6_1_9_mRNA : E3_6_1_9_mRNA</v>
      </c>
      <c r="H114" s="67" t="str">
        <f t="shared" si="232"/>
        <v>E3_6_1_9 : E3_6_1_9</v>
      </c>
      <c r="I114" s="44" t="str">
        <f t="shared" ref="I114:J114" si="233">CONCATENATE(C114," : ","0")</f>
        <v>E3_6_1_9_mRNA : 0</v>
      </c>
      <c r="J114" s="68" t="str">
        <f t="shared" si="233"/>
        <v>E3_6_1_9 : 0</v>
      </c>
      <c r="K114" s="69" t="str">
        <f t="shared" si="6"/>
        <v>0.00292 - (0.0093 * E3_6_1_9_mRNA)</v>
      </c>
      <c r="L114" s="70" t="str">
        <f t="shared" si="7"/>
        <v>(0.278 * E3_6_1_9_mRNA) - (0.00000278 * E3_6_1_9)</v>
      </c>
      <c r="M114" s="71" t="str">
        <f t="shared" si="8"/>
        <v>mRNA113: -&gt; E3_6_1_9_mRNA | 0.00292 - (0.0093 * E3_6_1_9_mRNA)</v>
      </c>
      <c r="N114" s="72" t="str">
        <f t="shared" si="9"/>
        <v>Peptide113: E3_6_1_9_mRNA -&gt; E3_6_1_9 | (0.278 * E3_6_1_9_mRNA) - (0.000000278 * E3_6_1_9)</v>
      </c>
    </row>
    <row r="115" spans="1:14" ht="29" x14ac:dyDescent="0.35">
      <c r="A115" s="49">
        <v>114</v>
      </c>
      <c r="B115" s="49" t="s">
        <v>14952</v>
      </c>
      <c r="C115" s="49" t="str">
        <f t="shared" si="0"/>
        <v>E3_4_21_53_mRNA</v>
      </c>
      <c r="D115" s="49" t="str">
        <f t="shared" si="1"/>
        <v>E3_4_21_53</v>
      </c>
      <c r="E115" s="64" t="str">
        <f t="shared" si="2"/>
        <v>E3_4_21_53_kcat : 13.7</v>
      </c>
      <c r="F115" s="65" t="str">
        <f t="shared" si="3"/>
        <v>E3_4_21_53_km : 1</v>
      </c>
      <c r="G115" s="66" t="str">
        <f t="shared" ref="G115:H115" si="234">CONCATENATE(C115," : ",C115)</f>
        <v>E3_4_21_53_mRNA : E3_4_21_53_mRNA</v>
      </c>
      <c r="H115" s="67" t="str">
        <f t="shared" si="234"/>
        <v>E3_4_21_53 : E3_4_21_53</v>
      </c>
      <c r="I115" s="44" t="str">
        <f t="shared" ref="I115:J115" si="235">CONCATENATE(C115," : ","0")</f>
        <v>E3_4_21_53_mRNA : 0</v>
      </c>
      <c r="J115" s="68" t="str">
        <f t="shared" si="235"/>
        <v>E3_4_21_53 : 0</v>
      </c>
      <c r="K115" s="69" t="str">
        <f t="shared" si="6"/>
        <v>0.00292 - (0.0093 * E3_4_21_53_mRNA)</v>
      </c>
      <c r="L115" s="70" t="str">
        <f t="shared" si="7"/>
        <v>(0.278 * E3_4_21_53_mRNA) - (0.00000278 * E3_4_21_53)</v>
      </c>
      <c r="M115" s="71" t="str">
        <f t="shared" si="8"/>
        <v>mRNA114: -&gt; E3_4_21_53_mRNA | 0.00292 - (0.0093 * E3_4_21_53_mRNA)</v>
      </c>
      <c r="N115" s="72" t="str">
        <f t="shared" si="9"/>
        <v>Peptide114: E3_4_21_53_mRNA -&gt; E3_4_21_53 | (0.278 * E3_4_21_53_mRNA) - (0.000000278 * E3_4_21_53)</v>
      </c>
    </row>
    <row r="116" spans="1:14" ht="29" x14ac:dyDescent="0.35">
      <c r="A116" s="49">
        <v>115</v>
      </c>
      <c r="B116" s="49" t="s">
        <v>14659</v>
      </c>
      <c r="C116" s="49" t="str">
        <f t="shared" si="0"/>
        <v>E5_3_1_6_mRNA</v>
      </c>
      <c r="D116" s="49" t="str">
        <f t="shared" si="1"/>
        <v>E5_3_1_6</v>
      </c>
      <c r="E116" s="64" t="str">
        <f t="shared" si="2"/>
        <v>E5_3_1_6_kcat : 13.7</v>
      </c>
      <c r="F116" s="65" t="str">
        <f t="shared" si="3"/>
        <v>E5_3_1_6_km : 1</v>
      </c>
      <c r="G116" s="66" t="str">
        <f t="shared" ref="G116:H116" si="236">CONCATENATE(C116," : ",C116)</f>
        <v>E5_3_1_6_mRNA : E5_3_1_6_mRNA</v>
      </c>
      <c r="H116" s="67" t="str">
        <f t="shared" si="236"/>
        <v>E5_3_1_6 : E5_3_1_6</v>
      </c>
      <c r="I116" s="44" t="str">
        <f t="shared" ref="I116:J116" si="237">CONCATENATE(C116," : ","0")</f>
        <v>E5_3_1_6_mRNA : 0</v>
      </c>
      <c r="J116" s="68" t="str">
        <f t="shared" si="237"/>
        <v>E5_3_1_6 : 0</v>
      </c>
      <c r="K116" s="69" t="str">
        <f t="shared" si="6"/>
        <v>0.00292 - (0.0093 * E5_3_1_6_mRNA)</v>
      </c>
      <c r="L116" s="70" t="str">
        <f t="shared" si="7"/>
        <v>(0.278 * E5_3_1_6_mRNA) - (0.00000278 * E5_3_1_6)</v>
      </c>
      <c r="M116" s="71" t="str">
        <f t="shared" si="8"/>
        <v>mRNA115: -&gt; E5_3_1_6_mRNA | 0.00292 - (0.0093 * E5_3_1_6_mRNA)</v>
      </c>
      <c r="N116" s="72" t="str">
        <f t="shared" si="9"/>
        <v>Peptide115: E5_3_1_6_mRNA -&gt; E5_3_1_6 | (0.278 * E5_3_1_6_mRNA) - (0.000000278 * E5_3_1_6)</v>
      </c>
    </row>
    <row r="117" spans="1:14" ht="29" x14ac:dyDescent="0.35">
      <c r="A117" s="49">
        <v>116</v>
      </c>
      <c r="B117" s="49" t="s">
        <v>14660</v>
      </c>
      <c r="C117" s="49" t="str">
        <f t="shared" si="0"/>
        <v>E1_1_1_95_mRNA</v>
      </c>
      <c r="D117" s="49" t="str">
        <f t="shared" si="1"/>
        <v>E1_1_1_95</v>
      </c>
      <c r="E117" s="64" t="str">
        <f t="shared" si="2"/>
        <v>E1_1_1_95_kcat : 13.7</v>
      </c>
      <c r="F117" s="65" t="str">
        <f t="shared" si="3"/>
        <v>E1_1_1_95_km : 1</v>
      </c>
      <c r="G117" s="66" t="str">
        <f t="shared" ref="G117:H117" si="238">CONCATENATE(C117," : ",C117)</f>
        <v>E1_1_1_95_mRNA : E1_1_1_95_mRNA</v>
      </c>
      <c r="H117" s="67" t="str">
        <f t="shared" si="238"/>
        <v>E1_1_1_95 : E1_1_1_95</v>
      </c>
      <c r="I117" s="44" t="str">
        <f t="shared" ref="I117:J117" si="239">CONCATENATE(C117," : ","0")</f>
        <v>E1_1_1_95_mRNA : 0</v>
      </c>
      <c r="J117" s="68" t="str">
        <f t="shared" si="239"/>
        <v>E1_1_1_95 : 0</v>
      </c>
      <c r="K117" s="69" t="str">
        <f t="shared" si="6"/>
        <v>0.00292 - (0.0093 * E1_1_1_95_mRNA)</v>
      </c>
      <c r="L117" s="70" t="str">
        <f t="shared" si="7"/>
        <v>(0.278 * E1_1_1_95_mRNA) - (0.00000278 * E1_1_1_95)</v>
      </c>
      <c r="M117" s="71" t="str">
        <f t="shared" si="8"/>
        <v>mRNA116: -&gt; E1_1_1_95_mRNA | 0.00292 - (0.0093 * E1_1_1_95_mRNA)</v>
      </c>
      <c r="N117" s="72" t="str">
        <f t="shared" si="9"/>
        <v>Peptide116: E1_1_1_95_mRNA -&gt; E1_1_1_95 | (0.278 * E1_1_1_95_mRNA) - (0.000000278 * E1_1_1_95)</v>
      </c>
    </row>
    <row r="118" spans="1:14" ht="29" x14ac:dyDescent="0.35">
      <c r="A118" s="49">
        <v>117</v>
      </c>
      <c r="B118" s="49" t="s">
        <v>14661</v>
      </c>
      <c r="C118" s="49" t="str">
        <f t="shared" si="0"/>
        <v>E2_4_2_17_mRNA</v>
      </c>
      <c r="D118" s="49" t="str">
        <f t="shared" si="1"/>
        <v>E2_4_2_17</v>
      </c>
      <c r="E118" s="64" t="str">
        <f t="shared" si="2"/>
        <v>E2_4_2_17_kcat : 13.7</v>
      </c>
      <c r="F118" s="65" t="str">
        <f t="shared" si="3"/>
        <v>E2_4_2_17_km : 1</v>
      </c>
      <c r="G118" s="66" t="str">
        <f t="shared" ref="G118:H118" si="240">CONCATENATE(C118," : ",C118)</f>
        <v>E2_4_2_17_mRNA : E2_4_2_17_mRNA</v>
      </c>
      <c r="H118" s="67" t="str">
        <f t="shared" si="240"/>
        <v>E2_4_2_17 : E2_4_2_17</v>
      </c>
      <c r="I118" s="44" t="str">
        <f t="shared" ref="I118:J118" si="241">CONCATENATE(C118," : ","0")</f>
        <v>E2_4_2_17_mRNA : 0</v>
      </c>
      <c r="J118" s="68" t="str">
        <f t="shared" si="241"/>
        <v>E2_4_2_17 : 0</v>
      </c>
      <c r="K118" s="69" t="str">
        <f t="shared" si="6"/>
        <v>0.00292 - (0.0093 * E2_4_2_17_mRNA)</v>
      </c>
      <c r="L118" s="70" t="str">
        <f t="shared" si="7"/>
        <v>(0.278 * E2_4_2_17_mRNA) - (0.00000278 * E2_4_2_17)</v>
      </c>
      <c r="M118" s="71" t="str">
        <f t="shared" si="8"/>
        <v>mRNA117: -&gt; E2_4_2_17_mRNA | 0.00292 - (0.0093 * E2_4_2_17_mRNA)</v>
      </c>
      <c r="N118" s="72" t="str">
        <f t="shared" si="9"/>
        <v>Peptide117: E2_4_2_17_mRNA -&gt; E2_4_2_17 | (0.278 * E2_4_2_17_mRNA) - (0.000000278 * E2_4_2_17)</v>
      </c>
    </row>
    <row r="119" spans="1:14" ht="29" x14ac:dyDescent="0.35">
      <c r="A119" s="49">
        <v>118</v>
      </c>
      <c r="B119" s="49" t="s">
        <v>14662</v>
      </c>
      <c r="C119" s="49" t="str">
        <f t="shared" si="0"/>
        <v>E1_1_1_23_mRNA</v>
      </c>
      <c r="D119" s="49" t="str">
        <f t="shared" si="1"/>
        <v>E1_1_1_23</v>
      </c>
      <c r="E119" s="64" t="str">
        <f t="shared" si="2"/>
        <v>E1_1_1_23_kcat : 13.7</v>
      </c>
      <c r="F119" s="65" t="str">
        <f t="shared" si="3"/>
        <v>E1_1_1_23_km : 1</v>
      </c>
      <c r="G119" s="66" t="str">
        <f t="shared" ref="G119:H119" si="242">CONCATENATE(C119," : ",C119)</f>
        <v>E1_1_1_23_mRNA : E1_1_1_23_mRNA</v>
      </c>
      <c r="H119" s="67" t="str">
        <f t="shared" si="242"/>
        <v>E1_1_1_23 : E1_1_1_23</v>
      </c>
      <c r="I119" s="44" t="str">
        <f t="shared" ref="I119:J119" si="243">CONCATENATE(C119," : ","0")</f>
        <v>E1_1_1_23_mRNA : 0</v>
      </c>
      <c r="J119" s="68" t="str">
        <f t="shared" si="243"/>
        <v>E1_1_1_23 : 0</v>
      </c>
      <c r="K119" s="69" t="str">
        <f t="shared" si="6"/>
        <v>0.00292 - (0.0093 * E1_1_1_23_mRNA)</v>
      </c>
      <c r="L119" s="70" t="str">
        <f t="shared" si="7"/>
        <v>(0.278 * E1_1_1_23_mRNA) - (0.00000278 * E1_1_1_23)</v>
      </c>
      <c r="M119" s="71" t="str">
        <f t="shared" si="8"/>
        <v>mRNA118: -&gt; E1_1_1_23_mRNA | 0.00292 - (0.0093 * E1_1_1_23_mRNA)</v>
      </c>
      <c r="N119" s="72" t="str">
        <f t="shared" si="9"/>
        <v>Peptide118: E1_1_1_23_mRNA -&gt; E1_1_1_23 | (0.278 * E1_1_1_23_mRNA) - (0.000000278 * E1_1_1_23)</v>
      </c>
    </row>
    <row r="120" spans="1:14" ht="29" x14ac:dyDescent="0.35">
      <c r="A120" s="49">
        <v>119</v>
      </c>
      <c r="B120" s="49" t="s">
        <v>14663</v>
      </c>
      <c r="C120" s="49" t="str">
        <f t="shared" si="0"/>
        <v>E2_6_1_9_mRNA</v>
      </c>
      <c r="D120" s="49" t="str">
        <f t="shared" si="1"/>
        <v>E2_6_1_9</v>
      </c>
      <c r="E120" s="64" t="str">
        <f t="shared" si="2"/>
        <v>E2_6_1_9_kcat : 13.7</v>
      </c>
      <c r="F120" s="65" t="str">
        <f t="shared" si="3"/>
        <v>E2_6_1_9_km : 1</v>
      </c>
      <c r="G120" s="66" t="str">
        <f t="shared" ref="G120:H120" si="244">CONCATENATE(C120," : ",C120)</f>
        <v>E2_6_1_9_mRNA : E2_6_1_9_mRNA</v>
      </c>
      <c r="H120" s="67" t="str">
        <f t="shared" si="244"/>
        <v>E2_6_1_9 : E2_6_1_9</v>
      </c>
      <c r="I120" s="44" t="str">
        <f t="shared" ref="I120:J120" si="245">CONCATENATE(C120," : ","0")</f>
        <v>E2_6_1_9_mRNA : 0</v>
      </c>
      <c r="J120" s="68" t="str">
        <f t="shared" si="245"/>
        <v>E2_6_1_9 : 0</v>
      </c>
      <c r="K120" s="69" t="str">
        <f t="shared" si="6"/>
        <v>0.00292 - (0.0093 * E2_6_1_9_mRNA)</v>
      </c>
      <c r="L120" s="70" t="str">
        <f t="shared" si="7"/>
        <v>(0.278 * E2_6_1_9_mRNA) - (0.00000278 * E2_6_1_9)</v>
      </c>
      <c r="M120" s="71" t="str">
        <f t="shared" si="8"/>
        <v>mRNA119: -&gt; E2_6_1_9_mRNA | 0.00292 - (0.0093 * E2_6_1_9_mRNA)</v>
      </c>
      <c r="N120" s="72" t="str">
        <f t="shared" si="9"/>
        <v>Peptide119: E2_6_1_9_mRNA -&gt; E2_6_1_9 | (0.278 * E2_6_1_9_mRNA) - (0.000000278 * E2_6_1_9)</v>
      </c>
    </row>
    <row r="121" spans="1:14" ht="29" x14ac:dyDescent="0.35">
      <c r="A121" s="49">
        <v>120</v>
      </c>
      <c r="B121" s="49" t="s">
        <v>14664</v>
      </c>
      <c r="C121" s="49" t="str">
        <f t="shared" si="0"/>
        <v>E3_1_3_15_mRNA</v>
      </c>
      <c r="D121" s="49" t="str">
        <f t="shared" si="1"/>
        <v>E3_1_3_15</v>
      </c>
      <c r="E121" s="64" t="str">
        <f t="shared" si="2"/>
        <v>E3_1_3_15_kcat : 13.7</v>
      </c>
      <c r="F121" s="65" t="str">
        <f t="shared" si="3"/>
        <v>E3_1_3_15_km : 1</v>
      </c>
      <c r="G121" s="66" t="str">
        <f t="shared" ref="G121:H121" si="246">CONCATENATE(C121," : ",C121)</f>
        <v>E3_1_3_15_mRNA : E3_1_3_15_mRNA</v>
      </c>
      <c r="H121" s="67" t="str">
        <f t="shared" si="246"/>
        <v>E3_1_3_15 : E3_1_3_15</v>
      </c>
      <c r="I121" s="44" t="str">
        <f t="shared" ref="I121:J121" si="247">CONCATENATE(C121," : ","0")</f>
        <v>E3_1_3_15_mRNA : 0</v>
      </c>
      <c r="J121" s="68" t="str">
        <f t="shared" si="247"/>
        <v>E3_1_3_15 : 0</v>
      </c>
      <c r="K121" s="69" t="str">
        <f t="shared" si="6"/>
        <v>0.00292 - (0.0093 * E3_1_3_15_mRNA)</v>
      </c>
      <c r="L121" s="70" t="str">
        <f t="shared" si="7"/>
        <v>(0.278 * E3_1_3_15_mRNA) - (0.00000278 * E3_1_3_15)</v>
      </c>
      <c r="M121" s="71" t="str">
        <f t="shared" si="8"/>
        <v>mRNA120: -&gt; E3_1_3_15_mRNA | 0.00292 - (0.0093 * E3_1_3_15_mRNA)</v>
      </c>
      <c r="N121" s="72" t="str">
        <f t="shared" si="9"/>
        <v>Peptide120: E3_1_3_15_mRNA -&gt; E3_1_3_15 | (0.278 * E3_1_3_15_mRNA) - (0.000000278 * E3_1_3_15)</v>
      </c>
    </row>
    <row r="122" spans="1:14" ht="29" x14ac:dyDescent="0.35">
      <c r="A122" s="49">
        <v>121</v>
      </c>
      <c r="B122" s="49" t="s">
        <v>14665</v>
      </c>
      <c r="C122" s="49" t="str">
        <f t="shared" si="0"/>
        <v>E4_2_1_19_mRNA</v>
      </c>
      <c r="D122" s="49" t="str">
        <f t="shared" si="1"/>
        <v>E4_2_1_19</v>
      </c>
      <c r="E122" s="64" t="str">
        <f t="shared" si="2"/>
        <v>E4_2_1_19_kcat : 13.7</v>
      </c>
      <c r="F122" s="65" t="str">
        <f t="shared" si="3"/>
        <v>E4_2_1_19_km : 1</v>
      </c>
      <c r="G122" s="66" t="str">
        <f t="shared" ref="G122:H122" si="248">CONCATENATE(C122," : ",C122)</f>
        <v>E4_2_1_19_mRNA : E4_2_1_19_mRNA</v>
      </c>
      <c r="H122" s="67" t="str">
        <f t="shared" si="248"/>
        <v>E4_2_1_19 : E4_2_1_19</v>
      </c>
      <c r="I122" s="44" t="str">
        <f t="shared" ref="I122:J122" si="249">CONCATENATE(C122," : ","0")</f>
        <v>E4_2_1_19_mRNA : 0</v>
      </c>
      <c r="J122" s="68" t="str">
        <f t="shared" si="249"/>
        <v>E4_2_1_19 : 0</v>
      </c>
      <c r="K122" s="69" t="str">
        <f t="shared" si="6"/>
        <v>0.00292 - (0.0093 * E4_2_1_19_mRNA)</v>
      </c>
      <c r="L122" s="70" t="str">
        <f t="shared" si="7"/>
        <v>(0.278 * E4_2_1_19_mRNA) - (0.00000278 * E4_2_1_19)</v>
      </c>
      <c r="M122" s="71" t="str">
        <f t="shared" si="8"/>
        <v>mRNA121: -&gt; E4_2_1_19_mRNA | 0.00292 - (0.0093 * E4_2_1_19_mRNA)</v>
      </c>
      <c r="N122" s="72" t="str">
        <f t="shared" si="9"/>
        <v>Peptide121: E4_2_1_19_mRNA -&gt; E4_2_1_19 | (0.278 * E4_2_1_19_mRNA) - (0.000000278 * E4_2_1_19)</v>
      </c>
    </row>
    <row r="123" spans="1:14" ht="29" x14ac:dyDescent="0.35">
      <c r="A123" s="49">
        <v>122</v>
      </c>
      <c r="B123" s="49" t="s">
        <v>14666</v>
      </c>
      <c r="C123" s="49" t="str">
        <f t="shared" si="0"/>
        <v>E4_3_2_10_mRNA</v>
      </c>
      <c r="D123" s="49" t="str">
        <f t="shared" si="1"/>
        <v>E4_3_2_10</v>
      </c>
      <c r="E123" s="64" t="str">
        <f t="shared" si="2"/>
        <v>E4_3_2_10_kcat : 13.7</v>
      </c>
      <c r="F123" s="65" t="str">
        <f t="shared" si="3"/>
        <v>E4_3_2_10_km : 1</v>
      </c>
      <c r="G123" s="66" t="str">
        <f t="shared" ref="G123:H123" si="250">CONCATENATE(C123," : ",C123)</f>
        <v>E4_3_2_10_mRNA : E4_3_2_10_mRNA</v>
      </c>
      <c r="H123" s="67" t="str">
        <f t="shared" si="250"/>
        <v>E4_3_2_10 : E4_3_2_10</v>
      </c>
      <c r="I123" s="44" t="str">
        <f t="shared" ref="I123:J123" si="251">CONCATENATE(C123," : ","0")</f>
        <v>E4_3_2_10_mRNA : 0</v>
      </c>
      <c r="J123" s="68" t="str">
        <f t="shared" si="251"/>
        <v>E4_3_2_10 : 0</v>
      </c>
      <c r="K123" s="69" t="str">
        <f t="shared" si="6"/>
        <v>0.00292 - (0.0093 * E4_3_2_10_mRNA)</v>
      </c>
      <c r="L123" s="70" t="str">
        <f t="shared" si="7"/>
        <v>(0.278 * E4_3_2_10_mRNA) - (0.00000278 * E4_3_2_10)</v>
      </c>
      <c r="M123" s="71" t="str">
        <f t="shared" si="8"/>
        <v>mRNA122: -&gt; E4_3_2_10_mRNA | 0.00292 - (0.0093 * E4_3_2_10_mRNA)</v>
      </c>
      <c r="N123" s="72" t="str">
        <f t="shared" si="9"/>
        <v>Peptide122: E4_3_2_10_mRNA -&gt; E4_3_2_10 | (0.278 * E4_3_2_10_mRNA) - (0.000000278 * E4_3_2_10)</v>
      </c>
    </row>
    <row r="124" spans="1:14" ht="29" x14ac:dyDescent="0.35">
      <c r="A124" s="49">
        <v>123</v>
      </c>
      <c r="B124" s="49" t="s">
        <v>14667</v>
      </c>
      <c r="C124" s="49" t="str">
        <f t="shared" si="0"/>
        <v>E5_3_1_16_mRNA</v>
      </c>
      <c r="D124" s="49" t="str">
        <f t="shared" si="1"/>
        <v>E5_3_1_16</v>
      </c>
      <c r="E124" s="64" t="str">
        <f t="shared" si="2"/>
        <v>E5_3_1_16_kcat : 13.7</v>
      </c>
      <c r="F124" s="65" t="str">
        <f t="shared" si="3"/>
        <v>E5_3_1_16_km : 1</v>
      </c>
      <c r="G124" s="66" t="str">
        <f t="shared" ref="G124:H124" si="252">CONCATENATE(C124," : ",C124)</f>
        <v>E5_3_1_16_mRNA : E5_3_1_16_mRNA</v>
      </c>
      <c r="H124" s="67" t="str">
        <f t="shared" si="252"/>
        <v>E5_3_1_16 : E5_3_1_16</v>
      </c>
      <c r="I124" s="44" t="str">
        <f t="shared" ref="I124:J124" si="253">CONCATENATE(C124," : ","0")</f>
        <v>E5_3_1_16_mRNA : 0</v>
      </c>
      <c r="J124" s="68" t="str">
        <f t="shared" si="253"/>
        <v>E5_3_1_16 : 0</v>
      </c>
      <c r="K124" s="69" t="str">
        <f t="shared" si="6"/>
        <v>0.00292 - (0.0093 * E5_3_1_16_mRNA)</v>
      </c>
      <c r="L124" s="70" t="str">
        <f t="shared" si="7"/>
        <v>(0.278 * E5_3_1_16_mRNA) - (0.00000278 * E5_3_1_16)</v>
      </c>
      <c r="M124" s="71" t="str">
        <f t="shared" si="8"/>
        <v>mRNA123: -&gt; E5_3_1_16_mRNA | 0.00292 - (0.0093 * E5_3_1_16_mRNA)</v>
      </c>
      <c r="N124" s="72" t="str">
        <f t="shared" si="9"/>
        <v>Peptide123: E5_3_1_16_mRNA -&gt; E5_3_1_16 | (0.278 * E5_3_1_16_mRNA) - (0.000000278 * E5_3_1_16)</v>
      </c>
    </row>
    <row r="125" spans="1:14" ht="29" x14ac:dyDescent="0.35">
      <c r="A125" s="49">
        <v>124</v>
      </c>
      <c r="B125" s="49" t="s">
        <v>14668</v>
      </c>
      <c r="C125" s="49" t="str">
        <f t="shared" si="0"/>
        <v>E3_5_4_19_mRNA</v>
      </c>
      <c r="D125" s="49" t="str">
        <f t="shared" si="1"/>
        <v>E3_5_4_19</v>
      </c>
      <c r="E125" s="64" t="str">
        <f t="shared" si="2"/>
        <v>E3_5_4_19_kcat : 13.7</v>
      </c>
      <c r="F125" s="65" t="str">
        <f t="shared" si="3"/>
        <v>E3_5_4_19_km : 1</v>
      </c>
      <c r="G125" s="66" t="str">
        <f t="shared" ref="G125:H125" si="254">CONCATENATE(C125," : ",C125)</f>
        <v>E3_5_4_19_mRNA : E3_5_4_19_mRNA</v>
      </c>
      <c r="H125" s="67" t="str">
        <f t="shared" si="254"/>
        <v>E3_5_4_19 : E3_5_4_19</v>
      </c>
      <c r="I125" s="44" t="str">
        <f t="shared" ref="I125:J125" si="255">CONCATENATE(C125," : ","0")</f>
        <v>E3_5_4_19_mRNA : 0</v>
      </c>
      <c r="J125" s="68" t="str">
        <f t="shared" si="255"/>
        <v>E3_5_4_19 : 0</v>
      </c>
      <c r="K125" s="69" t="str">
        <f t="shared" si="6"/>
        <v>0.00292 - (0.0093 * E3_5_4_19_mRNA)</v>
      </c>
      <c r="L125" s="70" t="str">
        <f t="shared" si="7"/>
        <v>(0.278 * E3_5_4_19_mRNA) - (0.00000278 * E3_5_4_19)</v>
      </c>
      <c r="M125" s="71" t="str">
        <f t="shared" si="8"/>
        <v>mRNA124: -&gt; E3_5_4_19_mRNA | 0.00292 - (0.0093 * E3_5_4_19_mRNA)</v>
      </c>
      <c r="N125" s="72" t="str">
        <f t="shared" si="9"/>
        <v>Peptide124: E3_5_4_19_mRNA -&gt; E3_5_4_19 | (0.278 * E3_5_4_19_mRNA) - (0.000000278 * E3_5_4_19)</v>
      </c>
    </row>
    <row r="126" spans="1:14" ht="29" x14ac:dyDescent="0.35">
      <c r="A126" s="49">
        <v>125</v>
      </c>
      <c r="B126" s="49" t="s">
        <v>14669</v>
      </c>
      <c r="C126" s="49" t="str">
        <f t="shared" si="0"/>
        <v>E3_6_1_31_mRNA</v>
      </c>
      <c r="D126" s="49" t="str">
        <f t="shared" si="1"/>
        <v>E3_6_1_31</v>
      </c>
      <c r="E126" s="64" t="str">
        <f t="shared" si="2"/>
        <v>E3_6_1_31_kcat : 13.7</v>
      </c>
      <c r="F126" s="65" t="str">
        <f t="shared" si="3"/>
        <v>E3_6_1_31_km : 1</v>
      </c>
      <c r="G126" s="66" t="str">
        <f t="shared" ref="G126:H126" si="256">CONCATENATE(C126," : ",C126)</f>
        <v>E3_6_1_31_mRNA : E3_6_1_31_mRNA</v>
      </c>
      <c r="H126" s="67" t="str">
        <f t="shared" si="256"/>
        <v>E3_6_1_31 : E3_6_1_31</v>
      </c>
      <c r="I126" s="44" t="str">
        <f t="shared" ref="I126:J126" si="257">CONCATENATE(C126," : ","0")</f>
        <v>E3_6_1_31_mRNA : 0</v>
      </c>
      <c r="J126" s="68" t="str">
        <f t="shared" si="257"/>
        <v>E3_6_1_31 : 0</v>
      </c>
      <c r="K126" s="69" t="str">
        <f t="shared" si="6"/>
        <v>0.00292 - (0.0093 * E3_6_1_31_mRNA)</v>
      </c>
      <c r="L126" s="70" t="str">
        <f t="shared" si="7"/>
        <v>(0.278 * E3_6_1_31_mRNA) - (0.00000278 * E3_6_1_31)</v>
      </c>
      <c r="M126" s="71" t="str">
        <f t="shared" si="8"/>
        <v>mRNA125: -&gt; E3_6_1_31_mRNA | 0.00292 - (0.0093 * E3_6_1_31_mRNA)</v>
      </c>
      <c r="N126" s="72" t="str">
        <f t="shared" si="9"/>
        <v>Peptide125: E3_6_1_31_mRNA -&gt; E3_6_1_31 | (0.278 * E3_6_1_31_mRNA) - (0.000000278 * E3_6_1_31)</v>
      </c>
    </row>
    <row r="127" spans="1:14" ht="29" x14ac:dyDescent="0.35">
      <c r="A127" s="49">
        <v>126</v>
      </c>
      <c r="B127" s="49" t="s">
        <v>14670</v>
      </c>
      <c r="C127" s="49" t="str">
        <f t="shared" si="0"/>
        <v>E7_1_2_2_mRNA</v>
      </c>
      <c r="D127" s="49" t="str">
        <f t="shared" si="1"/>
        <v>E7_1_2_2</v>
      </c>
      <c r="E127" s="64" t="str">
        <f t="shared" si="2"/>
        <v>E7_1_2_2_kcat : 13.7</v>
      </c>
      <c r="F127" s="65" t="str">
        <f t="shared" si="3"/>
        <v>E7_1_2_2_km : 1</v>
      </c>
      <c r="G127" s="66" t="str">
        <f t="shared" ref="G127:H127" si="258">CONCATENATE(C127," : ",C127)</f>
        <v>E7_1_2_2_mRNA : E7_1_2_2_mRNA</v>
      </c>
      <c r="H127" s="67" t="str">
        <f t="shared" si="258"/>
        <v>E7_1_2_2 : E7_1_2_2</v>
      </c>
      <c r="I127" s="44" t="str">
        <f t="shared" ref="I127:J127" si="259">CONCATENATE(C127," : ","0")</f>
        <v>E7_1_2_2_mRNA : 0</v>
      </c>
      <c r="J127" s="68" t="str">
        <f t="shared" si="259"/>
        <v>E7_1_2_2 : 0</v>
      </c>
      <c r="K127" s="69" t="str">
        <f t="shared" si="6"/>
        <v>0.00292 - (0.0093 * E7_1_2_2_mRNA)</v>
      </c>
      <c r="L127" s="70" t="str">
        <f t="shared" si="7"/>
        <v>(0.278 * E7_1_2_2_mRNA) - (0.00000278 * E7_1_2_2)</v>
      </c>
      <c r="M127" s="71" t="str">
        <f t="shared" si="8"/>
        <v>mRNA126: -&gt; E7_1_2_2_mRNA | 0.00292 - (0.0093 * E7_1_2_2_mRNA)</v>
      </c>
      <c r="N127" s="72" t="str">
        <f t="shared" si="9"/>
        <v>Peptide126: E7_1_2_2_mRNA -&gt; E7_1_2_2 | (0.278 * E7_1_2_2_mRNA) - (0.000000278 * E7_1_2_2)</v>
      </c>
    </row>
    <row r="128" spans="1:14" ht="29" x14ac:dyDescent="0.35">
      <c r="A128" s="49">
        <v>127</v>
      </c>
      <c r="B128" s="49" t="s">
        <v>14953</v>
      </c>
      <c r="C128" s="49" t="str">
        <f t="shared" si="0"/>
        <v>E2_1_1_170_mRNA</v>
      </c>
      <c r="D128" s="49" t="str">
        <f t="shared" si="1"/>
        <v>E2_1_1_170</v>
      </c>
      <c r="E128" s="64" t="str">
        <f t="shared" si="2"/>
        <v>E2_1_1_170_kcat : 13.7</v>
      </c>
      <c r="F128" s="65" t="str">
        <f t="shared" si="3"/>
        <v>E2_1_1_170_km : 1</v>
      </c>
      <c r="G128" s="66" t="str">
        <f t="shared" ref="G128:H128" si="260">CONCATENATE(C128," : ",C128)</f>
        <v>E2_1_1_170_mRNA : E2_1_1_170_mRNA</v>
      </c>
      <c r="H128" s="67" t="str">
        <f t="shared" si="260"/>
        <v>E2_1_1_170 : E2_1_1_170</v>
      </c>
      <c r="I128" s="44" t="str">
        <f t="shared" ref="I128:J128" si="261">CONCATENATE(C128," : ","0")</f>
        <v>E2_1_1_170_mRNA : 0</v>
      </c>
      <c r="J128" s="68" t="str">
        <f t="shared" si="261"/>
        <v>E2_1_1_170 : 0</v>
      </c>
      <c r="K128" s="69" t="str">
        <f t="shared" si="6"/>
        <v>0.00292 - (0.0093 * E2_1_1_170_mRNA)</v>
      </c>
      <c r="L128" s="70" t="str">
        <f t="shared" si="7"/>
        <v>(0.278 * E2_1_1_170_mRNA) - (0.00000278 * E2_1_1_170)</v>
      </c>
      <c r="M128" s="71" t="str">
        <f t="shared" si="8"/>
        <v>mRNA127: -&gt; E2_1_1_170_mRNA | 0.00292 - (0.0093 * E2_1_1_170_mRNA)</v>
      </c>
      <c r="N128" s="72" t="str">
        <f t="shared" si="9"/>
        <v>Peptide127: E2_1_1_170_mRNA -&gt; E2_1_1_170 | (0.278 * E2_1_1_170_mRNA) - (0.000000278 * E2_1_1_170)</v>
      </c>
    </row>
    <row r="129" spans="1:14" ht="29" x14ac:dyDescent="0.35">
      <c r="A129" s="49">
        <v>128</v>
      </c>
      <c r="B129" s="49" t="s">
        <v>14671</v>
      </c>
      <c r="C129" s="49" t="str">
        <f t="shared" si="0"/>
        <v>E4_4_1_21_mRNA</v>
      </c>
      <c r="D129" s="49" t="str">
        <f t="shared" si="1"/>
        <v>E4_4_1_21</v>
      </c>
      <c r="E129" s="64" t="str">
        <f t="shared" si="2"/>
        <v>E4_4_1_21_kcat : 13.7</v>
      </c>
      <c r="F129" s="65" t="str">
        <f t="shared" si="3"/>
        <v>E4_4_1_21_km : 1</v>
      </c>
      <c r="G129" s="66" t="str">
        <f t="shared" ref="G129:H129" si="262">CONCATENATE(C129," : ",C129)</f>
        <v>E4_4_1_21_mRNA : E4_4_1_21_mRNA</v>
      </c>
      <c r="H129" s="67" t="str">
        <f t="shared" si="262"/>
        <v>E4_4_1_21 : E4_4_1_21</v>
      </c>
      <c r="I129" s="44" t="str">
        <f t="shared" ref="I129:J129" si="263">CONCATENATE(C129," : ","0")</f>
        <v>E4_4_1_21_mRNA : 0</v>
      </c>
      <c r="J129" s="68" t="str">
        <f t="shared" si="263"/>
        <v>E4_4_1_21 : 0</v>
      </c>
      <c r="K129" s="69" t="str">
        <f t="shared" si="6"/>
        <v>0.00292 - (0.0093 * E4_4_1_21_mRNA)</v>
      </c>
      <c r="L129" s="70" t="str">
        <f t="shared" si="7"/>
        <v>(0.278 * E4_4_1_21_mRNA) - (0.00000278 * E4_4_1_21)</v>
      </c>
      <c r="M129" s="71" t="str">
        <f t="shared" si="8"/>
        <v>mRNA128: -&gt; E4_4_1_21_mRNA | 0.00292 - (0.0093 * E4_4_1_21_mRNA)</v>
      </c>
      <c r="N129" s="72" t="str">
        <f t="shared" si="9"/>
        <v>Peptide128: E4_4_1_21_mRNA -&gt; E4_4_1_21 | (0.278 * E4_4_1_21_mRNA) - (0.000000278 * E4_4_1_21)</v>
      </c>
    </row>
    <row r="130" spans="1:14" ht="29" x14ac:dyDescent="0.35">
      <c r="A130" s="49">
        <v>129</v>
      </c>
      <c r="B130" s="49" t="s">
        <v>14672</v>
      </c>
      <c r="C130" s="49" t="str">
        <f t="shared" si="0"/>
        <v>E3_1_3_2_mRNA</v>
      </c>
      <c r="D130" s="49" t="str">
        <f t="shared" si="1"/>
        <v>E3_1_3_2</v>
      </c>
      <c r="E130" s="64" t="str">
        <f t="shared" si="2"/>
        <v>E3_1_3_2_kcat : 13.7</v>
      </c>
      <c r="F130" s="65" t="str">
        <f t="shared" si="3"/>
        <v>E3_1_3_2_km : 1</v>
      </c>
      <c r="G130" s="66" t="str">
        <f t="shared" ref="G130:H130" si="264">CONCATENATE(C130," : ",C130)</f>
        <v>E3_1_3_2_mRNA : E3_1_3_2_mRNA</v>
      </c>
      <c r="H130" s="67" t="str">
        <f t="shared" si="264"/>
        <v>E3_1_3_2 : E3_1_3_2</v>
      </c>
      <c r="I130" s="44" t="str">
        <f t="shared" ref="I130:J130" si="265">CONCATENATE(C130," : ","0")</f>
        <v>E3_1_3_2_mRNA : 0</v>
      </c>
      <c r="J130" s="68" t="str">
        <f t="shared" si="265"/>
        <v>E3_1_3_2 : 0</v>
      </c>
      <c r="K130" s="69" t="str">
        <f t="shared" si="6"/>
        <v>0.00292 - (0.0093 * E3_1_3_2_mRNA)</v>
      </c>
      <c r="L130" s="70" t="str">
        <f t="shared" si="7"/>
        <v>(0.278 * E3_1_3_2_mRNA) - (0.00000278 * E3_1_3_2)</v>
      </c>
      <c r="M130" s="71" t="str">
        <f t="shared" si="8"/>
        <v>mRNA129: -&gt; E3_1_3_2_mRNA | 0.00292 - (0.0093 * E3_1_3_2_mRNA)</v>
      </c>
      <c r="N130" s="72" t="str">
        <f t="shared" si="9"/>
        <v>Peptide129: E3_1_3_2_mRNA -&gt; E3_1_3_2 | (0.278 * E3_1_3_2_mRNA) - (0.000000278 * E3_1_3_2)</v>
      </c>
    </row>
    <row r="131" spans="1:14" ht="29" x14ac:dyDescent="0.35">
      <c r="A131" s="49">
        <v>130</v>
      </c>
      <c r="B131" s="49" t="s">
        <v>14954</v>
      </c>
      <c r="C131" s="49" t="str">
        <f t="shared" si="0"/>
        <v>E3_4_25_2_mRNA</v>
      </c>
      <c r="D131" s="49" t="str">
        <f t="shared" si="1"/>
        <v>E3_4_25_2</v>
      </c>
      <c r="E131" s="64" t="str">
        <f t="shared" si="2"/>
        <v>E3_4_25_2_kcat : 13.7</v>
      </c>
      <c r="F131" s="65" t="str">
        <f t="shared" si="3"/>
        <v>E3_4_25_2_km : 1</v>
      </c>
      <c r="G131" s="66" t="str">
        <f t="shared" ref="G131:H131" si="266">CONCATENATE(C131," : ",C131)</f>
        <v>E3_4_25_2_mRNA : E3_4_25_2_mRNA</v>
      </c>
      <c r="H131" s="67" t="str">
        <f t="shared" si="266"/>
        <v>E3_4_25_2 : E3_4_25_2</v>
      </c>
      <c r="I131" s="44" t="str">
        <f t="shared" ref="I131:J131" si="267">CONCATENATE(C131," : ","0")</f>
        <v>E3_4_25_2_mRNA : 0</v>
      </c>
      <c r="J131" s="68" t="str">
        <f t="shared" si="267"/>
        <v>E3_4_25_2 : 0</v>
      </c>
      <c r="K131" s="69" t="str">
        <f t="shared" si="6"/>
        <v>0.00292 - (0.0093 * E3_4_25_2_mRNA)</v>
      </c>
      <c r="L131" s="70" t="str">
        <f t="shared" si="7"/>
        <v>(0.278 * E3_4_25_2_mRNA) - (0.00000278 * E3_4_25_2)</v>
      </c>
      <c r="M131" s="71" t="str">
        <f t="shared" si="8"/>
        <v>mRNA130: -&gt; E3_4_25_2_mRNA | 0.00292 - (0.0093 * E3_4_25_2_mRNA)</v>
      </c>
      <c r="N131" s="72" t="str">
        <f t="shared" si="9"/>
        <v>Peptide130: E3_4_25_2_mRNA -&gt; E3_4_25_2 | (0.278 * E3_4_25_2_mRNA) - (0.000000278 * E3_4_25_2)</v>
      </c>
    </row>
    <row r="132" spans="1:14" ht="29" x14ac:dyDescent="0.35">
      <c r="A132" s="49">
        <v>131</v>
      </c>
      <c r="B132" s="49" t="s">
        <v>14673</v>
      </c>
      <c r="C132" s="49" t="str">
        <f t="shared" si="0"/>
        <v>E5_4_99_62_mRNA</v>
      </c>
      <c r="D132" s="49" t="str">
        <f t="shared" si="1"/>
        <v>E5_4_99_62</v>
      </c>
      <c r="E132" s="64" t="str">
        <f t="shared" si="2"/>
        <v>E5_4_99_62_kcat : 13.7</v>
      </c>
      <c r="F132" s="65" t="str">
        <f t="shared" si="3"/>
        <v>E5_4_99_62_km : 1</v>
      </c>
      <c r="G132" s="66" t="str">
        <f t="shared" ref="G132:H132" si="268">CONCATENATE(C132," : ",C132)</f>
        <v>E5_4_99_62_mRNA : E5_4_99_62_mRNA</v>
      </c>
      <c r="H132" s="67" t="str">
        <f t="shared" si="268"/>
        <v>E5_4_99_62 : E5_4_99_62</v>
      </c>
      <c r="I132" s="44" t="str">
        <f t="shared" ref="I132:J132" si="269">CONCATENATE(C132," : ","0")</f>
        <v>E5_4_99_62_mRNA : 0</v>
      </c>
      <c r="J132" s="68" t="str">
        <f t="shared" si="269"/>
        <v>E5_4_99_62 : 0</v>
      </c>
      <c r="K132" s="69" t="str">
        <f t="shared" si="6"/>
        <v>0.00292 - (0.0093 * E5_4_99_62_mRNA)</v>
      </c>
      <c r="L132" s="70" t="str">
        <f t="shared" si="7"/>
        <v>(0.278 * E5_4_99_62_mRNA) - (0.00000278 * E5_4_99_62)</v>
      </c>
      <c r="M132" s="71" t="str">
        <f t="shared" si="8"/>
        <v>mRNA131: -&gt; E5_4_99_62_mRNA | 0.00292 - (0.0093 * E5_4_99_62_mRNA)</v>
      </c>
      <c r="N132" s="72" t="str">
        <f t="shared" si="9"/>
        <v>Peptide131: E5_4_99_62_mRNA -&gt; E5_4_99_62 | (0.278 * E5_4_99_62_mRNA) - (0.000000278 * E5_4_99_62)</v>
      </c>
    </row>
    <row r="133" spans="1:14" ht="29" x14ac:dyDescent="0.35">
      <c r="A133" s="49">
        <v>132</v>
      </c>
      <c r="B133" s="49" t="s">
        <v>14674</v>
      </c>
      <c r="C133" s="49" t="str">
        <f t="shared" si="0"/>
        <v>E2_7_1_15_mRNA</v>
      </c>
      <c r="D133" s="49" t="str">
        <f t="shared" si="1"/>
        <v>E2_7_1_15</v>
      </c>
      <c r="E133" s="64" t="str">
        <f t="shared" si="2"/>
        <v>E2_7_1_15_kcat : 13.7</v>
      </c>
      <c r="F133" s="65" t="str">
        <f t="shared" si="3"/>
        <v>E2_7_1_15_km : 1</v>
      </c>
      <c r="G133" s="66" t="str">
        <f t="shared" ref="G133:H133" si="270">CONCATENATE(C133," : ",C133)</f>
        <v>E2_7_1_15_mRNA : E2_7_1_15_mRNA</v>
      </c>
      <c r="H133" s="67" t="str">
        <f t="shared" si="270"/>
        <v>E2_7_1_15 : E2_7_1_15</v>
      </c>
      <c r="I133" s="44" t="str">
        <f t="shared" ref="I133:J133" si="271">CONCATENATE(C133," : ","0")</f>
        <v>E2_7_1_15_mRNA : 0</v>
      </c>
      <c r="J133" s="68" t="str">
        <f t="shared" si="271"/>
        <v>E2_7_1_15 : 0</v>
      </c>
      <c r="K133" s="69" t="str">
        <f t="shared" si="6"/>
        <v>0.00292 - (0.0093 * E2_7_1_15_mRNA)</v>
      </c>
      <c r="L133" s="70" t="str">
        <f t="shared" si="7"/>
        <v>(0.278 * E2_7_1_15_mRNA) - (0.00000278 * E2_7_1_15)</v>
      </c>
      <c r="M133" s="71" t="str">
        <f t="shared" si="8"/>
        <v>mRNA132: -&gt; E2_7_1_15_mRNA | 0.00292 - (0.0093 * E2_7_1_15_mRNA)</v>
      </c>
      <c r="N133" s="72" t="str">
        <f t="shared" si="9"/>
        <v>Peptide132: E2_7_1_15_mRNA -&gt; E2_7_1_15 | (0.278 * E2_7_1_15_mRNA) - (0.000000278 * E2_7_1_15)</v>
      </c>
    </row>
    <row r="134" spans="1:14" ht="29" x14ac:dyDescent="0.35">
      <c r="A134" s="49">
        <v>133</v>
      </c>
      <c r="B134" s="49" t="s">
        <v>14675</v>
      </c>
      <c r="C134" s="49" t="str">
        <f t="shared" si="0"/>
        <v>E2_7_7_6_mRNA</v>
      </c>
      <c r="D134" s="49" t="str">
        <f t="shared" si="1"/>
        <v>E2_7_7_6</v>
      </c>
      <c r="E134" s="64" t="str">
        <f t="shared" si="2"/>
        <v>E2_7_7_6_kcat : 13.7</v>
      </c>
      <c r="F134" s="65" t="str">
        <f t="shared" si="3"/>
        <v>E2_7_7_6_km : 1</v>
      </c>
      <c r="G134" s="66" t="str">
        <f t="shared" ref="G134:H134" si="272">CONCATENATE(C134," : ",C134)</f>
        <v>E2_7_7_6_mRNA : E2_7_7_6_mRNA</v>
      </c>
      <c r="H134" s="67" t="str">
        <f t="shared" si="272"/>
        <v>E2_7_7_6 : E2_7_7_6</v>
      </c>
      <c r="I134" s="44" t="str">
        <f t="shared" ref="I134:J134" si="273">CONCATENATE(C134," : ","0")</f>
        <v>E2_7_7_6_mRNA : 0</v>
      </c>
      <c r="J134" s="68" t="str">
        <f t="shared" si="273"/>
        <v>E2_7_7_6 : 0</v>
      </c>
      <c r="K134" s="69" t="str">
        <f t="shared" si="6"/>
        <v>0.00292 - (0.0093 * E2_7_7_6_mRNA)</v>
      </c>
      <c r="L134" s="70" t="str">
        <f t="shared" si="7"/>
        <v>(0.278 * E2_7_7_6_mRNA) - (0.00000278 * E2_7_7_6)</v>
      </c>
      <c r="M134" s="71" t="str">
        <f t="shared" si="8"/>
        <v>mRNA133: -&gt; E2_7_7_6_mRNA | 0.00292 - (0.0093 * E2_7_7_6_mRNA)</v>
      </c>
      <c r="N134" s="72" t="str">
        <f t="shared" si="9"/>
        <v>Peptide133: E2_7_7_6_mRNA -&gt; E2_7_7_6 | (0.278 * E2_7_7_6_mRNA) - (0.000000278 * E2_7_7_6)</v>
      </c>
    </row>
    <row r="135" spans="1:14" ht="29" x14ac:dyDescent="0.35">
      <c r="A135" s="49">
        <v>134</v>
      </c>
      <c r="B135" s="49" t="s">
        <v>14676</v>
      </c>
      <c r="C135" s="49" t="str">
        <f t="shared" si="0"/>
        <v>E2_4_2_1_mRNA</v>
      </c>
      <c r="D135" s="49" t="str">
        <f t="shared" si="1"/>
        <v>E2_4_2_1</v>
      </c>
      <c r="E135" s="64" t="str">
        <f t="shared" si="2"/>
        <v>E2_4_2_1_kcat : 13.7</v>
      </c>
      <c r="F135" s="65" t="str">
        <f t="shared" si="3"/>
        <v>E2_4_2_1_km : 1</v>
      </c>
      <c r="G135" s="66" t="str">
        <f t="shared" ref="G135:H135" si="274">CONCATENATE(C135," : ",C135)</f>
        <v>E2_4_2_1_mRNA : E2_4_2_1_mRNA</v>
      </c>
      <c r="H135" s="67" t="str">
        <f t="shared" si="274"/>
        <v>E2_4_2_1 : E2_4_2_1</v>
      </c>
      <c r="I135" s="44" t="str">
        <f t="shared" ref="I135:J135" si="275">CONCATENATE(C135," : ","0")</f>
        <v>E2_4_2_1_mRNA : 0</v>
      </c>
      <c r="J135" s="68" t="str">
        <f t="shared" si="275"/>
        <v>E2_4_2_1 : 0</v>
      </c>
      <c r="K135" s="69" t="str">
        <f t="shared" si="6"/>
        <v>0.00292 - (0.0093 * E2_4_2_1_mRNA)</v>
      </c>
      <c r="L135" s="70" t="str">
        <f t="shared" si="7"/>
        <v>(0.278 * E2_4_2_1_mRNA) - (0.00000278 * E2_4_2_1)</v>
      </c>
      <c r="M135" s="71" t="str">
        <f t="shared" si="8"/>
        <v>mRNA134: -&gt; E2_4_2_1_mRNA | 0.00292 - (0.0093 * E2_4_2_1_mRNA)</v>
      </c>
      <c r="N135" s="72" t="str">
        <f t="shared" si="9"/>
        <v>Peptide134: E2_4_2_1_mRNA -&gt; E2_4_2_1 | (0.278 * E2_4_2_1_mRNA) - (0.000000278 * E2_4_2_1)</v>
      </c>
    </row>
    <row r="136" spans="1:14" ht="29" x14ac:dyDescent="0.35">
      <c r="A136" s="49">
        <v>135</v>
      </c>
      <c r="B136" s="49" t="s">
        <v>14677</v>
      </c>
      <c r="C136" s="49" t="str">
        <f t="shared" si="0"/>
        <v>E4_1_2_13_mRNA</v>
      </c>
      <c r="D136" s="49" t="str">
        <f t="shared" si="1"/>
        <v>E4_1_2_13</v>
      </c>
      <c r="E136" s="64" t="str">
        <f t="shared" si="2"/>
        <v>E4_1_2_13_kcat : 13.7</v>
      </c>
      <c r="F136" s="65" t="str">
        <f t="shared" si="3"/>
        <v>E4_1_2_13_km : 1</v>
      </c>
      <c r="G136" s="66" t="str">
        <f t="shared" ref="G136:H136" si="276">CONCATENATE(C136," : ",C136)</f>
        <v>E4_1_2_13_mRNA : E4_1_2_13_mRNA</v>
      </c>
      <c r="H136" s="67" t="str">
        <f t="shared" si="276"/>
        <v>E4_1_2_13 : E4_1_2_13</v>
      </c>
      <c r="I136" s="44" t="str">
        <f t="shared" ref="I136:J136" si="277">CONCATENATE(C136," : ","0")</f>
        <v>E4_1_2_13_mRNA : 0</v>
      </c>
      <c r="J136" s="68" t="str">
        <f t="shared" si="277"/>
        <v>E4_1_2_13 : 0</v>
      </c>
      <c r="K136" s="69" t="str">
        <f t="shared" si="6"/>
        <v>0.00292 - (0.0093 * E4_1_2_13_mRNA)</v>
      </c>
      <c r="L136" s="70" t="str">
        <f t="shared" si="7"/>
        <v>(0.278 * E4_1_2_13_mRNA) - (0.00000278 * E4_1_2_13)</v>
      </c>
      <c r="M136" s="71" t="str">
        <f t="shared" si="8"/>
        <v>mRNA135: -&gt; E4_1_2_13_mRNA | 0.00292 - (0.0093 * E4_1_2_13_mRNA)</v>
      </c>
      <c r="N136" s="72" t="str">
        <f t="shared" si="9"/>
        <v>Peptide135: E4_1_2_13_mRNA -&gt; E4_1_2_13 | (0.278 * E4_1_2_13_mRNA) - (0.000000278 * E4_1_2_13)</v>
      </c>
    </row>
    <row r="137" spans="1:14" ht="29" x14ac:dyDescent="0.35">
      <c r="A137" s="49">
        <v>136</v>
      </c>
      <c r="B137" s="49" t="s">
        <v>14678</v>
      </c>
      <c r="C137" s="49" t="str">
        <f t="shared" si="0"/>
        <v>E2_7_2_3_mRNA</v>
      </c>
      <c r="D137" s="49" t="str">
        <f t="shared" si="1"/>
        <v>E2_7_2_3</v>
      </c>
      <c r="E137" s="64" t="str">
        <f t="shared" si="2"/>
        <v>E2_7_2_3_kcat : 13.7</v>
      </c>
      <c r="F137" s="65" t="str">
        <f t="shared" si="3"/>
        <v>E2_7_2_3_km : 1</v>
      </c>
      <c r="G137" s="66" t="str">
        <f t="shared" ref="G137:H137" si="278">CONCATENATE(C137," : ",C137)</f>
        <v>E2_7_2_3_mRNA : E2_7_2_3_mRNA</v>
      </c>
      <c r="H137" s="67" t="str">
        <f t="shared" si="278"/>
        <v>E2_7_2_3 : E2_7_2_3</v>
      </c>
      <c r="I137" s="44" t="str">
        <f t="shared" ref="I137:J137" si="279">CONCATENATE(C137," : ","0")</f>
        <v>E2_7_2_3_mRNA : 0</v>
      </c>
      <c r="J137" s="68" t="str">
        <f t="shared" si="279"/>
        <v>E2_7_2_3 : 0</v>
      </c>
      <c r="K137" s="69" t="str">
        <f t="shared" si="6"/>
        <v>0.00292 - (0.0093 * E2_7_2_3_mRNA)</v>
      </c>
      <c r="L137" s="70" t="str">
        <f t="shared" si="7"/>
        <v>(0.278 * E2_7_2_3_mRNA) - (0.00000278 * E2_7_2_3)</v>
      </c>
      <c r="M137" s="71" t="str">
        <f t="shared" si="8"/>
        <v>mRNA136: -&gt; E2_7_2_3_mRNA | 0.00292 - (0.0093 * E2_7_2_3_mRNA)</v>
      </c>
      <c r="N137" s="72" t="str">
        <f t="shared" si="9"/>
        <v>Peptide136: E2_7_2_3_mRNA -&gt; E2_7_2_3 | (0.278 * E2_7_2_3_mRNA) - (0.000000278 * E2_7_2_3)</v>
      </c>
    </row>
    <row r="138" spans="1:14" ht="29" x14ac:dyDescent="0.35">
      <c r="A138" s="49">
        <v>137</v>
      </c>
      <c r="B138" s="49" t="s">
        <v>14679</v>
      </c>
      <c r="C138" s="49" t="str">
        <f t="shared" si="0"/>
        <v>E2_7_1_21_mRNA</v>
      </c>
      <c r="D138" s="49" t="str">
        <f t="shared" si="1"/>
        <v>E2_7_1_21</v>
      </c>
      <c r="E138" s="64" t="str">
        <f t="shared" si="2"/>
        <v>E2_7_1_21_kcat : 13.7</v>
      </c>
      <c r="F138" s="65" t="str">
        <f t="shared" si="3"/>
        <v>E2_7_1_21_km : 1</v>
      </c>
      <c r="G138" s="66" t="str">
        <f t="shared" ref="G138:H138" si="280">CONCATENATE(C138," : ",C138)</f>
        <v>E2_7_1_21_mRNA : E2_7_1_21_mRNA</v>
      </c>
      <c r="H138" s="67" t="str">
        <f t="shared" si="280"/>
        <v>E2_7_1_21 : E2_7_1_21</v>
      </c>
      <c r="I138" s="44" t="str">
        <f t="shared" ref="I138:J138" si="281">CONCATENATE(C138," : ","0")</f>
        <v>E2_7_1_21_mRNA : 0</v>
      </c>
      <c r="J138" s="68" t="str">
        <f t="shared" si="281"/>
        <v>E2_7_1_21 : 0</v>
      </c>
      <c r="K138" s="69" t="str">
        <f t="shared" si="6"/>
        <v>0.00292 - (0.0093 * E2_7_1_21_mRNA)</v>
      </c>
      <c r="L138" s="70" t="str">
        <f t="shared" si="7"/>
        <v>(0.278 * E2_7_1_21_mRNA) - (0.00000278 * E2_7_1_21)</v>
      </c>
      <c r="M138" s="71" t="str">
        <f t="shared" si="8"/>
        <v>mRNA137: -&gt; E2_7_1_21_mRNA | 0.00292 - (0.0093 * E2_7_1_21_mRNA)</v>
      </c>
      <c r="N138" s="72" t="str">
        <f t="shared" si="9"/>
        <v>Peptide137: E2_7_1_21_mRNA -&gt; E2_7_1_21 | (0.278 * E2_7_1_21_mRNA) - (0.000000278 * E2_7_1_21)</v>
      </c>
    </row>
    <row r="139" spans="1:14" ht="29" x14ac:dyDescent="0.35">
      <c r="A139" s="49">
        <v>138</v>
      </c>
      <c r="B139" s="49" t="s">
        <v>14680</v>
      </c>
      <c r="C139" s="49" t="str">
        <f t="shared" si="0"/>
        <v>E4_3_1_1_mRNA</v>
      </c>
      <c r="D139" s="49" t="str">
        <f t="shared" si="1"/>
        <v>E4_3_1_1</v>
      </c>
      <c r="E139" s="64" t="str">
        <f t="shared" si="2"/>
        <v>E4_3_1_1_kcat : 13.7</v>
      </c>
      <c r="F139" s="65" t="str">
        <f t="shared" si="3"/>
        <v>E4_3_1_1_km : 1</v>
      </c>
      <c r="G139" s="66" t="str">
        <f t="shared" ref="G139:H139" si="282">CONCATENATE(C139," : ",C139)</f>
        <v>E4_3_1_1_mRNA : E4_3_1_1_mRNA</v>
      </c>
      <c r="H139" s="67" t="str">
        <f t="shared" si="282"/>
        <v>E4_3_1_1 : E4_3_1_1</v>
      </c>
      <c r="I139" s="44" t="str">
        <f t="shared" ref="I139:J139" si="283">CONCATENATE(C139," : ","0")</f>
        <v>E4_3_1_1_mRNA : 0</v>
      </c>
      <c r="J139" s="68" t="str">
        <f t="shared" si="283"/>
        <v>E4_3_1_1 : 0</v>
      </c>
      <c r="K139" s="69" t="str">
        <f t="shared" si="6"/>
        <v>0.00292 - (0.0093 * E4_3_1_1_mRNA)</v>
      </c>
      <c r="L139" s="70" t="str">
        <f t="shared" si="7"/>
        <v>(0.278 * E4_3_1_1_mRNA) - (0.00000278 * E4_3_1_1)</v>
      </c>
      <c r="M139" s="71" t="str">
        <f t="shared" si="8"/>
        <v>mRNA138: -&gt; E4_3_1_1_mRNA | 0.00292 - (0.0093 * E4_3_1_1_mRNA)</v>
      </c>
      <c r="N139" s="72" t="str">
        <f t="shared" si="9"/>
        <v>Peptide138: E4_3_1_1_mRNA -&gt; E4_3_1_1 | (0.278 * E4_3_1_1_mRNA) - (0.000000278 * E4_3_1_1)</v>
      </c>
    </row>
    <row r="140" spans="1:14" ht="29" x14ac:dyDescent="0.35">
      <c r="A140" s="49">
        <v>139</v>
      </c>
      <c r="B140" s="49" t="s">
        <v>14681</v>
      </c>
      <c r="C140" s="49" t="str">
        <f t="shared" si="0"/>
        <v>E3_5_1_5_mRNA</v>
      </c>
      <c r="D140" s="49" t="str">
        <f t="shared" si="1"/>
        <v>E3_5_1_5</v>
      </c>
      <c r="E140" s="64" t="str">
        <f t="shared" si="2"/>
        <v>E3_5_1_5_kcat : 13.7</v>
      </c>
      <c r="F140" s="65" t="str">
        <f t="shared" si="3"/>
        <v>E3_5_1_5_km : 1</v>
      </c>
      <c r="G140" s="66" t="str">
        <f t="shared" ref="G140:H140" si="284">CONCATENATE(C140," : ",C140)</f>
        <v>E3_5_1_5_mRNA : E3_5_1_5_mRNA</v>
      </c>
      <c r="H140" s="67" t="str">
        <f t="shared" si="284"/>
        <v>E3_5_1_5 : E3_5_1_5</v>
      </c>
      <c r="I140" s="44" t="str">
        <f t="shared" ref="I140:J140" si="285">CONCATENATE(C140," : ","0")</f>
        <v>E3_5_1_5_mRNA : 0</v>
      </c>
      <c r="J140" s="68" t="str">
        <f t="shared" si="285"/>
        <v>E3_5_1_5 : 0</v>
      </c>
      <c r="K140" s="69" t="str">
        <f t="shared" si="6"/>
        <v>0.00292 - (0.0093 * E3_5_1_5_mRNA)</v>
      </c>
      <c r="L140" s="70" t="str">
        <f t="shared" si="7"/>
        <v>(0.278 * E3_5_1_5_mRNA) - (0.00000278 * E3_5_1_5)</v>
      </c>
      <c r="M140" s="71" t="str">
        <f t="shared" si="8"/>
        <v>mRNA139: -&gt; E3_5_1_5_mRNA | 0.00292 - (0.0093 * E3_5_1_5_mRNA)</v>
      </c>
      <c r="N140" s="72" t="str">
        <f t="shared" si="9"/>
        <v>Peptide139: E3_5_1_5_mRNA -&gt; E3_5_1_5 | (0.278 * E3_5_1_5_mRNA) - (0.000000278 * E3_5_1_5)</v>
      </c>
    </row>
    <row r="141" spans="1:14" ht="29" x14ac:dyDescent="0.35">
      <c r="A141" s="49">
        <v>140</v>
      </c>
      <c r="B141" s="49" t="s">
        <v>14682</v>
      </c>
      <c r="C141" s="49" t="str">
        <f t="shared" si="0"/>
        <v>E2_1_1_182_mRNA</v>
      </c>
      <c r="D141" s="49" t="str">
        <f t="shared" si="1"/>
        <v>E2_1_1_182</v>
      </c>
      <c r="E141" s="64" t="str">
        <f t="shared" si="2"/>
        <v>E2_1_1_182_kcat : 13.7</v>
      </c>
      <c r="F141" s="65" t="str">
        <f t="shared" si="3"/>
        <v>E2_1_1_182_km : 1</v>
      </c>
      <c r="G141" s="66" t="str">
        <f t="shared" ref="G141:H141" si="286">CONCATENATE(C141," : ",C141)</f>
        <v>E2_1_1_182_mRNA : E2_1_1_182_mRNA</v>
      </c>
      <c r="H141" s="67" t="str">
        <f t="shared" si="286"/>
        <v>E2_1_1_182 : E2_1_1_182</v>
      </c>
      <c r="I141" s="44" t="str">
        <f t="shared" ref="I141:J141" si="287">CONCATENATE(C141," : ","0")</f>
        <v>E2_1_1_182_mRNA : 0</v>
      </c>
      <c r="J141" s="68" t="str">
        <f t="shared" si="287"/>
        <v>E2_1_1_182 : 0</v>
      </c>
      <c r="K141" s="69" t="str">
        <f t="shared" si="6"/>
        <v>0.00292 - (0.0093 * E2_1_1_182_mRNA)</v>
      </c>
      <c r="L141" s="70" t="str">
        <f t="shared" si="7"/>
        <v>(0.278 * E2_1_1_182_mRNA) - (0.00000278 * E2_1_1_182)</v>
      </c>
      <c r="M141" s="71" t="str">
        <f t="shared" si="8"/>
        <v>mRNA140: -&gt; E2_1_1_182_mRNA | 0.00292 - (0.0093 * E2_1_1_182_mRNA)</v>
      </c>
      <c r="N141" s="72" t="str">
        <f t="shared" si="9"/>
        <v>Peptide140: E2_1_1_182_mRNA -&gt; E2_1_1_182 | (0.278 * E2_1_1_182_mRNA) - (0.000000278 * E2_1_1_182)</v>
      </c>
    </row>
    <row r="142" spans="1:14" ht="29" x14ac:dyDescent="0.35">
      <c r="A142" s="49">
        <v>141</v>
      </c>
      <c r="B142" s="49" t="s">
        <v>14683</v>
      </c>
      <c r="C142" s="49" t="str">
        <f t="shared" si="0"/>
        <v>E3_6_1_41_mRNA</v>
      </c>
      <c r="D142" s="49" t="str">
        <f t="shared" si="1"/>
        <v>E3_6_1_41</v>
      </c>
      <c r="E142" s="64" t="str">
        <f t="shared" si="2"/>
        <v>E3_6_1_41_kcat : 13.7</v>
      </c>
      <c r="F142" s="65" t="str">
        <f t="shared" si="3"/>
        <v>E3_6_1_41_km : 1</v>
      </c>
      <c r="G142" s="66" t="str">
        <f t="shared" ref="G142:H142" si="288">CONCATENATE(C142," : ",C142)</f>
        <v>E3_6_1_41_mRNA : E3_6_1_41_mRNA</v>
      </c>
      <c r="H142" s="67" t="str">
        <f t="shared" si="288"/>
        <v>E3_6_1_41 : E3_6_1_41</v>
      </c>
      <c r="I142" s="44" t="str">
        <f t="shared" ref="I142:J142" si="289">CONCATENATE(C142," : ","0")</f>
        <v>E3_6_1_41_mRNA : 0</v>
      </c>
      <c r="J142" s="68" t="str">
        <f t="shared" si="289"/>
        <v>E3_6_1_41 : 0</v>
      </c>
      <c r="K142" s="69" t="str">
        <f t="shared" si="6"/>
        <v>0.00292 - (0.0093 * E3_6_1_41_mRNA)</v>
      </c>
      <c r="L142" s="70" t="str">
        <f t="shared" si="7"/>
        <v>(0.278 * E3_6_1_41_mRNA) - (0.00000278 * E3_6_1_41)</v>
      </c>
      <c r="M142" s="71" t="str">
        <f t="shared" si="8"/>
        <v>mRNA141: -&gt; E3_6_1_41_mRNA | 0.00292 - (0.0093 * E3_6_1_41_mRNA)</v>
      </c>
      <c r="N142" s="72" t="str">
        <f t="shared" si="9"/>
        <v>Peptide141: E3_6_1_41_mRNA -&gt; E3_6_1_41 | (0.278 * E3_6_1_41_mRNA) - (0.000000278 * E3_6_1_41)</v>
      </c>
    </row>
    <row r="143" spans="1:14" ht="29" x14ac:dyDescent="0.35">
      <c r="A143" s="49">
        <v>142</v>
      </c>
      <c r="B143" s="49" t="s">
        <v>14684</v>
      </c>
      <c r="C143" s="49" t="str">
        <f t="shared" si="0"/>
        <v>E1_1_1_44_mRNA</v>
      </c>
      <c r="D143" s="49" t="str">
        <f t="shared" si="1"/>
        <v>E1_1_1_44</v>
      </c>
      <c r="E143" s="64" t="str">
        <f t="shared" si="2"/>
        <v>E1_1_1_44_kcat : 13.7</v>
      </c>
      <c r="F143" s="65" t="str">
        <f t="shared" si="3"/>
        <v>E1_1_1_44_km : 1</v>
      </c>
      <c r="G143" s="66" t="str">
        <f t="shared" ref="G143:H143" si="290">CONCATENATE(C143," : ",C143)</f>
        <v>E1_1_1_44_mRNA : E1_1_1_44_mRNA</v>
      </c>
      <c r="H143" s="67" t="str">
        <f t="shared" si="290"/>
        <v>E1_1_1_44 : E1_1_1_44</v>
      </c>
      <c r="I143" s="44" t="str">
        <f t="shared" ref="I143:J143" si="291">CONCATENATE(C143," : ","0")</f>
        <v>E1_1_1_44_mRNA : 0</v>
      </c>
      <c r="J143" s="68" t="str">
        <f t="shared" si="291"/>
        <v>E1_1_1_44 : 0</v>
      </c>
      <c r="K143" s="69" t="str">
        <f t="shared" si="6"/>
        <v>0.00292 - (0.0093 * E1_1_1_44_mRNA)</v>
      </c>
      <c r="L143" s="70" t="str">
        <f t="shared" si="7"/>
        <v>(0.278 * E1_1_1_44_mRNA) - (0.00000278 * E1_1_1_44)</v>
      </c>
      <c r="M143" s="71" t="str">
        <f t="shared" si="8"/>
        <v>mRNA142: -&gt; E1_1_1_44_mRNA | 0.00292 - (0.0093 * E1_1_1_44_mRNA)</v>
      </c>
      <c r="N143" s="72" t="str">
        <f t="shared" si="9"/>
        <v>Peptide142: E1_1_1_44_mRNA -&gt; E1_1_1_44 | (0.278 * E1_1_1_44_mRNA) - (0.000000278 * E1_1_1_44)</v>
      </c>
    </row>
    <row r="144" spans="1:14" ht="29" x14ac:dyDescent="0.35">
      <c r="A144" s="49">
        <v>143</v>
      </c>
      <c r="B144" s="49" t="s">
        <v>14685</v>
      </c>
      <c r="C144" s="49" t="str">
        <f t="shared" si="0"/>
        <v>E3_1_1_31_mRNA</v>
      </c>
      <c r="D144" s="49" t="str">
        <f t="shared" si="1"/>
        <v>E3_1_1_31</v>
      </c>
      <c r="E144" s="64" t="str">
        <f t="shared" si="2"/>
        <v>E3_1_1_31_kcat : 13.7</v>
      </c>
      <c r="F144" s="65" t="str">
        <f t="shared" si="3"/>
        <v>E3_1_1_31_km : 1</v>
      </c>
      <c r="G144" s="66" t="str">
        <f t="shared" ref="G144:H144" si="292">CONCATENATE(C144," : ",C144)</f>
        <v>E3_1_1_31_mRNA : E3_1_1_31_mRNA</v>
      </c>
      <c r="H144" s="67" t="str">
        <f t="shared" si="292"/>
        <v>E3_1_1_31 : E3_1_1_31</v>
      </c>
      <c r="I144" s="44" t="str">
        <f t="shared" ref="I144:J144" si="293">CONCATENATE(C144," : ","0")</f>
        <v>E3_1_1_31_mRNA : 0</v>
      </c>
      <c r="J144" s="68" t="str">
        <f t="shared" si="293"/>
        <v>E3_1_1_31 : 0</v>
      </c>
      <c r="K144" s="69" t="str">
        <f t="shared" si="6"/>
        <v>0.00292 - (0.0093 * E3_1_1_31_mRNA)</v>
      </c>
      <c r="L144" s="70" t="str">
        <f t="shared" si="7"/>
        <v>(0.278 * E3_1_1_31_mRNA) - (0.00000278 * E3_1_1_31)</v>
      </c>
      <c r="M144" s="71" t="str">
        <f t="shared" si="8"/>
        <v>mRNA143: -&gt; E3_1_1_31_mRNA | 0.00292 - (0.0093 * E3_1_1_31_mRNA)</v>
      </c>
      <c r="N144" s="72" t="str">
        <f t="shared" si="9"/>
        <v>Peptide143: E3_1_1_31_mRNA -&gt; E3_1_1_31 | (0.278 * E3_1_1_31_mRNA) - (0.000000278 * E3_1_1_31)</v>
      </c>
    </row>
    <row r="145" spans="1:14" ht="29" x14ac:dyDescent="0.35">
      <c r="A145" s="49">
        <v>144</v>
      </c>
      <c r="B145" s="49" t="s">
        <v>14686</v>
      </c>
      <c r="C145" s="49" t="str">
        <f t="shared" si="0"/>
        <v>E3_1_3_7_mRNA</v>
      </c>
      <c r="D145" s="49" t="str">
        <f t="shared" si="1"/>
        <v>E3_1_3_7</v>
      </c>
      <c r="E145" s="64" t="str">
        <f t="shared" si="2"/>
        <v>E3_1_3_7_kcat : 13.7</v>
      </c>
      <c r="F145" s="65" t="str">
        <f t="shared" si="3"/>
        <v>E3_1_3_7_km : 1</v>
      </c>
      <c r="G145" s="66" t="str">
        <f t="shared" ref="G145:H145" si="294">CONCATENATE(C145," : ",C145)</f>
        <v>E3_1_3_7_mRNA : E3_1_3_7_mRNA</v>
      </c>
      <c r="H145" s="67" t="str">
        <f t="shared" si="294"/>
        <v>E3_1_3_7 : E3_1_3_7</v>
      </c>
      <c r="I145" s="44" t="str">
        <f t="shared" ref="I145:J145" si="295">CONCATENATE(C145," : ","0")</f>
        <v>E3_1_3_7_mRNA : 0</v>
      </c>
      <c r="J145" s="68" t="str">
        <f t="shared" si="295"/>
        <v>E3_1_3_7 : 0</v>
      </c>
      <c r="K145" s="69" t="str">
        <f t="shared" si="6"/>
        <v>0.00292 - (0.0093 * E3_1_3_7_mRNA)</v>
      </c>
      <c r="L145" s="70" t="str">
        <f t="shared" si="7"/>
        <v>(0.278 * E3_1_3_7_mRNA) - (0.00000278 * E3_1_3_7)</v>
      </c>
      <c r="M145" s="71" t="str">
        <f t="shared" si="8"/>
        <v>mRNA144: -&gt; E3_1_3_7_mRNA | 0.00292 - (0.0093 * E3_1_3_7_mRNA)</v>
      </c>
      <c r="N145" s="72" t="str">
        <f t="shared" si="9"/>
        <v>Peptide144: E3_1_3_7_mRNA -&gt; E3_1_3_7 | (0.278 * E3_1_3_7_mRNA) - (0.000000278 * E3_1_3_7)</v>
      </c>
    </row>
    <row r="146" spans="1:14" ht="29" x14ac:dyDescent="0.35">
      <c r="A146" s="49">
        <v>145</v>
      </c>
      <c r="B146" s="49" t="s">
        <v>14687</v>
      </c>
      <c r="C146" s="49" t="str">
        <f t="shared" si="0"/>
        <v>E6_3_1_1_mRNA</v>
      </c>
      <c r="D146" s="49" t="str">
        <f t="shared" si="1"/>
        <v>E6_3_1_1</v>
      </c>
      <c r="E146" s="64" t="str">
        <f t="shared" si="2"/>
        <v>E6_3_1_1_kcat : 13.7</v>
      </c>
      <c r="F146" s="65" t="str">
        <f t="shared" si="3"/>
        <v>E6_3_1_1_km : 1</v>
      </c>
      <c r="G146" s="66" t="str">
        <f t="shared" ref="G146:H146" si="296">CONCATENATE(C146," : ",C146)</f>
        <v>E6_3_1_1_mRNA : E6_3_1_1_mRNA</v>
      </c>
      <c r="H146" s="67" t="str">
        <f t="shared" si="296"/>
        <v>E6_3_1_1 : E6_3_1_1</v>
      </c>
      <c r="I146" s="44" t="str">
        <f t="shared" ref="I146:J146" si="297">CONCATENATE(C146," : ","0")</f>
        <v>E6_3_1_1_mRNA : 0</v>
      </c>
      <c r="J146" s="68" t="str">
        <f t="shared" si="297"/>
        <v>E6_3_1_1 : 0</v>
      </c>
      <c r="K146" s="69" t="str">
        <f t="shared" si="6"/>
        <v>0.00292 - (0.0093 * E6_3_1_1_mRNA)</v>
      </c>
      <c r="L146" s="70" t="str">
        <f t="shared" si="7"/>
        <v>(0.278 * E6_3_1_1_mRNA) - (0.00000278 * E6_3_1_1)</v>
      </c>
      <c r="M146" s="71" t="str">
        <f t="shared" si="8"/>
        <v>mRNA145: -&gt; E6_3_1_1_mRNA | 0.00292 - (0.0093 * E6_3_1_1_mRNA)</v>
      </c>
      <c r="N146" s="72" t="str">
        <f t="shared" si="9"/>
        <v>Peptide145: E6_3_1_1_mRNA -&gt; E6_3_1_1 | (0.278 * E6_3_1_1_mRNA) - (0.000000278 * E6_3_1_1)</v>
      </c>
    </row>
    <row r="147" spans="1:14" ht="29" x14ac:dyDescent="0.35">
      <c r="A147" s="49">
        <v>146</v>
      </c>
      <c r="B147" s="49" t="s">
        <v>14688</v>
      </c>
      <c r="C147" s="49" t="str">
        <f t="shared" si="0"/>
        <v>E3_1_3_18_mRNA</v>
      </c>
      <c r="D147" s="49" t="str">
        <f t="shared" si="1"/>
        <v>E3_1_3_18</v>
      </c>
      <c r="E147" s="64" t="str">
        <f t="shared" si="2"/>
        <v>E3_1_3_18_kcat : 13.7</v>
      </c>
      <c r="F147" s="65" t="str">
        <f t="shared" si="3"/>
        <v>E3_1_3_18_km : 1</v>
      </c>
      <c r="G147" s="66" t="str">
        <f t="shared" ref="G147:H147" si="298">CONCATENATE(C147," : ",C147)</f>
        <v>E3_1_3_18_mRNA : E3_1_3_18_mRNA</v>
      </c>
      <c r="H147" s="67" t="str">
        <f t="shared" si="298"/>
        <v>E3_1_3_18 : E3_1_3_18</v>
      </c>
      <c r="I147" s="44" t="str">
        <f t="shared" ref="I147:J147" si="299">CONCATENATE(C147," : ","0")</f>
        <v>E3_1_3_18_mRNA : 0</v>
      </c>
      <c r="J147" s="68" t="str">
        <f t="shared" si="299"/>
        <v>E3_1_3_18 : 0</v>
      </c>
      <c r="K147" s="69" t="str">
        <f t="shared" si="6"/>
        <v>0.00292 - (0.0093 * E3_1_3_18_mRNA)</v>
      </c>
      <c r="L147" s="70" t="str">
        <f t="shared" si="7"/>
        <v>(0.278 * E3_1_3_18_mRNA) - (0.00000278 * E3_1_3_18)</v>
      </c>
      <c r="M147" s="71" t="str">
        <f t="shared" si="8"/>
        <v>mRNA146: -&gt; E3_1_3_18_mRNA | 0.00292 - (0.0093 * E3_1_3_18_mRNA)</v>
      </c>
      <c r="N147" s="72" t="str">
        <f t="shared" si="9"/>
        <v>Peptide146: E3_1_3_18_mRNA -&gt; E3_1_3_18 | (0.278 * E3_1_3_18_mRNA) - (0.000000278 * E3_1_3_18)</v>
      </c>
    </row>
    <row r="148" spans="1:14" ht="29" x14ac:dyDescent="0.35">
      <c r="A148" s="49">
        <v>147</v>
      </c>
      <c r="B148" s="49" t="s">
        <v>14689</v>
      </c>
      <c r="C148" s="49" t="str">
        <f t="shared" si="0"/>
        <v>E5_1_3_1_mRNA</v>
      </c>
      <c r="D148" s="49" t="str">
        <f t="shared" si="1"/>
        <v>E5_1_3_1</v>
      </c>
      <c r="E148" s="64" t="str">
        <f t="shared" si="2"/>
        <v>E5_1_3_1_kcat : 13.7</v>
      </c>
      <c r="F148" s="65" t="str">
        <f t="shared" si="3"/>
        <v>E5_1_3_1_km : 1</v>
      </c>
      <c r="G148" s="66" t="str">
        <f t="shared" ref="G148:H148" si="300">CONCATENATE(C148," : ",C148)</f>
        <v>E5_1_3_1_mRNA : E5_1_3_1_mRNA</v>
      </c>
      <c r="H148" s="67" t="str">
        <f t="shared" si="300"/>
        <v>E5_1_3_1 : E5_1_3_1</v>
      </c>
      <c r="I148" s="44" t="str">
        <f t="shared" ref="I148:J148" si="301">CONCATENATE(C148," : ","0")</f>
        <v>E5_1_3_1_mRNA : 0</v>
      </c>
      <c r="J148" s="68" t="str">
        <f t="shared" si="301"/>
        <v>E5_1_3_1 : 0</v>
      </c>
      <c r="K148" s="69" t="str">
        <f t="shared" si="6"/>
        <v>0.00292 - (0.0093 * E5_1_3_1_mRNA)</v>
      </c>
      <c r="L148" s="70" t="str">
        <f t="shared" si="7"/>
        <v>(0.278 * E5_1_3_1_mRNA) - (0.00000278 * E5_1_3_1)</v>
      </c>
      <c r="M148" s="71" t="str">
        <f t="shared" si="8"/>
        <v>mRNA147: -&gt; E5_1_3_1_mRNA | 0.00292 - (0.0093 * E5_1_3_1_mRNA)</v>
      </c>
      <c r="N148" s="72" t="str">
        <f t="shared" si="9"/>
        <v>Peptide147: E5_1_3_1_mRNA -&gt; E5_1_3_1 | (0.278 * E5_1_3_1_mRNA) - (0.000000278 * E5_1_3_1)</v>
      </c>
    </row>
    <row r="149" spans="1:14" ht="29" x14ac:dyDescent="0.35">
      <c r="A149" s="49">
        <v>148</v>
      </c>
      <c r="B149" s="49" t="s">
        <v>14955</v>
      </c>
      <c r="C149" s="49" t="str">
        <f t="shared" si="0"/>
        <v>E5_6_2_2_mRNA</v>
      </c>
      <c r="D149" s="49" t="str">
        <f t="shared" si="1"/>
        <v>E5_6_2_2</v>
      </c>
      <c r="E149" s="64" t="str">
        <f t="shared" si="2"/>
        <v>E5_6_2_2_kcat : 13.7</v>
      </c>
      <c r="F149" s="65" t="str">
        <f t="shared" si="3"/>
        <v>E5_6_2_2_km : 1</v>
      </c>
      <c r="G149" s="66" t="str">
        <f t="shared" ref="G149:H149" si="302">CONCATENATE(C149," : ",C149)</f>
        <v>E5_6_2_2_mRNA : E5_6_2_2_mRNA</v>
      </c>
      <c r="H149" s="67" t="str">
        <f t="shared" si="302"/>
        <v>E5_6_2_2 : E5_6_2_2</v>
      </c>
      <c r="I149" s="44" t="str">
        <f t="shared" ref="I149:J149" si="303">CONCATENATE(C149," : ","0")</f>
        <v>E5_6_2_2_mRNA : 0</v>
      </c>
      <c r="J149" s="68" t="str">
        <f t="shared" si="303"/>
        <v>E5_6_2_2 : 0</v>
      </c>
      <c r="K149" s="69" t="str">
        <f t="shared" si="6"/>
        <v>0.00292 - (0.0093 * E5_6_2_2_mRNA)</v>
      </c>
      <c r="L149" s="70" t="str">
        <f t="shared" si="7"/>
        <v>(0.278 * E5_6_2_2_mRNA) - (0.00000278 * E5_6_2_2)</v>
      </c>
      <c r="M149" s="71" t="str">
        <f t="shared" si="8"/>
        <v>mRNA148: -&gt; E5_6_2_2_mRNA | 0.00292 - (0.0093 * E5_6_2_2_mRNA)</v>
      </c>
      <c r="N149" s="72" t="str">
        <f t="shared" si="9"/>
        <v>Peptide148: E5_6_2_2_mRNA -&gt; E5_6_2_2 | (0.278 * E5_6_2_2_mRNA) - (0.000000278 * E5_6_2_2)</v>
      </c>
    </row>
    <row r="150" spans="1:14" ht="29" x14ac:dyDescent="0.35">
      <c r="A150" s="49">
        <v>149</v>
      </c>
      <c r="B150" s="49" t="s">
        <v>14690</v>
      </c>
      <c r="C150" s="49" t="str">
        <f t="shared" si="0"/>
        <v>E2_7_1_33_mRNA</v>
      </c>
      <c r="D150" s="49" t="str">
        <f t="shared" si="1"/>
        <v>E2_7_1_33</v>
      </c>
      <c r="E150" s="64" t="str">
        <f t="shared" si="2"/>
        <v>E2_7_1_33_kcat : 13.7</v>
      </c>
      <c r="F150" s="65" t="str">
        <f t="shared" si="3"/>
        <v>E2_7_1_33_km : 1</v>
      </c>
      <c r="G150" s="66" t="str">
        <f t="shared" ref="G150:H150" si="304">CONCATENATE(C150," : ",C150)</f>
        <v>E2_7_1_33_mRNA : E2_7_1_33_mRNA</v>
      </c>
      <c r="H150" s="67" t="str">
        <f t="shared" si="304"/>
        <v>E2_7_1_33 : E2_7_1_33</v>
      </c>
      <c r="I150" s="44" t="str">
        <f t="shared" ref="I150:J150" si="305">CONCATENATE(C150," : ","0")</f>
        <v>E2_7_1_33_mRNA : 0</v>
      </c>
      <c r="J150" s="68" t="str">
        <f t="shared" si="305"/>
        <v>E2_7_1_33 : 0</v>
      </c>
      <c r="K150" s="69" t="str">
        <f t="shared" si="6"/>
        <v>0.00292 - (0.0093 * E2_7_1_33_mRNA)</v>
      </c>
      <c r="L150" s="70" t="str">
        <f t="shared" si="7"/>
        <v>(0.278 * E2_7_1_33_mRNA) - (0.00000278 * E2_7_1_33)</v>
      </c>
      <c r="M150" s="71" t="str">
        <f t="shared" si="8"/>
        <v>mRNA149: -&gt; E2_7_1_33_mRNA | 0.00292 - (0.0093 * E2_7_1_33_mRNA)</v>
      </c>
      <c r="N150" s="72" t="str">
        <f t="shared" si="9"/>
        <v>Peptide149: E2_7_1_33_mRNA -&gt; E2_7_1_33 | (0.278 * E2_7_1_33_mRNA) - (0.000000278 * E2_7_1_33)</v>
      </c>
    </row>
    <row r="151" spans="1:14" ht="29" x14ac:dyDescent="0.35">
      <c r="A151" s="49">
        <v>150</v>
      </c>
      <c r="B151" s="49" t="s">
        <v>14956</v>
      </c>
      <c r="C151" s="49" t="str">
        <f t="shared" si="0"/>
        <v>E2_1_1_176_mRNA</v>
      </c>
      <c r="D151" s="49" t="str">
        <f t="shared" si="1"/>
        <v>E2_1_1_176</v>
      </c>
      <c r="E151" s="64" t="str">
        <f t="shared" si="2"/>
        <v>E2_1_1_176_kcat : 13.7</v>
      </c>
      <c r="F151" s="65" t="str">
        <f t="shared" si="3"/>
        <v>E2_1_1_176_km : 1</v>
      </c>
      <c r="G151" s="66" t="str">
        <f t="shared" ref="G151:H151" si="306">CONCATENATE(C151," : ",C151)</f>
        <v>E2_1_1_176_mRNA : E2_1_1_176_mRNA</v>
      </c>
      <c r="H151" s="67" t="str">
        <f t="shared" si="306"/>
        <v>E2_1_1_176 : E2_1_1_176</v>
      </c>
      <c r="I151" s="44" t="str">
        <f t="shared" ref="I151:J151" si="307">CONCATENATE(C151," : ","0")</f>
        <v>E2_1_1_176_mRNA : 0</v>
      </c>
      <c r="J151" s="68" t="str">
        <f t="shared" si="307"/>
        <v>E2_1_1_176 : 0</v>
      </c>
      <c r="K151" s="69" t="str">
        <f t="shared" si="6"/>
        <v>0.00292 - (0.0093 * E2_1_1_176_mRNA)</v>
      </c>
      <c r="L151" s="70" t="str">
        <f t="shared" si="7"/>
        <v>(0.278 * E2_1_1_176_mRNA) - (0.00000278 * E2_1_1_176)</v>
      </c>
      <c r="M151" s="71" t="str">
        <f t="shared" si="8"/>
        <v>mRNA150: -&gt; E2_1_1_176_mRNA | 0.00292 - (0.0093 * E2_1_1_176_mRNA)</v>
      </c>
      <c r="N151" s="72" t="str">
        <f t="shared" si="9"/>
        <v>Peptide150: E2_1_1_176_mRNA -&gt; E2_1_1_176 | (0.278 * E2_1_1_176_mRNA) - (0.000000278 * E2_1_1_176)</v>
      </c>
    </row>
    <row r="152" spans="1:14" ht="29" x14ac:dyDescent="0.35">
      <c r="A152" s="49">
        <v>151</v>
      </c>
      <c r="B152" s="49" t="s">
        <v>14691</v>
      </c>
      <c r="C152" s="49" t="str">
        <f t="shared" si="0"/>
        <v>E2_1_2_9_mRNA</v>
      </c>
      <c r="D152" s="49" t="str">
        <f t="shared" si="1"/>
        <v>E2_1_2_9</v>
      </c>
      <c r="E152" s="64" t="str">
        <f t="shared" si="2"/>
        <v>E2_1_2_9_kcat : 13.7</v>
      </c>
      <c r="F152" s="65" t="str">
        <f t="shared" si="3"/>
        <v>E2_1_2_9_km : 1</v>
      </c>
      <c r="G152" s="66" t="str">
        <f t="shared" ref="G152:H152" si="308">CONCATENATE(C152," : ",C152)</f>
        <v>E2_1_2_9_mRNA : E2_1_2_9_mRNA</v>
      </c>
      <c r="H152" s="67" t="str">
        <f t="shared" si="308"/>
        <v>E2_1_2_9 : E2_1_2_9</v>
      </c>
      <c r="I152" s="44" t="str">
        <f t="shared" ref="I152:J152" si="309">CONCATENATE(C152," : ","0")</f>
        <v>E2_1_2_9_mRNA : 0</v>
      </c>
      <c r="J152" s="68" t="str">
        <f t="shared" si="309"/>
        <v>E2_1_2_9 : 0</v>
      </c>
      <c r="K152" s="69" t="str">
        <f t="shared" si="6"/>
        <v>0.00292 - (0.0093 * E2_1_2_9_mRNA)</v>
      </c>
      <c r="L152" s="70" t="str">
        <f t="shared" si="7"/>
        <v>(0.278 * E2_1_2_9_mRNA) - (0.00000278 * E2_1_2_9)</v>
      </c>
      <c r="M152" s="71" t="str">
        <f t="shared" si="8"/>
        <v>mRNA151: -&gt; E2_1_2_9_mRNA | 0.00292 - (0.0093 * E2_1_2_9_mRNA)</v>
      </c>
      <c r="N152" s="72" t="str">
        <f t="shared" si="9"/>
        <v>Peptide151: E2_1_2_9_mRNA -&gt; E2_1_2_9 | (0.278 * E2_1_2_9_mRNA) - (0.000000278 * E2_1_2_9)</v>
      </c>
    </row>
    <row r="153" spans="1:14" ht="29" x14ac:dyDescent="0.35">
      <c r="A153" s="49">
        <v>152</v>
      </c>
      <c r="B153" s="49" t="s">
        <v>14692</v>
      </c>
      <c r="C153" s="49" t="str">
        <f t="shared" si="0"/>
        <v>E3_5_1_88_mRNA</v>
      </c>
      <c r="D153" s="49" t="str">
        <f t="shared" si="1"/>
        <v>E3_5_1_88</v>
      </c>
      <c r="E153" s="64" t="str">
        <f t="shared" si="2"/>
        <v>E3_5_1_88_kcat : 13.7</v>
      </c>
      <c r="F153" s="65" t="str">
        <f t="shared" si="3"/>
        <v>E3_5_1_88_km : 1</v>
      </c>
      <c r="G153" s="66" t="str">
        <f t="shared" ref="G153:H153" si="310">CONCATENATE(C153," : ",C153)</f>
        <v>E3_5_1_88_mRNA : E3_5_1_88_mRNA</v>
      </c>
      <c r="H153" s="67" t="str">
        <f t="shared" si="310"/>
        <v>E3_5_1_88 : E3_5_1_88</v>
      </c>
      <c r="I153" s="44" t="str">
        <f t="shared" ref="I153:J153" si="311">CONCATENATE(C153," : ","0")</f>
        <v>E3_5_1_88_mRNA : 0</v>
      </c>
      <c r="J153" s="68" t="str">
        <f t="shared" si="311"/>
        <v>E3_5_1_88 : 0</v>
      </c>
      <c r="K153" s="69" t="str">
        <f t="shared" si="6"/>
        <v>0.00292 - (0.0093 * E3_5_1_88_mRNA)</v>
      </c>
      <c r="L153" s="70" t="str">
        <f t="shared" si="7"/>
        <v>(0.278 * E3_5_1_88_mRNA) - (0.00000278 * E3_5_1_88)</v>
      </c>
      <c r="M153" s="71" t="str">
        <f t="shared" si="8"/>
        <v>mRNA152: -&gt; E3_5_1_88_mRNA | 0.00292 - (0.0093 * E3_5_1_88_mRNA)</v>
      </c>
      <c r="N153" s="72" t="str">
        <f t="shared" si="9"/>
        <v>Peptide152: E3_5_1_88_mRNA -&gt; E3_5_1_88 | (0.278 * E3_5_1_88_mRNA) - (0.000000278 * E3_5_1_88)</v>
      </c>
    </row>
    <row r="154" spans="1:14" ht="29" x14ac:dyDescent="0.35">
      <c r="A154" s="49">
        <v>153</v>
      </c>
      <c r="B154" s="49" t="s">
        <v>14693</v>
      </c>
      <c r="C154" s="49" t="str">
        <f t="shared" si="0"/>
        <v>E2_1_3_3_mRNA</v>
      </c>
      <c r="D154" s="49" t="str">
        <f t="shared" si="1"/>
        <v>E2_1_3_3</v>
      </c>
      <c r="E154" s="64" t="str">
        <f t="shared" si="2"/>
        <v>E2_1_3_3_kcat : 13.7</v>
      </c>
      <c r="F154" s="65" t="str">
        <f t="shared" si="3"/>
        <v>E2_1_3_3_km : 1</v>
      </c>
      <c r="G154" s="66" t="str">
        <f t="shared" ref="G154:H154" si="312">CONCATENATE(C154," : ",C154)</f>
        <v>E2_1_3_3_mRNA : E2_1_3_3_mRNA</v>
      </c>
      <c r="H154" s="67" t="str">
        <f t="shared" si="312"/>
        <v>E2_1_3_3 : E2_1_3_3</v>
      </c>
      <c r="I154" s="44" t="str">
        <f t="shared" ref="I154:J154" si="313">CONCATENATE(C154," : ","0")</f>
        <v>E2_1_3_3_mRNA : 0</v>
      </c>
      <c r="J154" s="68" t="str">
        <f t="shared" si="313"/>
        <v>E2_1_3_3 : 0</v>
      </c>
      <c r="K154" s="69" t="str">
        <f t="shared" si="6"/>
        <v>0.00292 - (0.0093 * E2_1_3_3_mRNA)</v>
      </c>
      <c r="L154" s="70" t="str">
        <f t="shared" si="7"/>
        <v>(0.278 * E2_1_3_3_mRNA) - (0.00000278 * E2_1_3_3)</v>
      </c>
      <c r="M154" s="71" t="str">
        <f t="shared" si="8"/>
        <v>mRNA153: -&gt; E2_1_3_3_mRNA | 0.00292 - (0.0093 * E2_1_3_3_mRNA)</v>
      </c>
      <c r="N154" s="72" t="str">
        <f t="shared" si="9"/>
        <v>Peptide153: E2_1_3_3_mRNA -&gt; E2_1_3_3 | (0.278 * E2_1_3_3_mRNA) - (0.000000278 * E2_1_3_3)</v>
      </c>
    </row>
    <row r="155" spans="1:14" ht="29" x14ac:dyDescent="0.35">
      <c r="A155" s="49">
        <v>154</v>
      </c>
      <c r="B155" s="49" t="s">
        <v>14694</v>
      </c>
      <c r="C155" s="49" t="str">
        <f t="shared" si="0"/>
        <v>E2_7_2_2_mRNA</v>
      </c>
      <c r="D155" s="49" t="str">
        <f t="shared" si="1"/>
        <v>E2_7_2_2</v>
      </c>
      <c r="E155" s="64" t="str">
        <f t="shared" si="2"/>
        <v>E2_7_2_2_kcat : 13.7</v>
      </c>
      <c r="F155" s="65" t="str">
        <f t="shared" si="3"/>
        <v>E2_7_2_2_km : 1</v>
      </c>
      <c r="G155" s="66" t="str">
        <f t="shared" ref="G155:H155" si="314">CONCATENATE(C155," : ",C155)</f>
        <v>E2_7_2_2_mRNA : E2_7_2_2_mRNA</v>
      </c>
      <c r="H155" s="67" t="str">
        <f t="shared" si="314"/>
        <v>E2_7_2_2 : E2_7_2_2</v>
      </c>
      <c r="I155" s="44" t="str">
        <f t="shared" ref="I155:J155" si="315">CONCATENATE(C155," : ","0")</f>
        <v>E2_7_2_2_mRNA : 0</v>
      </c>
      <c r="J155" s="68" t="str">
        <f t="shared" si="315"/>
        <v>E2_7_2_2 : 0</v>
      </c>
      <c r="K155" s="69" t="str">
        <f t="shared" si="6"/>
        <v>0.00292 - (0.0093 * E2_7_2_2_mRNA)</v>
      </c>
      <c r="L155" s="70" t="str">
        <f t="shared" si="7"/>
        <v>(0.278 * E2_7_2_2_mRNA) - (0.00000278 * E2_7_2_2)</v>
      </c>
      <c r="M155" s="71" t="str">
        <f t="shared" si="8"/>
        <v>mRNA154: -&gt; E2_7_2_2_mRNA | 0.00292 - (0.0093 * E2_7_2_2_mRNA)</v>
      </c>
      <c r="N155" s="72" t="str">
        <f t="shared" si="9"/>
        <v>Peptide154: E2_7_2_2_mRNA -&gt; E2_7_2_2 | (0.278 * E2_7_2_2_mRNA) - (0.000000278 * E2_7_2_2)</v>
      </c>
    </row>
    <row r="156" spans="1:14" ht="29" x14ac:dyDescent="0.35">
      <c r="A156" s="49">
        <v>155</v>
      </c>
      <c r="B156" s="49" t="s">
        <v>14957</v>
      </c>
      <c r="C156" s="49" t="str">
        <f t="shared" si="0"/>
        <v>E3_4_13_21_mRNA</v>
      </c>
      <c r="D156" s="49" t="str">
        <f t="shared" si="1"/>
        <v>E3_4_13_21</v>
      </c>
      <c r="E156" s="64" t="str">
        <f t="shared" si="2"/>
        <v>E3_4_13_21_kcat : 13.7</v>
      </c>
      <c r="F156" s="65" t="str">
        <f t="shared" si="3"/>
        <v>E3_4_13_21_km : 1</v>
      </c>
      <c r="G156" s="66" t="str">
        <f t="shared" ref="G156:H156" si="316">CONCATENATE(C156," : ",C156)</f>
        <v>E3_4_13_21_mRNA : E3_4_13_21_mRNA</v>
      </c>
      <c r="H156" s="67" t="str">
        <f t="shared" si="316"/>
        <v>E3_4_13_21 : E3_4_13_21</v>
      </c>
      <c r="I156" s="44" t="str">
        <f t="shared" ref="I156:J156" si="317">CONCATENATE(C156," : ","0")</f>
        <v>E3_4_13_21_mRNA : 0</v>
      </c>
      <c r="J156" s="68" t="str">
        <f t="shared" si="317"/>
        <v>E3_4_13_21 : 0</v>
      </c>
      <c r="K156" s="69" t="str">
        <f t="shared" si="6"/>
        <v>0.00292 - (0.0093 * E3_4_13_21_mRNA)</v>
      </c>
      <c r="L156" s="70" t="str">
        <f t="shared" si="7"/>
        <v>(0.278 * E3_4_13_21_mRNA) - (0.00000278 * E3_4_13_21)</v>
      </c>
      <c r="M156" s="71" t="str">
        <f t="shared" si="8"/>
        <v>mRNA155: -&gt; E3_4_13_21_mRNA | 0.00292 - (0.0093 * E3_4_13_21_mRNA)</v>
      </c>
      <c r="N156" s="72" t="str">
        <f t="shared" si="9"/>
        <v>Peptide155: E3_4_13_21_mRNA -&gt; E3_4_13_21 | (0.278 * E3_4_13_21_mRNA) - (0.000000278 * E3_4_13_21)</v>
      </c>
    </row>
    <row r="157" spans="1:14" ht="29" x14ac:dyDescent="0.35">
      <c r="A157" s="49">
        <v>156</v>
      </c>
      <c r="B157" s="49" t="s">
        <v>14695</v>
      </c>
      <c r="C157" s="49" t="str">
        <f t="shared" si="0"/>
        <v>E3_1_4_16_mRNA</v>
      </c>
      <c r="D157" s="49" t="str">
        <f t="shared" si="1"/>
        <v>E3_1_4_16</v>
      </c>
      <c r="E157" s="64" t="str">
        <f t="shared" si="2"/>
        <v>E3_1_4_16_kcat : 13.7</v>
      </c>
      <c r="F157" s="65" t="str">
        <f t="shared" si="3"/>
        <v>E3_1_4_16_km : 1</v>
      </c>
      <c r="G157" s="66" t="str">
        <f t="shared" ref="G157:H157" si="318">CONCATENATE(C157," : ",C157)</f>
        <v>E3_1_4_16_mRNA : E3_1_4_16_mRNA</v>
      </c>
      <c r="H157" s="67" t="str">
        <f t="shared" si="318"/>
        <v>E3_1_4_16 : E3_1_4_16</v>
      </c>
      <c r="I157" s="44" t="str">
        <f t="shared" ref="I157:J157" si="319">CONCATENATE(C157," : ","0")</f>
        <v>E3_1_4_16_mRNA : 0</v>
      </c>
      <c r="J157" s="68" t="str">
        <f t="shared" si="319"/>
        <v>E3_1_4_16 : 0</v>
      </c>
      <c r="K157" s="69" t="str">
        <f t="shared" si="6"/>
        <v>0.00292 - (0.0093 * E3_1_4_16_mRNA)</v>
      </c>
      <c r="L157" s="70" t="str">
        <f t="shared" si="7"/>
        <v>(0.278 * E3_1_4_16_mRNA) - (0.00000278 * E3_1_4_16)</v>
      </c>
      <c r="M157" s="71" t="str">
        <f t="shared" si="8"/>
        <v>mRNA156: -&gt; E3_1_4_16_mRNA | 0.00292 - (0.0093 * E3_1_4_16_mRNA)</v>
      </c>
      <c r="N157" s="72" t="str">
        <f t="shared" si="9"/>
        <v>Peptide156: E3_1_4_16_mRNA -&gt; E3_1_4_16 | (0.278 * E3_1_4_16_mRNA) - (0.000000278 * E3_1_4_16)</v>
      </c>
    </row>
    <row r="158" spans="1:14" ht="29" x14ac:dyDescent="0.35">
      <c r="A158" s="49">
        <v>157</v>
      </c>
      <c r="B158" s="49" t="s">
        <v>14958</v>
      </c>
      <c r="C158" s="49" t="str">
        <f t="shared" si="0"/>
        <v>E1_3_1_91_mRNA</v>
      </c>
      <c r="D158" s="49" t="str">
        <f t="shared" si="1"/>
        <v>E1_3_1_91</v>
      </c>
      <c r="E158" s="64" t="str">
        <f t="shared" si="2"/>
        <v>E1_3_1_91_kcat : 13.7</v>
      </c>
      <c r="F158" s="65" t="str">
        <f t="shared" si="3"/>
        <v>E1_3_1_91_km : 1</v>
      </c>
      <c r="G158" s="66" t="str">
        <f t="shared" ref="G158:H158" si="320">CONCATENATE(C158," : ",C158)</f>
        <v>E1_3_1_91_mRNA : E1_3_1_91_mRNA</v>
      </c>
      <c r="H158" s="67" t="str">
        <f t="shared" si="320"/>
        <v>E1_3_1_91 : E1_3_1_91</v>
      </c>
      <c r="I158" s="44" t="str">
        <f t="shared" ref="I158:J158" si="321">CONCATENATE(C158," : ","0")</f>
        <v>E1_3_1_91_mRNA : 0</v>
      </c>
      <c r="J158" s="68" t="str">
        <f t="shared" si="321"/>
        <v>E1_3_1_91 : 0</v>
      </c>
      <c r="K158" s="69" t="str">
        <f t="shared" si="6"/>
        <v>0.00292 - (0.0093 * E1_3_1_91_mRNA)</v>
      </c>
      <c r="L158" s="70" t="str">
        <f t="shared" si="7"/>
        <v>(0.278 * E1_3_1_91_mRNA) - (0.00000278 * E1_3_1_91)</v>
      </c>
      <c r="M158" s="71" t="str">
        <f t="shared" si="8"/>
        <v>mRNA157: -&gt; E1_3_1_91_mRNA | 0.00292 - (0.0093 * E1_3_1_91_mRNA)</v>
      </c>
      <c r="N158" s="72" t="str">
        <f t="shared" si="9"/>
        <v>Peptide157: E1_3_1_91_mRNA -&gt; E1_3_1_91 | (0.278 * E1_3_1_91_mRNA) - (0.000000278 * E1_3_1_91)</v>
      </c>
    </row>
    <row r="159" spans="1:14" ht="29" x14ac:dyDescent="0.35">
      <c r="A159" s="49">
        <v>158</v>
      </c>
      <c r="B159" s="49" t="s">
        <v>14696</v>
      </c>
      <c r="C159" s="49" t="str">
        <f t="shared" si="0"/>
        <v>E6_1_1_2_mRNA</v>
      </c>
      <c r="D159" s="49" t="str">
        <f t="shared" si="1"/>
        <v>E6_1_1_2</v>
      </c>
      <c r="E159" s="64" t="str">
        <f t="shared" si="2"/>
        <v>E6_1_1_2_kcat : 13.7</v>
      </c>
      <c r="F159" s="65" t="str">
        <f t="shared" si="3"/>
        <v>E6_1_1_2_km : 1</v>
      </c>
      <c r="G159" s="66" t="str">
        <f t="shared" ref="G159:H159" si="322">CONCATENATE(C159," : ",C159)</f>
        <v>E6_1_1_2_mRNA : E6_1_1_2_mRNA</v>
      </c>
      <c r="H159" s="67" t="str">
        <f t="shared" si="322"/>
        <v>E6_1_1_2 : E6_1_1_2</v>
      </c>
      <c r="I159" s="44" t="str">
        <f t="shared" ref="I159:J159" si="323">CONCATENATE(C159," : ","0")</f>
        <v>E6_1_1_2_mRNA : 0</v>
      </c>
      <c r="J159" s="68" t="str">
        <f t="shared" si="323"/>
        <v>E6_1_1_2 : 0</v>
      </c>
      <c r="K159" s="69" t="str">
        <f t="shared" si="6"/>
        <v>0.00292 - (0.0093 * E6_1_1_2_mRNA)</v>
      </c>
      <c r="L159" s="70" t="str">
        <f t="shared" si="7"/>
        <v>(0.278 * E6_1_1_2_mRNA) - (0.00000278 * E6_1_1_2)</v>
      </c>
      <c r="M159" s="71" t="str">
        <f t="shared" si="8"/>
        <v>mRNA158: -&gt; E6_1_1_2_mRNA | 0.00292 - (0.0093 * E6_1_1_2_mRNA)</v>
      </c>
      <c r="N159" s="72" t="str">
        <f t="shared" si="9"/>
        <v>Peptide158: E6_1_1_2_mRNA -&gt; E6_1_1_2 | (0.278 * E6_1_1_2_mRNA) - (0.000000278 * E6_1_1_2)</v>
      </c>
    </row>
    <row r="160" spans="1:14" ht="29" x14ac:dyDescent="0.35">
      <c r="A160" s="49">
        <v>159</v>
      </c>
      <c r="B160" s="49" t="s">
        <v>14697</v>
      </c>
      <c r="C160" s="49" t="str">
        <f t="shared" si="0"/>
        <v>E4_3_2_2_mRNA</v>
      </c>
      <c r="D160" s="49" t="str">
        <f t="shared" si="1"/>
        <v>E4_3_2_2</v>
      </c>
      <c r="E160" s="64" t="str">
        <f t="shared" si="2"/>
        <v>E4_3_2_2_kcat : 13.7</v>
      </c>
      <c r="F160" s="65" t="str">
        <f t="shared" si="3"/>
        <v>E4_3_2_2_km : 1</v>
      </c>
      <c r="G160" s="66" t="str">
        <f t="shared" ref="G160:H160" si="324">CONCATENATE(C160," : ",C160)</f>
        <v>E4_3_2_2_mRNA : E4_3_2_2_mRNA</v>
      </c>
      <c r="H160" s="67" t="str">
        <f t="shared" si="324"/>
        <v>E4_3_2_2 : E4_3_2_2</v>
      </c>
      <c r="I160" s="44" t="str">
        <f t="shared" ref="I160:J160" si="325">CONCATENATE(C160," : ","0")</f>
        <v>E4_3_2_2_mRNA : 0</v>
      </c>
      <c r="J160" s="68" t="str">
        <f t="shared" si="325"/>
        <v>E4_3_2_2 : 0</v>
      </c>
      <c r="K160" s="69" t="str">
        <f t="shared" si="6"/>
        <v>0.00292 - (0.0093 * E4_3_2_2_mRNA)</v>
      </c>
      <c r="L160" s="70" t="str">
        <f t="shared" si="7"/>
        <v>(0.278 * E4_3_2_2_mRNA) - (0.00000278 * E4_3_2_2)</v>
      </c>
      <c r="M160" s="71" t="str">
        <f t="shared" si="8"/>
        <v>mRNA159: -&gt; E4_3_2_2_mRNA | 0.00292 - (0.0093 * E4_3_2_2_mRNA)</v>
      </c>
      <c r="N160" s="72" t="str">
        <f t="shared" si="9"/>
        <v>Peptide159: E4_3_2_2_mRNA -&gt; E4_3_2_2 | (0.278 * E4_3_2_2_mRNA) - (0.000000278 * E4_3_2_2)</v>
      </c>
    </row>
    <row r="161" spans="1:14" ht="29" x14ac:dyDescent="0.35">
      <c r="A161" s="49">
        <v>160</v>
      </c>
      <c r="B161" s="49" t="s">
        <v>14698</v>
      </c>
      <c r="C161" s="49" t="str">
        <f t="shared" si="0"/>
        <v>E1_7_2_3_mRNA</v>
      </c>
      <c r="D161" s="49" t="str">
        <f t="shared" si="1"/>
        <v>E1_7_2_3</v>
      </c>
      <c r="E161" s="64" t="str">
        <f t="shared" si="2"/>
        <v>E1_7_2_3_kcat : 13.7</v>
      </c>
      <c r="F161" s="65" t="str">
        <f t="shared" si="3"/>
        <v>E1_7_2_3_km : 1</v>
      </c>
      <c r="G161" s="66" t="str">
        <f t="shared" ref="G161:H161" si="326">CONCATENATE(C161," : ",C161)</f>
        <v>E1_7_2_3_mRNA : E1_7_2_3_mRNA</v>
      </c>
      <c r="H161" s="67" t="str">
        <f t="shared" si="326"/>
        <v>E1_7_2_3 : E1_7_2_3</v>
      </c>
      <c r="I161" s="44" t="str">
        <f t="shared" ref="I161:J161" si="327">CONCATENATE(C161," : ","0")</f>
        <v>E1_7_2_3_mRNA : 0</v>
      </c>
      <c r="J161" s="68" t="str">
        <f t="shared" si="327"/>
        <v>E1_7_2_3 : 0</v>
      </c>
      <c r="K161" s="69" t="str">
        <f t="shared" si="6"/>
        <v>0.00292 - (0.0093 * E1_7_2_3_mRNA)</v>
      </c>
      <c r="L161" s="70" t="str">
        <f t="shared" si="7"/>
        <v>(0.278 * E1_7_2_3_mRNA) - (0.00000278 * E1_7_2_3)</v>
      </c>
      <c r="M161" s="71" t="str">
        <f t="shared" si="8"/>
        <v>mRNA160: -&gt; E1_7_2_3_mRNA | 0.00292 - (0.0093 * E1_7_2_3_mRNA)</v>
      </c>
      <c r="N161" s="72" t="str">
        <f t="shared" si="9"/>
        <v>Peptide160: E1_7_2_3_mRNA -&gt; E1_7_2_3 | (0.278 * E1_7_2_3_mRNA) - (0.000000278 * E1_7_2_3)</v>
      </c>
    </row>
    <row r="162" spans="1:14" ht="29" x14ac:dyDescent="0.35">
      <c r="A162" s="49">
        <v>161</v>
      </c>
      <c r="B162" s="49" t="s">
        <v>14699</v>
      </c>
      <c r="C162" s="49" t="str">
        <f t="shared" si="0"/>
        <v>E1_2_1_11_mRNA</v>
      </c>
      <c r="D162" s="49" t="str">
        <f t="shared" si="1"/>
        <v>E1_2_1_11</v>
      </c>
      <c r="E162" s="64" t="str">
        <f t="shared" si="2"/>
        <v>E1_2_1_11_kcat : 13.7</v>
      </c>
      <c r="F162" s="65" t="str">
        <f t="shared" si="3"/>
        <v>E1_2_1_11_km : 1</v>
      </c>
      <c r="G162" s="66" t="str">
        <f t="shared" ref="G162:H162" si="328">CONCATENATE(C162," : ",C162)</f>
        <v>E1_2_1_11_mRNA : E1_2_1_11_mRNA</v>
      </c>
      <c r="H162" s="67" t="str">
        <f t="shared" si="328"/>
        <v>E1_2_1_11 : E1_2_1_11</v>
      </c>
      <c r="I162" s="44" t="str">
        <f t="shared" ref="I162:J162" si="329">CONCATENATE(C162," : ","0")</f>
        <v>E1_2_1_11_mRNA : 0</v>
      </c>
      <c r="J162" s="68" t="str">
        <f t="shared" si="329"/>
        <v>E1_2_1_11 : 0</v>
      </c>
      <c r="K162" s="69" t="str">
        <f t="shared" si="6"/>
        <v>0.00292 - (0.0093 * E1_2_1_11_mRNA)</v>
      </c>
      <c r="L162" s="70" t="str">
        <f t="shared" si="7"/>
        <v>(0.278 * E1_2_1_11_mRNA) - (0.00000278 * E1_2_1_11)</v>
      </c>
      <c r="M162" s="71" t="str">
        <f t="shared" si="8"/>
        <v>mRNA161: -&gt; E1_2_1_11_mRNA | 0.00292 - (0.0093 * E1_2_1_11_mRNA)</v>
      </c>
      <c r="N162" s="72" t="str">
        <f t="shared" si="9"/>
        <v>Peptide161: E1_2_1_11_mRNA -&gt; E1_2_1_11 | (0.278 * E1_2_1_11_mRNA) - (0.000000278 * E1_2_1_11)</v>
      </c>
    </row>
    <row r="163" spans="1:14" ht="29" x14ac:dyDescent="0.35">
      <c r="A163" s="49">
        <v>162</v>
      </c>
      <c r="B163" s="49" t="s">
        <v>14700</v>
      </c>
      <c r="C163" s="49" t="str">
        <f t="shared" si="0"/>
        <v>E2_7_7_3_mRNA</v>
      </c>
      <c r="D163" s="49" t="str">
        <f t="shared" si="1"/>
        <v>E2_7_7_3</v>
      </c>
      <c r="E163" s="64" t="str">
        <f t="shared" si="2"/>
        <v>E2_7_7_3_kcat : 13.7</v>
      </c>
      <c r="F163" s="65" t="str">
        <f t="shared" si="3"/>
        <v>E2_7_7_3_km : 1</v>
      </c>
      <c r="G163" s="66" t="str">
        <f t="shared" ref="G163:H163" si="330">CONCATENATE(C163," : ",C163)</f>
        <v>E2_7_7_3_mRNA : E2_7_7_3_mRNA</v>
      </c>
      <c r="H163" s="67" t="str">
        <f t="shared" si="330"/>
        <v>E2_7_7_3 : E2_7_7_3</v>
      </c>
      <c r="I163" s="44" t="str">
        <f t="shared" ref="I163:J163" si="331">CONCATENATE(C163," : ","0")</f>
        <v>E2_7_7_3_mRNA : 0</v>
      </c>
      <c r="J163" s="68" t="str">
        <f t="shared" si="331"/>
        <v>E2_7_7_3 : 0</v>
      </c>
      <c r="K163" s="69" t="str">
        <f t="shared" si="6"/>
        <v>0.00292 - (0.0093 * E2_7_7_3_mRNA)</v>
      </c>
      <c r="L163" s="70" t="str">
        <f t="shared" si="7"/>
        <v>(0.278 * E2_7_7_3_mRNA) - (0.00000278 * E2_7_7_3)</v>
      </c>
      <c r="M163" s="71" t="str">
        <f t="shared" si="8"/>
        <v>mRNA162: -&gt; E2_7_7_3_mRNA | 0.00292 - (0.0093 * E2_7_7_3_mRNA)</v>
      </c>
      <c r="N163" s="72" t="str">
        <f t="shared" si="9"/>
        <v>Peptide162: E2_7_7_3_mRNA -&gt; E2_7_7_3 | (0.278 * E2_7_7_3_mRNA) - (0.000000278 * E2_7_7_3)</v>
      </c>
    </row>
    <row r="164" spans="1:14" ht="29" x14ac:dyDescent="0.35">
      <c r="A164" s="49">
        <v>163</v>
      </c>
      <c r="B164" s="49" t="s">
        <v>14701</v>
      </c>
      <c r="C164" s="49" t="str">
        <f t="shared" si="0"/>
        <v>E2_4_99_12_mRNA</v>
      </c>
      <c r="D164" s="49" t="str">
        <f t="shared" si="1"/>
        <v>E2_4_99_12</v>
      </c>
      <c r="E164" s="64" t="str">
        <f t="shared" si="2"/>
        <v>E2_4_99_12_kcat : 13.7</v>
      </c>
      <c r="F164" s="65" t="str">
        <f t="shared" si="3"/>
        <v>E2_4_99_12_km : 1</v>
      </c>
      <c r="G164" s="66" t="str">
        <f t="shared" ref="G164:H164" si="332">CONCATENATE(C164," : ",C164)</f>
        <v>E2_4_99_12_mRNA : E2_4_99_12_mRNA</v>
      </c>
      <c r="H164" s="67" t="str">
        <f t="shared" si="332"/>
        <v>E2_4_99_12 : E2_4_99_12</v>
      </c>
      <c r="I164" s="44" t="str">
        <f t="shared" ref="I164:J164" si="333">CONCATENATE(C164," : ","0")</f>
        <v>E2_4_99_12_mRNA : 0</v>
      </c>
      <c r="J164" s="68" t="str">
        <f t="shared" si="333"/>
        <v>E2_4_99_12 : 0</v>
      </c>
      <c r="K164" s="69" t="str">
        <f t="shared" si="6"/>
        <v>0.00292 - (0.0093 * E2_4_99_12_mRNA)</v>
      </c>
      <c r="L164" s="70" t="str">
        <f t="shared" si="7"/>
        <v>(0.278 * E2_4_99_12_mRNA) - (0.00000278 * E2_4_99_12)</v>
      </c>
      <c r="M164" s="71" t="str">
        <f t="shared" si="8"/>
        <v>mRNA163: -&gt; E2_4_99_12_mRNA | 0.00292 - (0.0093 * E2_4_99_12_mRNA)</v>
      </c>
      <c r="N164" s="72" t="str">
        <f t="shared" si="9"/>
        <v>Peptide163: E2_4_99_12_mRNA -&gt; E2_4_99_12 | (0.278 * E2_4_99_12_mRNA) - (0.000000278 * E2_4_99_12)</v>
      </c>
    </row>
    <row r="165" spans="1:14" ht="29" x14ac:dyDescent="0.35">
      <c r="A165" s="49">
        <v>164</v>
      </c>
      <c r="B165" s="49" t="s">
        <v>14702</v>
      </c>
      <c r="C165" s="49" t="str">
        <f t="shared" si="0"/>
        <v>E1_1_1_25_mRNA</v>
      </c>
      <c r="D165" s="49" t="str">
        <f t="shared" si="1"/>
        <v>E1_1_1_25</v>
      </c>
      <c r="E165" s="64" t="str">
        <f t="shared" si="2"/>
        <v>E1_1_1_25_kcat : 13.7</v>
      </c>
      <c r="F165" s="65" t="str">
        <f t="shared" si="3"/>
        <v>E1_1_1_25_km : 1</v>
      </c>
      <c r="G165" s="66" t="str">
        <f t="shared" ref="G165:H165" si="334">CONCATENATE(C165," : ",C165)</f>
        <v>E1_1_1_25_mRNA : E1_1_1_25_mRNA</v>
      </c>
      <c r="H165" s="67" t="str">
        <f t="shared" si="334"/>
        <v>E1_1_1_25 : E1_1_1_25</v>
      </c>
      <c r="I165" s="44" t="str">
        <f t="shared" ref="I165:J165" si="335">CONCATENATE(C165," : ","0")</f>
        <v>E1_1_1_25_mRNA : 0</v>
      </c>
      <c r="J165" s="68" t="str">
        <f t="shared" si="335"/>
        <v>E1_1_1_25 : 0</v>
      </c>
      <c r="K165" s="69" t="str">
        <f t="shared" si="6"/>
        <v>0.00292 - (0.0093 * E1_1_1_25_mRNA)</v>
      </c>
      <c r="L165" s="70" t="str">
        <f t="shared" si="7"/>
        <v>(0.278 * E1_1_1_25_mRNA) - (0.00000278 * E1_1_1_25)</v>
      </c>
      <c r="M165" s="71" t="str">
        <f t="shared" si="8"/>
        <v>mRNA164: -&gt; E1_1_1_25_mRNA | 0.00292 - (0.0093 * E1_1_1_25_mRNA)</v>
      </c>
      <c r="N165" s="72" t="str">
        <f t="shared" si="9"/>
        <v>Peptide164: E1_1_1_25_mRNA -&gt; E1_1_1_25 | (0.278 * E1_1_1_25_mRNA) - (0.000000278 * E1_1_1_25)</v>
      </c>
    </row>
    <row r="166" spans="1:14" ht="29" x14ac:dyDescent="0.35">
      <c r="A166" s="49">
        <v>165</v>
      </c>
      <c r="B166" s="49" t="s">
        <v>14703</v>
      </c>
      <c r="C166" s="49" t="str">
        <f t="shared" si="0"/>
        <v>E3_1_3_11_mRNA</v>
      </c>
      <c r="D166" s="49" t="str">
        <f t="shared" si="1"/>
        <v>E3_1_3_11</v>
      </c>
      <c r="E166" s="64" t="str">
        <f t="shared" si="2"/>
        <v>E3_1_3_11_kcat : 13.7</v>
      </c>
      <c r="F166" s="65" t="str">
        <f t="shared" si="3"/>
        <v>E3_1_3_11_km : 1</v>
      </c>
      <c r="G166" s="66" t="str">
        <f t="shared" ref="G166:H166" si="336">CONCATENATE(C166," : ",C166)</f>
        <v>E3_1_3_11_mRNA : E3_1_3_11_mRNA</v>
      </c>
      <c r="H166" s="67" t="str">
        <f t="shared" si="336"/>
        <v>E3_1_3_11 : E3_1_3_11</v>
      </c>
      <c r="I166" s="44" t="str">
        <f t="shared" ref="I166:J166" si="337">CONCATENATE(C166," : ","0")</f>
        <v>E3_1_3_11_mRNA : 0</v>
      </c>
      <c r="J166" s="68" t="str">
        <f t="shared" si="337"/>
        <v>E3_1_3_11 : 0</v>
      </c>
      <c r="K166" s="69" t="str">
        <f t="shared" si="6"/>
        <v>0.00292 - (0.0093 * E3_1_3_11_mRNA)</v>
      </c>
      <c r="L166" s="70" t="str">
        <f t="shared" si="7"/>
        <v>(0.278 * E3_1_3_11_mRNA) - (0.00000278 * E3_1_3_11)</v>
      </c>
      <c r="M166" s="71" t="str">
        <f t="shared" si="8"/>
        <v>mRNA165: -&gt; E3_1_3_11_mRNA | 0.00292 - (0.0093 * E3_1_3_11_mRNA)</v>
      </c>
      <c r="N166" s="72" t="str">
        <f t="shared" si="9"/>
        <v>Peptide165: E3_1_3_11_mRNA -&gt; E3_1_3_11 | (0.278 * E3_1_3_11_mRNA) - (0.000000278 * E3_1_3_11)</v>
      </c>
    </row>
    <row r="167" spans="1:14" ht="29" x14ac:dyDescent="0.35">
      <c r="A167" s="49">
        <v>166</v>
      </c>
      <c r="B167" s="49" t="s">
        <v>14959</v>
      </c>
      <c r="C167" s="49" t="str">
        <f t="shared" si="0"/>
        <v>E3_1_1_96_mRNA</v>
      </c>
      <c r="D167" s="49" t="str">
        <f t="shared" si="1"/>
        <v>E3_1_1_96</v>
      </c>
      <c r="E167" s="64" t="str">
        <f t="shared" si="2"/>
        <v>E3_1_1_96_kcat : 13.7</v>
      </c>
      <c r="F167" s="65" t="str">
        <f t="shared" si="3"/>
        <v>E3_1_1_96_km : 1</v>
      </c>
      <c r="G167" s="66" t="str">
        <f t="shared" ref="G167:H167" si="338">CONCATENATE(C167," : ",C167)</f>
        <v>E3_1_1_96_mRNA : E3_1_1_96_mRNA</v>
      </c>
      <c r="H167" s="67" t="str">
        <f t="shared" si="338"/>
        <v>E3_1_1_96 : E3_1_1_96</v>
      </c>
      <c r="I167" s="44" t="str">
        <f t="shared" ref="I167:J167" si="339">CONCATENATE(C167," : ","0")</f>
        <v>E3_1_1_96_mRNA : 0</v>
      </c>
      <c r="J167" s="68" t="str">
        <f t="shared" si="339"/>
        <v>E3_1_1_96 : 0</v>
      </c>
      <c r="K167" s="69" t="str">
        <f t="shared" si="6"/>
        <v>0.00292 - (0.0093 * E3_1_1_96_mRNA)</v>
      </c>
      <c r="L167" s="70" t="str">
        <f t="shared" si="7"/>
        <v>(0.278 * E3_1_1_96_mRNA) - (0.00000278 * E3_1_1_96)</v>
      </c>
      <c r="M167" s="71" t="str">
        <f t="shared" si="8"/>
        <v>mRNA166: -&gt; E3_1_1_96_mRNA | 0.00292 - (0.0093 * E3_1_1_96_mRNA)</v>
      </c>
      <c r="N167" s="72" t="str">
        <f t="shared" si="9"/>
        <v>Peptide166: E3_1_1_96_mRNA -&gt; E3_1_1_96 | (0.278 * E3_1_1_96_mRNA) - (0.000000278 * E3_1_1_96)</v>
      </c>
    </row>
    <row r="168" spans="1:14" ht="29" x14ac:dyDescent="0.35">
      <c r="A168" s="49">
        <v>167</v>
      </c>
      <c r="B168" s="49" t="s">
        <v>14704</v>
      </c>
      <c r="C168" s="49" t="str">
        <f t="shared" si="0"/>
        <v>E4_6_1_12_mRNA</v>
      </c>
      <c r="D168" s="49" t="str">
        <f t="shared" si="1"/>
        <v>E4_6_1_12</v>
      </c>
      <c r="E168" s="64" t="str">
        <f t="shared" si="2"/>
        <v>E4_6_1_12_kcat : 13.7</v>
      </c>
      <c r="F168" s="65" t="str">
        <f t="shared" si="3"/>
        <v>E4_6_1_12_km : 1</v>
      </c>
      <c r="G168" s="66" t="str">
        <f t="shared" ref="G168:H168" si="340">CONCATENATE(C168," : ",C168)</f>
        <v>E4_6_1_12_mRNA : E4_6_1_12_mRNA</v>
      </c>
      <c r="H168" s="67" t="str">
        <f t="shared" si="340"/>
        <v>E4_6_1_12 : E4_6_1_12</v>
      </c>
      <c r="I168" s="44" t="str">
        <f t="shared" ref="I168:J168" si="341">CONCATENATE(C168," : ","0")</f>
        <v>E4_6_1_12_mRNA : 0</v>
      </c>
      <c r="J168" s="68" t="str">
        <f t="shared" si="341"/>
        <v>E4_6_1_12 : 0</v>
      </c>
      <c r="K168" s="69" t="str">
        <f t="shared" si="6"/>
        <v>0.00292 - (0.0093 * E4_6_1_12_mRNA)</v>
      </c>
      <c r="L168" s="70" t="str">
        <f t="shared" si="7"/>
        <v>(0.278 * E4_6_1_12_mRNA) - (0.00000278 * E4_6_1_12)</v>
      </c>
      <c r="M168" s="71" t="str">
        <f t="shared" si="8"/>
        <v>mRNA167: -&gt; E4_6_1_12_mRNA | 0.00292 - (0.0093 * E4_6_1_12_mRNA)</v>
      </c>
      <c r="N168" s="72" t="str">
        <f t="shared" si="9"/>
        <v>Peptide167: E4_6_1_12_mRNA -&gt; E4_6_1_12 | (0.278 * E4_6_1_12_mRNA) - (0.000000278 * E4_6_1_12)</v>
      </c>
    </row>
    <row r="169" spans="1:14" ht="29" x14ac:dyDescent="0.35">
      <c r="A169" s="49">
        <v>168</v>
      </c>
      <c r="B169" s="49" t="s">
        <v>14705</v>
      </c>
      <c r="C169" s="49" t="str">
        <f t="shared" si="0"/>
        <v>E2_7_7_60_mRNA</v>
      </c>
      <c r="D169" s="49" t="str">
        <f t="shared" si="1"/>
        <v>E2_7_7_60</v>
      </c>
      <c r="E169" s="64" t="str">
        <f t="shared" si="2"/>
        <v>E2_7_7_60_kcat : 13.7</v>
      </c>
      <c r="F169" s="65" t="str">
        <f t="shared" si="3"/>
        <v>E2_7_7_60_km : 1</v>
      </c>
      <c r="G169" s="66" t="str">
        <f t="shared" ref="G169:H169" si="342">CONCATENATE(C169," : ",C169)</f>
        <v>E2_7_7_60_mRNA : E2_7_7_60_mRNA</v>
      </c>
      <c r="H169" s="67" t="str">
        <f t="shared" si="342"/>
        <v>E2_7_7_60 : E2_7_7_60</v>
      </c>
      <c r="I169" s="44" t="str">
        <f t="shared" ref="I169:J169" si="343">CONCATENATE(C169," : ","0")</f>
        <v>E2_7_7_60_mRNA : 0</v>
      </c>
      <c r="J169" s="68" t="str">
        <f t="shared" si="343"/>
        <v>E2_7_7_60 : 0</v>
      </c>
      <c r="K169" s="69" t="str">
        <f t="shared" si="6"/>
        <v>0.00292 - (0.0093 * E2_7_7_60_mRNA)</v>
      </c>
      <c r="L169" s="70" t="str">
        <f t="shared" si="7"/>
        <v>(0.278 * E2_7_7_60_mRNA) - (0.00000278 * E2_7_7_60)</v>
      </c>
      <c r="M169" s="71" t="str">
        <f t="shared" si="8"/>
        <v>mRNA168: -&gt; E2_7_7_60_mRNA | 0.00292 - (0.0093 * E2_7_7_60_mRNA)</v>
      </c>
      <c r="N169" s="72" t="str">
        <f t="shared" si="9"/>
        <v>Peptide168: E2_7_7_60_mRNA -&gt; E2_7_7_60 | (0.278 * E2_7_7_60_mRNA) - (0.000000278 * E2_7_7_60)</v>
      </c>
    </row>
    <row r="170" spans="1:14" ht="29" x14ac:dyDescent="0.35">
      <c r="A170" s="49">
        <v>169</v>
      </c>
      <c r="B170" s="49" t="s">
        <v>14706</v>
      </c>
      <c r="C170" s="49" t="str">
        <f t="shared" si="0"/>
        <v>E2_4_2_22_mRNA</v>
      </c>
      <c r="D170" s="49" t="str">
        <f t="shared" si="1"/>
        <v>E2_4_2_22</v>
      </c>
      <c r="E170" s="64" t="str">
        <f t="shared" si="2"/>
        <v>E2_4_2_22_kcat : 13.7</v>
      </c>
      <c r="F170" s="65" t="str">
        <f t="shared" si="3"/>
        <v>E2_4_2_22_km : 1</v>
      </c>
      <c r="G170" s="66" t="str">
        <f t="shared" ref="G170:H170" si="344">CONCATENATE(C170," : ",C170)</f>
        <v>E2_4_2_22_mRNA : E2_4_2_22_mRNA</v>
      </c>
      <c r="H170" s="67" t="str">
        <f t="shared" si="344"/>
        <v>E2_4_2_22 : E2_4_2_22</v>
      </c>
      <c r="I170" s="44" t="str">
        <f t="shared" ref="I170:J170" si="345">CONCATENATE(C170," : ","0")</f>
        <v>E2_4_2_22_mRNA : 0</v>
      </c>
      <c r="J170" s="68" t="str">
        <f t="shared" si="345"/>
        <v>E2_4_2_22 : 0</v>
      </c>
      <c r="K170" s="69" t="str">
        <f t="shared" si="6"/>
        <v>0.00292 - (0.0093 * E2_4_2_22_mRNA)</v>
      </c>
      <c r="L170" s="70" t="str">
        <f t="shared" si="7"/>
        <v>(0.278 * E2_4_2_22_mRNA) - (0.00000278 * E2_4_2_22)</v>
      </c>
      <c r="M170" s="71" t="str">
        <f t="shared" si="8"/>
        <v>mRNA169: -&gt; E2_4_2_22_mRNA | 0.00292 - (0.0093 * E2_4_2_22_mRNA)</v>
      </c>
      <c r="N170" s="72" t="str">
        <f t="shared" si="9"/>
        <v>Peptide169: E2_4_2_22_mRNA -&gt; E2_4_2_22 | (0.278 * E2_4_2_22_mRNA) - (0.000000278 * E2_4_2_22)</v>
      </c>
    </row>
    <row r="171" spans="1:14" ht="29" x14ac:dyDescent="0.35">
      <c r="A171" s="49">
        <v>170</v>
      </c>
      <c r="B171" s="49" t="s">
        <v>14707</v>
      </c>
      <c r="C171" s="49" t="str">
        <f t="shared" si="0"/>
        <v>E5_3_1_1_mRNA</v>
      </c>
      <c r="D171" s="49" t="str">
        <f t="shared" si="1"/>
        <v>E5_3_1_1</v>
      </c>
      <c r="E171" s="64" t="str">
        <f t="shared" si="2"/>
        <v>E5_3_1_1_kcat : 13.7</v>
      </c>
      <c r="F171" s="65" t="str">
        <f t="shared" si="3"/>
        <v>E5_3_1_1_km : 1</v>
      </c>
      <c r="G171" s="66" t="str">
        <f t="shared" ref="G171:H171" si="346">CONCATENATE(C171," : ",C171)</f>
        <v>E5_3_1_1_mRNA : E5_3_1_1_mRNA</v>
      </c>
      <c r="H171" s="67" t="str">
        <f t="shared" si="346"/>
        <v>E5_3_1_1 : E5_3_1_1</v>
      </c>
      <c r="I171" s="44" t="str">
        <f t="shared" ref="I171:J171" si="347">CONCATENATE(C171," : ","0")</f>
        <v>E5_3_1_1_mRNA : 0</v>
      </c>
      <c r="J171" s="68" t="str">
        <f t="shared" si="347"/>
        <v>E5_3_1_1 : 0</v>
      </c>
      <c r="K171" s="69" t="str">
        <f t="shared" si="6"/>
        <v>0.00292 - (0.0093 * E5_3_1_1_mRNA)</v>
      </c>
      <c r="L171" s="70" t="str">
        <f t="shared" si="7"/>
        <v>(0.278 * E5_3_1_1_mRNA) - (0.00000278 * E5_3_1_1)</v>
      </c>
      <c r="M171" s="71" t="str">
        <f t="shared" si="8"/>
        <v>mRNA170: -&gt; E5_3_1_1_mRNA | 0.00292 - (0.0093 * E5_3_1_1_mRNA)</v>
      </c>
      <c r="N171" s="72" t="str">
        <f t="shared" si="9"/>
        <v>Peptide170: E5_3_1_1_mRNA -&gt; E5_3_1_1 | (0.278 * E5_3_1_1_mRNA) - (0.000000278 * E5_3_1_1)</v>
      </c>
    </row>
    <row r="172" spans="1:14" ht="29" x14ac:dyDescent="0.35">
      <c r="A172" s="49">
        <v>171</v>
      </c>
      <c r="B172" s="49" t="s">
        <v>14708</v>
      </c>
      <c r="C172" s="49" t="str">
        <f t="shared" si="0"/>
        <v>E2_8_1_1_mRNA</v>
      </c>
      <c r="D172" s="49" t="str">
        <f t="shared" si="1"/>
        <v>E2_8_1_1</v>
      </c>
      <c r="E172" s="64" t="str">
        <f t="shared" si="2"/>
        <v>E2_8_1_1_kcat : 13.7</v>
      </c>
      <c r="F172" s="65" t="str">
        <f t="shared" si="3"/>
        <v>E2_8_1_1_km : 1</v>
      </c>
      <c r="G172" s="66" t="str">
        <f t="shared" ref="G172:H172" si="348">CONCATENATE(C172," : ",C172)</f>
        <v>E2_8_1_1_mRNA : E2_8_1_1_mRNA</v>
      </c>
      <c r="H172" s="67" t="str">
        <f t="shared" si="348"/>
        <v>E2_8_1_1 : E2_8_1_1</v>
      </c>
      <c r="I172" s="44" t="str">
        <f t="shared" ref="I172:J172" si="349">CONCATENATE(C172," : ","0")</f>
        <v>E2_8_1_1_mRNA : 0</v>
      </c>
      <c r="J172" s="68" t="str">
        <f t="shared" si="349"/>
        <v>E2_8_1_1 : 0</v>
      </c>
      <c r="K172" s="69" t="str">
        <f t="shared" si="6"/>
        <v>0.00292 - (0.0093 * E2_8_1_1_mRNA)</v>
      </c>
      <c r="L172" s="70" t="str">
        <f t="shared" si="7"/>
        <v>(0.278 * E2_8_1_1_mRNA) - (0.00000278 * E2_8_1_1)</v>
      </c>
      <c r="M172" s="71" t="str">
        <f t="shared" si="8"/>
        <v>mRNA171: -&gt; E2_8_1_1_mRNA | 0.00292 - (0.0093 * E2_8_1_1_mRNA)</v>
      </c>
      <c r="N172" s="72" t="str">
        <f t="shared" si="9"/>
        <v>Peptide171: E2_8_1_1_mRNA -&gt; E2_8_1_1 | (0.278 * E2_8_1_1_mRNA) - (0.000000278 * E2_8_1_1)</v>
      </c>
    </row>
    <row r="173" spans="1:14" ht="29" x14ac:dyDescent="0.35">
      <c r="A173" s="49">
        <v>172</v>
      </c>
      <c r="B173" s="49" t="s">
        <v>14709</v>
      </c>
      <c r="C173" s="49" t="str">
        <f t="shared" si="0"/>
        <v>E1_1_1_86_mRNA</v>
      </c>
      <c r="D173" s="49" t="str">
        <f t="shared" si="1"/>
        <v>E1_1_1_86</v>
      </c>
      <c r="E173" s="64" t="str">
        <f t="shared" si="2"/>
        <v>E1_1_1_86_kcat : 13.7</v>
      </c>
      <c r="F173" s="65" t="str">
        <f t="shared" si="3"/>
        <v>E1_1_1_86_km : 1</v>
      </c>
      <c r="G173" s="66" t="str">
        <f t="shared" ref="G173:H173" si="350">CONCATENATE(C173," : ",C173)</f>
        <v>E1_1_1_86_mRNA : E1_1_1_86_mRNA</v>
      </c>
      <c r="H173" s="67" t="str">
        <f t="shared" si="350"/>
        <v>E1_1_1_86 : E1_1_1_86</v>
      </c>
      <c r="I173" s="44" t="str">
        <f t="shared" ref="I173:J173" si="351">CONCATENATE(C173," : ","0")</f>
        <v>E1_1_1_86_mRNA : 0</v>
      </c>
      <c r="J173" s="68" t="str">
        <f t="shared" si="351"/>
        <v>E1_1_1_86 : 0</v>
      </c>
      <c r="K173" s="69" t="str">
        <f t="shared" si="6"/>
        <v>0.00292 - (0.0093 * E1_1_1_86_mRNA)</v>
      </c>
      <c r="L173" s="70" t="str">
        <f t="shared" si="7"/>
        <v>(0.278 * E1_1_1_86_mRNA) - (0.00000278 * E1_1_1_86)</v>
      </c>
      <c r="M173" s="71" t="str">
        <f t="shared" si="8"/>
        <v>mRNA172: -&gt; E1_1_1_86_mRNA | 0.00292 - (0.0093 * E1_1_1_86_mRNA)</v>
      </c>
      <c r="N173" s="72" t="str">
        <f t="shared" si="9"/>
        <v>Peptide172: E1_1_1_86_mRNA -&gt; E1_1_1_86 | (0.278 * E1_1_1_86_mRNA) - (0.000000278 * E1_1_1_86)</v>
      </c>
    </row>
    <row r="174" spans="1:14" ht="29" x14ac:dyDescent="0.35">
      <c r="A174" s="49">
        <v>173</v>
      </c>
      <c r="B174" s="49" t="s">
        <v>14710</v>
      </c>
      <c r="C174" s="49" t="str">
        <f t="shared" si="0"/>
        <v>E1_1_5_3_mRNA</v>
      </c>
      <c r="D174" s="49" t="str">
        <f t="shared" si="1"/>
        <v>E1_1_5_3</v>
      </c>
      <c r="E174" s="64" t="str">
        <f t="shared" si="2"/>
        <v>E1_1_5_3_kcat : 13.7</v>
      </c>
      <c r="F174" s="65" t="str">
        <f t="shared" si="3"/>
        <v>E1_1_5_3_km : 1</v>
      </c>
      <c r="G174" s="66" t="str">
        <f t="shared" ref="G174:H174" si="352">CONCATENATE(C174," : ",C174)</f>
        <v>E1_1_5_3_mRNA : E1_1_5_3_mRNA</v>
      </c>
      <c r="H174" s="67" t="str">
        <f t="shared" si="352"/>
        <v>E1_1_5_3 : E1_1_5_3</v>
      </c>
      <c r="I174" s="44" t="str">
        <f t="shared" ref="I174:J174" si="353">CONCATENATE(C174," : ","0")</f>
        <v>E1_1_5_3_mRNA : 0</v>
      </c>
      <c r="J174" s="68" t="str">
        <f t="shared" si="353"/>
        <v>E1_1_5_3 : 0</v>
      </c>
      <c r="K174" s="69" t="str">
        <f t="shared" si="6"/>
        <v>0.00292 - (0.0093 * E1_1_5_3_mRNA)</v>
      </c>
      <c r="L174" s="70" t="str">
        <f t="shared" si="7"/>
        <v>(0.278 * E1_1_5_3_mRNA) - (0.00000278 * E1_1_5_3)</v>
      </c>
      <c r="M174" s="71" t="str">
        <f t="shared" si="8"/>
        <v>mRNA173: -&gt; E1_1_5_3_mRNA | 0.00292 - (0.0093 * E1_1_5_3_mRNA)</v>
      </c>
      <c r="N174" s="72" t="str">
        <f t="shared" si="9"/>
        <v>Peptide173: E1_1_5_3_mRNA -&gt; E1_1_5_3 | (0.278 * E1_1_5_3_mRNA) - (0.000000278 * E1_1_5_3)</v>
      </c>
    </row>
    <row r="175" spans="1:14" ht="29" x14ac:dyDescent="0.35">
      <c r="A175" s="49">
        <v>174</v>
      </c>
      <c r="B175" s="49" t="s">
        <v>14711</v>
      </c>
      <c r="C175" s="49" t="str">
        <f t="shared" si="0"/>
        <v>E3_1_4_46_mRNA</v>
      </c>
      <c r="D175" s="49" t="str">
        <f t="shared" si="1"/>
        <v>E3_1_4_46</v>
      </c>
      <c r="E175" s="64" t="str">
        <f t="shared" si="2"/>
        <v>E3_1_4_46_kcat : 13.7</v>
      </c>
      <c r="F175" s="65" t="str">
        <f t="shared" si="3"/>
        <v>E3_1_4_46_km : 1</v>
      </c>
      <c r="G175" s="66" t="str">
        <f t="shared" ref="G175:H175" si="354">CONCATENATE(C175," : ",C175)</f>
        <v>E3_1_4_46_mRNA : E3_1_4_46_mRNA</v>
      </c>
      <c r="H175" s="67" t="str">
        <f t="shared" si="354"/>
        <v>E3_1_4_46 : E3_1_4_46</v>
      </c>
      <c r="I175" s="44" t="str">
        <f t="shared" ref="I175:J175" si="355">CONCATENATE(C175," : ","0")</f>
        <v>E3_1_4_46_mRNA : 0</v>
      </c>
      <c r="J175" s="68" t="str">
        <f t="shared" si="355"/>
        <v>E3_1_4_46 : 0</v>
      </c>
      <c r="K175" s="69" t="str">
        <f t="shared" si="6"/>
        <v>0.00292 - (0.0093 * E3_1_4_46_mRNA)</v>
      </c>
      <c r="L175" s="70" t="str">
        <f t="shared" si="7"/>
        <v>(0.278 * E3_1_4_46_mRNA) - (0.00000278 * E3_1_4_46)</v>
      </c>
      <c r="M175" s="71" t="str">
        <f t="shared" si="8"/>
        <v>mRNA174: -&gt; E3_1_4_46_mRNA | 0.00292 - (0.0093 * E3_1_4_46_mRNA)</v>
      </c>
      <c r="N175" s="72" t="str">
        <f t="shared" si="9"/>
        <v>Peptide174: E3_1_4_46_mRNA -&gt; E3_1_4_46 | (0.278 * E3_1_4_46_mRNA) - (0.000000278 * E3_1_4_46)</v>
      </c>
    </row>
    <row r="176" spans="1:14" ht="29" x14ac:dyDescent="0.35">
      <c r="A176" s="49">
        <v>175</v>
      </c>
      <c r="B176" s="49" t="s">
        <v>14712</v>
      </c>
      <c r="C176" s="49" t="str">
        <f t="shared" si="0"/>
        <v>E2_7_1_30_mRNA</v>
      </c>
      <c r="D176" s="49" t="str">
        <f t="shared" si="1"/>
        <v>E2_7_1_30</v>
      </c>
      <c r="E176" s="64" t="str">
        <f t="shared" si="2"/>
        <v>E2_7_1_30_kcat : 13.7</v>
      </c>
      <c r="F176" s="65" t="str">
        <f t="shared" si="3"/>
        <v>E2_7_1_30_km : 1</v>
      </c>
      <c r="G176" s="66" t="str">
        <f t="shared" ref="G176:H176" si="356">CONCATENATE(C176," : ",C176)</f>
        <v>E2_7_1_30_mRNA : E2_7_1_30_mRNA</v>
      </c>
      <c r="H176" s="67" t="str">
        <f t="shared" si="356"/>
        <v>E2_7_1_30 : E2_7_1_30</v>
      </c>
      <c r="I176" s="44" t="str">
        <f t="shared" ref="I176:J176" si="357">CONCATENATE(C176," : ","0")</f>
        <v>E2_7_1_30_mRNA : 0</v>
      </c>
      <c r="J176" s="68" t="str">
        <f t="shared" si="357"/>
        <v>E2_7_1_30 : 0</v>
      </c>
      <c r="K176" s="69" t="str">
        <f t="shared" si="6"/>
        <v>0.00292 - (0.0093 * E2_7_1_30_mRNA)</v>
      </c>
      <c r="L176" s="70" t="str">
        <f t="shared" si="7"/>
        <v>(0.278 * E2_7_1_30_mRNA) - (0.00000278 * E2_7_1_30)</v>
      </c>
      <c r="M176" s="71" t="str">
        <f t="shared" si="8"/>
        <v>mRNA175: -&gt; E2_7_1_30_mRNA | 0.00292 - (0.0093 * E2_7_1_30_mRNA)</v>
      </c>
      <c r="N176" s="72" t="str">
        <f t="shared" si="9"/>
        <v>Peptide175: E2_7_1_30_mRNA -&gt; E2_7_1_30 | (0.278 * E2_7_1_30_mRNA) - (0.000000278 * E2_7_1_30)</v>
      </c>
    </row>
    <row r="177" spans="1:14" ht="29" x14ac:dyDescent="0.35">
      <c r="A177" s="49">
        <v>176</v>
      </c>
      <c r="B177" s="49" t="s">
        <v>14960</v>
      </c>
      <c r="C177" s="49" t="str">
        <f t="shared" si="0"/>
        <v>E5_4_99_27_mRNA</v>
      </c>
      <c r="D177" s="49" t="str">
        <f t="shared" si="1"/>
        <v>E5_4_99_27</v>
      </c>
      <c r="E177" s="64" t="str">
        <f t="shared" si="2"/>
        <v>E5_4_99_27_kcat : 13.7</v>
      </c>
      <c r="F177" s="65" t="str">
        <f t="shared" si="3"/>
        <v>E5_4_99_27_km : 1</v>
      </c>
      <c r="G177" s="66" t="str">
        <f t="shared" ref="G177:H177" si="358">CONCATENATE(C177," : ",C177)</f>
        <v>E5_4_99_27_mRNA : E5_4_99_27_mRNA</v>
      </c>
      <c r="H177" s="67" t="str">
        <f t="shared" si="358"/>
        <v>E5_4_99_27 : E5_4_99_27</v>
      </c>
      <c r="I177" s="44" t="str">
        <f t="shared" ref="I177:J177" si="359">CONCATENATE(C177," : ","0")</f>
        <v>E5_4_99_27_mRNA : 0</v>
      </c>
      <c r="J177" s="68" t="str">
        <f t="shared" si="359"/>
        <v>E5_4_99_27 : 0</v>
      </c>
      <c r="K177" s="69" t="str">
        <f t="shared" si="6"/>
        <v>0.00292 - (0.0093 * E5_4_99_27_mRNA)</v>
      </c>
      <c r="L177" s="70" t="str">
        <f t="shared" si="7"/>
        <v>(0.278 * E5_4_99_27_mRNA) - (0.00000278 * E5_4_99_27)</v>
      </c>
      <c r="M177" s="71" t="str">
        <f t="shared" si="8"/>
        <v>mRNA176: -&gt; E5_4_99_27_mRNA | 0.00292 - (0.0093 * E5_4_99_27_mRNA)</v>
      </c>
      <c r="N177" s="72" t="str">
        <f t="shared" si="9"/>
        <v>Peptide176: E5_4_99_27_mRNA -&gt; E5_4_99_27 | (0.278 * E5_4_99_27_mRNA) - (0.000000278 * E5_4_99_27)</v>
      </c>
    </row>
    <row r="178" spans="1:14" ht="29" x14ac:dyDescent="0.35">
      <c r="A178" s="49">
        <v>177</v>
      </c>
      <c r="B178" s="49" t="s">
        <v>14713</v>
      </c>
      <c r="C178" s="49" t="str">
        <f t="shared" si="0"/>
        <v>E3_1_3_6_mRNA</v>
      </c>
      <c r="D178" s="49" t="str">
        <f t="shared" si="1"/>
        <v>E3_1_3_6</v>
      </c>
      <c r="E178" s="64" t="str">
        <f t="shared" si="2"/>
        <v>E3_1_3_6_kcat : 13.7</v>
      </c>
      <c r="F178" s="65" t="str">
        <f t="shared" si="3"/>
        <v>E3_1_3_6_km : 1</v>
      </c>
      <c r="G178" s="66" t="str">
        <f t="shared" ref="G178:H178" si="360">CONCATENATE(C178," : ",C178)</f>
        <v>E3_1_3_6_mRNA : E3_1_3_6_mRNA</v>
      </c>
      <c r="H178" s="67" t="str">
        <f t="shared" si="360"/>
        <v>E3_1_3_6 : E3_1_3_6</v>
      </c>
      <c r="I178" s="44" t="str">
        <f t="shared" ref="I178:J178" si="361">CONCATENATE(C178," : ","0")</f>
        <v>E3_1_3_6_mRNA : 0</v>
      </c>
      <c r="J178" s="68" t="str">
        <f t="shared" si="361"/>
        <v>E3_1_3_6 : 0</v>
      </c>
      <c r="K178" s="69" t="str">
        <f t="shared" si="6"/>
        <v>0.00292 - (0.0093 * E3_1_3_6_mRNA)</v>
      </c>
      <c r="L178" s="70" t="str">
        <f t="shared" si="7"/>
        <v>(0.278 * E3_1_3_6_mRNA) - (0.00000278 * E3_1_3_6)</v>
      </c>
      <c r="M178" s="71" t="str">
        <f t="shared" si="8"/>
        <v>mRNA177: -&gt; E3_1_3_6_mRNA | 0.00292 - (0.0093 * E3_1_3_6_mRNA)</v>
      </c>
      <c r="N178" s="72" t="str">
        <f t="shared" si="9"/>
        <v>Peptide177: E3_1_3_6_mRNA -&gt; E3_1_3_6 | (0.278 * E3_1_3_6_mRNA) - (0.000000278 * E3_1_3_6)</v>
      </c>
    </row>
    <row r="179" spans="1:14" ht="29" x14ac:dyDescent="0.35">
      <c r="A179" s="49">
        <v>178</v>
      </c>
      <c r="B179" s="49" t="s">
        <v>14714</v>
      </c>
      <c r="C179" s="49" t="str">
        <f t="shared" si="0"/>
        <v>E4_1_99_1_mRNA</v>
      </c>
      <c r="D179" s="49" t="str">
        <f t="shared" si="1"/>
        <v>E4_1_99_1</v>
      </c>
      <c r="E179" s="64" t="str">
        <f t="shared" si="2"/>
        <v>E4_1_99_1_kcat : 13.7</v>
      </c>
      <c r="F179" s="65" t="str">
        <f t="shared" si="3"/>
        <v>E4_1_99_1_km : 1</v>
      </c>
      <c r="G179" s="66" t="str">
        <f t="shared" ref="G179:H179" si="362">CONCATENATE(C179," : ",C179)</f>
        <v>E4_1_99_1_mRNA : E4_1_99_1_mRNA</v>
      </c>
      <c r="H179" s="67" t="str">
        <f t="shared" si="362"/>
        <v>E4_1_99_1 : E4_1_99_1</v>
      </c>
      <c r="I179" s="44" t="str">
        <f t="shared" ref="I179:J179" si="363">CONCATENATE(C179," : ","0")</f>
        <v>E4_1_99_1_mRNA : 0</v>
      </c>
      <c r="J179" s="68" t="str">
        <f t="shared" si="363"/>
        <v>E4_1_99_1 : 0</v>
      </c>
      <c r="K179" s="69" t="str">
        <f t="shared" si="6"/>
        <v>0.00292 - (0.0093 * E4_1_99_1_mRNA)</v>
      </c>
      <c r="L179" s="70" t="str">
        <f t="shared" si="7"/>
        <v>(0.278 * E4_1_99_1_mRNA) - (0.00000278 * E4_1_99_1)</v>
      </c>
      <c r="M179" s="71" t="str">
        <f t="shared" si="8"/>
        <v>mRNA178: -&gt; E4_1_99_1_mRNA | 0.00292 - (0.0093 * E4_1_99_1_mRNA)</v>
      </c>
      <c r="N179" s="72" t="str">
        <f t="shared" si="9"/>
        <v>Peptide178: E4_1_99_1_mRNA -&gt; E4_1_99_1 | (0.278 * E4_1_99_1_mRNA) - (0.000000278 * E4_1_99_1)</v>
      </c>
    </row>
    <row r="180" spans="1:14" ht="29" x14ac:dyDescent="0.35">
      <c r="A180" s="49">
        <v>179</v>
      </c>
      <c r="B180" s="49" t="s">
        <v>14715</v>
      </c>
      <c r="C180" s="49" t="str">
        <f t="shared" si="0"/>
        <v>E2_9_1_1_mRNA</v>
      </c>
      <c r="D180" s="49" t="str">
        <f t="shared" si="1"/>
        <v>E2_9_1_1</v>
      </c>
      <c r="E180" s="64" t="str">
        <f t="shared" si="2"/>
        <v>E2_9_1_1_kcat : 13.7</v>
      </c>
      <c r="F180" s="65" t="str">
        <f t="shared" si="3"/>
        <v>E2_9_1_1_km : 1</v>
      </c>
      <c r="G180" s="66" t="str">
        <f t="shared" ref="G180:H180" si="364">CONCATENATE(C180," : ",C180)</f>
        <v>E2_9_1_1_mRNA : E2_9_1_1_mRNA</v>
      </c>
      <c r="H180" s="67" t="str">
        <f t="shared" si="364"/>
        <v>E2_9_1_1 : E2_9_1_1</v>
      </c>
      <c r="I180" s="44" t="str">
        <f t="shared" ref="I180:J180" si="365">CONCATENATE(C180," : ","0")</f>
        <v>E2_9_1_1_mRNA : 0</v>
      </c>
      <c r="J180" s="68" t="str">
        <f t="shared" si="365"/>
        <v>E2_9_1_1 : 0</v>
      </c>
      <c r="K180" s="69" t="str">
        <f t="shared" si="6"/>
        <v>0.00292 - (0.0093 * E2_9_1_1_mRNA)</v>
      </c>
      <c r="L180" s="70" t="str">
        <f t="shared" si="7"/>
        <v>(0.278 * E2_9_1_1_mRNA) - (0.00000278 * E2_9_1_1)</v>
      </c>
      <c r="M180" s="71" t="str">
        <f t="shared" si="8"/>
        <v>mRNA179: -&gt; E2_9_1_1_mRNA | 0.00292 - (0.0093 * E2_9_1_1_mRNA)</v>
      </c>
      <c r="N180" s="72" t="str">
        <f t="shared" si="9"/>
        <v>Peptide179: E2_9_1_1_mRNA -&gt; E2_9_1_1 | (0.278 * E2_9_1_1_mRNA) - (0.000000278 * E2_9_1_1)</v>
      </c>
    </row>
    <row r="181" spans="1:14" ht="29" x14ac:dyDescent="0.35">
      <c r="A181" s="49">
        <v>180</v>
      </c>
      <c r="B181" s="49" t="s">
        <v>14961</v>
      </c>
      <c r="C181" s="49" t="str">
        <f t="shared" si="0"/>
        <v>E3_4_21_92_mRNA</v>
      </c>
      <c r="D181" s="49" t="str">
        <f t="shared" si="1"/>
        <v>E3_4_21_92</v>
      </c>
      <c r="E181" s="64" t="str">
        <f t="shared" si="2"/>
        <v>E3_4_21_92_kcat : 13.7</v>
      </c>
      <c r="F181" s="65" t="str">
        <f t="shared" si="3"/>
        <v>E3_4_21_92_km : 1</v>
      </c>
      <c r="G181" s="66" t="str">
        <f t="shared" ref="G181:H181" si="366">CONCATENATE(C181," : ",C181)</f>
        <v>E3_4_21_92_mRNA : E3_4_21_92_mRNA</v>
      </c>
      <c r="H181" s="67" t="str">
        <f t="shared" si="366"/>
        <v>E3_4_21_92 : E3_4_21_92</v>
      </c>
      <c r="I181" s="44" t="str">
        <f t="shared" ref="I181:J181" si="367">CONCATENATE(C181," : ","0")</f>
        <v>E3_4_21_92_mRNA : 0</v>
      </c>
      <c r="J181" s="68" t="str">
        <f t="shared" si="367"/>
        <v>E3_4_21_92 : 0</v>
      </c>
      <c r="K181" s="69" t="str">
        <f t="shared" si="6"/>
        <v>0.00292 - (0.0093 * E3_4_21_92_mRNA)</v>
      </c>
      <c r="L181" s="70" t="str">
        <f t="shared" si="7"/>
        <v>(0.278 * E3_4_21_92_mRNA) - (0.00000278 * E3_4_21_92)</v>
      </c>
      <c r="M181" s="71" t="str">
        <f t="shared" si="8"/>
        <v>mRNA180: -&gt; E3_4_21_92_mRNA | 0.00292 - (0.0093 * E3_4_21_92_mRNA)</v>
      </c>
      <c r="N181" s="72" t="str">
        <f t="shared" si="9"/>
        <v>Peptide180: E3_4_21_92_mRNA -&gt; E3_4_21_92 | (0.278 * E3_4_21_92_mRNA) - (0.000000278 * E3_4_21_92)</v>
      </c>
    </row>
    <row r="182" spans="1:14" ht="29" x14ac:dyDescent="0.35">
      <c r="A182" s="49">
        <v>181</v>
      </c>
      <c r="B182" s="49" t="s">
        <v>14716</v>
      </c>
      <c r="C182" s="49" t="str">
        <f t="shared" si="0"/>
        <v>E4_6_1_1_mRNA</v>
      </c>
      <c r="D182" s="49" t="str">
        <f t="shared" si="1"/>
        <v>E4_6_1_1</v>
      </c>
      <c r="E182" s="64" t="str">
        <f t="shared" si="2"/>
        <v>E4_6_1_1_kcat : 13.7</v>
      </c>
      <c r="F182" s="65" t="str">
        <f t="shared" si="3"/>
        <v>E4_6_1_1_km : 1</v>
      </c>
      <c r="G182" s="66" t="str">
        <f t="shared" ref="G182:H182" si="368">CONCATENATE(C182," : ",C182)</f>
        <v>E4_6_1_1_mRNA : E4_6_1_1_mRNA</v>
      </c>
      <c r="H182" s="67" t="str">
        <f t="shared" si="368"/>
        <v>E4_6_1_1 : E4_6_1_1</v>
      </c>
      <c r="I182" s="44" t="str">
        <f t="shared" ref="I182:J182" si="369">CONCATENATE(C182," : ","0")</f>
        <v>E4_6_1_1_mRNA : 0</v>
      </c>
      <c r="J182" s="68" t="str">
        <f t="shared" si="369"/>
        <v>E4_6_1_1 : 0</v>
      </c>
      <c r="K182" s="69" t="str">
        <f t="shared" si="6"/>
        <v>0.00292 - (0.0093 * E4_6_1_1_mRNA)</v>
      </c>
      <c r="L182" s="70" t="str">
        <f t="shared" si="7"/>
        <v>(0.278 * E4_6_1_1_mRNA) - (0.00000278 * E4_6_1_1)</v>
      </c>
      <c r="M182" s="71" t="str">
        <f t="shared" si="8"/>
        <v>mRNA181: -&gt; E4_6_1_1_mRNA | 0.00292 - (0.0093 * E4_6_1_1_mRNA)</v>
      </c>
      <c r="N182" s="72" t="str">
        <f t="shared" si="9"/>
        <v>Peptide181: E4_6_1_1_mRNA -&gt; E4_6_1_1 | (0.278 * E4_6_1_1_mRNA) - (0.000000278 * E4_6_1_1)</v>
      </c>
    </row>
    <row r="183" spans="1:14" ht="29" x14ac:dyDescent="0.35">
      <c r="A183" s="49">
        <v>182</v>
      </c>
      <c r="B183" s="49" t="s">
        <v>14717</v>
      </c>
      <c r="C183" s="49" t="str">
        <f t="shared" si="0"/>
        <v>E1_1_1_94_mRNA</v>
      </c>
      <c r="D183" s="49" t="str">
        <f t="shared" si="1"/>
        <v>E1_1_1_94</v>
      </c>
      <c r="E183" s="64" t="str">
        <f t="shared" si="2"/>
        <v>E1_1_1_94_kcat : 13.7</v>
      </c>
      <c r="F183" s="65" t="str">
        <f t="shared" si="3"/>
        <v>E1_1_1_94_km : 1</v>
      </c>
      <c r="G183" s="66" t="str">
        <f t="shared" ref="G183:H183" si="370">CONCATENATE(C183," : ",C183)</f>
        <v>E1_1_1_94_mRNA : E1_1_1_94_mRNA</v>
      </c>
      <c r="H183" s="67" t="str">
        <f t="shared" si="370"/>
        <v>E1_1_1_94 : E1_1_1_94</v>
      </c>
      <c r="I183" s="44" t="str">
        <f t="shared" ref="I183:J183" si="371">CONCATENATE(C183," : ","0")</f>
        <v>E1_1_1_94_mRNA : 0</v>
      </c>
      <c r="J183" s="68" t="str">
        <f t="shared" si="371"/>
        <v>E1_1_1_94 : 0</v>
      </c>
      <c r="K183" s="69" t="str">
        <f t="shared" si="6"/>
        <v>0.00292 - (0.0093 * E1_1_1_94_mRNA)</v>
      </c>
      <c r="L183" s="70" t="str">
        <f t="shared" si="7"/>
        <v>(0.278 * E1_1_1_94_mRNA) - (0.00000278 * E1_1_1_94)</v>
      </c>
      <c r="M183" s="71" t="str">
        <f t="shared" si="8"/>
        <v>mRNA182: -&gt; E1_1_1_94_mRNA | 0.00292 - (0.0093 * E1_1_1_94_mRNA)</v>
      </c>
      <c r="N183" s="72" t="str">
        <f t="shared" si="9"/>
        <v>Peptide182: E1_1_1_94_mRNA -&gt; E1_1_1_94 | (0.278 * E1_1_1_94_mRNA) - (0.000000278 * E1_1_1_94)</v>
      </c>
    </row>
    <row r="184" spans="1:14" ht="29" x14ac:dyDescent="0.35">
      <c r="A184" s="49">
        <v>183</v>
      </c>
      <c r="B184" s="49" t="s">
        <v>14718</v>
      </c>
      <c r="C184" s="49" t="str">
        <f t="shared" si="0"/>
        <v>E2_3_1_30_mRNA</v>
      </c>
      <c r="D184" s="49" t="str">
        <f t="shared" si="1"/>
        <v>E2_3_1_30</v>
      </c>
      <c r="E184" s="64" t="str">
        <f t="shared" si="2"/>
        <v>E2_3_1_30_kcat : 13.7</v>
      </c>
      <c r="F184" s="65" t="str">
        <f t="shared" si="3"/>
        <v>E2_3_1_30_km : 1</v>
      </c>
      <c r="G184" s="66" t="str">
        <f t="shared" ref="G184:H184" si="372">CONCATENATE(C184," : ",C184)</f>
        <v>E2_3_1_30_mRNA : E2_3_1_30_mRNA</v>
      </c>
      <c r="H184" s="67" t="str">
        <f t="shared" si="372"/>
        <v>E2_3_1_30 : E2_3_1_30</v>
      </c>
      <c r="I184" s="44" t="str">
        <f t="shared" ref="I184:J184" si="373">CONCATENATE(C184," : ","0")</f>
        <v>E2_3_1_30_mRNA : 0</v>
      </c>
      <c r="J184" s="68" t="str">
        <f t="shared" si="373"/>
        <v>E2_3_1_30 : 0</v>
      </c>
      <c r="K184" s="69" t="str">
        <f t="shared" si="6"/>
        <v>0.00292 - (0.0093 * E2_3_1_30_mRNA)</v>
      </c>
      <c r="L184" s="70" t="str">
        <f t="shared" si="7"/>
        <v>(0.278 * E2_3_1_30_mRNA) - (0.00000278 * E2_3_1_30)</v>
      </c>
      <c r="M184" s="71" t="str">
        <f t="shared" si="8"/>
        <v>mRNA183: -&gt; E2_3_1_30_mRNA | 0.00292 - (0.0093 * E2_3_1_30_mRNA)</v>
      </c>
      <c r="N184" s="72" t="str">
        <f t="shared" si="9"/>
        <v>Peptide183: E2_3_1_30_mRNA -&gt; E2_3_1_30 | (0.278 * E2_3_1_30_mRNA) - (0.000000278 * E2_3_1_30)</v>
      </c>
    </row>
    <row r="185" spans="1:14" ht="29" x14ac:dyDescent="0.35">
      <c r="A185" s="49">
        <v>184</v>
      </c>
      <c r="B185" s="49" t="s">
        <v>14719</v>
      </c>
      <c r="C185" s="49" t="str">
        <f t="shared" si="0"/>
        <v>E1_5_1_5_mRNA</v>
      </c>
      <c r="D185" s="49" t="str">
        <f t="shared" si="1"/>
        <v>E1_5_1_5</v>
      </c>
      <c r="E185" s="64" t="str">
        <f t="shared" si="2"/>
        <v>E1_5_1_5_kcat : 13.7</v>
      </c>
      <c r="F185" s="65" t="str">
        <f t="shared" si="3"/>
        <v>E1_5_1_5_km : 1</v>
      </c>
      <c r="G185" s="66" t="str">
        <f t="shared" ref="G185:H185" si="374">CONCATENATE(C185," : ",C185)</f>
        <v>E1_5_1_5_mRNA : E1_5_1_5_mRNA</v>
      </c>
      <c r="H185" s="67" t="str">
        <f t="shared" si="374"/>
        <v>E1_5_1_5 : E1_5_1_5</v>
      </c>
      <c r="I185" s="44" t="str">
        <f t="shared" ref="I185:J185" si="375">CONCATENATE(C185," : ","0")</f>
        <v>E1_5_1_5_mRNA : 0</v>
      </c>
      <c r="J185" s="68" t="str">
        <f t="shared" si="375"/>
        <v>E1_5_1_5 : 0</v>
      </c>
      <c r="K185" s="69" t="str">
        <f t="shared" si="6"/>
        <v>0.00292 - (0.0093 * E1_5_1_5_mRNA)</v>
      </c>
      <c r="L185" s="70" t="str">
        <f t="shared" si="7"/>
        <v>(0.278 * E1_5_1_5_mRNA) - (0.00000278 * E1_5_1_5)</v>
      </c>
      <c r="M185" s="71" t="str">
        <f t="shared" si="8"/>
        <v>mRNA184: -&gt; E1_5_1_5_mRNA | 0.00292 - (0.0093 * E1_5_1_5_mRNA)</v>
      </c>
      <c r="N185" s="72" t="str">
        <f t="shared" si="9"/>
        <v>Peptide184: E1_5_1_5_mRNA -&gt; E1_5_1_5 | (0.278 * E1_5_1_5_mRNA) - (0.000000278 * E1_5_1_5)</v>
      </c>
    </row>
    <row r="186" spans="1:14" ht="29" x14ac:dyDescent="0.35">
      <c r="A186" s="49">
        <v>185</v>
      </c>
      <c r="B186" s="49" t="s">
        <v>14720</v>
      </c>
      <c r="C186" s="49" t="str">
        <f t="shared" si="0"/>
        <v>E3_5_4_9_mRNA</v>
      </c>
      <c r="D186" s="49" t="str">
        <f t="shared" si="1"/>
        <v>E3_5_4_9</v>
      </c>
      <c r="E186" s="64" t="str">
        <f t="shared" si="2"/>
        <v>E3_5_4_9_kcat : 13.7</v>
      </c>
      <c r="F186" s="65" t="str">
        <f t="shared" si="3"/>
        <v>E3_5_4_9_km : 1</v>
      </c>
      <c r="G186" s="66" t="str">
        <f t="shared" ref="G186:H186" si="376">CONCATENATE(C186," : ",C186)</f>
        <v>E3_5_4_9_mRNA : E3_5_4_9_mRNA</v>
      </c>
      <c r="H186" s="67" t="str">
        <f t="shared" si="376"/>
        <v>E3_5_4_9 : E3_5_4_9</v>
      </c>
      <c r="I186" s="44" t="str">
        <f t="shared" ref="I186:J186" si="377">CONCATENATE(C186," : ","0")</f>
        <v>E3_5_4_9_mRNA : 0</v>
      </c>
      <c r="J186" s="68" t="str">
        <f t="shared" si="377"/>
        <v>E3_5_4_9 : 0</v>
      </c>
      <c r="K186" s="69" t="str">
        <f t="shared" si="6"/>
        <v>0.00292 - (0.0093 * E3_5_4_9_mRNA)</v>
      </c>
      <c r="L186" s="70" t="str">
        <f t="shared" si="7"/>
        <v>(0.278 * E3_5_4_9_mRNA) - (0.00000278 * E3_5_4_9)</v>
      </c>
      <c r="M186" s="71" t="str">
        <f t="shared" si="8"/>
        <v>mRNA185: -&gt; E3_5_4_9_mRNA | 0.00292 - (0.0093 * E3_5_4_9_mRNA)</v>
      </c>
      <c r="N186" s="72" t="str">
        <f t="shared" si="9"/>
        <v>Peptide185: E3_5_4_9_mRNA -&gt; E3_5_4_9 | (0.278 * E3_5_4_9_mRNA) - (0.000000278 * E3_5_4_9)</v>
      </c>
    </row>
    <row r="187" spans="1:14" ht="29" x14ac:dyDescent="0.35">
      <c r="A187" s="49">
        <v>186</v>
      </c>
      <c r="B187" s="49" t="s">
        <v>14721</v>
      </c>
      <c r="C187" s="49" t="str">
        <f t="shared" si="0"/>
        <v>E4_1_2_17_mRNA</v>
      </c>
      <c r="D187" s="49" t="str">
        <f t="shared" si="1"/>
        <v>E4_1_2_17</v>
      </c>
      <c r="E187" s="64" t="str">
        <f t="shared" si="2"/>
        <v>E4_1_2_17_kcat : 13.7</v>
      </c>
      <c r="F187" s="65" t="str">
        <f t="shared" si="3"/>
        <v>E4_1_2_17_km : 1</v>
      </c>
      <c r="G187" s="66" t="str">
        <f t="shared" ref="G187:H187" si="378">CONCATENATE(C187," : ",C187)</f>
        <v>E4_1_2_17_mRNA : E4_1_2_17_mRNA</v>
      </c>
      <c r="H187" s="67" t="str">
        <f t="shared" si="378"/>
        <v>E4_1_2_17 : E4_1_2_17</v>
      </c>
      <c r="I187" s="44" t="str">
        <f t="shared" ref="I187:J187" si="379">CONCATENATE(C187," : ","0")</f>
        <v>E4_1_2_17_mRNA : 0</v>
      </c>
      <c r="J187" s="68" t="str">
        <f t="shared" si="379"/>
        <v>E4_1_2_17 : 0</v>
      </c>
      <c r="K187" s="69" t="str">
        <f t="shared" si="6"/>
        <v>0.00292 - (0.0093 * E4_1_2_17_mRNA)</v>
      </c>
      <c r="L187" s="70" t="str">
        <f t="shared" si="7"/>
        <v>(0.278 * E4_1_2_17_mRNA) - (0.00000278 * E4_1_2_17)</v>
      </c>
      <c r="M187" s="71" t="str">
        <f t="shared" si="8"/>
        <v>mRNA186: -&gt; E4_1_2_17_mRNA | 0.00292 - (0.0093 * E4_1_2_17_mRNA)</v>
      </c>
      <c r="N187" s="72" t="str">
        <f t="shared" si="9"/>
        <v>Peptide186: E4_1_2_17_mRNA -&gt; E4_1_2_17 | (0.278 * E4_1_2_17_mRNA) - (0.000000278 * E4_1_2_17)</v>
      </c>
    </row>
    <row r="188" spans="1:14" ht="29" x14ac:dyDescent="0.35">
      <c r="A188" s="49">
        <v>187</v>
      </c>
      <c r="B188" s="49" t="s">
        <v>14722</v>
      </c>
      <c r="C188" s="49" t="str">
        <f t="shared" si="0"/>
        <v>E5_1_3_29_mRNA</v>
      </c>
      <c r="D188" s="49" t="str">
        <f t="shared" si="1"/>
        <v>E5_1_3_29</v>
      </c>
      <c r="E188" s="64" t="str">
        <f t="shared" si="2"/>
        <v>E5_1_3_29_kcat : 13.7</v>
      </c>
      <c r="F188" s="65" t="str">
        <f t="shared" si="3"/>
        <v>E5_1_3_29_km : 1</v>
      </c>
      <c r="G188" s="66" t="str">
        <f t="shared" ref="G188:H188" si="380">CONCATENATE(C188," : ",C188)</f>
        <v>E5_1_3_29_mRNA : E5_1_3_29_mRNA</v>
      </c>
      <c r="H188" s="67" t="str">
        <f t="shared" si="380"/>
        <v>E5_1_3_29 : E5_1_3_29</v>
      </c>
      <c r="I188" s="44" t="str">
        <f t="shared" ref="I188:J188" si="381">CONCATENATE(C188," : ","0")</f>
        <v>E5_1_3_29_mRNA : 0</v>
      </c>
      <c r="J188" s="68" t="str">
        <f t="shared" si="381"/>
        <v>E5_1_3_29 : 0</v>
      </c>
      <c r="K188" s="69" t="str">
        <f t="shared" si="6"/>
        <v>0.00292 - (0.0093 * E5_1_3_29_mRNA)</v>
      </c>
      <c r="L188" s="70" t="str">
        <f t="shared" si="7"/>
        <v>(0.278 * E5_1_3_29_mRNA) - (0.00000278 * E5_1_3_29)</v>
      </c>
      <c r="M188" s="71" t="str">
        <f t="shared" si="8"/>
        <v>mRNA187: -&gt; E5_1_3_29_mRNA | 0.00292 - (0.0093 * E5_1_3_29_mRNA)</v>
      </c>
      <c r="N188" s="72" t="str">
        <f t="shared" si="9"/>
        <v>Peptide187: E5_1_3_29_mRNA -&gt; E5_1_3_29 | (0.278 * E5_1_3_29_mRNA) - (0.000000278 * E5_1_3_29)</v>
      </c>
    </row>
    <row r="189" spans="1:14" ht="29" x14ac:dyDescent="0.35">
      <c r="A189" s="49">
        <v>188</v>
      </c>
      <c r="B189" s="49" t="s">
        <v>14723</v>
      </c>
      <c r="C189" s="49" t="str">
        <f t="shared" si="0"/>
        <v>E2_7_1_51_mRNA</v>
      </c>
      <c r="D189" s="49" t="str">
        <f t="shared" si="1"/>
        <v>E2_7_1_51</v>
      </c>
      <c r="E189" s="64" t="str">
        <f t="shared" si="2"/>
        <v>E2_7_1_51_kcat : 13.7</v>
      </c>
      <c r="F189" s="65" t="str">
        <f t="shared" si="3"/>
        <v>E2_7_1_51_km : 1</v>
      </c>
      <c r="G189" s="66" t="str">
        <f t="shared" ref="G189:H189" si="382">CONCATENATE(C189," : ",C189)</f>
        <v>E2_7_1_51_mRNA : E2_7_1_51_mRNA</v>
      </c>
      <c r="H189" s="67" t="str">
        <f t="shared" si="382"/>
        <v>E2_7_1_51 : E2_7_1_51</v>
      </c>
      <c r="I189" s="44" t="str">
        <f t="shared" ref="I189:J189" si="383">CONCATENATE(C189," : ","0")</f>
        <v>E2_7_1_51_mRNA : 0</v>
      </c>
      <c r="J189" s="68" t="str">
        <f t="shared" si="383"/>
        <v>E2_7_1_51 : 0</v>
      </c>
      <c r="K189" s="69" t="str">
        <f t="shared" si="6"/>
        <v>0.00292 - (0.0093 * E2_7_1_51_mRNA)</v>
      </c>
      <c r="L189" s="70" t="str">
        <f t="shared" si="7"/>
        <v>(0.278 * E2_7_1_51_mRNA) - (0.00000278 * E2_7_1_51)</v>
      </c>
      <c r="M189" s="71" t="str">
        <f t="shared" si="8"/>
        <v>mRNA188: -&gt; E2_7_1_51_mRNA | 0.00292 - (0.0093 * E2_7_1_51_mRNA)</v>
      </c>
      <c r="N189" s="72" t="str">
        <f t="shared" si="9"/>
        <v>Peptide188: E2_7_1_51_mRNA -&gt; E2_7_1_51 | (0.278 * E2_7_1_51_mRNA) - (0.000000278 * E2_7_1_51)</v>
      </c>
    </row>
    <row r="190" spans="1:14" ht="29" x14ac:dyDescent="0.35">
      <c r="A190" s="49">
        <v>189</v>
      </c>
      <c r="B190" s="49" t="s">
        <v>14724</v>
      </c>
      <c r="C190" s="49" t="str">
        <f t="shared" si="0"/>
        <v>E5_3_1_25_mRNA</v>
      </c>
      <c r="D190" s="49" t="str">
        <f t="shared" si="1"/>
        <v>E5_3_1_25</v>
      </c>
      <c r="E190" s="64" t="str">
        <f t="shared" si="2"/>
        <v>E5_3_1_25_kcat : 13.7</v>
      </c>
      <c r="F190" s="65" t="str">
        <f t="shared" si="3"/>
        <v>E5_3_1_25_km : 1</v>
      </c>
      <c r="G190" s="66" t="str">
        <f t="shared" ref="G190:H190" si="384">CONCATENATE(C190," : ",C190)</f>
        <v>E5_3_1_25_mRNA : E5_3_1_25_mRNA</v>
      </c>
      <c r="H190" s="67" t="str">
        <f t="shared" si="384"/>
        <v>E5_3_1_25 : E5_3_1_25</v>
      </c>
      <c r="I190" s="44" t="str">
        <f t="shared" ref="I190:J190" si="385">CONCATENATE(C190," : ","0")</f>
        <v>E5_3_1_25_mRNA : 0</v>
      </c>
      <c r="J190" s="68" t="str">
        <f t="shared" si="385"/>
        <v>E5_3_1_25 : 0</v>
      </c>
      <c r="K190" s="69" t="str">
        <f t="shared" si="6"/>
        <v>0.00292 - (0.0093 * E5_3_1_25_mRNA)</v>
      </c>
      <c r="L190" s="70" t="str">
        <f t="shared" si="7"/>
        <v>(0.278 * E5_3_1_25_mRNA) - (0.00000278 * E5_3_1_25)</v>
      </c>
      <c r="M190" s="71" t="str">
        <f t="shared" si="8"/>
        <v>mRNA189: -&gt; E5_3_1_25_mRNA | 0.00292 - (0.0093 * E5_3_1_25_mRNA)</v>
      </c>
      <c r="N190" s="72" t="str">
        <f t="shared" si="9"/>
        <v>Peptide189: E5_3_1_25_mRNA -&gt; E5_3_1_25 | (0.278 * E5_3_1_25_mRNA) - (0.000000278 * E5_3_1_25)</v>
      </c>
    </row>
    <row r="191" spans="1:14" ht="29" x14ac:dyDescent="0.35">
      <c r="A191" s="49">
        <v>190</v>
      </c>
      <c r="B191" s="49" t="s">
        <v>14962</v>
      </c>
      <c r="C191" s="49" t="str">
        <f t="shared" si="0"/>
        <v>E5_4_99_28_mRNA</v>
      </c>
      <c r="D191" s="49" t="str">
        <f t="shared" si="1"/>
        <v>E5_4_99_28</v>
      </c>
      <c r="E191" s="64" t="str">
        <f t="shared" si="2"/>
        <v>E5_4_99_28_kcat : 13.7</v>
      </c>
      <c r="F191" s="65" t="str">
        <f t="shared" si="3"/>
        <v>E5_4_99_28_km : 1</v>
      </c>
      <c r="G191" s="66" t="str">
        <f t="shared" ref="G191:H191" si="386">CONCATENATE(C191," : ",C191)</f>
        <v>E5_4_99_28_mRNA : E5_4_99_28_mRNA</v>
      </c>
      <c r="H191" s="67" t="str">
        <f t="shared" si="386"/>
        <v>E5_4_99_28 : E5_4_99_28</v>
      </c>
      <c r="I191" s="44" t="str">
        <f t="shared" ref="I191:J191" si="387">CONCATENATE(C191," : ","0")</f>
        <v>E5_4_99_28_mRNA : 0</v>
      </c>
      <c r="J191" s="68" t="str">
        <f t="shared" si="387"/>
        <v>E5_4_99_28 : 0</v>
      </c>
      <c r="K191" s="69" t="str">
        <f t="shared" si="6"/>
        <v>0.00292 - (0.0093 * E5_4_99_28_mRNA)</v>
      </c>
      <c r="L191" s="70" t="str">
        <f t="shared" si="7"/>
        <v>(0.278 * E5_4_99_28_mRNA) - (0.00000278 * E5_4_99_28)</v>
      </c>
      <c r="M191" s="71" t="str">
        <f t="shared" si="8"/>
        <v>mRNA190: -&gt; E5_4_99_28_mRNA | 0.00292 - (0.0093 * E5_4_99_28_mRNA)</v>
      </c>
      <c r="N191" s="72" t="str">
        <f t="shared" si="9"/>
        <v>Peptide190: E5_4_99_28_mRNA -&gt; E5_4_99_28 | (0.278 * E5_4_99_28_mRNA) - (0.000000278 * E5_4_99_28)</v>
      </c>
    </row>
    <row r="192" spans="1:14" ht="29" x14ac:dyDescent="0.35">
      <c r="A192" s="49">
        <v>191</v>
      </c>
      <c r="B192" s="49" t="s">
        <v>14963</v>
      </c>
      <c r="C192" s="49" t="str">
        <f t="shared" si="0"/>
        <v>E5_4_99_29_mRNA</v>
      </c>
      <c r="D192" s="49" t="str">
        <f t="shared" si="1"/>
        <v>E5_4_99_29</v>
      </c>
      <c r="E192" s="64" t="str">
        <f t="shared" si="2"/>
        <v>E5_4_99_29_kcat : 13.7</v>
      </c>
      <c r="F192" s="65" t="str">
        <f t="shared" si="3"/>
        <v>E5_4_99_29_km : 1</v>
      </c>
      <c r="G192" s="66" t="str">
        <f t="shared" ref="G192:H192" si="388">CONCATENATE(C192," : ",C192)</f>
        <v>E5_4_99_29_mRNA : E5_4_99_29_mRNA</v>
      </c>
      <c r="H192" s="67" t="str">
        <f t="shared" si="388"/>
        <v>E5_4_99_29 : E5_4_99_29</v>
      </c>
      <c r="I192" s="44" t="str">
        <f t="shared" ref="I192:J192" si="389">CONCATENATE(C192," : ","0")</f>
        <v>E5_4_99_29_mRNA : 0</v>
      </c>
      <c r="J192" s="68" t="str">
        <f t="shared" si="389"/>
        <v>E5_4_99_29 : 0</v>
      </c>
      <c r="K192" s="69" t="str">
        <f t="shared" si="6"/>
        <v>0.00292 - (0.0093 * E5_4_99_29_mRNA)</v>
      </c>
      <c r="L192" s="70" t="str">
        <f t="shared" si="7"/>
        <v>(0.278 * E5_4_99_29_mRNA) - (0.00000278 * E5_4_99_29)</v>
      </c>
      <c r="M192" s="71" t="str">
        <f t="shared" si="8"/>
        <v>mRNA191: -&gt; E5_4_99_29_mRNA | 0.00292 - (0.0093 * E5_4_99_29_mRNA)</v>
      </c>
      <c r="N192" s="72" t="str">
        <f t="shared" si="9"/>
        <v>Peptide191: E5_4_99_29_mRNA -&gt; E5_4_99_29 | (0.278 * E5_4_99_29_mRNA) - (0.000000278 * E5_4_99_29)</v>
      </c>
    </row>
    <row r="193" spans="1:14" ht="29" x14ac:dyDescent="0.35">
      <c r="A193" s="49">
        <v>192</v>
      </c>
      <c r="B193" s="49" t="s">
        <v>14964</v>
      </c>
      <c r="C193" s="49" t="str">
        <f t="shared" si="0"/>
        <v>E3_4_21_105_mRNA</v>
      </c>
      <c r="D193" s="49" t="str">
        <f t="shared" si="1"/>
        <v>E3_4_21_105</v>
      </c>
      <c r="E193" s="64" t="str">
        <f t="shared" si="2"/>
        <v>E3_4_21_105_kcat : 13.7</v>
      </c>
      <c r="F193" s="65" t="str">
        <f t="shared" si="3"/>
        <v>E3_4_21_105_km : 1</v>
      </c>
      <c r="G193" s="66" t="str">
        <f t="shared" ref="G193:H193" si="390">CONCATENATE(C193," : ",C193)</f>
        <v>E3_4_21_105_mRNA : E3_4_21_105_mRNA</v>
      </c>
      <c r="H193" s="67" t="str">
        <f t="shared" si="390"/>
        <v>E3_4_21_105 : E3_4_21_105</v>
      </c>
      <c r="I193" s="44" t="str">
        <f t="shared" ref="I193:J193" si="391">CONCATENATE(C193," : ","0")</f>
        <v>E3_4_21_105_mRNA : 0</v>
      </c>
      <c r="J193" s="68" t="str">
        <f t="shared" si="391"/>
        <v>E3_4_21_105 : 0</v>
      </c>
      <c r="K193" s="69" t="str">
        <f t="shared" si="6"/>
        <v>0.00292 - (0.0093 * E3_4_21_105_mRNA)</v>
      </c>
      <c r="L193" s="70" t="str">
        <f t="shared" si="7"/>
        <v>(0.278 * E3_4_21_105_mRNA) - (0.00000278 * E3_4_21_105)</v>
      </c>
      <c r="M193" s="71" t="str">
        <f t="shared" si="8"/>
        <v>mRNA192: -&gt; E3_4_21_105_mRNA | 0.00292 - (0.0093 * E3_4_21_105_mRNA)</v>
      </c>
      <c r="N193" s="72" t="str">
        <f t="shared" si="9"/>
        <v>Peptide192: E3_4_21_105_mRNA -&gt; E3_4_21_105 | (0.278 * E3_4_21_105_mRNA) - (0.000000278 * E3_4_21_105)</v>
      </c>
    </row>
    <row r="194" spans="1:14" ht="29" x14ac:dyDescent="0.35">
      <c r="A194" s="49">
        <v>193</v>
      </c>
      <c r="B194" s="49" t="s">
        <v>14725</v>
      </c>
      <c r="C194" s="49" t="str">
        <f t="shared" si="0"/>
        <v>E3_1_3_82_mRNA</v>
      </c>
      <c r="D194" s="49" t="str">
        <f t="shared" si="1"/>
        <v>E3_1_3_82</v>
      </c>
      <c r="E194" s="64" t="str">
        <f t="shared" si="2"/>
        <v>E3_1_3_82_kcat : 13.7</v>
      </c>
      <c r="F194" s="65" t="str">
        <f t="shared" si="3"/>
        <v>E3_1_3_82_km : 1</v>
      </c>
      <c r="G194" s="66" t="str">
        <f t="shared" ref="G194:H194" si="392">CONCATENATE(C194," : ",C194)</f>
        <v>E3_1_3_82_mRNA : E3_1_3_82_mRNA</v>
      </c>
      <c r="H194" s="67" t="str">
        <f t="shared" si="392"/>
        <v>E3_1_3_82 : E3_1_3_82</v>
      </c>
      <c r="I194" s="44" t="str">
        <f t="shared" ref="I194:J194" si="393">CONCATENATE(C194," : ","0")</f>
        <v>E3_1_3_82_mRNA : 0</v>
      </c>
      <c r="J194" s="68" t="str">
        <f t="shared" si="393"/>
        <v>E3_1_3_82 : 0</v>
      </c>
      <c r="K194" s="69" t="str">
        <f t="shared" si="6"/>
        <v>0.00292 - (0.0093 * E3_1_3_82_mRNA)</v>
      </c>
      <c r="L194" s="70" t="str">
        <f t="shared" si="7"/>
        <v>(0.278 * E3_1_3_82_mRNA) - (0.00000278 * E3_1_3_82)</v>
      </c>
      <c r="M194" s="71" t="str">
        <f t="shared" si="8"/>
        <v>mRNA193: -&gt; E3_1_3_82_mRNA | 0.00292 - (0.0093 * E3_1_3_82_mRNA)</v>
      </c>
      <c r="N194" s="72" t="str">
        <f t="shared" si="9"/>
        <v>Peptide193: E3_1_3_82_mRNA -&gt; E3_1_3_82 | (0.278 * E3_1_3_82_mRNA) - (0.000000278 * E3_1_3_82)</v>
      </c>
    </row>
    <row r="195" spans="1:14" ht="29" x14ac:dyDescent="0.35">
      <c r="A195" s="49">
        <v>194</v>
      </c>
      <c r="B195" s="49" t="s">
        <v>14726</v>
      </c>
      <c r="C195" s="49" t="str">
        <f t="shared" si="0"/>
        <v>E4_1_1_20_mRNA</v>
      </c>
      <c r="D195" s="49" t="str">
        <f t="shared" si="1"/>
        <v>E4_1_1_20</v>
      </c>
      <c r="E195" s="64" t="str">
        <f t="shared" si="2"/>
        <v>E4_1_1_20_kcat : 13.7</v>
      </c>
      <c r="F195" s="65" t="str">
        <f t="shared" si="3"/>
        <v>E4_1_1_20_km : 1</v>
      </c>
      <c r="G195" s="66" t="str">
        <f t="shared" ref="G195:H195" si="394">CONCATENATE(C195," : ",C195)</f>
        <v>E4_1_1_20_mRNA : E4_1_1_20_mRNA</v>
      </c>
      <c r="H195" s="67" t="str">
        <f t="shared" si="394"/>
        <v>E4_1_1_20 : E4_1_1_20</v>
      </c>
      <c r="I195" s="44" t="str">
        <f t="shared" ref="I195:J195" si="395">CONCATENATE(C195," : ","0")</f>
        <v>E4_1_1_20_mRNA : 0</v>
      </c>
      <c r="J195" s="68" t="str">
        <f t="shared" si="395"/>
        <v>E4_1_1_20 : 0</v>
      </c>
      <c r="K195" s="69" t="str">
        <f t="shared" si="6"/>
        <v>0.00292 - (0.0093 * E4_1_1_20_mRNA)</v>
      </c>
      <c r="L195" s="70" t="str">
        <f t="shared" si="7"/>
        <v>(0.278 * E4_1_1_20_mRNA) - (0.00000278 * E4_1_1_20)</v>
      </c>
      <c r="M195" s="71" t="str">
        <f t="shared" si="8"/>
        <v>mRNA194: -&gt; E4_1_1_20_mRNA | 0.00292 - (0.0093 * E4_1_1_20_mRNA)</v>
      </c>
      <c r="N195" s="72" t="str">
        <f t="shared" si="9"/>
        <v>Peptide194: E4_1_1_20_mRNA -&gt; E4_1_1_20 | (0.278 * E4_1_1_20_mRNA) - (0.000000278 * E4_1_1_20)</v>
      </c>
    </row>
    <row r="196" spans="1:14" ht="29" x14ac:dyDescent="0.35">
      <c r="A196" s="49">
        <v>195</v>
      </c>
      <c r="B196" s="49" t="s">
        <v>14727</v>
      </c>
      <c r="C196" s="49" t="str">
        <f t="shared" si="0"/>
        <v>E6_1_1_15_mRNA</v>
      </c>
      <c r="D196" s="49" t="str">
        <f t="shared" si="1"/>
        <v>E6_1_1_15</v>
      </c>
      <c r="E196" s="64" t="str">
        <f t="shared" si="2"/>
        <v>E6_1_1_15_kcat : 13.7</v>
      </c>
      <c r="F196" s="65" t="str">
        <f t="shared" si="3"/>
        <v>E6_1_1_15_km : 1</v>
      </c>
      <c r="G196" s="66" t="str">
        <f t="shared" ref="G196:H196" si="396">CONCATENATE(C196," : ",C196)</f>
        <v>E6_1_1_15_mRNA : E6_1_1_15_mRNA</v>
      </c>
      <c r="H196" s="67" t="str">
        <f t="shared" si="396"/>
        <v>E6_1_1_15 : E6_1_1_15</v>
      </c>
      <c r="I196" s="44" t="str">
        <f t="shared" ref="I196:J196" si="397">CONCATENATE(C196," : ","0")</f>
        <v>E6_1_1_15_mRNA : 0</v>
      </c>
      <c r="J196" s="68" t="str">
        <f t="shared" si="397"/>
        <v>E6_1_1_15 : 0</v>
      </c>
      <c r="K196" s="69" t="str">
        <f t="shared" si="6"/>
        <v>0.00292 - (0.0093 * E6_1_1_15_mRNA)</v>
      </c>
      <c r="L196" s="70" t="str">
        <f t="shared" si="7"/>
        <v>(0.278 * E6_1_1_15_mRNA) - (0.00000278 * E6_1_1_15)</v>
      </c>
      <c r="M196" s="71" t="str">
        <f t="shared" si="8"/>
        <v>mRNA195: -&gt; E6_1_1_15_mRNA | 0.00292 - (0.0093 * E6_1_1_15_mRNA)</v>
      </c>
      <c r="N196" s="72" t="str">
        <f t="shared" si="9"/>
        <v>Peptide195: E6_1_1_15_mRNA -&gt; E6_1_1_15 | (0.278 * E6_1_1_15_mRNA) - (0.000000278 * E6_1_1_15)</v>
      </c>
    </row>
    <row r="197" spans="1:14" ht="29" x14ac:dyDescent="0.35">
      <c r="A197" s="49">
        <v>196</v>
      </c>
      <c r="B197" s="49" t="s">
        <v>14728</v>
      </c>
      <c r="C197" s="49" t="str">
        <f t="shared" si="0"/>
        <v>E2_3_1_51_mRNA</v>
      </c>
      <c r="D197" s="49" t="str">
        <f t="shared" si="1"/>
        <v>E2_3_1_51</v>
      </c>
      <c r="E197" s="64" t="str">
        <f t="shared" si="2"/>
        <v>E2_3_1_51_kcat : 13.7</v>
      </c>
      <c r="F197" s="65" t="str">
        <f t="shared" si="3"/>
        <v>E2_3_1_51_km : 1</v>
      </c>
      <c r="G197" s="66" t="str">
        <f t="shared" ref="G197:H197" si="398">CONCATENATE(C197," : ",C197)</f>
        <v>E2_3_1_51_mRNA : E2_3_1_51_mRNA</v>
      </c>
      <c r="H197" s="67" t="str">
        <f t="shared" si="398"/>
        <v>E2_3_1_51 : E2_3_1_51</v>
      </c>
      <c r="I197" s="44" t="str">
        <f t="shared" ref="I197:J197" si="399">CONCATENATE(C197," : ","0")</f>
        <v>E2_3_1_51_mRNA : 0</v>
      </c>
      <c r="J197" s="68" t="str">
        <f t="shared" si="399"/>
        <v>E2_3_1_51 : 0</v>
      </c>
      <c r="K197" s="69" t="str">
        <f t="shared" si="6"/>
        <v>0.00292 - (0.0093 * E2_3_1_51_mRNA)</v>
      </c>
      <c r="L197" s="70" t="str">
        <f t="shared" si="7"/>
        <v>(0.278 * E2_3_1_51_mRNA) - (0.00000278 * E2_3_1_51)</v>
      </c>
      <c r="M197" s="71" t="str">
        <f t="shared" si="8"/>
        <v>mRNA196: -&gt; E2_3_1_51_mRNA | 0.00292 - (0.0093 * E2_3_1_51_mRNA)</v>
      </c>
      <c r="N197" s="72" t="str">
        <f t="shared" si="9"/>
        <v>Peptide196: E2_3_1_51_mRNA -&gt; E2_3_1_51 | (0.278 * E2_3_1_51_mRNA) - (0.000000278 * E2_3_1_51)</v>
      </c>
    </row>
    <row r="198" spans="1:14" ht="29" x14ac:dyDescent="0.35">
      <c r="A198" s="49">
        <v>197</v>
      </c>
      <c r="B198" s="49" t="s">
        <v>14729</v>
      </c>
      <c r="C198" s="49" t="str">
        <f t="shared" si="0"/>
        <v>E3_6_1_54_mRNA</v>
      </c>
      <c r="D198" s="49" t="str">
        <f t="shared" si="1"/>
        <v>E3_6_1_54</v>
      </c>
      <c r="E198" s="64" t="str">
        <f t="shared" si="2"/>
        <v>E3_6_1_54_kcat : 13.7</v>
      </c>
      <c r="F198" s="65" t="str">
        <f t="shared" si="3"/>
        <v>E3_6_1_54_km : 1</v>
      </c>
      <c r="G198" s="66" t="str">
        <f t="shared" ref="G198:H198" si="400">CONCATENATE(C198," : ",C198)</f>
        <v>E3_6_1_54_mRNA : E3_6_1_54_mRNA</v>
      </c>
      <c r="H198" s="67" t="str">
        <f t="shared" si="400"/>
        <v>E3_6_1_54 : E3_6_1_54</v>
      </c>
      <c r="I198" s="44" t="str">
        <f t="shared" ref="I198:J198" si="401">CONCATENATE(C198," : ","0")</f>
        <v>E3_6_1_54_mRNA : 0</v>
      </c>
      <c r="J198" s="68" t="str">
        <f t="shared" si="401"/>
        <v>E3_6_1_54 : 0</v>
      </c>
      <c r="K198" s="69" t="str">
        <f t="shared" si="6"/>
        <v>0.00292 - (0.0093 * E3_6_1_54_mRNA)</v>
      </c>
      <c r="L198" s="70" t="str">
        <f t="shared" si="7"/>
        <v>(0.278 * E3_6_1_54_mRNA) - (0.00000278 * E3_6_1_54)</v>
      </c>
      <c r="M198" s="71" t="str">
        <f t="shared" si="8"/>
        <v>mRNA197: -&gt; E3_6_1_54_mRNA | 0.00292 - (0.0093 * E3_6_1_54_mRNA)</v>
      </c>
      <c r="N198" s="72" t="str">
        <f t="shared" si="9"/>
        <v>Peptide197: E3_6_1_54_mRNA -&gt; E3_6_1_54 | (0.278 * E3_6_1_54_mRNA) - (0.000000278 * E3_6_1_54)</v>
      </c>
    </row>
    <row r="199" spans="1:14" ht="29" x14ac:dyDescent="0.35">
      <c r="A199" s="49">
        <v>198</v>
      </c>
      <c r="B199" s="49" t="s">
        <v>14730</v>
      </c>
      <c r="C199" s="49" t="str">
        <f t="shared" si="0"/>
        <v>E4_2_1_9_mRNA</v>
      </c>
      <c r="D199" s="49" t="str">
        <f t="shared" si="1"/>
        <v>E4_2_1_9</v>
      </c>
      <c r="E199" s="64" t="str">
        <f t="shared" si="2"/>
        <v>E4_2_1_9_kcat : 13.7</v>
      </c>
      <c r="F199" s="65" t="str">
        <f t="shared" si="3"/>
        <v>E4_2_1_9_km : 1</v>
      </c>
      <c r="G199" s="66" t="str">
        <f t="shared" ref="G199:H199" si="402">CONCATENATE(C199," : ",C199)</f>
        <v>E4_2_1_9_mRNA : E4_2_1_9_mRNA</v>
      </c>
      <c r="H199" s="67" t="str">
        <f t="shared" si="402"/>
        <v>E4_2_1_9 : E4_2_1_9</v>
      </c>
      <c r="I199" s="44" t="str">
        <f t="shared" ref="I199:J199" si="403">CONCATENATE(C199," : ","0")</f>
        <v>E4_2_1_9_mRNA : 0</v>
      </c>
      <c r="J199" s="68" t="str">
        <f t="shared" si="403"/>
        <v>E4_2_1_9 : 0</v>
      </c>
      <c r="K199" s="69" t="str">
        <f t="shared" si="6"/>
        <v>0.00292 - (0.0093 * E4_2_1_9_mRNA)</v>
      </c>
      <c r="L199" s="70" t="str">
        <f t="shared" si="7"/>
        <v>(0.278 * E4_2_1_9_mRNA) - (0.00000278 * E4_2_1_9)</v>
      </c>
      <c r="M199" s="71" t="str">
        <f t="shared" si="8"/>
        <v>mRNA198: -&gt; E4_2_1_9_mRNA | 0.00292 - (0.0093 * E4_2_1_9_mRNA)</v>
      </c>
      <c r="N199" s="72" t="str">
        <f t="shared" si="9"/>
        <v>Peptide198: E4_2_1_9_mRNA -&gt; E4_2_1_9 | (0.278 * E4_2_1_9_mRNA) - (0.000000278 * E4_2_1_9)</v>
      </c>
    </row>
    <row r="200" spans="1:14" ht="29" x14ac:dyDescent="0.35">
      <c r="A200" s="49">
        <v>199</v>
      </c>
      <c r="B200" s="49" t="s">
        <v>14731</v>
      </c>
      <c r="C200" s="49" t="str">
        <f t="shared" si="0"/>
        <v>E4_3_1_19_mRNA</v>
      </c>
      <c r="D200" s="49" t="str">
        <f t="shared" si="1"/>
        <v>E4_3_1_19</v>
      </c>
      <c r="E200" s="64" t="str">
        <f t="shared" si="2"/>
        <v>E4_3_1_19_kcat : 13.7</v>
      </c>
      <c r="F200" s="65" t="str">
        <f t="shared" si="3"/>
        <v>E4_3_1_19_km : 1</v>
      </c>
      <c r="G200" s="66" t="str">
        <f t="shared" ref="G200:H200" si="404">CONCATENATE(C200," : ",C200)</f>
        <v>E4_3_1_19_mRNA : E4_3_1_19_mRNA</v>
      </c>
      <c r="H200" s="67" t="str">
        <f t="shared" si="404"/>
        <v>E4_3_1_19 : E4_3_1_19</v>
      </c>
      <c r="I200" s="44" t="str">
        <f t="shared" ref="I200:J200" si="405">CONCATENATE(C200," : ","0")</f>
        <v>E4_3_1_19_mRNA : 0</v>
      </c>
      <c r="J200" s="68" t="str">
        <f t="shared" si="405"/>
        <v>E4_3_1_19 : 0</v>
      </c>
      <c r="K200" s="69" t="str">
        <f t="shared" si="6"/>
        <v>0.00292 - (0.0093 * E4_3_1_19_mRNA)</v>
      </c>
      <c r="L200" s="70" t="str">
        <f t="shared" si="7"/>
        <v>(0.278 * E4_3_1_19_mRNA) - (0.00000278 * E4_3_1_19)</v>
      </c>
      <c r="M200" s="71" t="str">
        <f t="shared" si="8"/>
        <v>mRNA199: -&gt; E4_3_1_19_mRNA | 0.00292 - (0.0093 * E4_3_1_19_mRNA)</v>
      </c>
      <c r="N200" s="72" t="str">
        <f t="shared" si="9"/>
        <v>Peptide199: E4_3_1_19_mRNA -&gt; E4_3_1_19 | (0.278 * E4_3_1_19_mRNA) - (0.000000278 * E4_3_1_19)</v>
      </c>
    </row>
    <row r="201" spans="1:14" ht="29" x14ac:dyDescent="0.35">
      <c r="A201" s="49">
        <v>200</v>
      </c>
      <c r="B201" s="49" t="s">
        <v>14965</v>
      </c>
      <c r="C201" s="49" t="str">
        <f t="shared" si="0"/>
        <v>E3_4_21_88_mRNA</v>
      </c>
      <c r="D201" s="49" t="str">
        <f t="shared" si="1"/>
        <v>E3_4_21_88</v>
      </c>
      <c r="E201" s="64" t="str">
        <f t="shared" si="2"/>
        <v>E3_4_21_88_kcat : 13.7</v>
      </c>
      <c r="F201" s="65" t="str">
        <f t="shared" si="3"/>
        <v>E3_4_21_88_km : 1</v>
      </c>
      <c r="G201" s="66" t="str">
        <f t="shared" ref="G201:H201" si="406">CONCATENATE(C201," : ",C201)</f>
        <v>E3_4_21_88_mRNA : E3_4_21_88_mRNA</v>
      </c>
      <c r="H201" s="67" t="str">
        <f t="shared" si="406"/>
        <v>E3_4_21_88 : E3_4_21_88</v>
      </c>
      <c r="I201" s="44" t="str">
        <f t="shared" ref="I201:J201" si="407">CONCATENATE(C201," : ","0")</f>
        <v>E3_4_21_88_mRNA : 0</v>
      </c>
      <c r="J201" s="68" t="str">
        <f t="shared" si="407"/>
        <v>E3_4_21_88 : 0</v>
      </c>
      <c r="K201" s="69" t="str">
        <f t="shared" si="6"/>
        <v>0.00292 - (0.0093 * E3_4_21_88_mRNA)</v>
      </c>
      <c r="L201" s="70" t="str">
        <f t="shared" si="7"/>
        <v>(0.278 * E3_4_21_88_mRNA) - (0.00000278 * E3_4_21_88)</v>
      </c>
      <c r="M201" s="71" t="str">
        <f t="shared" si="8"/>
        <v>mRNA200: -&gt; E3_4_21_88_mRNA | 0.00292 - (0.0093 * E3_4_21_88_mRNA)</v>
      </c>
      <c r="N201" s="72" t="str">
        <f t="shared" si="9"/>
        <v>Peptide200: E3_4_21_88_mRNA -&gt; E3_4_21_88 | (0.278 * E3_4_21_88_mRNA) - (0.000000278 * E3_4_21_88)</v>
      </c>
    </row>
    <row r="202" spans="1:14" ht="29" x14ac:dyDescent="0.35">
      <c r="A202" s="49">
        <v>201</v>
      </c>
      <c r="B202" s="49" t="s">
        <v>14732</v>
      </c>
      <c r="C202" s="49" t="str">
        <f t="shared" si="0"/>
        <v>E5_1_1_7_mRNA</v>
      </c>
      <c r="D202" s="49" t="str">
        <f t="shared" si="1"/>
        <v>E5_1_1_7</v>
      </c>
      <c r="E202" s="64" t="str">
        <f t="shared" si="2"/>
        <v>E5_1_1_7_kcat : 13.7</v>
      </c>
      <c r="F202" s="65" t="str">
        <f t="shared" si="3"/>
        <v>E5_1_1_7_km : 1</v>
      </c>
      <c r="G202" s="66" t="str">
        <f t="shared" ref="G202:H202" si="408">CONCATENATE(C202," : ",C202)</f>
        <v>E5_1_1_7_mRNA : E5_1_1_7_mRNA</v>
      </c>
      <c r="H202" s="67" t="str">
        <f t="shared" si="408"/>
        <v>E5_1_1_7 : E5_1_1_7</v>
      </c>
      <c r="I202" s="44" t="str">
        <f t="shared" ref="I202:J202" si="409">CONCATENATE(C202," : ","0")</f>
        <v>E5_1_1_7_mRNA : 0</v>
      </c>
      <c r="J202" s="68" t="str">
        <f t="shared" si="409"/>
        <v>E5_1_1_7 : 0</v>
      </c>
      <c r="K202" s="69" t="str">
        <f t="shared" si="6"/>
        <v>0.00292 - (0.0093 * E5_1_1_7_mRNA)</v>
      </c>
      <c r="L202" s="70" t="str">
        <f t="shared" si="7"/>
        <v>(0.278 * E5_1_1_7_mRNA) - (0.00000278 * E5_1_1_7)</v>
      </c>
      <c r="M202" s="71" t="str">
        <f t="shared" si="8"/>
        <v>mRNA201: -&gt; E5_1_1_7_mRNA | 0.00292 - (0.0093 * E5_1_1_7_mRNA)</v>
      </c>
      <c r="N202" s="72" t="str">
        <f t="shared" si="9"/>
        <v>Peptide201: E5_1_1_7_mRNA -&gt; E5_1_1_7 | (0.278 * E5_1_1_7_mRNA) - (0.000000278 * E5_1_1_7)</v>
      </c>
    </row>
    <row r="203" spans="1:14" ht="29" x14ac:dyDescent="0.35">
      <c r="A203" s="49">
        <v>202</v>
      </c>
      <c r="B203" s="49" t="s">
        <v>14733</v>
      </c>
      <c r="C203" s="49" t="str">
        <f t="shared" si="0"/>
        <v>E6_3_5_3_mRNA</v>
      </c>
      <c r="D203" s="49" t="str">
        <f t="shared" si="1"/>
        <v>E6_3_5_3</v>
      </c>
      <c r="E203" s="64" t="str">
        <f t="shared" si="2"/>
        <v>E6_3_5_3_kcat : 13.7</v>
      </c>
      <c r="F203" s="65" t="str">
        <f t="shared" si="3"/>
        <v>E6_3_5_3_km : 1</v>
      </c>
      <c r="G203" s="66" t="str">
        <f t="shared" ref="G203:H203" si="410">CONCATENATE(C203," : ",C203)</f>
        <v>E6_3_5_3_mRNA : E6_3_5_3_mRNA</v>
      </c>
      <c r="H203" s="67" t="str">
        <f t="shared" si="410"/>
        <v>E6_3_5_3 : E6_3_5_3</v>
      </c>
      <c r="I203" s="44" t="str">
        <f t="shared" ref="I203:J203" si="411">CONCATENATE(C203," : ","0")</f>
        <v>E6_3_5_3_mRNA : 0</v>
      </c>
      <c r="J203" s="68" t="str">
        <f t="shared" si="411"/>
        <v>E6_3_5_3 : 0</v>
      </c>
      <c r="K203" s="69" t="str">
        <f t="shared" si="6"/>
        <v>0.00292 - (0.0093 * E6_3_5_3_mRNA)</v>
      </c>
      <c r="L203" s="70" t="str">
        <f t="shared" si="7"/>
        <v>(0.278 * E6_3_5_3_mRNA) - (0.00000278 * E6_3_5_3)</v>
      </c>
      <c r="M203" s="71" t="str">
        <f t="shared" si="8"/>
        <v>mRNA202: -&gt; E6_3_5_3_mRNA | 0.00292 - (0.0093 * E6_3_5_3_mRNA)</v>
      </c>
      <c r="N203" s="72" t="str">
        <f t="shared" si="9"/>
        <v>Peptide202: E6_3_5_3_mRNA -&gt; E6_3_5_3 | (0.278 * E6_3_5_3_mRNA) - (0.000000278 * E6_3_5_3)</v>
      </c>
    </row>
    <row r="204" spans="1:14" ht="29" x14ac:dyDescent="0.35">
      <c r="A204" s="49">
        <v>203</v>
      </c>
      <c r="B204" s="49" t="s">
        <v>14734</v>
      </c>
      <c r="C204" s="49" t="str">
        <f t="shared" si="0"/>
        <v>E5_4_2_11_mRNA</v>
      </c>
      <c r="D204" s="49" t="str">
        <f t="shared" si="1"/>
        <v>E5_4_2_11</v>
      </c>
      <c r="E204" s="64" t="str">
        <f t="shared" si="2"/>
        <v>E5_4_2_11_kcat : 13.7</v>
      </c>
      <c r="F204" s="65" t="str">
        <f t="shared" si="3"/>
        <v>E5_4_2_11_km : 1</v>
      </c>
      <c r="G204" s="66" t="str">
        <f t="shared" ref="G204:H204" si="412">CONCATENATE(C204," : ",C204)</f>
        <v>E5_4_2_11_mRNA : E5_4_2_11_mRNA</v>
      </c>
      <c r="H204" s="67" t="str">
        <f t="shared" si="412"/>
        <v>E5_4_2_11 : E5_4_2_11</v>
      </c>
      <c r="I204" s="44" t="str">
        <f t="shared" ref="I204:J204" si="413">CONCATENATE(C204," : ","0")</f>
        <v>E5_4_2_11_mRNA : 0</v>
      </c>
      <c r="J204" s="68" t="str">
        <f t="shared" si="413"/>
        <v>E5_4_2_11 : 0</v>
      </c>
      <c r="K204" s="69" t="str">
        <f t="shared" si="6"/>
        <v>0.00292 - (0.0093 * E5_4_2_11_mRNA)</v>
      </c>
      <c r="L204" s="70" t="str">
        <f t="shared" si="7"/>
        <v>(0.278 * E5_4_2_11_mRNA) - (0.00000278 * E5_4_2_11)</v>
      </c>
      <c r="M204" s="71" t="str">
        <f t="shared" si="8"/>
        <v>mRNA203: -&gt; E5_4_2_11_mRNA | 0.00292 - (0.0093 * E5_4_2_11_mRNA)</v>
      </c>
      <c r="N204" s="72" t="str">
        <f t="shared" si="9"/>
        <v>Peptide203: E5_4_2_11_mRNA -&gt; E5_4_2_11 | (0.278 * E5_4_2_11_mRNA) - (0.000000278 * E5_4_2_11)</v>
      </c>
    </row>
    <row r="205" spans="1:14" ht="29" x14ac:dyDescent="0.35">
      <c r="A205" s="49">
        <v>204</v>
      </c>
      <c r="B205" s="49" t="s">
        <v>14966</v>
      </c>
      <c r="C205" s="49" t="str">
        <f t="shared" si="0"/>
        <v>E3_2_2_31_mRNA</v>
      </c>
      <c r="D205" s="49" t="str">
        <f t="shared" si="1"/>
        <v>E3_2_2_31</v>
      </c>
      <c r="E205" s="64" t="str">
        <f t="shared" si="2"/>
        <v>E3_2_2_31_kcat : 13.7</v>
      </c>
      <c r="F205" s="65" t="str">
        <f t="shared" si="3"/>
        <v>E3_2_2_31_km : 1</v>
      </c>
      <c r="G205" s="66" t="str">
        <f t="shared" ref="G205:H205" si="414">CONCATENATE(C205," : ",C205)</f>
        <v>E3_2_2_31_mRNA : E3_2_2_31_mRNA</v>
      </c>
      <c r="H205" s="67" t="str">
        <f t="shared" si="414"/>
        <v>E3_2_2_31 : E3_2_2_31</v>
      </c>
      <c r="I205" s="44" t="str">
        <f t="shared" ref="I205:J205" si="415">CONCATENATE(C205," : ","0")</f>
        <v>E3_2_2_31_mRNA : 0</v>
      </c>
      <c r="J205" s="68" t="str">
        <f t="shared" si="415"/>
        <v>E3_2_2_31 : 0</v>
      </c>
      <c r="K205" s="69" t="str">
        <f t="shared" si="6"/>
        <v>0.00292 - (0.0093 * E3_2_2_31_mRNA)</v>
      </c>
      <c r="L205" s="70" t="str">
        <f t="shared" si="7"/>
        <v>(0.278 * E3_2_2_31_mRNA) - (0.00000278 * E3_2_2_31)</v>
      </c>
      <c r="M205" s="71" t="str">
        <f t="shared" si="8"/>
        <v>mRNA204: -&gt; E3_2_2_31_mRNA | 0.00292 - (0.0093 * E3_2_2_31_mRNA)</v>
      </c>
      <c r="N205" s="72" t="str">
        <f t="shared" si="9"/>
        <v>Peptide204: E3_2_2_31_mRNA -&gt; E3_2_2_31 | (0.278 * E3_2_2_31_mRNA) - (0.000000278 * E3_2_2_31)</v>
      </c>
    </row>
    <row r="206" spans="1:14" ht="29" x14ac:dyDescent="0.35">
      <c r="A206" s="49">
        <v>205</v>
      </c>
      <c r="B206" s="49" t="s">
        <v>14735</v>
      </c>
      <c r="C206" s="49" t="str">
        <f t="shared" si="0"/>
        <v>E2_7_1_22_mRNA</v>
      </c>
      <c r="D206" s="49" t="str">
        <f t="shared" si="1"/>
        <v>E2_7_1_22</v>
      </c>
      <c r="E206" s="64" t="str">
        <f t="shared" si="2"/>
        <v>E2_7_1_22_kcat : 13.7</v>
      </c>
      <c r="F206" s="65" t="str">
        <f t="shared" si="3"/>
        <v>E2_7_1_22_km : 1</v>
      </c>
      <c r="G206" s="66" t="str">
        <f t="shared" ref="G206:H206" si="416">CONCATENATE(C206," : ",C206)</f>
        <v>E2_7_1_22_mRNA : E2_7_1_22_mRNA</v>
      </c>
      <c r="H206" s="67" t="str">
        <f t="shared" si="416"/>
        <v>E2_7_1_22 : E2_7_1_22</v>
      </c>
      <c r="I206" s="44" t="str">
        <f t="shared" ref="I206:J206" si="417">CONCATENATE(C206," : ","0")</f>
        <v>E2_7_1_22_mRNA : 0</v>
      </c>
      <c r="J206" s="68" t="str">
        <f t="shared" si="417"/>
        <v>E2_7_1_22 : 0</v>
      </c>
      <c r="K206" s="69" t="str">
        <f t="shared" si="6"/>
        <v>0.00292 - (0.0093 * E2_7_1_22_mRNA)</v>
      </c>
      <c r="L206" s="70" t="str">
        <f t="shared" si="7"/>
        <v>(0.278 * E2_7_1_22_mRNA) - (0.00000278 * E2_7_1_22)</v>
      </c>
      <c r="M206" s="71" t="str">
        <f t="shared" si="8"/>
        <v>mRNA205: -&gt; E2_7_1_22_mRNA | 0.00292 - (0.0093 * E2_7_1_22_mRNA)</v>
      </c>
      <c r="N206" s="72" t="str">
        <f t="shared" si="9"/>
        <v>Peptide205: E2_7_1_22_mRNA -&gt; E2_7_1_22 | (0.278 * E2_7_1_22_mRNA) - (0.000000278 * E2_7_1_22)</v>
      </c>
    </row>
    <row r="207" spans="1:14" ht="29" x14ac:dyDescent="0.35">
      <c r="A207" s="49">
        <v>206</v>
      </c>
      <c r="B207" s="49" t="s">
        <v>14736</v>
      </c>
      <c r="C207" s="49" t="str">
        <f t="shared" si="0"/>
        <v>E2_7_7_1_mRNA</v>
      </c>
      <c r="D207" s="49" t="str">
        <f t="shared" si="1"/>
        <v>E2_7_7_1</v>
      </c>
      <c r="E207" s="64" t="str">
        <f t="shared" si="2"/>
        <v>E2_7_7_1_kcat : 13.7</v>
      </c>
      <c r="F207" s="65" t="str">
        <f t="shared" si="3"/>
        <v>E2_7_7_1_km : 1</v>
      </c>
      <c r="G207" s="66" t="str">
        <f t="shared" ref="G207:H207" si="418">CONCATENATE(C207," : ",C207)</f>
        <v>E2_7_7_1_mRNA : E2_7_7_1_mRNA</v>
      </c>
      <c r="H207" s="67" t="str">
        <f t="shared" si="418"/>
        <v>E2_7_7_1 : E2_7_7_1</v>
      </c>
      <c r="I207" s="44" t="str">
        <f t="shared" ref="I207:J207" si="419">CONCATENATE(C207," : ","0")</f>
        <v>E2_7_7_1_mRNA : 0</v>
      </c>
      <c r="J207" s="68" t="str">
        <f t="shared" si="419"/>
        <v>E2_7_7_1 : 0</v>
      </c>
      <c r="K207" s="69" t="str">
        <f t="shared" si="6"/>
        <v>0.00292 - (0.0093 * E2_7_7_1_mRNA)</v>
      </c>
      <c r="L207" s="70" t="str">
        <f t="shared" si="7"/>
        <v>(0.278 * E2_7_7_1_mRNA) - (0.00000278 * E2_7_7_1)</v>
      </c>
      <c r="M207" s="71" t="str">
        <f t="shared" si="8"/>
        <v>mRNA206: -&gt; E2_7_7_1_mRNA | 0.00292 - (0.0093 * E2_7_7_1_mRNA)</v>
      </c>
      <c r="N207" s="72" t="str">
        <f t="shared" si="9"/>
        <v>Peptide206: E2_7_7_1_mRNA -&gt; E2_7_7_1 | (0.278 * E2_7_7_1_mRNA) - (0.000000278 * E2_7_7_1)</v>
      </c>
    </row>
    <row r="208" spans="1:14" ht="29" x14ac:dyDescent="0.35">
      <c r="A208" s="49">
        <v>207</v>
      </c>
      <c r="B208" s="49" t="s">
        <v>14737</v>
      </c>
      <c r="C208" s="49" t="str">
        <f t="shared" si="0"/>
        <v>E4_1_99_12_mRNA</v>
      </c>
      <c r="D208" s="49" t="str">
        <f t="shared" si="1"/>
        <v>E4_1_99_12</v>
      </c>
      <c r="E208" s="64" t="str">
        <f t="shared" si="2"/>
        <v>E4_1_99_12_kcat : 13.7</v>
      </c>
      <c r="F208" s="65" t="str">
        <f t="shared" si="3"/>
        <v>E4_1_99_12_km : 1</v>
      </c>
      <c r="G208" s="66" t="str">
        <f t="shared" ref="G208:H208" si="420">CONCATENATE(C208," : ",C208)</f>
        <v>E4_1_99_12_mRNA : E4_1_99_12_mRNA</v>
      </c>
      <c r="H208" s="67" t="str">
        <f t="shared" si="420"/>
        <v>E4_1_99_12 : E4_1_99_12</v>
      </c>
      <c r="I208" s="44" t="str">
        <f t="shared" ref="I208:J208" si="421">CONCATENATE(C208," : ","0")</f>
        <v>E4_1_99_12_mRNA : 0</v>
      </c>
      <c r="J208" s="68" t="str">
        <f t="shared" si="421"/>
        <v>E4_1_99_12 : 0</v>
      </c>
      <c r="K208" s="69" t="str">
        <f t="shared" si="6"/>
        <v>0.00292 - (0.0093 * E4_1_99_12_mRNA)</v>
      </c>
      <c r="L208" s="70" t="str">
        <f t="shared" si="7"/>
        <v>(0.278 * E4_1_99_12_mRNA) - (0.00000278 * E4_1_99_12)</v>
      </c>
      <c r="M208" s="71" t="str">
        <f t="shared" si="8"/>
        <v>mRNA207: -&gt; E4_1_99_12_mRNA | 0.00292 - (0.0093 * E4_1_99_12_mRNA)</v>
      </c>
      <c r="N208" s="72" t="str">
        <f t="shared" si="9"/>
        <v>Peptide207: E4_1_99_12_mRNA -&gt; E4_1_99_12 | (0.278 * E4_1_99_12_mRNA) - (0.000000278 * E4_1_99_12)</v>
      </c>
    </row>
    <row r="209" spans="1:14" ht="29" x14ac:dyDescent="0.35">
      <c r="A209" s="49">
        <v>208</v>
      </c>
      <c r="B209" s="49" t="s">
        <v>14967</v>
      </c>
      <c r="C209" s="49" t="str">
        <f t="shared" si="0"/>
        <v>E2_1_1_207_mRNA</v>
      </c>
      <c r="D209" s="49" t="str">
        <f t="shared" si="1"/>
        <v>E2_1_1_207</v>
      </c>
      <c r="E209" s="64" t="str">
        <f t="shared" si="2"/>
        <v>E2_1_1_207_kcat : 13.7</v>
      </c>
      <c r="F209" s="65" t="str">
        <f t="shared" si="3"/>
        <v>E2_1_1_207_km : 1</v>
      </c>
      <c r="G209" s="66" t="str">
        <f t="shared" ref="G209:H209" si="422">CONCATENATE(C209," : ",C209)</f>
        <v>E2_1_1_207_mRNA : E2_1_1_207_mRNA</v>
      </c>
      <c r="H209" s="67" t="str">
        <f t="shared" si="422"/>
        <v>E2_1_1_207 : E2_1_1_207</v>
      </c>
      <c r="I209" s="44" t="str">
        <f t="shared" ref="I209:J209" si="423">CONCATENATE(C209," : ","0")</f>
        <v>E2_1_1_207_mRNA : 0</v>
      </c>
      <c r="J209" s="68" t="str">
        <f t="shared" si="423"/>
        <v>E2_1_1_207 : 0</v>
      </c>
      <c r="K209" s="69" t="str">
        <f t="shared" si="6"/>
        <v>0.00292 - (0.0093 * E2_1_1_207_mRNA)</v>
      </c>
      <c r="L209" s="70" t="str">
        <f t="shared" si="7"/>
        <v>(0.278 * E2_1_1_207_mRNA) - (0.00000278 * E2_1_1_207)</v>
      </c>
      <c r="M209" s="71" t="str">
        <f t="shared" si="8"/>
        <v>mRNA208: -&gt; E2_1_1_207_mRNA | 0.00292 - (0.0093 * E2_1_1_207_mRNA)</v>
      </c>
      <c r="N209" s="72" t="str">
        <f t="shared" si="9"/>
        <v>Peptide208: E2_1_1_207_mRNA -&gt; E2_1_1_207 | (0.278 * E2_1_1_207_mRNA) - (0.000000278 * E2_1_1_207)</v>
      </c>
    </row>
    <row r="210" spans="1:14" ht="29" x14ac:dyDescent="0.35">
      <c r="A210" s="49">
        <v>209</v>
      </c>
      <c r="B210" s="49" t="s">
        <v>14968</v>
      </c>
      <c r="C210" s="49" t="str">
        <f t="shared" si="0"/>
        <v>E2_1_1_171_mRNA</v>
      </c>
      <c r="D210" s="49" t="str">
        <f t="shared" si="1"/>
        <v>E2_1_1_171</v>
      </c>
      <c r="E210" s="64" t="str">
        <f t="shared" si="2"/>
        <v>E2_1_1_171_kcat : 13.7</v>
      </c>
      <c r="F210" s="65" t="str">
        <f t="shared" si="3"/>
        <v>E2_1_1_171_km : 1</v>
      </c>
      <c r="G210" s="66" t="str">
        <f t="shared" ref="G210:H210" si="424">CONCATENATE(C210," : ",C210)</f>
        <v>E2_1_1_171_mRNA : E2_1_1_171_mRNA</v>
      </c>
      <c r="H210" s="67" t="str">
        <f t="shared" si="424"/>
        <v>E2_1_1_171 : E2_1_1_171</v>
      </c>
      <c r="I210" s="44" t="str">
        <f t="shared" ref="I210:J210" si="425">CONCATENATE(C210," : ","0")</f>
        <v>E2_1_1_171_mRNA : 0</v>
      </c>
      <c r="J210" s="68" t="str">
        <f t="shared" si="425"/>
        <v>E2_1_1_171 : 0</v>
      </c>
      <c r="K210" s="69" t="str">
        <f t="shared" si="6"/>
        <v>0.00292 - (0.0093 * E2_1_1_171_mRNA)</v>
      </c>
      <c r="L210" s="70" t="str">
        <f t="shared" si="7"/>
        <v>(0.278 * E2_1_1_171_mRNA) - (0.00000278 * E2_1_1_171)</v>
      </c>
      <c r="M210" s="71" t="str">
        <f t="shared" si="8"/>
        <v>mRNA209: -&gt; E2_1_1_171_mRNA | 0.00292 - (0.0093 * E2_1_1_171_mRNA)</v>
      </c>
      <c r="N210" s="72" t="str">
        <f t="shared" si="9"/>
        <v>Peptide209: E2_1_1_171_mRNA -&gt; E2_1_1_171 | (0.278 * E2_1_1_171_mRNA) - (0.000000278 * E2_1_1_171)</v>
      </c>
    </row>
    <row r="211" spans="1:14" ht="29" x14ac:dyDescent="0.35">
      <c r="A211" s="49">
        <v>210</v>
      </c>
      <c r="B211" s="49" t="s">
        <v>14738</v>
      </c>
      <c r="C211" s="49" t="str">
        <f t="shared" si="0"/>
        <v>E1_1_1_267_mRNA</v>
      </c>
      <c r="D211" s="49" t="str">
        <f t="shared" si="1"/>
        <v>E1_1_1_267</v>
      </c>
      <c r="E211" s="64" t="str">
        <f t="shared" si="2"/>
        <v>E1_1_1_267_kcat : 13.7</v>
      </c>
      <c r="F211" s="65" t="str">
        <f t="shared" si="3"/>
        <v>E1_1_1_267_km : 1</v>
      </c>
      <c r="G211" s="66" t="str">
        <f t="shared" ref="G211:H211" si="426">CONCATENATE(C211," : ",C211)</f>
        <v>E1_1_1_267_mRNA : E1_1_1_267_mRNA</v>
      </c>
      <c r="H211" s="67" t="str">
        <f t="shared" si="426"/>
        <v>E1_1_1_267 : E1_1_1_267</v>
      </c>
      <c r="I211" s="44" t="str">
        <f t="shared" ref="I211:J211" si="427">CONCATENATE(C211," : ","0")</f>
        <v>E1_1_1_267_mRNA : 0</v>
      </c>
      <c r="J211" s="68" t="str">
        <f t="shared" si="427"/>
        <v>E1_1_1_267 : 0</v>
      </c>
      <c r="K211" s="69" t="str">
        <f t="shared" si="6"/>
        <v>0.00292 - (0.0093 * E1_1_1_267_mRNA)</v>
      </c>
      <c r="L211" s="70" t="str">
        <f t="shared" si="7"/>
        <v>(0.278 * E1_1_1_267_mRNA) - (0.00000278 * E1_1_1_267)</v>
      </c>
      <c r="M211" s="71" t="str">
        <f t="shared" si="8"/>
        <v>mRNA210: -&gt; E1_1_1_267_mRNA | 0.00292 - (0.0093 * E1_1_1_267_mRNA)</v>
      </c>
      <c r="N211" s="72" t="str">
        <f t="shared" si="9"/>
        <v>Peptide210: E1_1_1_267_mRNA -&gt; E1_1_1_267 | (0.278 * E1_1_1_267_mRNA) - (0.000000278 * E1_1_1_267)</v>
      </c>
    </row>
    <row r="212" spans="1:14" ht="29" x14ac:dyDescent="0.35">
      <c r="A212" s="49">
        <v>211</v>
      </c>
      <c r="B212" s="49" t="s">
        <v>14739</v>
      </c>
      <c r="C212" s="49" t="str">
        <f t="shared" si="0"/>
        <v>E4_1_1_49_mRNA</v>
      </c>
      <c r="D212" s="49" t="str">
        <f t="shared" si="1"/>
        <v>E4_1_1_49</v>
      </c>
      <c r="E212" s="64" t="str">
        <f t="shared" si="2"/>
        <v>E4_1_1_49_kcat : 13.7</v>
      </c>
      <c r="F212" s="65" t="str">
        <f t="shared" si="3"/>
        <v>E4_1_1_49_km : 1</v>
      </c>
      <c r="G212" s="66" t="str">
        <f t="shared" ref="G212:H212" si="428">CONCATENATE(C212," : ",C212)</f>
        <v>E4_1_1_49_mRNA : E4_1_1_49_mRNA</v>
      </c>
      <c r="H212" s="67" t="str">
        <f t="shared" si="428"/>
        <v>E4_1_1_49 : E4_1_1_49</v>
      </c>
      <c r="I212" s="44" t="str">
        <f t="shared" ref="I212:J212" si="429">CONCATENATE(C212," : ","0")</f>
        <v>E4_1_1_49_mRNA : 0</v>
      </c>
      <c r="J212" s="68" t="str">
        <f t="shared" si="429"/>
        <v>E4_1_1_49 : 0</v>
      </c>
      <c r="K212" s="69" t="str">
        <f t="shared" si="6"/>
        <v>0.00292 - (0.0093 * E4_1_1_49_mRNA)</v>
      </c>
      <c r="L212" s="70" t="str">
        <f t="shared" si="7"/>
        <v>(0.278 * E4_1_1_49_mRNA) - (0.00000278 * E4_1_1_49)</v>
      </c>
      <c r="M212" s="71" t="str">
        <f t="shared" si="8"/>
        <v>mRNA211: -&gt; E4_1_1_49_mRNA | 0.00292 - (0.0093 * E4_1_1_49_mRNA)</v>
      </c>
      <c r="N212" s="72" t="str">
        <f t="shared" si="9"/>
        <v>Peptide211: E4_1_1_49_mRNA -&gt; E4_1_1_49 | (0.278 * E4_1_1_49_mRNA) - (0.000000278 * E4_1_1_49)</v>
      </c>
    </row>
    <row r="213" spans="1:14" ht="29" x14ac:dyDescent="0.35">
      <c r="A213" s="49">
        <v>212</v>
      </c>
      <c r="B213" s="49" t="s">
        <v>14740</v>
      </c>
      <c r="C213" s="49" t="str">
        <f t="shared" si="0"/>
        <v>E4_3_2_1_mRNA</v>
      </c>
      <c r="D213" s="49" t="str">
        <f t="shared" si="1"/>
        <v>E4_3_2_1</v>
      </c>
      <c r="E213" s="64" t="str">
        <f t="shared" si="2"/>
        <v>E4_3_2_1_kcat : 13.7</v>
      </c>
      <c r="F213" s="65" t="str">
        <f t="shared" si="3"/>
        <v>E4_3_2_1_km : 1</v>
      </c>
      <c r="G213" s="66" t="str">
        <f t="shared" ref="G213:H213" si="430">CONCATENATE(C213," : ",C213)</f>
        <v>E4_3_2_1_mRNA : E4_3_2_1_mRNA</v>
      </c>
      <c r="H213" s="67" t="str">
        <f t="shared" si="430"/>
        <v>E4_3_2_1 : E4_3_2_1</v>
      </c>
      <c r="I213" s="44" t="str">
        <f t="shared" ref="I213:J213" si="431">CONCATENATE(C213," : ","0")</f>
        <v>E4_3_2_1_mRNA : 0</v>
      </c>
      <c r="J213" s="68" t="str">
        <f t="shared" si="431"/>
        <v>E4_3_2_1 : 0</v>
      </c>
      <c r="K213" s="69" t="str">
        <f t="shared" si="6"/>
        <v>0.00292 - (0.0093 * E4_3_2_1_mRNA)</v>
      </c>
      <c r="L213" s="70" t="str">
        <f t="shared" si="7"/>
        <v>(0.278 * E4_3_2_1_mRNA) - (0.00000278 * E4_3_2_1)</v>
      </c>
      <c r="M213" s="71" t="str">
        <f t="shared" si="8"/>
        <v>mRNA212: -&gt; E4_3_2_1_mRNA | 0.00292 - (0.0093 * E4_3_2_1_mRNA)</v>
      </c>
      <c r="N213" s="72" t="str">
        <f t="shared" si="9"/>
        <v>Peptide212: E4_3_2_1_mRNA -&gt; E4_3_2_1 | (0.278 * E4_3_2_1_mRNA) - (0.000000278 * E4_3_2_1)</v>
      </c>
    </row>
    <row r="214" spans="1:14" ht="29" x14ac:dyDescent="0.35">
      <c r="A214" s="49">
        <v>213</v>
      </c>
      <c r="B214" s="49" t="s">
        <v>14741</v>
      </c>
      <c r="C214" s="49" t="str">
        <f t="shared" si="0"/>
        <v>E2_7_7_9_mRNA</v>
      </c>
      <c r="D214" s="49" t="str">
        <f t="shared" si="1"/>
        <v>E2_7_7_9</v>
      </c>
      <c r="E214" s="64" t="str">
        <f t="shared" si="2"/>
        <v>E2_7_7_9_kcat : 13.7</v>
      </c>
      <c r="F214" s="65" t="str">
        <f t="shared" si="3"/>
        <v>E2_7_7_9_km : 1</v>
      </c>
      <c r="G214" s="66" t="str">
        <f t="shared" ref="G214:H214" si="432">CONCATENATE(C214," : ",C214)</f>
        <v>E2_7_7_9_mRNA : E2_7_7_9_mRNA</v>
      </c>
      <c r="H214" s="67" t="str">
        <f t="shared" si="432"/>
        <v>E2_7_7_9 : E2_7_7_9</v>
      </c>
      <c r="I214" s="44" t="str">
        <f t="shared" ref="I214:J214" si="433">CONCATENATE(C214," : ","0")</f>
        <v>E2_7_7_9_mRNA : 0</v>
      </c>
      <c r="J214" s="68" t="str">
        <f t="shared" si="433"/>
        <v>E2_7_7_9 : 0</v>
      </c>
      <c r="K214" s="69" t="str">
        <f t="shared" si="6"/>
        <v>0.00292 - (0.0093 * E2_7_7_9_mRNA)</v>
      </c>
      <c r="L214" s="70" t="str">
        <f t="shared" si="7"/>
        <v>(0.278 * E2_7_7_9_mRNA) - (0.00000278 * E2_7_7_9)</v>
      </c>
      <c r="M214" s="71" t="str">
        <f t="shared" si="8"/>
        <v>mRNA213: -&gt; E2_7_7_9_mRNA | 0.00292 - (0.0093 * E2_7_7_9_mRNA)</v>
      </c>
      <c r="N214" s="72" t="str">
        <f t="shared" si="9"/>
        <v>Peptide213: E2_7_7_9_mRNA -&gt; E2_7_7_9 | (0.278 * E2_7_7_9_mRNA) - (0.000000278 * E2_7_7_9)</v>
      </c>
    </row>
    <row r="215" spans="1:14" ht="29" x14ac:dyDescent="0.35">
      <c r="A215" s="49">
        <v>214</v>
      </c>
      <c r="B215" s="49" t="s">
        <v>14742</v>
      </c>
      <c r="C215" s="49" t="str">
        <f t="shared" si="0"/>
        <v>E6_1_1_7_mRNA</v>
      </c>
      <c r="D215" s="49" t="str">
        <f t="shared" si="1"/>
        <v>E6_1_1_7</v>
      </c>
      <c r="E215" s="64" t="str">
        <f t="shared" si="2"/>
        <v>E6_1_1_7_kcat : 13.7</v>
      </c>
      <c r="F215" s="65" t="str">
        <f t="shared" si="3"/>
        <v>E6_1_1_7_km : 1</v>
      </c>
      <c r="G215" s="66" t="str">
        <f t="shared" ref="G215:H215" si="434">CONCATENATE(C215," : ",C215)</f>
        <v>E6_1_1_7_mRNA : E6_1_1_7_mRNA</v>
      </c>
      <c r="H215" s="67" t="str">
        <f t="shared" si="434"/>
        <v>E6_1_1_7 : E6_1_1_7</v>
      </c>
      <c r="I215" s="44" t="str">
        <f t="shared" ref="I215:J215" si="435">CONCATENATE(C215," : ","0")</f>
        <v>E6_1_1_7_mRNA : 0</v>
      </c>
      <c r="J215" s="68" t="str">
        <f t="shared" si="435"/>
        <v>E6_1_1_7 : 0</v>
      </c>
      <c r="K215" s="69" t="str">
        <f t="shared" si="6"/>
        <v>0.00292 - (0.0093 * E6_1_1_7_mRNA)</v>
      </c>
      <c r="L215" s="70" t="str">
        <f t="shared" si="7"/>
        <v>(0.278 * E6_1_1_7_mRNA) - (0.00000278 * E6_1_1_7)</v>
      </c>
      <c r="M215" s="71" t="str">
        <f t="shared" si="8"/>
        <v>mRNA214: -&gt; E6_1_1_7_mRNA | 0.00292 - (0.0093 * E6_1_1_7_mRNA)</v>
      </c>
      <c r="N215" s="72" t="str">
        <f t="shared" si="9"/>
        <v>Peptide214: E6_1_1_7_mRNA -&gt; E6_1_1_7 | (0.278 * E6_1_1_7_mRNA) - (0.000000278 * E6_1_1_7)</v>
      </c>
    </row>
    <row r="216" spans="1:14" ht="29" x14ac:dyDescent="0.35">
      <c r="A216" s="49">
        <v>215</v>
      </c>
      <c r="B216" s="49" t="s">
        <v>14969</v>
      </c>
      <c r="C216" s="49" t="str">
        <f t="shared" si="0"/>
        <v>E3_4_11_9_mRNA</v>
      </c>
      <c r="D216" s="49" t="str">
        <f t="shared" si="1"/>
        <v>E3_4_11_9</v>
      </c>
      <c r="E216" s="64" t="str">
        <f t="shared" si="2"/>
        <v>E3_4_11_9_kcat : 13.7</v>
      </c>
      <c r="F216" s="65" t="str">
        <f t="shared" si="3"/>
        <v>E3_4_11_9_km : 1</v>
      </c>
      <c r="G216" s="66" t="str">
        <f t="shared" ref="G216:H216" si="436">CONCATENATE(C216," : ",C216)</f>
        <v>E3_4_11_9_mRNA : E3_4_11_9_mRNA</v>
      </c>
      <c r="H216" s="67" t="str">
        <f t="shared" si="436"/>
        <v>E3_4_11_9 : E3_4_11_9</v>
      </c>
      <c r="I216" s="44" t="str">
        <f t="shared" ref="I216:J216" si="437">CONCATENATE(C216," : ","0")</f>
        <v>E3_4_11_9_mRNA : 0</v>
      </c>
      <c r="J216" s="68" t="str">
        <f t="shared" si="437"/>
        <v>E3_4_11_9 : 0</v>
      </c>
      <c r="K216" s="69" t="str">
        <f t="shared" si="6"/>
        <v>0.00292 - (0.0093 * E3_4_11_9_mRNA)</v>
      </c>
      <c r="L216" s="70" t="str">
        <f t="shared" si="7"/>
        <v>(0.278 * E3_4_11_9_mRNA) - (0.00000278 * E3_4_11_9)</v>
      </c>
      <c r="M216" s="71" t="str">
        <f t="shared" si="8"/>
        <v>mRNA215: -&gt; E3_4_11_9_mRNA | 0.00292 - (0.0093 * E3_4_11_9_mRNA)</v>
      </c>
      <c r="N216" s="72" t="str">
        <f t="shared" si="9"/>
        <v>Peptide215: E3_4_11_9_mRNA -&gt; E3_4_11_9 | (0.278 * E3_4_11_9_mRNA) - (0.000000278 * E3_4_11_9)</v>
      </c>
    </row>
    <row r="217" spans="1:14" ht="29" x14ac:dyDescent="0.35">
      <c r="A217" s="49">
        <v>216</v>
      </c>
      <c r="B217" s="49" t="s">
        <v>14743</v>
      </c>
      <c r="C217" s="49" t="str">
        <f t="shared" si="0"/>
        <v>E2_7_1_6_mRNA</v>
      </c>
      <c r="D217" s="49" t="str">
        <f t="shared" si="1"/>
        <v>E2_7_1_6</v>
      </c>
      <c r="E217" s="64" t="str">
        <f t="shared" si="2"/>
        <v>E2_7_1_6_kcat : 13.7</v>
      </c>
      <c r="F217" s="65" t="str">
        <f t="shared" si="3"/>
        <v>E2_7_1_6_km : 1</v>
      </c>
      <c r="G217" s="66" t="str">
        <f t="shared" ref="G217:H217" si="438">CONCATENATE(C217," : ",C217)</f>
        <v>E2_7_1_6_mRNA : E2_7_1_6_mRNA</v>
      </c>
      <c r="H217" s="67" t="str">
        <f t="shared" si="438"/>
        <v>E2_7_1_6 : E2_7_1_6</v>
      </c>
      <c r="I217" s="44" t="str">
        <f t="shared" ref="I217:J217" si="439">CONCATENATE(C217," : ","0")</f>
        <v>E2_7_1_6_mRNA : 0</v>
      </c>
      <c r="J217" s="68" t="str">
        <f t="shared" si="439"/>
        <v>E2_7_1_6 : 0</v>
      </c>
      <c r="K217" s="69" t="str">
        <f t="shared" si="6"/>
        <v>0.00292 - (0.0093 * E2_7_1_6_mRNA)</v>
      </c>
      <c r="L217" s="70" t="str">
        <f t="shared" si="7"/>
        <v>(0.278 * E2_7_1_6_mRNA) - (0.00000278 * E2_7_1_6)</v>
      </c>
      <c r="M217" s="71" t="str">
        <f t="shared" si="8"/>
        <v>mRNA216: -&gt; E2_7_1_6_mRNA | 0.00292 - (0.0093 * E2_7_1_6_mRNA)</v>
      </c>
      <c r="N217" s="72" t="str">
        <f t="shared" si="9"/>
        <v>Peptide216: E2_7_1_6_mRNA -&gt; E2_7_1_6 | (0.278 * E2_7_1_6_mRNA) - (0.000000278 * E2_7_1_6)</v>
      </c>
    </row>
    <row r="218" spans="1:14" ht="29" x14ac:dyDescent="0.35">
      <c r="A218" s="49">
        <v>217</v>
      </c>
      <c r="B218" s="49" t="s">
        <v>14744</v>
      </c>
      <c r="C218" s="49" t="str">
        <f t="shared" si="0"/>
        <v>E3_1_2_20_mRNA</v>
      </c>
      <c r="D218" s="49" t="str">
        <f t="shared" si="1"/>
        <v>E3_1_2_20</v>
      </c>
      <c r="E218" s="64" t="str">
        <f t="shared" si="2"/>
        <v>E3_1_2_20_kcat : 13.7</v>
      </c>
      <c r="F218" s="65" t="str">
        <f t="shared" si="3"/>
        <v>E3_1_2_20_km : 1</v>
      </c>
      <c r="G218" s="66" t="str">
        <f t="shared" ref="G218:H218" si="440">CONCATENATE(C218," : ",C218)</f>
        <v>E3_1_2_20_mRNA : E3_1_2_20_mRNA</v>
      </c>
      <c r="H218" s="67" t="str">
        <f t="shared" si="440"/>
        <v>E3_1_2_20 : E3_1_2_20</v>
      </c>
      <c r="I218" s="44" t="str">
        <f t="shared" ref="I218:J218" si="441">CONCATENATE(C218," : ","0")</f>
        <v>E3_1_2_20_mRNA : 0</v>
      </c>
      <c r="J218" s="68" t="str">
        <f t="shared" si="441"/>
        <v>E3_1_2_20 : 0</v>
      </c>
      <c r="K218" s="69" t="str">
        <f t="shared" si="6"/>
        <v>0.00292 - (0.0093 * E3_1_2_20_mRNA)</v>
      </c>
      <c r="L218" s="70" t="str">
        <f t="shared" si="7"/>
        <v>(0.278 * E3_1_2_20_mRNA) - (0.00000278 * E3_1_2_20)</v>
      </c>
      <c r="M218" s="71" t="str">
        <f t="shared" si="8"/>
        <v>mRNA217: -&gt; E3_1_2_20_mRNA | 0.00292 - (0.0093 * E3_1_2_20_mRNA)</v>
      </c>
      <c r="N218" s="72" t="str">
        <f t="shared" si="9"/>
        <v>Peptide217: E3_1_2_20_mRNA -&gt; E3_1_2_20 | (0.278 * E3_1_2_20_mRNA) - (0.000000278 * E3_1_2_20)</v>
      </c>
    </row>
    <row r="219" spans="1:14" ht="29" x14ac:dyDescent="0.35">
      <c r="A219" s="49">
        <v>218</v>
      </c>
      <c r="B219" s="49" t="s">
        <v>14970</v>
      </c>
      <c r="C219" s="49" t="str">
        <f t="shared" si="0"/>
        <v>E2_4_1_129_mRNA</v>
      </c>
      <c r="D219" s="49" t="str">
        <f t="shared" si="1"/>
        <v>E2_4_1_129</v>
      </c>
      <c r="E219" s="64" t="str">
        <f t="shared" si="2"/>
        <v>E2_4_1_129_kcat : 13.7</v>
      </c>
      <c r="F219" s="65" t="str">
        <f t="shared" si="3"/>
        <v>E2_4_1_129_km : 1</v>
      </c>
      <c r="G219" s="66" t="str">
        <f t="shared" ref="G219:H219" si="442">CONCATENATE(C219," : ",C219)</f>
        <v>E2_4_1_129_mRNA : E2_4_1_129_mRNA</v>
      </c>
      <c r="H219" s="67" t="str">
        <f t="shared" si="442"/>
        <v>E2_4_1_129 : E2_4_1_129</v>
      </c>
      <c r="I219" s="44" t="str">
        <f t="shared" ref="I219:J219" si="443">CONCATENATE(C219," : ","0")</f>
        <v>E2_4_1_129_mRNA : 0</v>
      </c>
      <c r="J219" s="68" t="str">
        <f t="shared" si="443"/>
        <v>E2_4_1_129 : 0</v>
      </c>
      <c r="K219" s="69" t="str">
        <f t="shared" si="6"/>
        <v>0.00292 - (0.0093 * E2_4_1_129_mRNA)</v>
      </c>
      <c r="L219" s="70" t="str">
        <f t="shared" si="7"/>
        <v>(0.278 * E2_4_1_129_mRNA) - (0.00000278 * E2_4_1_129)</v>
      </c>
      <c r="M219" s="71" t="str">
        <f t="shared" si="8"/>
        <v>mRNA218: -&gt; E2_4_1_129_mRNA | 0.00292 - (0.0093 * E2_4_1_129_mRNA)</v>
      </c>
      <c r="N219" s="72" t="str">
        <f t="shared" si="9"/>
        <v>Peptide218: E2_4_1_129_mRNA -&gt; E2_4_1_129 | (0.278 * E2_4_1_129_mRNA) - (0.000000278 * E2_4_1_129)</v>
      </c>
    </row>
    <row r="220" spans="1:14" ht="29" x14ac:dyDescent="0.35">
      <c r="A220" s="49">
        <v>219</v>
      </c>
      <c r="B220" s="49" t="s">
        <v>14971</v>
      </c>
      <c r="C220" s="49" t="str">
        <f t="shared" si="0"/>
        <v>E1_3_5_4_mRNA</v>
      </c>
      <c r="D220" s="49" t="str">
        <f t="shared" si="1"/>
        <v>E1_3_5_4</v>
      </c>
      <c r="E220" s="64" t="str">
        <f t="shared" si="2"/>
        <v>E1_3_5_4_kcat : 13.7</v>
      </c>
      <c r="F220" s="65" t="str">
        <f t="shared" si="3"/>
        <v>E1_3_5_4_km : 1</v>
      </c>
      <c r="G220" s="66" t="str">
        <f t="shared" ref="G220:H220" si="444">CONCATENATE(C220," : ",C220)</f>
        <v>E1_3_5_4_mRNA : E1_3_5_4_mRNA</v>
      </c>
      <c r="H220" s="67" t="str">
        <f t="shared" si="444"/>
        <v>E1_3_5_4 : E1_3_5_4</v>
      </c>
      <c r="I220" s="44" t="str">
        <f t="shared" ref="I220:J220" si="445">CONCATENATE(C220," : ","0")</f>
        <v>E1_3_5_4_mRNA : 0</v>
      </c>
      <c r="J220" s="68" t="str">
        <f t="shared" si="445"/>
        <v>E1_3_5_4 : 0</v>
      </c>
      <c r="K220" s="69" t="str">
        <f t="shared" si="6"/>
        <v>0.00292 - (0.0093 * E1_3_5_4_mRNA)</v>
      </c>
      <c r="L220" s="70" t="str">
        <f t="shared" si="7"/>
        <v>(0.278 * E1_3_5_4_mRNA) - (0.00000278 * E1_3_5_4)</v>
      </c>
      <c r="M220" s="71" t="str">
        <f t="shared" si="8"/>
        <v>mRNA219: -&gt; E1_3_5_4_mRNA | 0.00292 - (0.0093 * E1_3_5_4_mRNA)</v>
      </c>
      <c r="N220" s="72" t="str">
        <f t="shared" si="9"/>
        <v>Peptide219: E1_3_5_4_mRNA -&gt; E1_3_5_4 | (0.278 * E1_3_5_4_mRNA) - (0.000000278 * E1_3_5_4)</v>
      </c>
    </row>
    <row r="221" spans="1:14" ht="29" x14ac:dyDescent="0.35">
      <c r="A221" s="49">
        <v>220</v>
      </c>
      <c r="B221" s="49" t="s">
        <v>14745</v>
      </c>
      <c r="C221" s="49" t="str">
        <f t="shared" si="0"/>
        <v>E2_7_7_77_mRNA</v>
      </c>
      <c r="D221" s="49" t="str">
        <f t="shared" si="1"/>
        <v>E2_7_7_77</v>
      </c>
      <c r="E221" s="64" t="str">
        <f t="shared" si="2"/>
        <v>E2_7_7_77_kcat : 13.7</v>
      </c>
      <c r="F221" s="65" t="str">
        <f t="shared" si="3"/>
        <v>E2_7_7_77_km : 1</v>
      </c>
      <c r="G221" s="66" t="str">
        <f t="shared" ref="G221:H221" si="446">CONCATENATE(C221," : ",C221)</f>
        <v>E2_7_7_77_mRNA : E2_7_7_77_mRNA</v>
      </c>
      <c r="H221" s="67" t="str">
        <f t="shared" si="446"/>
        <v>E2_7_7_77 : E2_7_7_77</v>
      </c>
      <c r="I221" s="44" t="str">
        <f t="shared" ref="I221:J221" si="447">CONCATENATE(C221," : ","0")</f>
        <v>E2_7_7_77_mRNA : 0</v>
      </c>
      <c r="J221" s="68" t="str">
        <f t="shared" si="447"/>
        <v>E2_7_7_77 : 0</v>
      </c>
      <c r="K221" s="69" t="str">
        <f t="shared" si="6"/>
        <v>0.00292 - (0.0093 * E2_7_7_77_mRNA)</v>
      </c>
      <c r="L221" s="70" t="str">
        <f t="shared" si="7"/>
        <v>(0.278 * E2_7_7_77_mRNA) - (0.00000278 * E2_7_7_77)</v>
      </c>
      <c r="M221" s="71" t="str">
        <f t="shared" si="8"/>
        <v>mRNA220: -&gt; E2_7_7_77_mRNA | 0.00292 - (0.0093 * E2_7_7_77_mRNA)</v>
      </c>
      <c r="N221" s="72" t="str">
        <f t="shared" si="9"/>
        <v>Peptide220: E2_7_7_77_mRNA -&gt; E2_7_7_77 | (0.278 * E2_7_7_77_mRNA) - (0.000000278 * E2_7_7_77)</v>
      </c>
    </row>
    <row r="222" spans="1:14" ht="29" x14ac:dyDescent="0.35">
      <c r="A222" s="49">
        <v>221</v>
      </c>
      <c r="B222" s="49" t="s">
        <v>14746</v>
      </c>
      <c r="C222" s="49" t="str">
        <f t="shared" si="0"/>
        <v>E2_1_1_35_mRNA</v>
      </c>
      <c r="D222" s="49" t="str">
        <f t="shared" si="1"/>
        <v>E2_1_1_35</v>
      </c>
      <c r="E222" s="64" t="str">
        <f t="shared" si="2"/>
        <v>E2_1_1_35_kcat : 13.7</v>
      </c>
      <c r="F222" s="65" t="str">
        <f t="shared" si="3"/>
        <v>E2_1_1_35_km : 1</v>
      </c>
      <c r="G222" s="66" t="str">
        <f t="shared" ref="G222:H222" si="448">CONCATENATE(C222," : ",C222)</f>
        <v>E2_1_1_35_mRNA : E2_1_1_35_mRNA</v>
      </c>
      <c r="H222" s="67" t="str">
        <f t="shared" si="448"/>
        <v>E2_1_1_35 : E2_1_1_35</v>
      </c>
      <c r="I222" s="44" t="str">
        <f t="shared" ref="I222:J222" si="449">CONCATENATE(C222," : ","0")</f>
        <v>E2_1_1_35_mRNA : 0</v>
      </c>
      <c r="J222" s="68" t="str">
        <f t="shared" si="449"/>
        <v>E2_1_1_35 : 0</v>
      </c>
      <c r="K222" s="69" t="str">
        <f t="shared" si="6"/>
        <v>0.00292 - (0.0093 * E2_1_1_35_mRNA)</v>
      </c>
      <c r="L222" s="70" t="str">
        <f t="shared" si="7"/>
        <v>(0.278 * E2_1_1_35_mRNA) - (0.00000278 * E2_1_1_35)</v>
      </c>
      <c r="M222" s="71" t="str">
        <f t="shared" si="8"/>
        <v>mRNA221: -&gt; E2_1_1_35_mRNA | 0.00292 - (0.0093 * E2_1_1_35_mRNA)</v>
      </c>
      <c r="N222" s="72" t="str">
        <f t="shared" si="9"/>
        <v>Peptide221: E2_1_1_35_mRNA -&gt; E2_1_1_35 | (0.278 * E2_1_1_35_mRNA) - (0.000000278 * E2_1_1_35)</v>
      </c>
    </row>
    <row r="223" spans="1:14" ht="29" x14ac:dyDescent="0.35">
      <c r="A223" s="49">
        <v>222</v>
      </c>
      <c r="B223" s="49" t="s">
        <v>14747</v>
      </c>
      <c r="C223" s="49" t="str">
        <f t="shared" si="0"/>
        <v>E1_14_14_18_mRNA</v>
      </c>
      <c r="D223" s="49" t="str">
        <f t="shared" si="1"/>
        <v>E1_14_14_18</v>
      </c>
      <c r="E223" s="64" t="str">
        <f t="shared" si="2"/>
        <v>E1_14_14_18_kcat : 13.7</v>
      </c>
      <c r="F223" s="65" t="str">
        <f t="shared" si="3"/>
        <v>E1_14_14_18_km : 1</v>
      </c>
      <c r="G223" s="66" t="str">
        <f t="shared" ref="G223:H223" si="450">CONCATENATE(C223," : ",C223)</f>
        <v>E1_14_14_18_mRNA : E1_14_14_18_mRNA</v>
      </c>
      <c r="H223" s="67" t="str">
        <f t="shared" si="450"/>
        <v>E1_14_14_18 : E1_14_14_18</v>
      </c>
      <c r="I223" s="44" t="str">
        <f t="shared" ref="I223:J223" si="451">CONCATENATE(C223," : ","0")</f>
        <v>E1_14_14_18_mRNA : 0</v>
      </c>
      <c r="J223" s="68" t="str">
        <f t="shared" si="451"/>
        <v>E1_14_14_18 : 0</v>
      </c>
      <c r="K223" s="69" t="str">
        <f t="shared" si="6"/>
        <v>0.00292 - (0.0093 * E1_14_14_18_mRNA)</v>
      </c>
      <c r="L223" s="70" t="str">
        <f t="shared" si="7"/>
        <v>(0.278 * E1_14_14_18_mRNA) - (0.00000278 * E1_14_14_18)</v>
      </c>
      <c r="M223" s="71" t="str">
        <f t="shared" si="8"/>
        <v>mRNA222: -&gt; E1_14_14_18_mRNA | 0.00292 - (0.0093 * E1_14_14_18_mRNA)</v>
      </c>
      <c r="N223" s="72" t="str">
        <f t="shared" si="9"/>
        <v>Peptide222: E1_14_14_18_mRNA -&gt; E1_14_14_18 | (0.278 * E1_14_14_18_mRNA) - (0.000000278 * E1_14_14_18)</v>
      </c>
    </row>
    <row r="224" spans="1:14" ht="29" x14ac:dyDescent="0.35">
      <c r="A224" s="49">
        <v>223</v>
      </c>
      <c r="B224" s="49" t="s">
        <v>14748</v>
      </c>
      <c r="C224" s="49" t="str">
        <f t="shared" si="0"/>
        <v>E6_3_3_2_mRNA</v>
      </c>
      <c r="D224" s="49" t="str">
        <f t="shared" si="1"/>
        <v>E6_3_3_2</v>
      </c>
      <c r="E224" s="64" t="str">
        <f t="shared" si="2"/>
        <v>E6_3_3_2_kcat : 13.7</v>
      </c>
      <c r="F224" s="65" t="str">
        <f t="shared" si="3"/>
        <v>E6_3_3_2_km : 1</v>
      </c>
      <c r="G224" s="66" t="str">
        <f t="shared" ref="G224:H224" si="452">CONCATENATE(C224," : ",C224)</f>
        <v>E6_3_3_2_mRNA : E6_3_3_2_mRNA</v>
      </c>
      <c r="H224" s="67" t="str">
        <f t="shared" si="452"/>
        <v>E6_3_3_2 : E6_3_3_2</v>
      </c>
      <c r="I224" s="44" t="str">
        <f t="shared" ref="I224:J224" si="453">CONCATENATE(C224," : ","0")</f>
        <v>E6_3_3_2_mRNA : 0</v>
      </c>
      <c r="J224" s="68" t="str">
        <f t="shared" si="453"/>
        <v>E6_3_3_2 : 0</v>
      </c>
      <c r="K224" s="69" t="str">
        <f t="shared" si="6"/>
        <v>0.00292 - (0.0093 * E6_3_3_2_mRNA)</v>
      </c>
      <c r="L224" s="70" t="str">
        <f t="shared" si="7"/>
        <v>(0.278 * E6_3_3_2_mRNA) - (0.00000278 * E6_3_3_2)</v>
      </c>
      <c r="M224" s="71" t="str">
        <f t="shared" si="8"/>
        <v>mRNA223: -&gt; E6_3_3_2_mRNA | 0.00292 - (0.0093 * E6_3_3_2_mRNA)</v>
      </c>
      <c r="N224" s="72" t="str">
        <f t="shared" si="9"/>
        <v>Peptide223: E6_3_3_2_mRNA -&gt; E6_3_3_2 | (0.278 * E6_3_3_2_mRNA) - (0.000000278 * E6_3_3_2)</v>
      </c>
    </row>
    <row r="225" spans="1:14" ht="29" x14ac:dyDescent="0.35">
      <c r="A225" s="49">
        <v>224</v>
      </c>
      <c r="B225" s="49" t="s">
        <v>14972</v>
      </c>
      <c r="C225" s="49" t="str">
        <f t="shared" si="0"/>
        <v>E2_1_1_185_mRNA</v>
      </c>
      <c r="D225" s="49" t="str">
        <f t="shared" si="1"/>
        <v>E2_1_1_185</v>
      </c>
      <c r="E225" s="64" t="str">
        <f t="shared" si="2"/>
        <v>E2_1_1_185_kcat : 13.7</v>
      </c>
      <c r="F225" s="65" t="str">
        <f t="shared" si="3"/>
        <v>E2_1_1_185_km : 1</v>
      </c>
      <c r="G225" s="66" t="str">
        <f t="shared" ref="G225:H225" si="454">CONCATENATE(C225," : ",C225)</f>
        <v>E2_1_1_185_mRNA : E2_1_1_185_mRNA</v>
      </c>
      <c r="H225" s="67" t="str">
        <f t="shared" si="454"/>
        <v>E2_1_1_185 : E2_1_1_185</v>
      </c>
      <c r="I225" s="44" t="str">
        <f t="shared" ref="I225:J225" si="455">CONCATENATE(C225," : ","0")</f>
        <v>E2_1_1_185_mRNA : 0</v>
      </c>
      <c r="J225" s="68" t="str">
        <f t="shared" si="455"/>
        <v>E2_1_1_185 : 0</v>
      </c>
      <c r="K225" s="69" t="str">
        <f t="shared" si="6"/>
        <v>0.00292 - (0.0093 * E2_1_1_185_mRNA)</v>
      </c>
      <c r="L225" s="70" t="str">
        <f t="shared" si="7"/>
        <v>(0.278 * E2_1_1_185_mRNA) - (0.00000278 * E2_1_1_185)</v>
      </c>
      <c r="M225" s="71" t="str">
        <f t="shared" si="8"/>
        <v>mRNA224: -&gt; E2_1_1_185_mRNA | 0.00292 - (0.0093 * E2_1_1_185_mRNA)</v>
      </c>
      <c r="N225" s="72" t="str">
        <f t="shared" si="9"/>
        <v>Peptide224: E2_1_1_185_mRNA -&gt; E2_1_1_185 | (0.278 * E2_1_1_185_mRNA) - (0.000000278 * E2_1_1_185)</v>
      </c>
    </row>
    <row r="226" spans="1:14" ht="29" x14ac:dyDescent="0.35">
      <c r="A226" s="49">
        <v>225</v>
      </c>
      <c r="B226" s="49" t="s">
        <v>14973</v>
      </c>
      <c r="C226" s="49" t="str">
        <f t="shared" si="0"/>
        <v>E3_1_13_1_mRNA</v>
      </c>
      <c r="D226" s="49" t="str">
        <f t="shared" si="1"/>
        <v>E3_1_13_1</v>
      </c>
      <c r="E226" s="64" t="str">
        <f t="shared" si="2"/>
        <v>E3_1_13_1_kcat : 13.7</v>
      </c>
      <c r="F226" s="65" t="str">
        <f t="shared" si="3"/>
        <v>E3_1_13_1_km : 1</v>
      </c>
      <c r="G226" s="66" t="str">
        <f t="shared" ref="G226:H226" si="456">CONCATENATE(C226," : ",C226)</f>
        <v>E3_1_13_1_mRNA : E3_1_13_1_mRNA</v>
      </c>
      <c r="H226" s="67" t="str">
        <f t="shared" si="456"/>
        <v>E3_1_13_1 : E3_1_13_1</v>
      </c>
      <c r="I226" s="44" t="str">
        <f t="shared" ref="I226:J226" si="457">CONCATENATE(C226," : ","0")</f>
        <v>E3_1_13_1_mRNA : 0</v>
      </c>
      <c r="J226" s="68" t="str">
        <f t="shared" si="457"/>
        <v>E3_1_13_1 : 0</v>
      </c>
      <c r="K226" s="69" t="str">
        <f t="shared" si="6"/>
        <v>0.00292 - (0.0093 * E3_1_13_1_mRNA)</v>
      </c>
      <c r="L226" s="70" t="str">
        <f t="shared" si="7"/>
        <v>(0.278 * E3_1_13_1_mRNA) - (0.00000278 * E3_1_13_1)</v>
      </c>
      <c r="M226" s="71" t="str">
        <f t="shared" si="8"/>
        <v>mRNA225: -&gt; E3_1_13_1_mRNA | 0.00292 - (0.0093 * E3_1_13_1_mRNA)</v>
      </c>
      <c r="N226" s="72" t="str">
        <f t="shared" si="9"/>
        <v>Peptide225: E3_1_13_1_mRNA -&gt; E3_1_13_1 | (0.278 * E3_1_13_1_mRNA) - (0.000000278 * E3_1_13_1)</v>
      </c>
    </row>
    <row r="227" spans="1:14" ht="29" x14ac:dyDescent="0.35">
      <c r="A227" s="49">
        <v>226</v>
      </c>
      <c r="B227" s="49" t="s">
        <v>14749</v>
      </c>
      <c r="C227" s="49" t="str">
        <f t="shared" si="0"/>
        <v>E1_4_3_5_mRNA</v>
      </c>
      <c r="D227" s="49" t="str">
        <f t="shared" si="1"/>
        <v>E1_4_3_5</v>
      </c>
      <c r="E227" s="64" t="str">
        <f t="shared" si="2"/>
        <v>E1_4_3_5_kcat : 13.7</v>
      </c>
      <c r="F227" s="65" t="str">
        <f t="shared" si="3"/>
        <v>E1_4_3_5_km : 1</v>
      </c>
      <c r="G227" s="66" t="str">
        <f t="shared" ref="G227:H227" si="458">CONCATENATE(C227," : ",C227)</f>
        <v>E1_4_3_5_mRNA : E1_4_3_5_mRNA</v>
      </c>
      <c r="H227" s="67" t="str">
        <f t="shared" si="458"/>
        <v>E1_4_3_5 : E1_4_3_5</v>
      </c>
      <c r="I227" s="44" t="str">
        <f t="shared" ref="I227:J227" si="459">CONCATENATE(C227," : ","0")</f>
        <v>E1_4_3_5_mRNA : 0</v>
      </c>
      <c r="J227" s="68" t="str">
        <f t="shared" si="459"/>
        <v>E1_4_3_5 : 0</v>
      </c>
      <c r="K227" s="69" t="str">
        <f t="shared" si="6"/>
        <v>0.00292 - (0.0093 * E1_4_3_5_mRNA)</v>
      </c>
      <c r="L227" s="70" t="str">
        <f t="shared" si="7"/>
        <v>(0.278 * E1_4_3_5_mRNA) - (0.00000278 * E1_4_3_5)</v>
      </c>
      <c r="M227" s="71" t="str">
        <f t="shared" si="8"/>
        <v>mRNA226: -&gt; E1_4_3_5_mRNA | 0.00292 - (0.0093 * E1_4_3_5_mRNA)</v>
      </c>
      <c r="N227" s="72" t="str">
        <f t="shared" si="9"/>
        <v>Peptide226: E1_4_3_5_mRNA -&gt; E1_4_3_5 | (0.278 * E1_4_3_5_mRNA) - (0.000000278 * E1_4_3_5)</v>
      </c>
    </row>
    <row r="228" spans="1:14" ht="29" x14ac:dyDescent="0.35">
      <c r="A228" s="49">
        <v>227</v>
      </c>
      <c r="B228" s="49" t="s">
        <v>14750</v>
      </c>
      <c r="C228" s="49" t="str">
        <f t="shared" si="0"/>
        <v>E6_3_1_2_mRNA</v>
      </c>
      <c r="D228" s="49" t="str">
        <f t="shared" si="1"/>
        <v>E6_3_1_2</v>
      </c>
      <c r="E228" s="64" t="str">
        <f t="shared" si="2"/>
        <v>E6_3_1_2_kcat : 13.7</v>
      </c>
      <c r="F228" s="65" t="str">
        <f t="shared" si="3"/>
        <v>E6_3_1_2_km : 1</v>
      </c>
      <c r="G228" s="66" t="str">
        <f t="shared" ref="G228:H228" si="460">CONCATENATE(C228," : ",C228)</f>
        <v>E6_3_1_2_mRNA : E6_3_1_2_mRNA</v>
      </c>
      <c r="H228" s="67" t="str">
        <f t="shared" si="460"/>
        <v>E6_3_1_2 : E6_3_1_2</v>
      </c>
      <c r="I228" s="44" t="str">
        <f t="shared" ref="I228:J228" si="461">CONCATENATE(C228," : ","0")</f>
        <v>E6_3_1_2_mRNA : 0</v>
      </c>
      <c r="J228" s="68" t="str">
        <f t="shared" si="461"/>
        <v>E6_3_1_2 : 0</v>
      </c>
      <c r="K228" s="69" t="str">
        <f t="shared" si="6"/>
        <v>0.00292 - (0.0093 * E6_3_1_2_mRNA)</v>
      </c>
      <c r="L228" s="70" t="str">
        <f t="shared" si="7"/>
        <v>(0.278 * E6_3_1_2_mRNA) - (0.00000278 * E6_3_1_2)</v>
      </c>
      <c r="M228" s="71" t="str">
        <f t="shared" si="8"/>
        <v>mRNA227: -&gt; E6_3_1_2_mRNA | 0.00292 - (0.0093 * E6_3_1_2_mRNA)</v>
      </c>
      <c r="N228" s="72" t="str">
        <f t="shared" si="9"/>
        <v>Peptide227: E6_3_1_2_mRNA -&gt; E6_3_1_2 | (0.278 * E6_3_1_2_mRNA) - (0.000000278 * E6_3_1_2)</v>
      </c>
    </row>
    <row r="229" spans="1:14" ht="29" x14ac:dyDescent="0.35">
      <c r="A229" s="49">
        <v>228</v>
      </c>
      <c r="B229" s="49" t="s">
        <v>14751</v>
      </c>
      <c r="C229" s="49" t="str">
        <f t="shared" si="0"/>
        <v>E4_2_1_46_mRNA</v>
      </c>
      <c r="D229" s="49" t="str">
        <f t="shared" si="1"/>
        <v>E4_2_1_46</v>
      </c>
      <c r="E229" s="64" t="str">
        <f t="shared" si="2"/>
        <v>E4_2_1_46_kcat : 13.7</v>
      </c>
      <c r="F229" s="65" t="str">
        <f t="shared" si="3"/>
        <v>E4_2_1_46_km : 1</v>
      </c>
      <c r="G229" s="66" t="str">
        <f t="shared" ref="G229:H229" si="462">CONCATENATE(C229," : ",C229)</f>
        <v>E4_2_1_46_mRNA : E4_2_1_46_mRNA</v>
      </c>
      <c r="H229" s="67" t="str">
        <f t="shared" si="462"/>
        <v>E4_2_1_46 : E4_2_1_46</v>
      </c>
      <c r="I229" s="44" t="str">
        <f t="shared" ref="I229:J229" si="463">CONCATENATE(C229," : ","0")</f>
        <v>E4_2_1_46_mRNA : 0</v>
      </c>
      <c r="J229" s="68" t="str">
        <f t="shared" si="463"/>
        <v>E4_2_1_46 : 0</v>
      </c>
      <c r="K229" s="69" t="str">
        <f t="shared" si="6"/>
        <v>0.00292 - (0.0093 * E4_2_1_46_mRNA)</v>
      </c>
      <c r="L229" s="70" t="str">
        <f t="shared" si="7"/>
        <v>(0.278 * E4_2_1_46_mRNA) - (0.00000278 * E4_2_1_46)</v>
      </c>
      <c r="M229" s="71" t="str">
        <f t="shared" si="8"/>
        <v>mRNA228: -&gt; E4_2_1_46_mRNA | 0.00292 - (0.0093 * E4_2_1_46_mRNA)</v>
      </c>
      <c r="N229" s="72" t="str">
        <f t="shared" si="9"/>
        <v>Peptide228: E4_2_1_46_mRNA -&gt; E4_2_1_46 | (0.278 * E4_2_1_46_mRNA) - (0.000000278 * E4_2_1_46)</v>
      </c>
    </row>
    <row r="230" spans="1:14" ht="29" x14ac:dyDescent="0.35">
      <c r="A230" s="49">
        <v>229</v>
      </c>
      <c r="B230" s="49" t="s">
        <v>14752</v>
      </c>
      <c r="C230" s="49" t="str">
        <f t="shared" si="0"/>
        <v>E3_4_11_23_mRNA</v>
      </c>
      <c r="D230" s="49" t="str">
        <f t="shared" si="1"/>
        <v>E3_4_11_23</v>
      </c>
      <c r="E230" s="64" t="str">
        <f t="shared" si="2"/>
        <v>E3_4_11_23_kcat : 13.7</v>
      </c>
      <c r="F230" s="65" t="str">
        <f t="shared" si="3"/>
        <v>E3_4_11_23_km : 1</v>
      </c>
      <c r="G230" s="66" t="str">
        <f t="shared" ref="G230:H230" si="464">CONCATENATE(C230," : ",C230)</f>
        <v>E3_4_11_23_mRNA : E3_4_11_23_mRNA</v>
      </c>
      <c r="H230" s="67" t="str">
        <f t="shared" si="464"/>
        <v>E3_4_11_23 : E3_4_11_23</v>
      </c>
      <c r="I230" s="44" t="str">
        <f t="shared" ref="I230:J230" si="465">CONCATENATE(C230," : ","0")</f>
        <v>E3_4_11_23_mRNA : 0</v>
      </c>
      <c r="J230" s="68" t="str">
        <f t="shared" si="465"/>
        <v>E3_4_11_23 : 0</v>
      </c>
      <c r="K230" s="69" t="str">
        <f t="shared" si="6"/>
        <v>0.00292 - (0.0093 * E3_4_11_23_mRNA)</v>
      </c>
      <c r="L230" s="70" t="str">
        <f t="shared" si="7"/>
        <v>(0.278 * E3_4_11_23_mRNA) - (0.00000278 * E3_4_11_23)</v>
      </c>
      <c r="M230" s="71" t="str">
        <f t="shared" si="8"/>
        <v>mRNA229: -&gt; E3_4_11_23_mRNA | 0.00292 - (0.0093 * E3_4_11_23_mRNA)</v>
      </c>
      <c r="N230" s="72" t="str">
        <f t="shared" si="9"/>
        <v>Peptide229: E3_4_11_23_mRNA -&gt; E3_4_11_23 | (0.278 * E3_4_11_23_mRNA) - (0.000000278 * E3_4_11_23)</v>
      </c>
    </row>
    <row r="231" spans="1:14" ht="29" x14ac:dyDescent="0.35">
      <c r="A231" s="49">
        <v>230</v>
      </c>
      <c r="B231" s="49" t="s">
        <v>14753</v>
      </c>
      <c r="C231" s="49" t="str">
        <f t="shared" si="0"/>
        <v>E2_7_4_6_mRNA</v>
      </c>
      <c r="D231" s="49" t="str">
        <f t="shared" si="1"/>
        <v>E2_7_4_6</v>
      </c>
      <c r="E231" s="64" t="str">
        <f t="shared" si="2"/>
        <v>E2_7_4_6_kcat : 13.7</v>
      </c>
      <c r="F231" s="65" t="str">
        <f t="shared" si="3"/>
        <v>E2_7_4_6_km : 1</v>
      </c>
      <c r="G231" s="66" t="str">
        <f t="shared" ref="G231:H231" si="466">CONCATENATE(C231," : ",C231)</f>
        <v>E2_7_4_6_mRNA : E2_7_4_6_mRNA</v>
      </c>
      <c r="H231" s="67" t="str">
        <f t="shared" si="466"/>
        <v>E2_7_4_6 : E2_7_4_6</v>
      </c>
      <c r="I231" s="44" t="str">
        <f t="shared" ref="I231:J231" si="467">CONCATENATE(C231," : ","0")</f>
        <v>E2_7_4_6_mRNA : 0</v>
      </c>
      <c r="J231" s="68" t="str">
        <f t="shared" si="467"/>
        <v>E2_7_4_6 : 0</v>
      </c>
      <c r="K231" s="69" t="str">
        <f t="shared" si="6"/>
        <v>0.00292 - (0.0093 * E2_7_4_6_mRNA)</v>
      </c>
      <c r="L231" s="70" t="str">
        <f t="shared" si="7"/>
        <v>(0.278 * E2_7_4_6_mRNA) - (0.00000278 * E2_7_4_6)</v>
      </c>
      <c r="M231" s="71" t="str">
        <f t="shared" si="8"/>
        <v>mRNA230: -&gt; E2_7_4_6_mRNA | 0.00292 - (0.0093 * E2_7_4_6_mRNA)</v>
      </c>
      <c r="N231" s="72" t="str">
        <f t="shared" si="9"/>
        <v>Peptide230: E2_7_4_6_mRNA -&gt; E2_7_4_6 | (0.278 * E2_7_4_6_mRNA) - (0.000000278 * E2_7_4_6)</v>
      </c>
    </row>
    <row r="232" spans="1:14" ht="29" x14ac:dyDescent="0.35">
      <c r="A232" s="49">
        <v>231</v>
      </c>
      <c r="B232" s="49" t="s">
        <v>14754</v>
      </c>
      <c r="C232" s="49" t="str">
        <f t="shared" si="0"/>
        <v>E2_5_1_90_mRNA</v>
      </c>
      <c r="D232" s="49" t="str">
        <f t="shared" si="1"/>
        <v>E2_5_1_90</v>
      </c>
      <c r="E232" s="64" t="str">
        <f t="shared" si="2"/>
        <v>E2_5_1_90_kcat : 13.7</v>
      </c>
      <c r="F232" s="65" t="str">
        <f t="shared" si="3"/>
        <v>E2_5_1_90_km : 1</v>
      </c>
      <c r="G232" s="66" t="str">
        <f t="shared" ref="G232:H232" si="468">CONCATENATE(C232," : ",C232)</f>
        <v>E2_5_1_90_mRNA : E2_5_1_90_mRNA</v>
      </c>
      <c r="H232" s="67" t="str">
        <f t="shared" si="468"/>
        <v>E2_5_1_90 : E2_5_1_90</v>
      </c>
      <c r="I232" s="44" t="str">
        <f t="shared" ref="I232:J232" si="469">CONCATENATE(C232," : ","0")</f>
        <v>E2_5_1_90_mRNA : 0</v>
      </c>
      <c r="J232" s="68" t="str">
        <f t="shared" si="469"/>
        <v>E2_5_1_90 : 0</v>
      </c>
      <c r="K232" s="69" t="str">
        <f t="shared" si="6"/>
        <v>0.00292 - (0.0093 * E2_5_1_90_mRNA)</v>
      </c>
      <c r="L232" s="70" t="str">
        <f t="shared" si="7"/>
        <v>(0.278 * E2_5_1_90_mRNA) - (0.00000278 * E2_5_1_90)</v>
      </c>
      <c r="M232" s="71" t="str">
        <f t="shared" si="8"/>
        <v>mRNA231: -&gt; E2_5_1_90_mRNA | 0.00292 - (0.0093 * E2_5_1_90_mRNA)</v>
      </c>
      <c r="N232" s="72" t="str">
        <f t="shared" si="9"/>
        <v>Peptide231: E2_5_1_90_mRNA -&gt; E2_5_1_90 | (0.278 * E2_5_1_90_mRNA) - (0.000000278 * E2_5_1_90)</v>
      </c>
    </row>
    <row r="233" spans="1:14" ht="29" x14ac:dyDescent="0.35">
      <c r="A233" s="49">
        <v>232</v>
      </c>
      <c r="B233" s="49" t="s">
        <v>14755</v>
      </c>
      <c r="C233" s="49" t="str">
        <f t="shared" si="0"/>
        <v>E2_1_2_3_mRNA</v>
      </c>
      <c r="D233" s="49" t="str">
        <f t="shared" si="1"/>
        <v>E2_1_2_3</v>
      </c>
      <c r="E233" s="64" t="str">
        <f t="shared" si="2"/>
        <v>E2_1_2_3_kcat : 13.7</v>
      </c>
      <c r="F233" s="65" t="str">
        <f t="shared" si="3"/>
        <v>E2_1_2_3_km : 1</v>
      </c>
      <c r="G233" s="66" t="str">
        <f t="shared" ref="G233:H233" si="470">CONCATENATE(C233," : ",C233)</f>
        <v>E2_1_2_3_mRNA : E2_1_2_3_mRNA</v>
      </c>
      <c r="H233" s="67" t="str">
        <f t="shared" si="470"/>
        <v>E2_1_2_3 : E2_1_2_3</v>
      </c>
      <c r="I233" s="44" t="str">
        <f t="shared" ref="I233:J233" si="471">CONCATENATE(C233," : ","0")</f>
        <v>E2_1_2_3_mRNA : 0</v>
      </c>
      <c r="J233" s="68" t="str">
        <f t="shared" si="471"/>
        <v>E2_1_2_3 : 0</v>
      </c>
      <c r="K233" s="69" t="str">
        <f t="shared" si="6"/>
        <v>0.00292 - (0.0093 * E2_1_2_3_mRNA)</v>
      </c>
      <c r="L233" s="70" t="str">
        <f t="shared" si="7"/>
        <v>(0.278 * E2_1_2_3_mRNA) - (0.00000278 * E2_1_2_3)</v>
      </c>
      <c r="M233" s="71" t="str">
        <f t="shared" si="8"/>
        <v>mRNA232: -&gt; E2_1_2_3_mRNA | 0.00292 - (0.0093 * E2_1_2_3_mRNA)</v>
      </c>
      <c r="N233" s="72" t="str">
        <f t="shared" si="9"/>
        <v>Peptide232: E2_1_2_3_mRNA -&gt; E2_1_2_3 | (0.278 * E2_1_2_3_mRNA) - (0.000000278 * E2_1_2_3)</v>
      </c>
    </row>
    <row r="234" spans="1:14" ht="29" x14ac:dyDescent="0.35">
      <c r="A234" s="49">
        <v>233</v>
      </c>
      <c r="B234" s="49" t="s">
        <v>14756</v>
      </c>
      <c r="C234" s="49" t="str">
        <f t="shared" si="0"/>
        <v>E3_5_4_10_mRNA</v>
      </c>
      <c r="D234" s="49" t="str">
        <f t="shared" si="1"/>
        <v>E3_5_4_10</v>
      </c>
      <c r="E234" s="64" t="str">
        <f t="shared" si="2"/>
        <v>E3_5_4_10_kcat : 13.7</v>
      </c>
      <c r="F234" s="65" t="str">
        <f t="shared" si="3"/>
        <v>E3_5_4_10_km : 1</v>
      </c>
      <c r="G234" s="66" t="str">
        <f t="shared" ref="G234:H234" si="472">CONCATENATE(C234," : ",C234)</f>
        <v>E3_5_4_10_mRNA : E3_5_4_10_mRNA</v>
      </c>
      <c r="H234" s="67" t="str">
        <f t="shared" si="472"/>
        <v>E3_5_4_10 : E3_5_4_10</v>
      </c>
      <c r="I234" s="44" t="str">
        <f t="shared" ref="I234:J234" si="473">CONCATENATE(C234," : ","0")</f>
        <v>E3_5_4_10_mRNA : 0</v>
      </c>
      <c r="J234" s="68" t="str">
        <f t="shared" si="473"/>
        <v>E3_5_4_10 : 0</v>
      </c>
      <c r="K234" s="69" t="str">
        <f t="shared" si="6"/>
        <v>0.00292 - (0.0093 * E3_5_4_10_mRNA)</v>
      </c>
      <c r="L234" s="70" t="str">
        <f t="shared" si="7"/>
        <v>(0.278 * E3_5_4_10_mRNA) - (0.00000278 * E3_5_4_10)</v>
      </c>
      <c r="M234" s="71" t="str">
        <f t="shared" si="8"/>
        <v>mRNA233: -&gt; E3_5_4_10_mRNA | 0.00292 - (0.0093 * E3_5_4_10_mRNA)</v>
      </c>
      <c r="N234" s="72" t="str">
        <f t="shared" si="9"/>
        <v>Peptide233: E3_5_4_10_mRNA -&gt; E3_5_4_10 | (0.278 * E3_5_4_10_mRNA) - (0.000000278 * E3_5_4_10)</v>
      </c>
    </row>
    <row r="235" spans="1:14" ht="29" x14ac:dyDescent="0.35">
      <c r="A235" s="49">
        <v>234</v>
      </c>
      <c r="B235" s="49" t="s">
        <v>14974</v>
      </c>
      <c r="C235" s="49" t="str">
        <f t="shared" si="0"/>
        <v>E6_3_4_13_mRNA</v>
      </c>
      <c r="D235" s="49" t="str">
        <f t="shared" si="1"/>
        <v>E6_3_4_13</v>
      </c>
      <c r="E235" s="64" t="str">
        <f t="shared" si="2"/>
        <v>E6_3_4_13_kcat : 13.7</v>
      </c>
      <c r="F235" s="65" t="str">
        <f t="shared" si="3"/>
        <v>E6_3_4_13_km : 1</v>
      </c>
      <c r="G235" s="66" t="str">
        <f t="shared" ref="G235:H235" si="474">CONCATENATE(C235," : ",C235)</f>
        <v>E6_3_4_13_mRNA : E6_3_4_13_mRNA</v>
      </c>
      <c r="H235" s="67" t="str">
        <f t="shared" si="474"/>
        <v>E6_3_4_13 : E6_3_4_13</v>
      </c>
      <c r="I235" s="44" t="str">
        <f t="shared" ref="I235:J235" si="475">CONCATENATE(C235," : ","0")</f>
        <v>E6_3_4_13_mRNA : 0</v>
      </c>
      <c r="J235" s="68" t="str">
        <f t="shared" si="475"/>
        <v>E6_3_4_13 : 0</v>
      </c>
      <c r="K235" s="69" t="str">
        <f t="shared" si="6"/>
        <v>0.00292 - (0.0093 * E6_3_4_13_mRNA)</v>
      </c>
      <c r="L235" s="70" t="str">
        <f t="shared" si="7"/>
        <v>(0.278 * E6_3_4_13_mRNA) - (0.00000278 * E6_3_4_13)</v>
      </c>
      <c r="M235" s="71" t="str">
        <f t="shared" si="8"/>
        <v>mRNA234: -&gt; E6_3_4_13_mRNA | 0.00292 - (0.0093 * E6_3_4_13_mRNA)</v>
      </c>
      <c r="N235" s="72" t="str">
        <f t="shared" si="9"/>
        <v>Peptide234: E6_3_4_13_mRNA -&gt; E6_3_4_13 | (0.278 * E6_3_4_13_mRNA) - (0.000000278 * E6_3_4_13)</v>
      </c>
    </row>
    <row r="236" spans="1:14" ht="29" x14ac:dyDescent="0.35">
      <c r="A236" s="49">
        <v>235</v>
      </c>
      <c r="B236" s="49" t="s">
        <v>14757</v>
      </c>
      <c r="C236" s="49" t="str">
        <f t="shared" si="0"/>
        <v>E2_7_1_24_mRNA</v>
      </c>
      <c r="D236" s="49" t="str">
        <f t="shared" si="1"/>
        <v>E2_7_1_24</v>
      </c>
      <c r="E236" s="64" t="str">
        <f t="shared" si="2"/>
        <v>E2_7_1_24_kcat : 13.7</v>
      </c>
      <c r="F236" s="65" t="str">
        <f t="shared" si="3"/>
        <v>E2_7_1_24_km : 1</v>
      </c>
      <c r="G236" s="66" t="str">
        <f t="shared" ref="G236:H236" si="476">CONCATENATE(C236," : ",C236)</f>
        <v>E2_7_1_24_mRNA : E2_7_1_24_mRNA</v>
      </c>
      <c r="H236" s="67" t="str">
        <f t="shared" si="476"/>
        <v>E2_7_1_24 : E2_7_1_24</v>
      </c>
      <c r="I236" s="44" t="str">
        <f t="shared" ref="I236:J236" si="477">CONCATENATE(C236," : ","0")</f>
        <v>E2_7_1_24_mRNA : 0</v>
      </c>
      <c r="J236" s="68" t="str">
        <f t="shared" si="477"/>
        <v>E2_7_1_24 : 0</v>
      </c>
      <c r="K236" s="69" t="str">
        <f t="shared" si="6"/>
        <v>0.00292 - (0.0093 * E2_7_1_24_mRNA)</v>
      </c>
      <c r="L236" s="70" t="str">
        <f t="shared" si="7"/>
        <v>(0.278 * E2_7_1_24_mRNA) - (0.00000278 * E2_7_1_24)</v>
      </c>
      <c r="M236" s="71" t="str">
        <f t="shared" si="8"/>
        <v>mRNA235: -&gt; E2_7_1_24_mRNA | 0.00292 - (0.0093 * E2_7_1_24_mRNA)</v>
      </c>
      <c r="N236" s="72" t="str">
        <f t="shared" si="9"/>
        <v>Peptide235: E2_7_1_24_mRNA -&gt; E2_7_1_24 | (0.278 * E2_7_1_24_mRNA) - (0.000000278 * E2_7_1_24)</v>
      </c>
    </row>
    <row r="237" spans="1:14" ht="29" x14ac:dyDescent="0.35">
      <c r="A237" s="49">
        <v>236</v>
      </c>
      <c r="B237" s="49" t="s">
        <v>14758</v>
      </c>
      <c r="C237" s="49" t="str">
        <f t="shared" si="0"/>
        <v>E2_7_2_11_mRNA</v>
      </c>
      <c r="D237" s="49" t="str">
        <f t="shared" si="1"/>
        <v>E2_7_2_11</v>
      </c>
      <c r="E237" s="64" t="str">
        <f t="shared" si="2"/>
        <v>E2_7_2_11_kcat : 13.7</v>
      </c>
      <c r="F237" s="65" t="str">
        <f t="shared" si="3"/>
        <v>E2_7_2_11_km : 1</v>
      </c>
      <c r="G237" s="66" t="str">
        <f t="shared" ref="G237:H237" si="478">CONCATENATE(C237," : ",C237)</f>
        <v>E2_7_2_11_mRNA : E2_7_2_11_mRNA</v>
      </c>
      <c r="H237" s="67" t="str">
        <f t="shared" si="478"/>
        <v>E2_7_2_11 : E2_7_2_11</v>
      </c>
      <c r="I237" s="44" t="str">
        <f t="shared" ref="I237:J237" si="479">CONCATENATE(C237," : ","0")</f>
        <v>E2_7_2_11_mRNA : 0</v>
      </c>
      <c r="J237" s="68" t="str">
        <f t="shared" si="479"/>
        <v>E2_7_2_11 : 0</v>
      </c>
      <c r="K237" s="69" t="str">
        <f t="shared" si="6"/>
        <v>0.00292 - (0.0093 * E2_7_2_11_mRNA)</v>
      </c>
      <c r="L237" s="70" t="str">
        <f t="shared" si="7"/>
        <v>(0.278 * E2_7_2_11_mRNA) - (0.00000278 * E2_7_2_11)</v>
      </c>
      <c r="M237" s="71" t="str">
        <f t="shared" si="8"/>
        <v>mRNA236: -&gt; E2_7_2_11_mRNA | 0.00292 - (0.0093 * E2_7_2_11_mRNA)</v>
      </c>
      <c r="N237" s="72" t="str">
        <f t="shared" si="9"/>
        <v>Peptide236: E2_7_2_11_mRNA -&gt; E2_7_2_11 | (0.278 * E2_7_2_11_mRNA) - (0.000000278 * E2_7_2_11)</v>
      </c>
    </row>
    <row r="238" spans="1:14" ht="29" x14ac:dyDescent="0.35">
      <c r="A238" s="49">
        <v>237</v>
      </c>
      <c r="B238" s="49" t="s">
        <v>14975</v>
      </c>
      <c r="C238" s="49" t="str">
        <f t="shared" si="0"/>
        <v>E2_5_1_145_mRNA</v>
      </c>
      <c r="D238" s="49" t="str">
        <f t="shared" si="1"/>
        <v>E2_5_1_145</v>
      </c>
      <c r="E238" s="64" t="str">
        <f t="shared" si="2"/>
        <v>E2_5_1_145_kcat : 13.7</v>
      </c>
      <c r="F238" s="65" t="str">
        <f t="shared" si="3"/>
        <v>E2_5_1_145_km : 1</v>
      </c>
      <c r="G238" s="66" t="str">
        <f t="shared" ref="G238:H238" si="480">CONCATENATE(C238," : ",C238)</f>
        <v>E2_5_1_145_mRNA : E2_5_1_145_mRNA</v>
      </c>
      <c r="H238" s="67" t="str">
        <f t="shared" si="480"/>
        <v>E2_5_1_145 : E2_5_1_145</v>
      </c>
      <c r="I238" s="44" t="str">
        <f t="shared" ref="I238:J238" si="481">CONCATENATE(C238," : ","0")</f>
        <v>E2_5_1_145_mRNA : 0</v>
      </c>
      <c r="J238" s="68" t="str">
        <f t="shared" si="481"/>
        <v>E2_5_1_145 : 0</v>
      </c>
      <c r="K238" s="69" t="str">
        <f t="shared" si="6"/>
        <v>0.00292 - (0.0093 * E2_5_1_145_mRNA)</v>
      </c>
      <c r="L238" s="70" t="str">
        <f t="shared" si="7"/>
        <v>(0.278 * E2_5_1_145_mRNA) - (0.00000278 * E2_5_1_145)</v>
      </c>
      <c r="M238" s="71" t="str">
        <f t="shared" si="8"/>
        <v>mRNA237: -&gt; E2_5_1_145_mRNA | 0.00292 - (0.0093 * E2_5_1_145_mRNA)</v>
      </c>
      <c r="N238" s="72" t="str">
        <f t="shared" si="9"/>
        <v>Peptide237: E2_5_1_145_mRNA -&gt; E2_5_1_145 | (0.278 * E2_5_1_145_mRNA) - (0.000000278 * E2_5_1_145)</v>
      </c>
    </row>
    <row r="239" spans="1:14" ht="29" x14ac:dyDescent="0.35">
      <c r="A239" s="49">
        <v>238</v>
      </c>
      <c r="B239" s="49" t="s">
        <v>14759</v>
      </c>
      <c r="C239" s="49" t="str">
        <f t="shared" si="0"/>
        <v>E2_1_1_45_mRNA</v>
      </c>
      <c r="D239" s="49" t="str">
        <f t="shared" si="1"/>
        <v>E2_1_1_45</v>
      </c>
      <c r="E239" s="64" t="str">
        <f t="shared" si="2"/>
        <v>E2_1_1_45_kcat : 13.7</v>
      </c>
      <c r="F239" s="65" t="str">
        <f t="shared" si="3"/>
        <v>E2_1_1_45_km : 1</v>
      </c>
      <c r="G239" s="66" t="str">
        <f t="shared" ref="G239:H239" si="482">CONCATENATE(C239," : ",C239)</f>
        <v>E2_1_1_45_mRNA : E2_1_1_45_mRNA</v>
      </c>
      <c r="H239" s="67" t="str">
        <f t="shared" si="482"/>
        <v>E2_1_1_45 : E2_1_1_45</v>
      </c>
      <c r="I239" s="44" t="str">
        <f t="shared" ref="I239:J239" si="483">CONCATENATE(C239," : ","0")</f>
        <v>E2_1_1_45_mRNA : 0</v>
      </c>
      <c r="J239" s="68" t="str">
        <f t="shared" si="483"/>
        <v>E2_1_1_45 : 0</v>
      </c>
      <c r="K239" s="69" t="str">
        <f t="shared" si="6"/>
        <v>0.00292 - (0.0093 * E2_1_1_45_mRNA)</v>
      </c>
      <c r="L239" s="70" t="str">
        <f t="shared" si="7"/>
        <v>(0.278 * E2_1_1_45_mRNA) - (0.00000278 * E2_1_1_45)</v>
      </c>
      <c r="M239" s="71" t="str">
        <f t="shared" si="8"/>
        <v>mRNA238: -&gt; E2_1_1_45_mRNA | 0.00292 - (0.0093 * E2_1_1_45_mRNA)</v>
      </c>
      <c r="N239" s="72" t="str">
        <f t="shared" si="9"/>
        <v>Peptide238: E2_1_1_45_mRNA -&gt; E2_1_1_45 | (0.278 * E2_1_1_45_mRNA) - (0.000000278 * E2_1_1_45)</v>
      </c>
    </row>
    <row r="240" spans="1:14" ht="29" x14ac:dyDescent="0.35">
      <c r="A240" s="49">
        <v>239</v>
      </c>
      <c r="B240" s="49" t="s">
        <v>14976</v>
      </c>
      <c r="C240" s="49" t="str">
        <f t="shared" si="0"/>
        <v>E3_5_4_33_mRNA</v>
      </c>
      <c r="D240" s="49" t="str">
        <f t="shared" si="1"/>
        <v>E3_5_4_33</v>
      </c>
      <c r="E240" s="64" t="str">
        <f t="shared" si="2"/>
        <v>E3_5_4_33_kcat : 13.7</v>
      </c>
      <c r="F240" s="65" t="str">
        <f t="shared" si="3"/>
        <v>E3_5_4_33_km : 1</v>
      </c>
      <c r="G240" s="66" t="str">
        <f t="shared" ref="G240:H240" si="484">CONCATENATE(C240," : ",C240)</f>
        <v>E3_5_4_33_mRNA : E3_5_4_33_mRNA</v>
      </c>
      <c r="H240" s="67" t="str">
        <f t="shared" si="484"/>
        <v>E3_5_4_33 : E3_5_4_33</v>
      </c>
      <c r="I240" s="44" t="str">
        <f t="shared" ref="I240:J240" si="485">CONCATENATE(C240," : ","0")</f>
        <v>E3_5_4_33_mRNA : 0</v>
      </c>
      <c r="J240" s="68" t="str">
        <f t="shared" si="485"/>
        <v>E3_5_4_33 : 0</v>
      </c>
      <c r="K240" s="69" t="str">
        <f t="shared" si="6"/>
        <v>0.00292 - (0.0093 * E3_5_4_33_mRNA)</v>
      </c>
      <c r="L240" s="70" t="str">
        <f t="shared" si="7"/>
        <v>(0.278 * E3_5_4_33_mRNA) - (0.00000278 * E3_5_4_33)</v>
      </c>
      <c r="M240" s="71" t="str">
        <f t="shared" si="8"/>
        <v>mRNA239: -&gt; E3_5_4_33_mRNA | 0.00292 - (0.0093 * E3_5_4_33_mRNA)</v>
      </c>
      <c r="N240" s="72" t="str">
        <f t="shared" si="9"/>
        <v>Peptide239: E3_5_4_33_mRNA -&gt; E3_5_4_33 | (0.278 * E3_5_4_33_mRNA) - (0.000000278 * E3_5_4_33)</v>
      </c>
    </row>
    <row r="241" spans="1:14" ht="29" x14ac:dyDescent="0.35">
      <c r="A241" s="49">
        <v>240</v>
      </c>
      <c r="B241" s="49" t="s">
        <v>14760</v>
      </c>
      <c r="C241" s="49" t="str">
        <f t="shared" si="0"/>
        <v>E2_3_1_191_mRNA</v>
      </c>
      <c r="D241" s="49" t="str">
        <f t="shared" si="1"/>
        <v>E2_3_1_191</v>
      </c>
      <c r="E241" s="64" t="str">
        <f t="shared" si="2"/>
        <v>E2_3_1_191_kcat : 13.7</v>
      </c>
      <c r="F241" s="65" t="str">
        <f t="shared" si="3"/>
        <v>E2_3_1_191_km : 1</v>
      </c>
      <c r="G241" s="66" t="str">
        <f t="shared" ref="G241:H241" si="486">CONCATENATE(C241," : ",C241)</f>
        <v>E2_3_1_191_mRNA : E2_3_1_191_mRNA</v>
      </c>
      <c r="H241" s="67" t="str">
        <f t="shared" si="486"/>
        <v>E2_3_1_191 : E2_3_1_191</v>
      </c>
      <c r="I241" s="44" t="str">
        <f t="shared" ref="I241:J241" si="487">CONCATENATE(C241," : ","0")</f>
        <v>E2_3_1_191_mRNA : 0</v>
      </c>
      <c r="J241" s="68" t="str">
        <f t="shared" si="487"/>
        <v>E2_3_1_191 : 0</v>
      </c>
      <c r="K241" s="69" t="str">
        <f t="shared" si="6"/>
        <v>0.00292 - (0.0093 * E2_3_1_191_mRNA)</v>
      </c>
      <c r="L241" s="70" t="str">
        <f t="shared" si="7"/>
        <v>(0.278 * E2_3_1_191_mRNA) - (0.00000278 * E2_3_1_191)</v>
      </c>
      <c r="M241" s="71" t="str">
        <f t="shared" si="8"/>
        <v>mRNA240: -&gt; E2_3_1_191_mRNA | 0.00292 - (0.0093 * E2_3_1_191_mRNA)</v>
      </c>
      <c r="N241" s="72" t="str">
        <f t="shared" si="9"/>
        <v>Peptide240: E2_3_1_191_mRNA -&gt; E2_3_1_191 | (0.278 * E2_3_1_191_mRNA) - (0.000000278 * E2_3_1_191)</v>
      </c>
    </row>
    <row r="242" spans="1:14" ht="29" x14ac:dyDescent="0.35">
      <c r="A242" s="49">
        <v>241</v>
      </c>
      <c r="B242" s="49" t="s">
        <v>14761</v>
      </c>
      <c r="C242" s="49" t="str">
        <f t="shared" si="0"/>
        <v>E2_7_7_41_mRNA</v>
      </c>
      <c r="D242" s="49" t="str">
        <f t="shared" si="1"/>
        <v>E2_7_7_41</v>
      </c>
      <c r="E242" s="64" t="str">
        <f t="shared" si="2"/>
        <v>E2_7_7_41_kcat : 13.7</v>
      </c>
      <c r="F242" s="65" t="str">
        <f t="shared" si="3"/>
        <v>E2_7_7_41_km : 1</v>
      </c>
      <c r="G242" s="66" t="str">
        <f t="shared" ref="G242:H242" si="488">CONCATENATE(C242," : ",C242)</f>
        <v>E2_7_7_41_mRNA : E2_7_7_41_mRNA</v>
      </c>
      <c r="H242" s="67" t="str">
        <f t="shared" si="488"/>
        <v>E2_7_7_41 : E2_7_7_41</v>
      </c>
      <c r="I242" s="44" t="str">
        <f t="shared" ref="I242:J242" si="489">CONCATENATE(C242," : ","0")</f>
        <v>E2_7_7_41_mRNA : 0</v>
      </c>
      <c r="J242" s="68" t="str">
        <f t="shared" si="489"/>
        <v>E2_7_7_41 : 0</v>
      </c>
      <c r="K242" s="69" t="str">
        <f t="shared" si="6"/>
        <v>0.00292 - (0.0093 * E2_7_7_41_mRNA)</v>
      </c>
      <c r="L242" s="70" t="str">
        <f t="shared" si="7"/>
        <v>(0.278 * E2_7_7_41_mRNA) - (0.00000278 * E2_7_7_41)</v>
      </c>
      <c r="M242" s="71" t="str">
        <f t="shared" si="8"/>
        <v>mRNA241: -&gt; E2_7_7_41_mRNA | 0.00292 - (0.0093 * E2_7_7_41_mRNA)</v>
      </c>
      <c r="N242" s="72" t="str">
        <f t="shared" si="9"/>
        <v>Peptide241: E2_7_7_41_mRNA -&gt; E2_7_7_41 | (0.278 * E2_7_7_41_mRNA) - (0.000000278 * E2_7_7_41)</v>
      </c>
    </row>
    <row r="243" spans="1:14" ht="29" x14ac:dyDescent="0.35">
      <c r="A243" s="49">
        <v>242</v>
      </c>
      <c r="B243" s="49" t="s">
        <v>14762</v>
      </c>
      <c r="C243" s="49" t="str">
        <f t="shared" si="0"/>
        <v>E2_5_1_31_mRNA</v>
      </c>
      <c r="D243" s="49" t="str">
        <f t="shared" si="1"/>
        <v>E2_5_1_31</v>
      </c>
      <c r="E243" s="64" t="str">
        <f t="shared" si="2"/>
        <v>E2_5_1_31_kcat : 13.7</v>
      </c>
      <c r="F243" s="65" t="str">
        <f t="shared" si="3"/>
        <v>E2_5_1_31_km : 1</v>
      </c>
      <c r="G243" s="66" t="str">
        <f t="shared" ref="G243:H243" si="490">CONCATENATE(C243," : ",C243)</f>
        <v>E2_5_1_31_mRNA : E2_5_1_31_mRNA</v>
      </c>
      <c r="H243" s="67" t="str">
        <f t="shared" si="490"/>
        <v>E2_5_1_31 : E2_5_1_31</v>
      </c>
      <c r="I243" s="44" t="str">
        <f t="shared" ref="I243:J243" si="491">CONCATENATE(C243," : ","0")</f>
        <v>E2_5_1_31_mRNA : 0</v>
      </c>
      <c r="J243" s="68" t="str">
        <f t="shared" si="491"/>
        <v>E2_5_1_31 : 0</v>
      </c>
      <c r="K243" s="69" t="str">
        <f t="shared" si="6"/>
        <v>0.00292 - (0.0093 * E2_5_1_31_mRNA)</v>
      </c>
      <c r="L243" s="70" t="str">
        <f t="shared" si="7"/>
        <v>(0.278 * E2_5_1_31_mRNA) - (0.00000278 * E2_5_1_31)</v>
      </c>
      <c r="M243" s="71" t="str">
        <f t="shared" si="8"/>
        <v>mRNA242: -&gt; E2_5_1_31_mRNA | 0.00292 - (0.0093 * E2_5_1_31_mRNA)</v>
      </c>
      <c r="N243" s="72" t="str">
        <f t="shared" si="9"/>
        <v>Peptide242: E2_5_1_31_mRNA -&gt; E2_5_1_31 | (0.278 * E2_5_1_31_mRNA) - (0.000000278 * E2_5_1_31)</v>
      </c>
    </row>
    <row r="244" spans="1:14" ht="29" x14ac:dyDescent="0.35">
      <c r="A244" s="49">
        <v>243</v>
      </c>
      <c r="B244" s="49" t="s">
        <v>14763</v>
      </c>
      <c r="C244" s="49" t="str">
        <f t="shared" si="0"/>
        <v>E6_1_1_4_mRNA</v>
      </c>
      <c r="D244" s="49" t="str">
        <f t="shared" si="1"/>
        <v>E6_1_1_4</v>
      </c>
      <c r="E244" s="64" t="str">
        <f t="shared" si="2"/>
        <v>E6_1_1_4_kcat : 13.7</v>
      </c>
      <c r="F244" s="65" t="str">
        <f t="shared" si="3"/>
        <v>E6_1_1_4_km : 1</v>
      </c>
      <c r="G244" s="66" t="str">
        <f t="shared" ref="G244:H244" si="492">CONCATENATE(C244," : ",C244)</f>
        <v>E6_1_1_4_mRNA : E6_1_1_4_mRNA</v>
      </c>
      <c r="H244" s="67" t="str">
        <f t="shared" si="492"/>
        <v>E6_1_1_4 : E6_1_1_4</v>
      </c>
      <c r="I244" s="44" t="str">
        <f t="shared" ref="I244:J244" si="493">CONCATENATE(C244," : ","0")</f>
        <v>E6_1_1_4_mRNA : 0</v>
      </c>
      <c r="J244" s="68" t="str">
        <f t="shared" si="493"/>
        <v>E6_1_1_4 : 0</v>
      </c>
      <c r="K244" s="69" t="str">
        <f t="shared" si="6"/>
        <v>0.00292 - (0.0093 * E6_1_1_4_mRNA)</v>
      </c>
      <c r="L244" s="70" t="str">
        <f t="shared" si="7"/>
        <v>(0.278 * E6_1_1_4_mRNA) - (0.00000278 * E6_1_1_4)</v>
      </c>
      <c r="M244" s="71" t="str">
        <f t="shared" si="8"/>
        <v>mRNA243: -&gt; E6_1_1_4_mRNA | 0.00292 - (0.0093 * E6_1_1_4_mRNA)</v>
      </c>
      <c r="N244" s="72" t="str">
        <f t="shared" si="9"/>
        <v>Peptide243: E6_1_1_4_mRNA -&gt; E6_1_1_4 | (0.278 * E6_1_1_4_mRNA) - (0.000000278 * E6_1_1_4)</v>
      </c>
    </row>
    <row r="245" spans="1:14" ht="29" x14ac:dyDescent="0.35">
      <c r="A245" s="49">
        <v>244</v>
      </c>
      <c r="B245" s="49" t="s">
        <v>14764</v>
      </c>
      <c r="C245" s="49" t="str">
        <f t="shared" si="0"/>
        <v>E6_1_1_14_mRNA</v>
      </c>
      <c r="D245" s="49" t="str">
        <f t="shared" si="1"/>
        <v>E6_1_1_14</v>
      </c>
      <c r="E245" s="64" t="str">
        <f t="shared" si="2"/>
        <v>E6_1_1_14_kcat : 13.7</v>
      </c>
      <c r="F245" s="65" t="str">
        <f t="shared" si="3"/>
        <v>E6_1_1_14_km : 1</v>
      </c>
      <c r="G245" s="66" t="str">
        <f t="shared" ref="G245:H245" si="494">CONCATENATE(C245," : ",C245)</f>
        <v>E6_1_1_14_mRNA : E6_1_1_14_mRNA</v>
      </c>
      <c r="H245" s="67" t="str">
        <f t="shared" si="494"/>
        <v>E6_1_1_14 : E6_1_1_14</v>
      </c>
      <c r="I245" s="44" t="str">
        <f t="shared" ref="I245:J245" si="495">CONCATENATE(C245," : ","0")</f>
        <v>E6_1_1_14_mRNA : 0</v>
      </c>
      <c r="J245" s="68" t="str">
        <f t="shared" si="495"/>
        <v>E6_1_1_14 : 0</v>
      </c>
      <c r="K245" s="69" t="str">
        <f t="shared" si="6"/>
        <v>0.00292 - (0.0093 * E6_1_1_14_mRNA)</v>
      </c>
      <c r="L245" s="70" t="str">
        <f t="shared" si="7"/>
        <v>(0.278 * E6_1_1_14_mRNA) - (0.00000278 * E6_1_1_14)</v>
      </c>
      <c r="M245" s="71" t="str">
        <f t="shared" si="8"/>
        <v>mRNA244: -&gt; E6_1_1_14_mRNA | 0.00292 - (0.0093 * E6_1_1_14_mRNA)</v>
      </c>
      <c r="N245" s="72" t="str">
        <f t="shared" si="9"/>
        <v>Peptide244: E6_1_1_14_mRNA -&gt; E6_1_1_14 | (0.278 * E6_1_1_14_mRNA) - (0.000000278 * E6_1_1_14)</v>
      </c>
    </row>
    <row r="246" spans="1:14" ht="29" x14ac:dyDescent="0.35">
      <c r="A246" s="49">
        <v>245</v>
      </c>
      <c r="B246" s="49" t="s">
        <v>14765</v>
      </c>
      <c r="C246" s="49" t="str">
        <f t="shared" si="0"/>
        <v>E4_2_1_11_mRNA</v>
      </c>
      <c r="D246" s="49" t="str">
        <f t="shared" si="1"/>
        <v>E4_2_1_11</v>
      </c>
      <c r="E246" s="64" t="str">
        <f t="shared" si="2"/>
        <v>E4_2_1_11_kcat : 13.7</v>
      </c>
      <c r="F246" s="65" t="str">
        <f t="shared" si="3"/>
        <v>E4_2_1_11_km : 1</v>
      </c>
      <c r="G246" s="66" t="str">
        <f t="shared" ref="G246:H246" si="496">CONCATENATE(C246," : ",C246)</f>
        <v>E4_2_1_11_mRNA : E4_2_1_11_mRNA</v>
      </c>
      <c r="H246" s="67" t="str">
        <f t="shared" si="496"/>
        <v>E4_2_1_11 : E4_2_1_11</v>
      </c>
      <c r="I246" s="44" t="str">
        <f t="shared" ref="I246:J246" si="497">CONCATENATE(C246," : ","0")</f>
        <v>E4_2_1_11_mRNA : 0</v>
      </c>
      <c r="J246" s="68" t="str">
        <f t="shared" si="497"/>
        <v>E4_2_1_11 : 0</v>
      </c>
      <c r="K246" s="69" t="str">
        <f t="shared" si="6"/>
        <v>0.00292 - (0.0093 * E4_2_1_11_mRNA)</v>
      </c>
      <c r="L246" s="70" t="str">
        <f t="shared" si="7"/>
        <v>(0.278 * E4_2_1_11_mRNA) - (0.00000278 * E4_2_1_11)</v>
      </c>
      <c r="M246" s="71" t="str">
        <f t="shared" si="8"/>
        <v>mRNA245: -&gt; E4_2_1_11_mRNA | 0.00292 - (0.0093 * E4_2_1_11_mRNA)</v>
      </c>
      <c r="N246" s="72" t="str">
        <f t="shared" si="9"/>
        <v>Peptide245: E4_2_1_11_mRNA -&gt; E4_2_1_11 | (0.278 * E4_2_1_11_mRNA) - (0.000000278 * E4_2_1_11)</v>
      </c>
    </row>
    <row r="247" spans="1:14" ht="29" x14ac:dyDescent="0.35">
      <c r="A247" s="49">
        <v>246</v>
      </c>
      <c r="B247" s="49" t="s">
        <v>14766</v>
      </c>
      <c r="C247" s="49" t="str">
        <f t="shared" si="0"/>
        <v>E3_1_3_25_mRNA</v>
      </c>
      <c r="D247" s="49" t="str">
        <f t="shared" si="1"/>
        <v>E3_1_3_25</v>
      </c>
      <c r="E247" s="64" t="str">
        <f t="shared" si="2"/>
        <v>E3_1_3_25_kcat : 13.7</v>
      </c>
      <c r="F247" s="65" t="str">
        <f t="shared" si="3"/>
        <v>E3_1_3_25_km : 1</v>
      </c>
      <c r="G247" s="66" t="str">
        <f t="shared" ref="G247:H247" si="498">CONCATENATE(C247," : ",C247)</f>
        <v>E3_1_3_25_mRNA : E3_1_3_25_mRNA</v>
      </c>
      <c r="H247" s="67" t="str">
        <f t="shared" si="498"/>
        <v>E3_1_3_25 : E3_1_3_25</v>
      </c>
      <c r="I247" s="44" t="str">
        <f t="shared" ref="I247:J247" si="499">CONCATENATE(C247," : ","0")</f>
        <v>E3_1_3_25_mRNA : 0</v>
      </c>
      <c r="J247" s="68" t="str">
        <f t="shared" si="499"/>
        <v>E3_1_3_25 : 0</v>
      </c>
      <c r="K247" s="69" t="str">
        <f t="shared" si="6"/>
        <v>0.00292 - (0.0093 * E3_1_3_25_mRNA)</v>
      </c>
      <c r="L247" s="70" t="str">
        <f t="shared" si="7"/>
        <v>(0.278 * E3_1_3_25_mRNA) - (0.00000278 * E3_1_3_25)</v>
      </c>
      <c r="M247" s="71" t="str">
        <f t="shared" si="8"/>
        <v>mRNA246: -&gt; E3_1_3_25_mRNA | 0.00292 - (0.0093 * E3_1_3_25_mRNA)</v>
      </c>
      <c r="N247" s="72" t="str">
        <f t="shared" si="9"/>
        <v>Peptide246: E3_1_3_25_mRNA -&gt; E3_1_3_25 | (0.278 * E3_1_3_25_mRNA) - (0.000000278 * E3_1_3_25)</v>
      </c>
    </row>
    <row r="248" spans="1:14" ht="29" x14ac:dyDescent="0.35">
      <c r="A248" s="49">
        <v>247</v>
      </c>
      <c r="B248" s="49" t="s">
        <v>14977</v>
      </c>
      <c r="C248" s="49" t="str">
        <f t="shared" si="0"/>
        <v>E3_1_11_5_mRNA</v>
      </c>
      <c r="D248" s="49" t="str">
        <f t="shared" si="1"/>
        <v>E3_1_11_5</v>
      </c>
      <c r="E248" s="64" t="str">
        <f t="shared" si="2"/>
        <v>E3_1_11_5_kcat : 13.7</v>
      </c>
      <c r="F248" s="65" t="str">
        <f t="shared" si="3"/>
        <v>E3_1_11_5_km : 1</v>
      </c>
      <c r="G248" s="66" t="str">
        <f t="shared" ref="G248:H248" si="500">CONCATENATE(C248," : ",C248)</f>
        <v>E3_1_11_5_mRNA : E3_1_11_5_mRNA</v>
      </c>
      <c r="H248" s="67" t="str">
        <f t="shared" si="500"/>
        <v>E3_1_11_5 : E3_1_11_5</v>
      </c>
      <c r="I248" s="44" t="str">
        <f t="shared" ref="I248:J248" si="501">CONCATENATE(C248," : ","0")</f>
        <v>E3_1_11_5_mRNA : 0</v>
      </c>
      <c r="J248" s="68" t="str">
        <f t="shared" si="501"/>
        <v>E3_1_11_5 : 0</v>
      </c>
      <c r="K248" s="69" t="str">
        <f t="shared" si="6"/>
        <v>0.00292 - (0.0093 * E3_1_11_5_mRNA)</v>
      </c>
      <c r="L248" s="70" t="str">
        <f t="shared" si="7"/>
        <v>(0.278 * E3_1_11_5_mRNA) - (0.00000278 * E3_1_11_5)</v>
      </c>
      <c r="M248" s="71" t="str">
        <f t="shared" si="8"/>
        <v>mRNA247: -&gt; E3_1_11_5_mRNA | 0.00292 - (0.0093 * E3_1_11_5_mRNA)</v>
      </c>
      <c r="N248" s="72" t="str">
        <f t="shared" si="9"/>
        <v>Peptide247: E3_1_11_5_mRNA -&gt; E3_1_11_5 | (0.278 * E3_1_11_5_mRNA) - (0.000000278 * E3_1_11_5)</v>
      </c>
    </row>
    <row r="249" spans="1:14" ht="29" x14ac:dyDescent="0.35">
      <c r="A249" s="49">
        <v>248</v>
      </c>
      <c r="B249" s="49" t="s">
        <v>14978</v>
      </c>
      <c r="C249" s="49" t="str">
        <f t="shared" si="0"/>
        <v>E3_2_2_23_mRNA</v>
      </c>
      <c r="D249" s="49" t="str">
        <f t="shared" si="1"/>
        <v>E3_2_2_23</v>
      </c>
      <c r="E249" s="64" t="str">
        <f t="shared" si="2"/>
        <v>E3_2_2_23_kcat : 13.7</v>
      </c>
      <c r="F249" s="65" t="str">
        <f t="shared" si="3"/>
        <v>E3_2_2_23_km : 1</v>
      </c>
      <c r="G249" s="66" t="str">
        <f t="shared" ref="G249:H249" si="502">CONCATENATE(C249," : ",C249)</f>
        <v>E3_2_2_23_mRNA : E3_2_2_23_mRNA</v>
      </c>
      <c r="H249" s="67" t="str">
        <f t="shared" si="502"/>
        <v>E3_2_2_23 : E3_2_2_23</v>
      </c>
      <c r="I249" s="44" t="str">
        <f t="shared" ref="I249:J249" si="503">CONCATENATE(C249," : ","0")</f>
        <v>E3_2_2_23_mRNA : 0</v>
      </c>
      <c r="J249" s="68" t="str">
        <f t="shared" si="503"/>
        <v>E3_2_2_23 : 0</v>
      </c>
      <c r="K249" s="69" t="str">
        <f t="shared" si="6"/>
        <v>0.00292 - (0.0093 * E3_2_2_23_mRNA)</v>
      </c>
      <c r="L249" s="70" t="str">
        <f t="shared" si="7"/>
        <v>(0.278 * E3_2_2_23_mRNA) - (0.00000278 * E3_2_2_23)</v>
      </c>
      <c r="M249" s="71" t="str">
        <f t="shared" si="8"/>
        <v>mRNA248: -&gt; E3_2_2_23_mRNA | 0.00292 - (0.0093 * E3_2_2_23_mRNA)</v>
      </c>
      <c r="N249" s="72" t="str">
        <f t="shared" si="9"/>
        <v>Peptide248: E3_2_2_23_mRNA -&gt; E3_2_2_23 | (0.278 * E3_2_2_23_mRNA) - (0.000000278 * E3_2_2_23)</v>
      </c>
    </row>
    <row r="250" spans="1:14" ht="29" x14ac:dyDescent="0.35">
      <c r="A250" s="49">
        <v>249</v>
      </c>
      <c r="B250" s="49" t="s">
        <v>14767</v>
      </c>
      <c r="C250" s="49" t="str">
        <f t="shared" si="0"/>
        <v>E4_1_1_86_mRNA</v>
      </c>
      <c r="D250" s="49" t="str">
        <f t="shared" si="1"/>
        <v>E4_1_1_86</v>
      </c>
      <c r="E250" s="64" t="str">
        <f t="shared" si="2"/>
        <v>E4_1_1_86_kcat : 13.7</v>
      </c>
      <c r="F250" s="65" t="str">
        <f t="shared" si="3"/>
        <v>E4_1_1_86_km : 1</v>
      </c>
      <c r="G250" s="66" t="str">
        <f t="shared" ref="G250:H250" si="504">CONCATENATE(C250," : ",C250)</f>
        <v>E4_1_1_86_mRNA : E4_1_1_86_mRNA</v>
      </c>
      <c r="H250" s="67" t="str">
        <f t="shared" si="504"/>
        <v>E4_1_1_86 : E4_1_1_86</v>
      </c>
      <c r="I250" s="44" t="str">
        <f t="shared" ref="I250:J250" si="505">CONCATENATE(C250," : ","0")</f>
        <v>E4_1_1_86_mRNA : 0</v>
      </c>
      <c r="J250" s="68" t="str">
        <f t="shared" si="505"/>
        <v>E4_1_1_86 : 0</v>
      </c>
      <c r="K250" s="69" t="str">
        <f t="shared" si="6"/>
        <v>0.00292 - (0.0093 * E4_1_1_86_mRNA)</v>
      </c>
      <c r="L250" s="70" t="str">
        <f t="shared" si="7"/>
        <v>(0.278 * E4_1_1_86_mRNA) - (0.00000278 * E4_1_1_86)</v>
      </c>
      <c r="M250" s="71" t="str">
        <f t="shared" si="8"/>
        <v>mRNA249: -&gt; E4_1_1_86_mRNA | 0.00292 - (0.0093 * E4_1_1_86_mRNA)</v>
      </c>
      <c r="N250" s="72" t="str">
        <f t="shared" si="9"/>
        <v>Peptide249: E4_1_1_86_mRNA -&gt; E4_1_1_86 | (0.278 * E4_1_1_86_mRNA) - (0.000000278 * E4_1_1_86)</v>
      </c>
    </row>
    <row r="251" spans="1:14" ht="29" x14ac:dyDescent="0.35">
      <c r="A251" s="49">
        <v>250</v>
      </c>
      <c r="B251" s="49" t="s">
        <v>14768</v>
      </c>
      <c r="C251" s="49" t="str">
        <f t="shared" si="0"/>
        <v>E2_6_1_76_mRNA</v>
      </c>
      <c r="D251" s="49" t="str">
        <f t="shared" si="1"/>
        <v>E2_6_1_76</v>
      </c>
      <c r="E251" s="64" t="str">
        <f t="shared" si="2"/>
        <v>E2_6_1_76_kcat : 13.7</v>
      </c>
      <c r="F251" s="65" t="str">
        <f t="shared" si="3"/>
        <v>E2_6_1_76_km : 1</v>
      </c>
      <c r="G251" s="66" t="str">
        <f t="shared" ref="G251:H251" si="506">CONCATENATE(C251," : ",C251)</f>
        <v>E2_6_1_76_mRNA : E2_6_1_76_mRNA</v>
      </c>
      <c r="H251" s="67" t="str">
        <f t="shared" si="506"/>
        <v>E2_6_1_76 : E2_6_1_76</v>
      </c>
      <c r="I251" s="44" t="str">
        <f t="shared" ref="I251:J251" si="507">CONCATENATE(C251," : ","0")</f>
        <v>E2_6_1_76_mRNA : 0</v>
      </c>
      <c r="J251" s="68" t="str">
        <f t="shared" si="507"/>
        <v>E2_6_1_76 : 0</v>
      </c>
      <c r="K251" s="69" t="str">
        <f t="shared" si="6"/>
        <v>0.00292 - (0.0093 * E2_6_1_76_mRNA)</v>
      </c>
      <c r="L251" s="70" t="str">
        <f t="shared" si="7"/>
        <v>(0.278 * E2_6_1_76_mRNA) - (0.00000278 * E2_6_1_76)</v>
      </c>
      <c r="M251" s="71" t="str">
        <f t="shared" si="8"/>
        <v>mRNA250: -&gt; E2_6_1_76_mRNA | 0.00292 - (0.0093 * E2_6_1_76_mRNA)</v>
      </c>
      <c r="N251" s="72" t="str">
        <f t="shared" si="9"/>
        <v>Peptide250: E2_6_1_76_mRNA -&gt; E2_6_1_76 | (0.278 * E2_6_1_76_mRNA) - (0.000000278 * E2_6_1_76)</v>
      </c>
    </row>
    <row r="252" spans="1:14" ht="29" x14ac:dyDescent="0.35">
      <c r="A252" s="49">
        <v>251</v>
      </c>
      <c r="B252" s="49" t="s">
        <v>14769</v>
      </c>
      <c r="C252" s="49" t="str">
        <f t="shared" si="0"/>
        <v>E4_1_1_36_mRNA</v>
      </c>
      <c r="D252" s="49" t="str">
        <f t="shared" si="1"/>
        <v>E4_1_1_36</v>
      </c>
      <c r="E252" s="64" t="str">
        <f t="shared" si="2"/>
        <v>E4_1_1_36_kcat : 13.7</v>
      </c>
      <c r="F252" s="65" t="str">
        <f t="shared" si="3"/>
        <v>E4_1_1_36_km : 1</v>
      </c>
      <c r="G252" s="66" t="str">
        <f t="shared" ref="G252:H252" si="508">CONCATENATE(C252," : ",C252)</f>
        <v>E4_1_1_36_mRNA : E4_1_1_36_mRNA</v>
      </c>
      <c r="H252" s="67" t="str">
        <f t="shared" si="508"/>
        <v>E4_1_1_36 : E4_1_1_36</v>
      </c>
      <c r="I252" s="44" t="str">
        <f t="shared" ref="I252:J252" si="509">CONCATENATE(C252," : ","0")</f>
        <v>E4_1_1_36_mRNA : 0</v>
      </c>
      <c r="J252" s="68" t="str">
        <f t="shared" si="509"/>
        <v>E4_1_1_36 : 0</v>
      </c>
      <c r="K252" s="69" t="str">
        <f t="shared" si="6"/>
        <v>0.00292 - (0.0093 * E4_1_1_36_mRNA)</v>
      </c>
      <c r="L252" s="70" t="str">
        <f t="shared" si="7"/>
        <v>(0.278 * E4_1_1_36_mRNA) - (0.00000278 * E4_1_1_36)</v>
      </c>
      <c r="M252" s="71" t="str">
        <f t="shared" si="8"/>
        <v>mRNA251: -&gt; E4_1_1_36_mRNA | 0.00292 - (0.0093 * E4_1_1_36_mRNA)</v>
      </c>
      <c r="N252" s="72" t="str">
        <f t="shared" si="9"/>
        <v>Peptide251: E4_1_1_36_mRNA -&gt; E4_1_1_36 | (0.278 * E4_1_1_36_mRNA) - (0.000000278 * E4_1_1_36)</v>
      </c>
    </row>
    <row r="253" spans="1:14" ht="29" x14ac:dyDescent="0.35">
      <c r="A253" s="49">
        <v>252</v>
      </c>
      <c r="B253" s="49" t="s">
        <v>14770</v>
      </c>
      <c r="C253" s="49" t="str">
        <f t="shared" si="0"/>
        <v>E6_3_2_5_mRNA</v>
      </c>
      <c r="D253" s="49" t="str">
        <f t="shared" si="1"/>
        <v>E6_3_2_5</v>
      </c>
      <c r="E253" s="64" t="str">
        <f t="shared" si="2"/>
        <v>E6_3_2_5_kcat : 13.7</v>
      </c>
      <c r="F253" s="65" t="str">
        <f t="shared" si="3"/>
        <v>E6_3_2_5_km : 1</v>
      </c>
      <c r="G253" s="66" t="str">
        <f t="shared" ref="G253:H253" si="510">CONCATENATE(C253," : ",C253)</f>
        <v>E6_3_2_5_mRNA : E6_3_2_5_mRNA</v>
      </c>
      <c r="H253" s="67" t="str">
        <f t="shared" si="510"/>
        <v>E6_3_2_5 : E6_3_2_5</v>
      </c>
      <c r="I253" s="44" t="str">
        <f t="shared" ref="I253:J253" si="511">CONCATENATE(C253," : ","0")</f>
        <v>E6_3_2_5_mRNA : 0</v>
      </c>
      <c r="J253" s="68" t="str">
        <f t="shared" si="511"/>
        <v>E6_3_2_5 : 0</v>
      </c>
      <c r="K253" s="69" t="str">
        <f t="shared" si="6"/>
        <v>0.00292 - (0.0093 * E6_3_2_5_mRNA)</v>
      </c>
      <c r="L253" s="70" t="str">
        <f t="shared" si="7"/>
        <v>(0.278 * E6_3_2_5_mRNA) - (0.00000278 * E6_3_2_5)</v>
      </c>
      <c r="M253" s="71" t="str">
        <f t="shared" si="8"/>
        <v>mRNA252: -&gt; E6_3_2_5_mRNA | 0.00292 - (0.0093 * E6_3_2_5_mRNA)</v>
      </c>
      <c r="N253" s="72" t="str">
        <f t="shared" si="9"/>
        <v>Peptide252: E6_3_2_5_mRNA -&gt; E6_3_2_5 | (0.278 * E6_3_2_5_mRNA) - (0.000000278 * E6_3_2_5)</v>
      </c>
    </row>
    <row r="254" spans="1:14" ht="29" x14ac:dyDescent="0.35">
      <c r="A254" s="49">
        <v>253</v>
      </c>
      <c r="B254" s="49" t="s">
        <v>14771</v>
      </c>
      <c r="C254" s="49" t="str">
        <f t="shared" si="0"/>
        <v>E3_6_1_23_mRNA</v>
      </c>
      <c r="D254" s="49" t="str">
        <f t="shared" si="1"/>
        <v>E3_6_1_23</v>
      </c>
      <c r="E254" s="64" t="str">
        <f t="shared" si="2"/>
        <v>E3_6_1_23_kcat : 13.7</v>
      </c>
      <c r="F254" s="65" t="str">
        <f t="shared" si="3"/>
        <v>E3_6_1_23_km : 1</v>
      </c>
      <c r="G254" s="66" t="str">
        <f t="shared" ref="G254:H254" si="512">CONCATENATE(C254," : ",C254)</f>
        <v>E3_6_1_23_mRNA : E3_6_1_23_mRNA</v>
      </c>
      <c r="H254" s="67" t="str">
        <f t="shared" si="512"/>
        <v>E3_6_1_23 : E3_6_1_23</v>
      </c>
      <c r="I254" s="44" t="str">
        <f t="shared" ref="I254:J254" si="513">CONCATENATE(C254," : ","0")</f>
        <v>E3_6_1_23_mRNA : 0</v>
      </c>
      <c r="J254" s="68" t="str">
        <f t="shared" si="513"/>
        <v>E3_6_1_23 : 0</v>
      </c>
      <c r="K254" s="69" t="str">
        <f t="shared" si="6"/>
        <v>0.00292 - (0.0093 * E3_6_1_23_mRNA)</v>
      </c>
      <c r="L254" s="70" t="str">
        <f t="shared" si="7"/>
        <v>(0.278 * E3_6_1_23_mRNA) - (0.00000278 * E3_6_1_23)</v>
      </c>
      <c r="M254" s="71" t="str">
        <f t="shared" si="8"/>
        <v>mRNA253: -&gt; E3_6_1_23_mRNA | 0.00292 - (0.0093 * E3_6_1_23_mRNA)</v>
      </c>
      <c r="N254" s="72" t="str">
        <f t="shared" si="9"/>
        <v>Peptide253: E3_6_1_23_mRNA -&gt; E3_6_1_23 | (0.278 * E3_6_1_23_mRNA) - (0.000000278 * E3_6_1_23)</v>
      </c>
    </row>
    <row r="255" spans="1:14" ht="29" x14ac:dyDescent="0.35">
      <c r="A255" s="49">
        <v>254</v>
      </c>
      <c r="B255" s="49" t="s">
        <v>14979</v>
      </c>
      <c r="C255" s="49" t="str">
        <f t="shared" si="0"/>
        <v>E2_1_1_189_mRNA</v>
      </c>
      <c r="D255" s="49" t="str">
        <f t="shared" si="1"/>
        <v>E2_1_1_189</v>
      </c>
      <c r="E255" s="64" t="str">
        <f t="shared" si="2"/>
        <v>E2_1_1_189_kcat : 13.7</v>
      </c>
      <c r="F255" s="65" t="str">
        <f t="shared" si="3"/>
        <v>E2_1_1_189_km : 1</v>
      </c>
      <c r="G255" s="66" t="str">
        <f t="shared" ref="G255:H255" si="514">CONCATENATE(C255," : ",C255)</f>
        <v>E2_1_1_189_mRNA : E2_1_1_189_mRNA</v>
      </c>
      <c r="H255" s="67" t="str">
        <f t="shared" si="514"/>
        <v>E2_1_1_189 : E2_1_1_189</v>
      </c>
      <c r="I255" s="44" t="str">
        <f t="shared" ref="I255:J255" si="515">CONCATENATE(C255," : ","0")</f>
        <v>E2_1_1_189_mRNA : 0</v>
      </c>
      <c r="J255" s="68" t="str">
        <f t="shared" si="515"/>
        <v>E2_1_1_189 : 0</v>
      </c>
      <c r="K255" s="69" t="str">
        <f t="shared" si="6"/>
        <v>0.00292 - (0.0093 * E2_1_1_189_mRNA)</v>
      </c>
      <c r="L255" s="70" t="str">
        <f t="shared" si="7"/>
        <v>(0.278 * E2_1_1_189_mRNA) - (0.00000278 * E2_1_1_189)</v>
      </c>
      <c r="M255" s="71" t="str">
        <f t="shared" si="8"/>
        <v>mRNA254: -&gt; E2_1_1_189_mRNA | 0.00292 - (0.0093 * E2_1_1_189_mRNA)</v>
      </c>
      <c r="N255" s="72" t="str">
        <f t="shared" si="9"/>
        <v>Peptide254: E2_1_1_189_mRNA -&gt; E2_1_1_189 | (0.278 * E2_1_1_189_mRNA) - (0.000000278 * E2_1_1_189)</v>
      </c>
    </row>
    <row r="256" spans="1:14" ht="29" x14ac:dyDescent="0.35">
      <c r="A256" s="49">
        <v>255</v>
      </c>
      <c r="B256" s="49" t="s">
        <v>14772</v>
      </c>
      <c r="C256" s="49" t="str">
        <f t="shared" si="0"/>
        <v>E3_2_1_52_mRNA</v>
      </c>
      <c r="D256" s="49" t="str">
        <f t="shared" si="1"/>
        <v>E3_2_1_52</v>
      </c>
      <c r="E256" s="64" t="str">
        <f t="shared" si="2"/>
        <v>E3_2_1_52_kcat : 13.7</v>
      </c>
      <c r="F256" s="65" t="str">
        <f t="shared" si="3"/>
        <v>E3_2_1_52_km : 1</v>
      </c>
      <c r="G256" s="66" t="str">
        <f t="shared" ref="G256:H256" si="516">CONCATENATE(C256," : ",C256)</f>
        <v>E3_2_1_52_mRNA : E3_2_1_52_mRNA</v>
      </c>
      <c r="H256" s="67" t="str">
        <f t="shared" si="516"/>
        <v>E3_2_1_52 : E3_2_1_52</v>
      </c>
      <c r="I256" s="44" t="str">
        <f t="shared" ref="I256:J256" si="517">CONCATENATE(C256," : ","0")</f>
        <v>E3_2_1_52_mRNA : 0</v>
      </c>
      <c r="J256" s="68" t="str">
        <f t="shared" si="517"/>
        <v>E3_2_1_52 : 0</v>
      </c>
      <c r="K256" s="69" t="str">
        <f t="shared" si="6"/>
        <v>0.00292 - (0.0093 * E3_2_1_52_mRNA)</v>
      </c>
      <c r="L256" s="70" t="str">
        <f t="shared" si="7"/>
        <v>(0.278 * E3_2_1_52_mRNA) - (0.00000278 * E3_2_1_52)</v>
      </c>
      <c r="M256" s="71" t="str">
        <f t="shared" si="8"/>
        <v>mRNA255: -&gt; E3_2_1_52_mRNA | 0.00292 - (0.0093 * E3_2_1_52_mRNA)</v>
      </c>
      <c r="N256" s="72" t="str">
        <f t="shared" si="9"/>
        <v>Peptide255: E3_2_1_52_mRNA -&gt; E3_2_1_52 | (0.278 * E3_2_1_52_mRNA) - (0.000000278 * E3_2_1_52)</v>
      </c>
    </row>
    <row r="257" spans="1:14" ht="29" x14ac:dyDescent="0.35">
      <c r="A257" s="49">
        <v>256</v>
      </c>
      <c r="B257" s="49" t="s">
        <v>14773</v>
      </c>
      <c r="C257" s="49" t="str">
        <f t="shared" ref="C257:C453" si="518">CONCATENATE(D257,"_mRNA")</f>
        <v>E6_1_1_5_mRNA</v>
      </c>
      <c r="D257" s="49" t="str">
        <f t="shared" ref="D257:D453" si="519">CONCATENATE("E",B257)</f>
        <v>E6_1_1_5</v>
      </c>
      <c r="E257" s="64" t="str">
        <f t="shared" ref="E257:E453" si="520">CONCATENATE("E",B257,"_kcat : 13.7")</f>
        <v>E6_1_1_5_kcat : 13.7</v>
      </c>
      <c r="F257" s="65" t="str">
        <f t="shared" ref="F257:F453" si="521">CONCATENATE("E",B257,"_km : 1")</f>
        <v>E6_1_1_5_km : 1</v>
      </c>
      <c r="G257" s="66" t="str">
        <f t="shared" ref="G257:H257" si="522">CONCATENATE(C257," : ",C257)</f>
        <v>E6_1_1_5_mRNA : E6_1_1_5_mRNA</v>
      </c>
      <c r="H257" s="67" t="str">
        <f t="shared" si="522"/>
        <v>E6_1_1_5 : E6_1_1_5</v>
      </c>
      <c r="I257" s="44" t="str">
        <f t="shared" ref="I257:J257" si="523">CONCATENATE(C257," : ","0")</f>
        <v>E6_1_1_5_mRNA : 0</v>
      </c>
      <c r="J257" s="68" t="str">
        <f t="shared" si="523"/>
        <v>E6_1_1_5 : 0</v>
      </c>
      <c r="K257" s="69" t="str">
        <f t="shared" ref="K257:K453" si="524">CONCATENATE("0.00292 - (0.0093 * ",C257,")")</f>
        <v>0.00292 - (0.0093 * E6_1_1_5_mRNA)</v>
      </c>
      <c r="L257" s="70" t="str">
        <f t="shared" ref="L257:L453" si="525">CONCATENATE("(0.278 * ",C257,")"," - (0.00000278 * ",D257,")")</f>
        <v>(0.278 * E6_1_1_5_mRNA) - (0.00000278 * E6_1_1_5)</v>
      </c>
      <c r="M257" s="71" t="str">
        <f t="shared" ref="M257:M453" si="526">CONCATENATE("mRNA",A257,": -&gt; ",C257," | ","0.00292"," - ","(","0.0093"," * ",C257,")")</f>
        <v>mRNA256: -&gt; E6_1_1_5_mRNA | 0.00292 - (0.0093 * E6_1_1_5_mRNA)</v>
      </c>
      <c r="N257" s="72" t="str">
        <f t="shared" ref="N257:N453" si="527">CONCATENATE("Peptide",A257,": ",C257," -&gt; ",D257," | ","(","0.278"," * ",C257,")"," - ","(","0.000000278"," * ",D257,")")</f>
        <v>Peptide256: E6_1_1_5_mRNA -&gt; E6_1_1_5 | (0.278 * E6_1_1_5_mRNA) - (0.000000278 * E6_1_1_5)</v>
      </c>
    </row>
    <row r="258" spans="1:14" ht="29" x14ac:dyDescent="0.35">
      <c r="A258" s="49">
        <v>257</v>
      </c>
      <c r="B258" s="49" t="s">
        <v>14774</v>
      </c>
      <c r="C258" s="49" t="str">
        <f t="shared" si="518"/>
        <v>E2_7_1_26_mRNA</v>
      </c>
      <c r="D258" s="49" t="str">
        <f t="shared" si="519"/>
        <v>E2_7_1_26</v>
      </c>
      <c r="E258" s="64" t="str">
        <f t="shared" si="520"/>
        <v>E2_7_1_26_kcat : 13.7</v>
      </c>
      <c r="F258" s="65" t="str">
        <f t="shared" si="521"/>
        <v>E2_7_1_26_km : 1</v>
      </c>
      <c r="G258" s="66" t="str">
        <f t="shared" ref="G258:H258" si="528">CONCATENATE(C258," : ",C258)</f>
        <v>E2_7_1_26_mRNA : E2_7_1_26_mRNA</v>
      </c>
      <c r="H258" s="67" t="str">
        <f t="shared" si="528"/>
        <v>E2_7_1_26 : E2_7_1_26</v>
      </c>
      <c r="I258" s="44" t="str">
        <f t="shared" ref="I258:J258" si="529">CONCATENATE(C258," : ","0")</f>
        <v>E2_7_1_26_mRNA : 0</v>
      </c>
      <c r="J258" s="68" t="str">
        <f t="shared" si="529"/>
        <v>E2_7_1_26 : 0</v>
      </c>
      <c r="K258" s="69" t="str">
        <f t="shared" si="524"/>
        <v>0.00292 - (0.0093 * E2_7_1_26_mRNA)</v>
      </c>
      <c r="L258" s="70" t="str">
        <f t="shared" si="525"/>
        <v>(0.278 * E2_7_1_26_mRNA) - (0.00000278 * E2_7_1_26)</v>
      </c>
      <c r="M258" s="71" t="str">
        <f t="shared" si="526"/>
        <v>mRNA257: -&gt; E2_7_1_26_mRNA | 0.00292 - (0.0093 * E2_7_1_26_mRNA)</v>
      </c>
      <c r="N258" s="72" t="str">
        <f t="shared" si="527"/>
        <v>Peptide257: E2_7_1_26_mRNA -&gt; E2_7_1_26 | (0.278 * E2_7_1_26_mRNA) - (0.000000278 * E2_7_1_26)</v>
      </c>
    </row>
    <row r="259" spans="1:14" ht="29" x14ac:dyDescent="0.35">
      <c r="A259" s="49">
        <v>258</v>
      </c>
      <c r="B259" s="49" t="s">
        <v>14775</v>
      </c>
      <c r="C259" s="49" t="str">
        <f t="shared" si="518"/>
        <v>E2_7_7_2_mRNA</v>
      </c>
      <c r="D259" s="49" t="str">
        <f t="shared" si="519"/>
        <v>E2_7_7_2</v>
      </c>
      <c r="E259" s="64" t="str">
        <f t="shared" si="520"/>
        <v>E2_7_7_2_kcat : 13.7</v>
      </c>
      <c r="F259" s="65" t="str">
        <f t="shared" si="521"/>
        <v>E2_7_7_2_km : 1</v>
      </c>
      <c r="G259" s="66" t="str">
        <f t="shared" ref="G259:H259" si="530">CONCATENATE(C259," : ",C259)</f>
        <v>E2_7_7_2_mRNA : E2_7_7_2_mRNA</v>
      </c>
      <c r="H259" s="67" t="str">
        <f t="shared" si="530"/>
        <v>E2_7_7_2 : E2_7_7_2</v>
      </c>
      <c r="I259" s="44" t="str">
        <f t="shared" ref="I259:J259" si="531">CONCATENATE(C259," : ","0")</f>
        <v>E2_7_7_2_mRNA : 0</v>
      </c>
      <c r="J259" s="68" t="str">
        <f t="shared" si="531"/>
        <v>E2_7_7_2 : 0</v>
      </c>
      <c r="K259" s="69" t="str">
        <f t="shared" si="524"/>
        <v>0.00292 - (0.0093 * E2_7_7_2_mRNA)</v>
      </c>
      <c r="L259" s="70" t="str">
        <f t="shared" si="525"/>
        <v>(0.278 * E2_7_7_2_mRNA) - (0.00000278 * E2_7_7_2)</v>
      </c>
      <c r="M259" s="71" t="str">
        <f t="shared" si="526"/>
        <v>mRNA258: -&gt; E2_7_7_2_mRNA | 0.00292 - (0.0093 * E2_7_7_2_mRNA)</v>
      </c>
      <c r="N259" s="72" t="str">
        <f t="shared" si="527"/>
        <v>Peptide258: E2_7_7_2_mRNA -&gt; E2_7_7_2 | (0.278 * E2_7_7_2_mRNA) - (0.000000278 * E2_7_7_2)</v>
      </c>
    </row>
    <row r="260" spans="1:14" ht="29" x14ac:dyDescent="0.35">
      <c r="A260" s="49">
        <v>259</v>
      </c>
      <c r="B260" s="49" t="s">
        <v>14776</v>
      </c>
      <c r="C260" s="49" t="str">
        <f t="shared" si="518"/>
        <v>E4_1_3_36_mRNA</v>
      </c>
      <c r="D260" s="49" t="str">
        <f t="shared" si="519"/>
        <v>E4_1_3_36</v>
      </c>
      <c r="E260" s="64" t="str">
        <f t="shared" si="520"/>
        <v>E4_1_3_36_kcat : 13.7</v>
      </c>
      <c r="F260" s="65" t="str">
        <f t="shared" si="521"/>
        <v>E4_1_3_36_km : 1</v>
      </c>
      <c r="G260" s="66" t="str">
        <f t="shared" ref="G260:H260" si="532">CONCATENATE(C260," : ",C260)</f>
        <v>E4_1_3_36_mRNA : E4_1_3_36_mRNA</v>
      </c>
      <c r="H260" s="67" t="str">
        <f t="shared" si="532"/>
        <v>E4_1_3_36 : E4_1_3_36</v>
      </c>
      <c r="I260" s="44" t="str">
        <f t="shared" ref="I260:J260" si="533">CONCATENATE(C260," : ","0")</f>
        <v>E4_1_3_36_mRNA : 0</v>
      </c>
      <c r="J260" s="68" t="str">
        <f t="shared" si="533"/>
        <v>E4_1_3_36 : 0</v>
      </c>
      <c r="K260" s="69" t="str">
        <f t="shared" si="524"/>
        <v>0.00292 - (0.0093 * E4_1_3_36_mRNA)</v>
      </c>
      <c r="L260" s="70" t="str">
        <f t="shared" si="525"/>
        <v>(0.278 * E4_1_3_36_mRNA) - (0.00000278 * E4_1_3_36)</v>
      </c>
      <c r="M260" s="71" t="str">
        <f t="shared" si="526"/>
        <v>mRNA259: -&gt; E4_1_3_36_mRNA | 0.00292 - (0.0093 * E4_1_3_36_mRNA)</v>
      </c>
      <c r="N260" s="72" t="str">
        <f t="shared" si="527"/>
        <v>Peptide259: E4_1_3_36_mRNA -&gt; E4_1_3_36 | (0.278 * E4_1_3_36_mRNA) - (0.000000278 * E4_1_3_36)</v>
      </c>
    </row>
    <row r="261" spans="1:14" ht="29" x14ac:dyDescent="0.35">
      <c r="A261" s="49">
        <v>260</v>
      </c>
      <c r="B261" s="49" t="s">
        <v>14777</v>
      </c>
      <c r="C261" s="49" t="str">
        <f t="shared" si="518"/>
        <v>E4_2_1_113_mRNA</v>
      </c>
      <c r="D261" s="49" t="str">
        <f t="shared" si="519"/>
        <v>E4_2_1_113</v>
      </c>
      <c r="E261" s="64" t="str">
        <f t="shared" si="520"/>
        <v>E4_2_1_113_kcat : 13.7</v>
      </c>
      <c r="F261" s="65" t="str">
        <f t="shared" si="521"/>
        <v>E4_2_1_113_km : 1</v>
      </c>
      <c r="G261" s="66" t="str">
        <f t="shared" ref="G261:H261" si="534">CONCATENATE(C261," : ",C261)</f>
        <v>E4_2_1_113_mRNA : E4_2_1_113_mRNA</v>
      </c>
      <c r="H261" s="67" t="str">
        <f t="shared" si="534"/>
        <v>E4_2_1_113 : E4_2_1_113</v>
      </c>
      <c r="I261" s="44" t="str">
        <f t="shared" ref="I261:J261" si="535">CONCATENATE(C261," : ","0")</f>
        <v>E4_2_1_113_mRNA : 0</v>
      </c>
      <c r="J261" s="68" t="str">
        <f t="shared" si="535"/>
        <v>E4_2_1_113 : 0</v>
      </c>
      <c r="K261" s="69" t="str">
        <f t="shared" si="524"/>
        <v>0.00292 - (0.0093 * E4_2_1_113_mRNA)</v>
      </c>
      <c r="L261" s="70" t="str">
        <f t="shared" si="525"/>
        <v>(0.278 * E4_2_1_113_mRNA) - (0.00000278 * E4_2_1_113)</v>
      </c>
      <c r="M261" s="71" t="str">
        <f t="shared" si="526"/>
        <v>mRNA260: -&gt; E4_2_1_113_mRNA | 0.00292 - (0.0093 * E4_2_1_113_mRNA)</v>
      </c>
      <c r="N261" s="72" t="str">
        <f t="shared" si="527"/>
        <v>Peptide260: E4_2_1_113_mRNA -&gt; E4_2_1_113 | (0.278 * E4_2_1_113_mRNA) - (0.000000278 * E4_2_1_113)</v>
      </c>
    </row>
    <row r="262" spans="1:14" ht="29" x14ac:dyDescent="0.35">
      <c r="A262" s="49">
        <v>261</v>
      </c>
      <c r="B262" s="49" t="s">
        <v>14778</v>
      </c>
      <c r="C262" s="49" t="str">
        <f t="shared" si="518"/>
        <v>E4_2_1_10_mRNA</v>
      </c>
      <c r="D262" s="49" t="str">
        <f t="shared" si="519"/>
        <v>E4_2_1_10</v>
      </c>
      <c r="E262" s="64" t="str">
        <f t="shared" si="520"/>
        <v>E4_2_1_10_kcat : 13.7</v>
      </c>
      <c r="F262" s="65" t="str">
        <f t="shared" si="521"/>
        <v>E4_2_1_10_km : 1</v>
      </c>
      <c r="G262" s="66" t="str">
        <f t="shared" ref="G262:H262" si="536">CONCATENATE(C262," : ",C262)</f>
        <v>E4_2_1_10_mRNA : E4_2_1_10_mRNA</v>
      </c>
      <c r="H262" s="67" t="str">
        <f t="shared" si="536"/>
        <v>E4_2_1_10 : E4_2_1_10</v>
      </c>
      <c r="I262" s="44" t="str">
        <f t="shared" ref="I262:J262" si="537">CONCATENATE(C262," : ","0")</f>
        <v>E4_2_1_10_mRNA : 0</v>
      </c>
      <c r="J262" s="68" t="str">
        <f t="shared" si="537"/>
        <v>E4_2_1_10 : 0</v>
      </c>
      <c r="K262" s="69" t="str">
        <f t="shared" si="524"/>
        <v>0.00292 - (0.0093 * E4_2_1_10_mRNA)</v>
      </c>
      <c r="L262" s="70" t="str">
        <f t="shared" si="525"/>
        <v>(0.278 * E4_2_1_10_mRNA) - (0.00000278 * E4_2_1_10)</v>
      </c>
      <c r="M262" s="71" t="str">
        <f t="shared" si="526"/>
        <v>mRNA261: -&gt; E4_2_1_10_mRNA | 0.00292 - (0.0093 * E4_2_1_10_mRNA)</v>
      </c>
      <c r="N262" s="72" t="str">
        <f t="shared" si="527"/>
        <v>Peptide261: E4_2_1_10_mRNA -&gt; E4_2_1_10 | (0.278 * E4_2_1_10_mRNA) - (0.000000278 * E4_2_1_10)</v>
      </c>
    </row>
    <row r="263" spans="1:14" ht="29" x14ac:dyDescent="0.35">
      <c r="A263" s="49">
        <v>262</v>
      </c>
      <c r="B263" s="49" t="s">
        <v>14779</v>
      </c>
      <c r="C263" s="49" t="str">
        <f t="shared" si="518"/>
        <v>E6_4_1_2_mRNA</v>
      </c>
      <c r="D263" s="49" t="str">
        <f t="shared" si="519"/>
        <v>E6_4_1_2</v>
      </c>
      <c r="E263" s="64" t="str">
        <f t="shared" si="520"/>
        <v>E6_4_1_2_kcat : 13.7</v>
      </c>
      <c r="F263" s="65" t="str">
        <f t="shared" si="521"/>
        <v>E6_4_1_2_km : 1</v>
      </c>
      <c r="G263" s="66" t="str">
        <f t="shared" ref="G263:H263" si="538">CONCATENATE(C263," : ",C263)</f>
        <v>E6_4_1_2_mRNA : E6_4_1_2_mRNA</v>
      </c>
      <c r="H263" s="67" t="str">
        <f t="shared" si="538"/>
        <v>E6_4_1_2 : E6_4_1_2</v>
      </c>
      <c r="I263" s="44" t="str">
        <f t="shared" ref="I263:J263" si="539">CONCATENATE(C263," : ","0")</f>
        <v>E6_4_1_2_mRNA : 0</v>
      </c>
      <c r="J263" s="68" t="str">
        <f t="shared" si="539"/>
        <v>E6_4_1_2 : 0</v>
      </c>
      <c r="K263" s="69" t="str">
        <f t="shared" si="524"/>
        <v>0.00292 - (0.0093 * E6_4_1_2_mRNA)</v>
      </c>
      <c r="L263" s="70" t="str">
        <f t="shared" si="525"/>
        <v>(0.278 * E6_4_1_2_mRNA) - (0.00000278 * E6_4_1_2)</v>
      </c>
      <c r="M263" s="71" t="str">
        <f t="shared" si="526"/>
        <v>mRNA262: -&gt; E6_4_1_2_mRNA | 0.00292 - (0.0093 * E6_4_1_2_mRNA)</v>
      </c>
      <c r="N263" s="72" t="str">
        <f t="shared" si="527"/>
        <v>Peptide262: E6_4_1_2_mRNA -&gt; E6_4_1_2 | (0.278 * E6_4_1_2_mRNA) - (0.000000278 * E6_4_1_2)</v>
      </c>
    </row>
    <row r="264" spans="1:14" ht="29" x14ac:dyDescent="0.35">
      <c r="A264" s="49">
        <v>263</v>
      </c>
      <c r="B264" s="49" t="s">
        <v>14780</v>
      </c>
      <c r="C264" s="49" t="str">
        <f t="shared" si="518"/>
        <v>E6_3_4_14_mRNA</v>
      </c>
      <c r="D264" s="49" t="str">
        <f t="shared" si="519"/>
        <v>E6_3_4_14</v>
      </c>
      <c r="E264" s="64" t="str">
        <f t="shared" si="520"/>
        <v>E6_3_4_14_kcat : 13.7</v>
      </c>
      <c r="F264" s="65" t="str">
        <f t="shared" si="521"/>
        <v>E6_3_4_14_km : 1</v>
      </c>
      <c r="G264" s="66" t="str">
        <f t="shared" ref="G264:H264" si="540">CONCATENATE(C264," : ",C264)</f>
        <v>E6_3_4_14_mRNA : E6_3_4_14_mRNA</v>
      </c>
      <c r="H264" s="67" t="str">
        <f t="shared" si="540"/>
        <v>E6_3_4_14 : E6_3_4_14</v>
      </c>
      <c r="I264" s="44" t="str">
        <f t="shared" ref="I264:J264" si="541">CONCATENATE(C264," : ","0")</f>
        <v>E6_3_4_14_mRNA : 0</v>
      </c>
      <c r="J264" s="68" t="str">
        <f t="shared" si="541"/>
        <v>E6_3_4_14 : 0</v>
      </c>
      <c r="K264" s="69" t="str">
        <f t="shared" si="524"/>
        <v>0.00292 - (0.0093 * E6_3_4_14_mRNA)</v>
      </c>
      <c r="L264" s="70" t="str">
        <f t="shared" si="525"/>
        <v>(0.278 * E6_3_4_14_mRNA) - (0.00000278 * E6_3_4_14)</v>
      </c>
      <c r="M264" s="71" t="str">
        <f t="shared" si="526"/>
        <v>mRNA263: -&gt; E6_3_4_14_mRNA | 0.00292 - (0.0093 * E6_3_4_14_mRNA)</v>
      </c>
      <c r="N264" s="72" t="str">
        <f t="shared" si="527"/>
        <v>Peptide263: E6_3_4_14_mRNA -&gt; E6_3_4_14 | (0.278 * E6_3_4_14_mRNA) - (0.000000278 * E6_3_4_14)</v>
      </c>
    </row>
    <row r="265" spans="1:14" ht="29" x14ac:dyDescent="0.35">
      <c r="A265" s="49">
        <v>264</v>
      </c>
      <c r="B265" s="49" t="s">
        <v>14781</v>
      </c>
      <c r="C265" s="49" t="str">
        <f t="shared" si="518"/>
        <v>E2_7_1_11_mRNA</v>
      </c>
      <c r="D265" s="49" t="str">
        <f t="shared" si="519"/>
        <v>E2_7_1_11</v>
      </c>
      <c r="E265" s="64" t="str">
        <f t="shared" si="520"/>
        <v>E2_7_1_11_kcat : 13.7</v>
      </c>
      <c r="F265" s="65" t="str">
        <f t="shared" si="521"/>
        <v>E2_7_1_11_km : 1</v>
      </c>
      <c r="G265" s="66" t="str">
        <f t="shared" ref="G265:H265" si="542">CONCATENATE(C265," : ",C265)</f>
        <v>E2_7_1_11_mRNA : E2_7_1_11_mRNA</v>
      </c>
      <c r="H265" s="67" t="str">
        <f t="shared" si="542"/>
        <v>E2_7_1_11 : E2_7_1_11</v>
      </c>
      <c r="I265" s="44" t="str">
        <f t="shared" ref="I265:J265" si="543">CONCATENATE(C265," : ","0")</f>
        <v>E2_7_1_11_mRNA : 0</v>
      </c>
      <c r="J265" s="68" t="str">
        <f t="shared" si="543"/>
        <v>E2_7_1_11 : 0</v>
      </c>
      <c r="K265" s="69" t="str">
        <f t="shared" si="524"/>
        <v>0.00292 - (0.0093 * E2_7_1_11_mRNA)</v>
      </c>
      <c r="L265" s="70" t="str">
        <f t="shared" si="525"/>
        <v>(0.278 * E2_7_1_11_mRNA) - (0.00000278 * E2_7_1_11)</v>
      </c>
      <c r="M265" s="71" t="str">
        <f t="shared" si="526"/>
        <v>mRNA264: -&gt; E2_7_1_11_mRNA | 0.00292 - (0.0093 * E2_7_1_11_mRNA)</v>
      </c>
      <c r="N265" s="72" t="str">
        <f t="shared" si="527"/>
        <v>Peptide264: E2_7_1_11_mRNA -&gt; E2_7_1_11 | (0.278 * E2_7_1_11_mRNA) - (0.000000278 * E2_7_1_11)</v>
      </c>
    </row>
    <row r="266" spans="1:14" ht="29" x14ac:dyDescent="0.35">
      <c r="A266" s="49">
        <v>265</v>
      </c>
      <c r="B266" s="49" t="s">
        <v>14782</v>
      </c>
      <c r="C266" s="49" t="str">
        <f t="shared" si="518"/>
        <v>E2_3_3_13_mRNA</v>
      </c>
      <c r="D266" s="49" t="str">
        <f t="shared" si="519"/>
        <v>E2_3_3_13</v>
      </c>
      <c r="E266" s="64" t="str">
        <f t="shared" si="520"/>
        <v>E2_3_3_13_kcat : 13.7</v>
      </c>
      <c r="F266" s="65" t="str">
        <f t="shared" si="521"/>
        <v>E2_3_3_13_km : 1</v>
      </c>
      <c r="G266" s="66" t="str">
        <f t="shared" ref="G266:H266" si="544">CONCATENATE(C266," : ",C266)</f>
        <v>E2_3_3_13_mRNA : E2_3_3_13_mRNA</v>
      </c>
      <c r="H266" s="67" t="str">
        <f t="shared" si="544"/>
        <v>E2_3_3_13 : E2_3_3_13</v>
      </c>
      <c r="I266" s="44" t="str">
        <f t="shared" ref="I266:J266" si="545">CONCATENATE(C266," : ","0")</f>
        <v>E2_3_3_13_mRNA : 0</v>
      </c>
      <c r="J266" s="68" t="str">
        <f t="shared" si="545"/>
        <v>E2_3_3_13 : 0</v>
      </c>
      <c r="K266" s="69" t="str">
        <f t="shared" si="524"/>
        <v>0.00292 - (0.0093 * E2_3_3_13_mRNA)</v>
      </c>
      <c r="L266" s="70" t="str">
        <f t="shared" si="525"/>
        <v>(0.278 * E2_3_3_13_mRNA) - (0.00000278 * E2_3_3_13)</v>
      </c>
      <c r="M266" s="71" t="str">
        <f t="shared" si="526"/>
        <v>mRNA265: -&gt; E2_3_3_13_mRNA | 0.00292 - (0.0093 * E2_3_3_13_mRNA)</v>
      </c>
      <c r="N266" s="72" t="str">
        <f t="shared" si="527"/>
        <v>Peptide265: E2_3_3_13_mRNA -&gt; E2_3_3_13 | (0.278 * E2_3_3_13_mRNA) - (0.000000278 * E2_3_3_13)</v>
      </c>
    </row>
    <row r="267" spans="1:14" ht="29" x14ac:dyDescent="0.35">
      <c r="A267" s="49">
        <v>266</v>
      </c>
      <c r="B267" s="49" t="s">
        <v>14783</v>
      </c>
      <c r="C267" s="49" t="str">
        <f t="shared" si="518"/>
        <v>E1_1_1_85_mRNA</v>
      </c>
      <c r="D267" s="49" t="str">
        <f t="shared" si="519"/>
        <v>E1_1_1_85</v>
      </c>
      <c r="E267" s="64" t="str">
        <f t="shared" si="520"/>
        <v>E1_1_1_85_kcat : 13.7</v>
      </c>
      <c r="F267" s="65" t="str">
        <f t="shared" si="521"/>
        <v>E1_1_1_85_km : 1</v>
      </c>
      <c r="G267" s="66" t="str">
        <f t="shared" ref="G267:H267" si="546">CONCATENATE(C267," : ",C267)</f>
        <v>E1_1_1_85_mRNA : E1_1_1_85_mRNA</v>
      </c>
      <c r="H267" s="67" t="str">
        <f t="shared" si="546"/>
        <v>E1_1_1_85 : E1_1_1_85</v>
      </c>
      <c r="I267" s="44" t="str">
        <f t="shared" ref="I267:J267" si="547">CONCATENATE(C267," : ","0")</f>
        <v>E1_1_1_85_mRNA : 0</v>
      </c>
      <c r="J267" s="68" t="str">
        <f t="shared" si="547"/>
        <v>E1_1_1_85 : 0</v>
      </c>
      <c r="K267" s="69" t="str">
        <f t="shared" si="524"/>
        <v>0.00292 - (0.0093 * E1_1_1_85_mRNA)</v>
      </c>
      <c r="L267" s="70" t="str">
        <f t="shared" si="525"/>
        <v>(0.278 * E1_1_1_85_mRNA) - (0.00000278 * E1_1_1_85)</v>
      </c>
      <c r="M267" s="71" t="str">
        <f t="shared" si="526"/>
        <v>mRNA266: -&gt; E1_1_1_85_mRNA | 0.00292 - (0.0093 * E1_1_1_85_mRNA)</v>
      </c>
      <c r="N267" s="72" t="str">
        <f t="shared" si="527"/>
        <v>Peptide266: E1_1_1_85_mRNA -&gt; E1_1_1_85 | (0.278 * E1_1_1_85_mRNA) - (0.000000278 * E1_1_1_85)</v>
      </c>
    </row>
    <row r="268" spans="1:14" ht="29" x14ac:dyDescent="0.35">
      <c r="A268" s="49">
        <v>267</v>
      </c>
      <c r="B268" s="49" t="s">
        <v>14784</v>
      </c>
      <c r="C268" s="49" t="str">
        <f t="shared" si="518"/>
        <v>E4_2_1_33_mRNA</v>
      </c>
      <c r="D268" s="49" t="str">
        <f t="shared" si="519"/>
        <v>E4_2_1_33</v>
      </c>
      <c r="E268" s="64" t="str">
        <f t="shared" si="520"/>
        <v>E4_2_1_33_kcat : 13.7</v>
      </c>
      <c r="F268" s="65" t="str">
        <f t="shared" si="521"/>
        <v>E4_2_1_33_km : 1</v>
      </c>
      <c r="G268" s="66" t="str">
        <f t="shared" ref="G268:H268" si="548">CONCATENATE(C268," : ",C268)</f>
        <v>E4_2_1_33_mRNA : E4_2_1_33_mRNA</v>
      </c>
      <c r="H268" s="67" t="str">
        <f t="shared" si="548"/>
        <v>E4_2_1_33 : E4_2_1_33</v>
      </c>
      <c r="I268" s="44" t="str">
        <f t="shared" ref="I268:J268" si="549">CONCATENATE(C268," : ","0")</f>
        <v>E4_2_1_33_mRNA : 0</v>
      </c>
      <c r="J268" s="68" t="str">
        <f t="shared" si="549"/>
        <v>E4_2_1_33 : 0</v>
      </c>
      <c r="K268" s="69" t="str">
        <f t="shared" si="524"/>
        <v>0.00292 - (0.0093 * E4_2_1_33_mRNA)</v>
      </c>
      <c r="L268" s="70" t="str">
        <f t="shared" si="525"/>
        <v>(0.278 * E4_2_1_33_mRNA) - (0.00000278 * E4_2_1_33)</v>
      </c>
      <c r="M268" s="71" t="str">
        <f t="shared" si="526"/>
        <v>mRNA267: -&gt; E4_2_1_33_mRNA | 0.00292 - (0.0093 * E4_2_1_33_mRNA)</v>
      </c>
      <c r="N268" s="72" t="str">
        <f t="shared" si="527"/>
        <v>Peptide267: E4_2_1_33_mRNA -&gt; E4_2_1_33 | (0.278 * E4_2_1_33_mRNA) - (0.000000278 * E4_2_1_33)</v>
      </c>
    </row>
    <row r="269" spans="1:14" ht="29" x14ac:dyDescent="0.35">
      <c r="A269" s="49">
        <v>268</v>
      </c>
      <c r="B269" s="49" t="s">
        <v>14980</v>
      </c>
      <c r="C269" s="49" t="str">
        <f t="shared" si="518"/>
        <v>E3_1_26_5_mRNA</v>
      </c>
      <c r="D269" s="49" t="str">
        <f t="shared" si="519"/>
        <v>E3_1_26_5</v>
      </c>
      <c r="E269" s="64" t="str">
        <f t="shared" si="520"/>
        <v>E3_1_26_5_kcat : 13.7</v>
      </c>
      <c r="F269" s="65" t="str">
        <f t="shared" si="521"/>
        <v>E3_1_26_5_km : 1</v>
      </c>
      <c r="G269" s="66" t="str">
        <f t="shared" ref="G269:H269" si="550">CONCATENATE(C269," : ",C269)</f>
        <v>E3_1_26_5_mRNA : E3_1_26_5_mRNA</v>
      </c>
      <c r="H269" s="67" t="str">
        <f t="shared" si="550"/>
        <v>E3_1_26_5 : E3_1_26_5</v>
      </c>
      <c r="I269" s="44" t="str">
        <f t="shared" ref="I269:J269" si="551">CONCATENATE(C269," : ","0")</f>
        <v>E3_1_26_5_mRNA : 0</v>
      </c>
      <c r="J269" s="68" t="str">
        <f t="shared" si="551"/>
        <v>E3_1_26_5 : 0</v>
      </c>
      <c r="K269" s="69" t="str">
        <f t="shared" si="524"/>
        <v>0.00292 - (0.0093 * E3_1_26_5_mRNA)</v>
      </c>
      <c r="L269" s="70" t="str">
        <f t="shared" si="525"/>
        <v>(0.278 * E3_1_26_5_mRNA) - (0.00000278 * E3_1_26_5)</v>
      </c>
      <c r="M269" s="71" t="str">
        <f t="shared" si="526"/>
        <v>mRNA268: -&gt; E3_1_26_5_mRNA | 0.00292 - (0.0093 * E3_1_26_5_mRNA)</v>
      </c>
      <c r="N269" s="72" t="str">
        <f t="shared" si="527"/>
        <v>Peptide268: E3_1_26_5_mRNA -&gt; E3_1_26_5 | (0.278 * E3_1_26_5_mRNA) - (0.000000278 * E3_1_26_5)</v>
      </c>
    </row>
    <row r="270" spans="1:14" ht="29" x14ac:dyDescent="0.35">
      <c r="A270" s="49">
        <v>269</v>
      </c>
      <c r="B270" s="49" t="s">
        <v>14981</v>
      </c>
      <c r="C270" s="49" t="str">
        <f t="shared" si="518"/>
        <v>E3_4_23_36_mRNA</v>
      </c>
      <c r="D270" s="49" t="str">
        <f t="shared" si="519"/>
        <v>E3_4_23_36</v>
      </c>
      <c r="E270" s="64" t="str">
        <f t="shared" si="520"/>
        <v>E3_4_23_36_kcat : 13.7</v>
      </c>
      <c r="F270" s="65" t="str">
        <f t="shared" si="521"/>
        <v>E3_4_23_36_km : 1</v>
      </c>
      <c r="G270" s="66" t="str">
        <f t="shared" ref="G270:H270" si="552">CONCATENATE(C270," : ",C270)</f>
        <v>E3_4_23_36_mRNA : E3_4_23_36_mRNA</v>
      </c>
      <c r="H270" s="67" t="str">
        <f t="shared" si="552"/>
        <v>E3_4_23_36 : E3_4_23_36</v>
      </c>
      <c r="I270" s="44" t="str">
        <f t="shared" ref="I270:J270" si="553">CONCATENATE(C270," : ","0")</f>
        <v>E3_4_23_36_mRNA : 0</v>
      </c>
      <c r="J270" s="68" t="str">
        <f t="shared" si="553"/>
        <v>E3_4_23_36 : 0</v>
      </c>
      <c r="K270" s="69" t="str">
        <f t="shared" si="524"/>
        <v>0.00292 - (0.0093 * E3_4_23_36_mRNA)</v>
      </c>
      <c r="L270" s="70" t="str">
        <f t="shared" si="525"/>
        <v>(0.278 * E3_4_23_36_mRNA) - (0.00000278 * E3_4_23_36)</v>
      </c>
      <c r="M270" s="71" t="str">
        <f t="shared" si="526"/>
        <v>mRNA269: -&gt; E3_4_23_36_mRNA | 0.00292 - (0.0093 * E3_4_23_36_mRNA)</v>
      </c>
      <c r="N270" s="72" t="str">
        <f t="shared" si="527"/>
        <v>Peptide269: E3_4_23_36_mRNA -&gt; E3_4_23_36 | (0.278 * E3_4_23_36_mRNA) - (0.000000278 * E3_4_23_36)</v>
      </c>
    </row>
    <row r="271" spans="1:14" ht="29" x14ac:dyDescent="0.35">
      <c r="A271" s="49">
        <v>270</v>
      </c>
      <c r="B271" s="49" t="s">
        <v>14785</v>
      </c>
      <c r="C271" s="49" t="str">
        <f t="shared" si="518"/>
        <v>E1_17_7_4_mRNA</v>
      </c>
      <c r="D271" s="49" t="str">
        <f t="shared" si="519"/>
        <v>E1_17_7_4</v>
      </c>
      <c r="E271" s="64" t="str">
        <f t="shared" si="520"/>
        <v>E1_17_7_4_kcat : 13.7</v>
      </c>
      <c r="F271" s="65" t="str">
        <f t="shared" si="521"/>
        <v>E1_17_7_4_km : 1</v>
      </c>
      <c r="G271" s="66" t="str">
        <f t="shared" ref="G271:H271" si="554">CONCATENATE(C271," : ",C271)</f>
        <v>E1_17_7_4_mRNA : E1_17_7_4_mRNA</v>
      </c>
      <c r="H271" s="67" t="str">
        <f t="shared" si="554"/>
        <v>E1_17_7_4 : E1_17_7_4</v>
      </c>
      <c r="I271" s="44" t="str">
        <f t="shared" ref="I271:J271" si="555">CONCATENATE(C271," : ","0")</f>
        <v>E1_17_7_4_mRNA : 0</v>
      </c>
      <c r="J271" s="68" t="str">
        <f t="shared" si="555"/>
        <v>E1_17_7_4 : 0</v>
      </c>
      <c r="K271" s="69" t="str">
        <f t="shared" si="524"/>
        <v>0.00292 - (0.0093 * E1_17_7_4_mRNA)</v>
      </c>
      <c r="L271" s="70" t="str">
        <f t="shared" si="525"/>
        <v>(0.278 * E1_17_7_4_mRNA) - (0.00000278 * E1_17_7_4)</v>
      </c>
      <c r="M271" s="71" t="str">
        <f t="shared" si="526"/>
        <v>mRNA270: -&gt; E1_17_7_4_mRNA | 0.00292 - (0.0093 * E1_17_7_4_mRNA)</v>
      </c>
      <c r="N271" s="72" t="str">
        <f t="shared" si="527"/>
        <v>Peptide270: E1_17_7_4_mRNA -&gt; E1_17_7_4 | (0.278 * E1_17_7_4_mRNA) - (0.000000278 * E1_17_7_4)</v>
      </c>
    </row>
    <row r="272" spans="1:14" ht="29" x14ac:dyDescent="0.35">
      <c r="A272" s="49">
        <v>271</v>
      </c>
      <c r="B272" s="49" t="s">
        <v>14982</v>
      </c>
      <c r="C272" s="49" t="str">
        <f t="shared" si="518"/>
        <v>E7_6_2_15_mRNA</v>
      </c>
      <c r="D272" s="49" t="str">
        <f t="shared" si="519"/>
        <v>E7_6_2_15</v>
      </c>
      <c r="E272" s="64" t="str">
        <f t="shared" si="520"/>
        <v>E7_6_2_15_kcat : 13.7</v>
      </c>
      <c r="F272" s="65" t="str">
        <f t="shared" si="521"/>
        <v>E7_6_2_15_km : 1</v>
      </c>
      <c r="G272" s="66" t="str">
        <f t="shared" ref="G272:H272" si="556">CONCATENATE(C272," : ",C272)</f>
        <v>E7_6_2_15_mRNA : E7_6_2_15_mRNA</v>
      </c>
      <c r="H272" s="67" t="str">
        <f t="shared" si="556"/>
        <v>E7_6_2_15 : E7_6_2_15</v>
      </c>
      <c r="I272" s="44" t="str">
        <f t="shared" ref="I272:J272" si="557">CONCATENATE(C272," : ","0")</f>
        <v>E7_6_2_15_mRNA : 0</v>
      </c>
      <c r="J272" s="68" t="str">
        <f t="shared" si="557"/>
        <v>E7_6_2_15 : 0</v>
      </c>
      <c r="K272" s="69" t="str">
        <f t="shared" si="524"/>
        <v>0.00292 - (0.0093 * E7_6_2_15_mRNA)</v>
      </c>
      <c r="L272" s="70" t="str">
        <f t="shared" si="525"/>
        <v>(0.278 * E7_6_2_15_mRNA) - (0.00000278 * E7_6_2_15)</v>
      </c>
      <c r="M272" s="71" t="str">
        <f t="shared" si="526"/>
        <v>mRNA271: -&gt; E7_6_2_15_mRNA | 0.00292 - (0.0093 * E7_6_2_15_mRNA)</v>
      </c>
      <c r="N272" s="72" t="str">
        <f t="shared" si="527"/>
        <v>Peptide271: E7_6_2_15_mRNA -&gt; E7_6_2_15 | (0.278 * E7_6_2_15_mRNA) - (0.000000278 * E7_6_2_15)</v>
      </c>
    </row>
    <row r="273" spans="1:14" ht="29" x14ac:dyDescent="0.35">
      <c r="A273" s="49">
        <v>272</v>
      </c>
      <c r="B273" s="49" t="s">
        <v>14786</v>
      </c>
      <c r="C273" s="49" t="str">
        <f t="shared" si="518"/>
        <v>E2_8_1_6_mRNA</v>
      </c>
      <c r="D273" s="49" t="str">
        <f t="shared" si="519"/>
        <v>E2_8_1_6</v>
      </c>
      <c r="E273" s="64" t="str">
        <f t="shared" si="520"/>
        <v>E2_8_1_6_kcat : 13.7</v>
      </c>
      <c r="F273" s="65" t="str">
        <f t="shared" si="521"/>
        <v>E2_8_1_6_km : 1</v>
      </c>
      <c r="G273" s="66" t="str">
        <f t="shared" ref="G273:H273" si="558">CONCATENATE(C273," : ",C273)</f>
        <v>E2_8_1_6_mRNA : E2_8_1_6_mRNA</v>
      </c>
      <c r="H273" s="67" t="str">
        <f t="shared" si="558"/>
        <v>E2_8_1_6 : E2_8_1_6</v>
      </c>
      <c r="I273" s="44" t="str">
        <f t="shared" ref="I273:J273" si="559">CONCATENATE(C273," : ","0")</f>
        <v>E2_8_1_6_mRNA : 0</v>
      </c>
      <c r="J273" s="68" t="str">
        <f t="shared" si="559"/>
        <v>E2_8_1_6 : 0</v>
      </c>
      <c r="K273" s="69" t="str">
        <f t="shared" si="524"/>
        <v>0.00292 - (0.0093 * E2_8_1_6_mRNA)</v>
      </c>
      <c r="L273" s="70" t="str">
        <f t="shared" si="525"/>
        <v>(0.278 * E2_8_1_6_mRNA) - (0.00000278 * E2_8_1_6)</v>
      </c>
      <c r="M273" s="71" t="str">
        <f t="shared" si="526"/>
        <v>mRNA272: -&gt; E2_8_1_6_mRNA | 0.00292 - (0.0093 * E2_8_1_6_mRNA)</v>
      </c>
      <c r="N273" s="72" t="str">
        <f t="shared" si="527"/>
        <v>Peptide272: E2_8_1_6_mRNA -&gt; E2_8_1_6 | (0.278 * E2_8_1_6_mRNA) - (0.000000278 * E2_8_1_6)</v>
      </c>
    </row>
    <row r="274" spans="1:14" ht="29" x14ac:dyDescent="0.35">
      <c r="A274" s="49">
        <v>273</v>
      </c>
      <c r="B274" s="49" t="s">
        <v>14787</v>
      </c>
      <c r="C274" s="49" t="str">
        <f t="shared" si="518"/>
        <v>E2_2_1_1_mRNA</v>
      </c>
      <c r="D274" s="49" t="str">
        <f t="shared" si="519"/>
        <v>E2_2_1_1</v>
      </c>
      <c r="E274" s="64" t="str">
        <f t="shared" si="520"/>
        <v>E2_2_1_1_kcat : 13.7</v>
      </c>
      <c r="F274" s="65" t="str">
        <f t="shared" si="521"/>
        <v>E2_2_1_1_km : 1</v>
      </c>
      <c r="G274" s="66" t="str">
        <f t="shared" ref="G274:H274" si="560">CONCATENATE(C274," : ",C274)</f>
        <v>E2_2_1_1_mRNA : E2_2_1_1_mRNA</v>
      </c>
      <c r="H274" s="67" t="str">
        <f t="shared" si="560"/>
        <v>E2_2_1_1 : E2_2_1_1</v>
      </c>
      <c r="I274" s="44" t="str">
        <f t="shared" ref="I274:J274" si="561">CONCATENATE(C274," : ","0")</f>
        <v>E2_2_1_1_mRNA : 0</v>
      </c>
      <c r="J274" s="68" t="str">
        <f t="shared" si="561"/>
        <v>E2_2_1_1 : 0</v>
      </c>
      <c r="K274" s="69" t="str">
        <f t="shared" si="524"/>
        <v>0.00292 - (0.0093 * E2_2_1_1_mRNA)</v>
      </c>
      <c r="L274" s="70" t="str">
        <f t="shared" si="525"/>
        <v>(0.278 * E2_2_1_1_mRNA) - (0.00000278 * E2_2_1_1)</v>
      </c>
      <c r="M274" s="71" t="str">
        <f t="shared" si="526"/>
        <v>mRNA273: -&gt; E2_2_1_1_mRNA | 0.00292 - (0.0093 * E2_2_1_1_mRNA)</v>
      </c>
      <c r="N274" s="72" t="str">
        <f t="shared" si="527"/>
        <v>Peptide273: E2_2_1_1_mRNA -&gt; E2_2_1_1 | (0.278 * E2_2_1_1_mRNA) - (0.000000278 * E2_2_1_1)</v>
      </c>
    </row>
    <row r="275" spans="1:14" ht="29" x14ac:dyDescent="0.35">
      <c r="A275" s="49">
        <v>274</v>
      </c>
      <c r="B275" s="49" t="s">
        <v>14788</v>
      </c>
      <c r="C275" s="49" t="str">
        <f t="shared" si="518"/>
        <v>E3_1_3_3_mRNA</v>
      </c>
      <c r="D275" s="49" t="str">
        <f t="shared" si="519"/>
        <v>E3_1_3_3</v>
      </c>
      <c r="E275" s="64" t="str">
        <f t="shared" si="520"/>
        <v>E3_1_3_3_kcat : 13.7</v>
      </c>
      <c r="F275" s="65" t="str">
        <f t="shared" si="521"/>
        <v>E3_1_3_3_km : 1</v>
      </c>
      <c r="G275" s="66" t="str">
        <f t="shared" ref="G275:H275" si="562">CONCATENATE(C275," : ",C275)</f>
        <v>E3_1_3_3_mRNA : E3_1_3_3_mRNA</v>
      </c>
      <c r="H275" s="67" t="str">
        <f t="shared" si="562"/>
        <v>E3_1_3_3 : E3_1_3_3</v>
      </c>
      <c r="I275" s="44" t="str">
        <f t="shared" ref="I275:J275" si="563">CONCATENATE(C275," : ","0")</f>
        <v>E3_1_3_3_mRNA : 0</v>
      </c>
      <c r="J275" s="68" t="str">
        <f t="shared" si="563"/>
        <v>E3_1_3_3 : 0</v>
      </c>
      <c r="K275" s="69" t="str">
        <f t="shared" si="524"/>
        <v>0.00292 - (0.0093 * E3_1_3_3_mRNA)</v>
      </c>
      <c r="L275" s="70" t="str">
        <f t="shared" si="525"/>
        <v>(0.278 * E3_1_3_3_mRNA) - (0.00000278 * E3_1_3_3)</v>
      </c>
      <c r="M275" s="71" t="str">
        <f t="shared" si="526"/>
        <v>mRNA274: -&gt; E3_1_3_3_mRNA | 0.00292 - (0.0093 * E3_1_3_3_mRNA)</v>
      </c>
      <c r="N275" s="72" t="str">
        <f t="shared" si="527"/>
        <v>Peptide274: E3_1_3_3_mRNA -&gt; E3_1_3_3 | (0.278 * E3_1_3_3_mRNA) - (0.000000278 * E3_1_3_3)</v>
      </c>
    </row>
    <row r="276" spans="1:14" ht="29" x14ac:dyDescent="0.35">
      <c r="A276" s="49">
        <v>275</v>
      </c>
      <c r="B276" s="49" t="s">
        <v>14789</v>
      </c>
      <c r="C276" s="49" t="str">
        <f t="shared" si="518"/>
        <v>E1_8_5_3_mRNA</v>
      </c>
      <c r="D276" s="49" t="str">
        <f t="shared" si="519"/>
        <v>E1_8_5_3</v>
      </c>
      <c r="E276" s="64" t="str">
        <f t="shared" si="520"/>
        <v>E1_8_5_3_kcat : 13.7</v>
      </c>
      <c r="F276" s="65" t="str">
        <f t="shared" si="521"/>
        <v>E1_8_5_3_km : 1</v>
      </c>
      <c r="G276" s="66" t="str">
        <f t="shared" ref="G276:H276" si="564">CONCATENATE(C276," : ",C276)</f>
        <v>E1_8_5_3_mRNA : E1_8_5_3_mRNA</v>
      </c>
      <c r="H276" s="67" t="str">
        <f t="shared" si="564"/>
        <v>E1_8_5_3 : E1_8_5_3</v>
      </c>
      <c r="I276" s="44" t="str">
        <f t="shared" ref="I276:J276" si="565">CONCATENATE(C276," : ","0")</f>
        <v>E1_8_5_3_mRNA : 0</v>
      </c>
      <c r="J276" s="68" t="str">
        <f t="shared" si="565"/>
        <v>E1_8_5_3 : 0</v>
      </c>
      <c r="K276" s="69" t="str">
        <f t="shared" si="524"/>
        <v>0.00292 - (0.0093 * E1_8_5_3_mRNA)</v>
      </c>
      <c r="L276" s="70" t="str">
        <f t="shared" si="525"/>
        <v>(0.278 * E1_8_5_3_mRNA) - (0.00000278 * E1_8_5_3)</v>
      </c>
      <c r="M276" s="71" t="str">
        <f t="shared" si="526"/>
        <v>mRNA275: -&gt; E1_8_5_3_mRNA | 0.00292 - (0.0093 * E1_8_5_3_mRNA)</v>
      </c>
      <c r="N276" s="72" t="str">
        <f t="shared" si="527"/>
        <v>Peptide275: E1_8_5_3_mRNA -&gt; E1_8_5_3 | (0.278 * E1_8_5_3_mRNA) - (0.000000278 * E1_8_5_3)</v>
      </c>
    </row>
    <row r="277" spans="1:14" ht="29" x14ac:dyDescent="0.35">
      <c r="A277" s="49">
        <v>276</v>
      </c>
      <c r="B277" s="49" t="s">
        <v>14790</v>
      </c>
      <c r="C277" s="49" t="str">
        <f t="shared" si="518"/>
        <v>E2_4_1_182_mRNA</v>
      </c>
      <c r="D277" s="49" t="str">
        <f t="shared" si="519"/>
        <v>E2_4_1_182</v>
      </c>
      <c r="E277" s="64" t="str">
        <f t="shared" si="520"/>
        <v>E2_4_1_182_kcat : 13.7</v>
      </c>
      <c r="F277" s="65" t="str">
        <f t="shared" si="521"/>
        <v>E2_4_1_182_km : 1</v>
      </c>
      <c r="G277" s="66" t="str">
        <f t="shared" ref="G277:H277" si="566">CONCATENATE(C277," : ",C277)</f>
        <v>E2_4_1_182_mRNA : E2_4_1_182_mRNA</v>
      </c>
      <c r="H277" s="67" t="str">
        <f t="shared" si="566"/>
        <v>E2_4_1_182 : E2_4_1_182</v>
      </c>
      <c r="I277" s="44" t="str">
        <f t="shared" ref="I277:J277" si="567">CONCATENATE(C277," : ","0")</f>
        <v>E2_4_1_182_mRNA : 0</v>
      </c>
      <c r="J277" s="68" t="str">
        <f t="shared" si="567"/>
        <v>E2_4_1_182 : 0</v>
      </c>
      <c r="K277" s="69" t="str">
        <f t="shared" si="524"/>
        <v>0.00292 - (0.0093 * E2_4_1_182_mRNA)</v>
      </c>
      <c r="L277" s="70" t="str">
        <f t="shared" si="525"/>
        <v>(0.278 * E2_4_1_182_mRNA) - (0.00000278 * E2_4_1_182)</v>
      </c>
      <c r="M277" s="71" t="str">
        <f t="shared" si="526"/>
        <v>mRNA276: -&gt; E2_4_1_182_mRNA | 0.00292 - (0.0093 * E2_4_1_182_mRNA)</v>
      </c>
      <c r="N277" s="72" t="str">
        <f t="shared" si="527"/>
        <v>Peptide276: E2_4_1_182_mRNA -&gt; E2_4_1_182 | (0.278 * E2_4_1_182_mRNA) - (0.000000278 * E2_4_1_182)</v>
      </c>
    </row>
    <row r="278" spans="1:14" ht="29" x14ac:dyDescent="0.35">
      <c r="A278" s="49">
        <v>277</v>
      </c>
      <c r="B278" s="49" t="s">
        <v>14791</v>
      </c>
      <c r="C278" s="49" t="str">
        <f t="shared" si="518"/>
        <v>E2_3_1_129_mRNA</v>
      </c>
      <c r="D278" s="49" t="str">
        <f t="shared" si="519"/>
        <v>E2_3_1_129</v>
      </c>
      <c r="E278" s="64" t="str">
        <f t="shared" si="520"/>
        <v>E2_3_1_129_kcat : 13.7</v>
      </c>
      <c r="F278" s="65" t="str">
        <f t="shared" si="521"/>
        <v>E2_3_1_129_km : 1</v>
      </c>
      <c r="G278" s="66" t="str">
        <f t="shared" ref="G278:H278" si="568">CONCATENATE(C278," : ",C278)</f>
        <v>E2_3_1_129_mRNA : E2_3_1_129_mRNA</v>
      </c>
      <c r="H278" s="67" t="str">
        <f t="shared" si="568"/>
        <v>E2_3_1_129 : E2_3_1_129</v>
      </c>
      <c r="I278" s="44" t="str">
        <f t="shared" ref="I278:J278" si="569">CONCATENATE(C278," : ","0")</f>
        <v>E2_3_1_129_mRNA : 0</v>
      </c>
      <c r="J278" s="68" t="str">
        <f t="shared" si="569"/>
        <v>E2_3_1_129 : 0</v>
      </c>
      <c r="K278" s="69" t="str">
        <f t="shared" si="524"/>
        <v>0.00292 - (0.0093 * E2_3_1_129_mRNA)</v>
      </c>
      <c r="L278" s="70" t="str">
        <f t="shared" si="525"/>
        <v>(0.278 * E2_3_1_129_mRNA) - (0.00000278 * E2_3_1_129)</v>
      </c>
      <c r="M278" s="71" t="str">
        <f t="shared" si="526"/>
        <v>mRNA277: -&gt; E2_3_1_129_mRNA | 0.00292 - (0.0093 * E2_3_1_129_mRNA)</v>
      </c>
      <c r="N278" s="72" t="str">
        <f t="shared" si="527"/>
        <v>Peptide277: E2_3_1_129_mRNA -&gt; E2_3_1_129 | (0.278 * E2_3_1_129_mRNA) - (0.000000278 * E2_3_1_129)</v>
      </c>
    </row>
    <row r="279" spans="1:14" ht="29" x14ac:dyDescent="0.35">
      <c r="A279" s="49">
        <v>278</v>
      </c>
      <c r="B279" s="49" t="s">
        <v>14792</v>
      </c>
      <c r="C279" s="49" t="str">
        <f t="shared" si="518"/>
        <v>E4_2_1_59_mRNA</v>
      </c>
      <c r="D279" s="49" t="str">
        <f t="shared" si="519"/>
        <v>E4_2_1_59</v>
      </c>
      <c r="E279" s="64" t="str">
        <f t="shared" si="520"/>
        <v>E4_2_1_59_kcat : 13.7</v>
      </c>
      <c r="F279" s="65" t="str">
        <f t="shared" si="521"/>
        <v>E4_2_1_59_km : 1</v>
      </c>
      <c r="G279" s="66" t="str">
        <f t="shared" ref="G279:H279" si="570">CONCATENATE(C279," : ",C279)</f>
        <v>E4_2_1_59_mRNA : E4_2_1_59_mRNA</v>
      </c>
      <c r="H279" s="67" t="str">
        <f t="shared" si="570"/>
        <v>E4_2_1_59 : E4_2_1_59</v>
      </c>
      <c r="I279" s="44" t="str">
        <f t="shared" ref="I279:J279" si="571">CONCATENATE(C279," : ","0")</f>
        <v>E4_2_1_59_mRNA : 0</v>
      </c>
      <c r="J279" s="68" t="str">
        <f t="shared" si="571"/>
        <v>E4_2_1_59 : 0</v>
      </c>
      <c r="K279" s="69" t="str">
        <f t="shared" si="524"/>
        <v>0.00292 - (0.0093 * E4_2_1_59_mRNA)</v>
      </c>
      <c r="L279" s="70" t="str">
        <f t="shared" si="525"/>
        <v>(0.278 * E4_2_1_59_mRNA) - (0.00000278 * E4_2_1_59)</v>
      </c>
      <c r="M279" s="71" t="str">
        <f t="shared" si="526"/>
        <v>mRNA278: -&gt; E4_2_1_59_mRNA | 0.00292 - (0.0093 * E4_2_1_59_mRNA)</v>
      </c>
      <c r="N279" s="72" t="str">
        <f t="shared" si="527"/>
        <v>Peptide278: E4_2_1_59_mRNA -&gt; E4_2_1_59 | (0.278 * E4_2_1_59_mRNA) - (0.000000278 * E4_2_1_59)</v>
      </c>
    </row>
    <row r="280" spans="1:14" ht="29" x14ac:dyDescent="0.35">
      <c r="A280" s="49">
        <v>279</v>
      </c>
      <c r="B280" s="49" t="s">
        <v>14793</v>
      </c>
      <c r="C280" s="49" t="str">
        <f t="shared" si="518"/>
        <v>E2_7_4_22_mRNA</v>
      </c>
      <c r="D280" s="49" t="str">
        <f t="shared" si="519"/>
        <v>E2_7_4_22</v>
      </c>
      <c r="E280" s="64" t="str">
        <f t="shared" si="520"/>
        <v>E2_7_4_22_kcat : 13.7</v>
      </c>
      <c r="F280" s="65" t="str">
        <f t="shared" si="521"/>
        <v>E2_7_4_22_km : 1</v>
      </c>
      <c r="G280" s="66" t="str">
        <f t="shared" ref="G280:H280" si="572">CONCATENATE(C280," : ",C280)</f>
        <v>E2_7_4_22_mRNA : E2_7_4_22_mRNA</v>
      </c>
      <c r="H280" s="67" t="str">
        <f t="shared" si="572"/>
        <v>E2_7_4_22 : E2_7_4_22</v>
      </c>
      <c r="I280" s="44" t="str">
        <f t="shared" ref="I280:J280" si="573">CONCATENATE(C280," : ","0")</f>
        <v>E2_7_4_22_mRNA : 0</v>
      </c>
      <c r="J280" s="68" t="str">
        <f t="shared" si="573"/>
        <v>E2_7_4_22 : 0</v>
      </c>
      <c r="K280" s="69" t="str">
        <f t="shared" si="524"/>
        <v>0.00292 - (0.0093 * E2_7_4_22_mRNA)</v>
      </c>
      <c r="L280" s="70" t="str">
        <f t="shared" si="525"/>
        <v>(0.278 * E2_7_4_22_mRNA) - (0.00000278 * E2_7_4_22)</v>
      </c>
      <c r="M280" s="71" t="str">
        <f t="shared" si="526"/>
        <v>mRNA279: -&gt; E2_7_4_22_mRNA | 0.00292 - (0.0093 * E2_7_4_22_mRNA)</v>
      </c>
      <c r="N280" s="72" t="str">
        <f t="shared" si="527"/>
        <v>Peptide279: E2_7_4_22_mRNA -&gt; E2_7_4_22 | (0.278 * E2_7_4_22_mRNA) - (0.000000278 * E2_7_4_22)</v>
      </c>
    </row>
    <row r="281" spans="1:14" ht="29" x14ac:dyDescent="0.35">
      <c r="A281" s="49">
        <v>280</v>
      </c>
      <c r="B281" s="49" t="s">
        <v>14794</v>
      </c>
      <c r="C281" s="49" t="str">
        <f t="shared" si="518"/>
        <v>E1_7_2_2_mRNA</v>
      </c>
      <c r="D281" s="49" t="str">
        <f t="shared" si="519"/>
        <v>E1_7_2_2</v>
      </c>
      <c r="E281" s="64" t="str">
        <f t="shared" si="520"/>
        <v>E1_7_2_2_kcat : 13.7</v>
      </c>
      <c r="F281" s="65" t="str">
        <f t="shared" si="521"/>
        <v>E1_7_2_2_km : 1</v>
      </c>
      <c r="G281" s="66" t="str">
        <f t="shared" ref="G281:H281" si="574">CONCATENATE(C281," : ",C281)</f>
        <v>E1_7_2_2_mRNA : E1_7_2_2_mRNA</v>
      </c>
      <c r="H281" s="67" t="str">
        <f t="shared" si="574"/>
        <v>E1_7_2_2 : E1_7_2_2</v>
      </c>
      <c r="I281" s="44" t="str">
        <f t="shared" ref="I281:J281" si="575">CONCATENATE(C281," : ","0")</f>
        <v>E1_7_2_2_mRNA : 0</v>
      </c>
      <c r="J281" s="68" t="str">
        <f t="shared" si="575"/>
        <v>E1_7_2_2 : 0</v>
      </c>
      <c r="K281" s="69" t="str">
        <f t="shared" si="524"/>
        <v>0.00292 - (0.0093 * E1_7_2_2_mRNA)</v>
      </c>
      <c r="L281" s="70" t="str">
        <f t="shared" si="525"/>
        <v>(0.278 * E1_7_2_2_mRNA) - (0.00000278 * E1_7_2_2)</v>
      </c>
      <c r="M281" s="71" t="str">
        <f t="shared" si="526"/>
        <v>mRNA280: -&gt; E1_7_2_2_mRNA | 0.00292 - (0.0093 * E1_7_2_2_mRNA)</v>
      </c>
      <c r="N281" s="72" t="str">
        <f t="shared" si="527"/>
        <v>Peptide280: E1_7_2_2_mRNA -&gt; E1_7_2_2 | (0.278 * E1_7_2_2_mRNA) - (0.000000278 * E1_7_2_2)</v>
      </c>
    </row>
    <row r="282" spans="1:14" ht="29" x14ac:dyDescent="0.35">
      <c r="A282" s="49">
        <v>281</v>
      </c>
      <c r="B282" s="49" t="s">
        <v>14795</v>
      </c>
      <c r="C282" s="49" t="str">
        <f t="shared" si="518"/>
        <v>E6_3_4_2_mRNA</v>
      </c>
      <c r="D282" s="49" t="str">
        <f t="shared" si="519"/>
        <v>E6_3_4_2</v>
      </c>
      <c r="E282" s="64" t="str">
        <f t="shared" si="520"/>
        <v>E6_3_4_2_kcat : 13.7</v>
      </c>
      <c r="F282" s="65" t="str">
        <f t="shared" si="521"/>
        <v>E6_3_4_2_km : 1</v>
      </c>
      <c r="G282" s="66" t="str">
        <f t="shared" ref="G282:H282" si="576">CONCATENATE(C282," : ",C282)</f>
        <v>E6_3_4_2_mRNA : E6_3_4_2_mRNA</v>
      </c>
      <c r="H282" s="67" t="str">
        <f t="shared" si="576"/>
        <v>E6_3_4_2 : E6_3_4_2</v>
      </c>
      <c r="I282" s="44" t="str">
        <f t="shared" ref="I282:J282" si="577">CONCATENATE(C282," : ","0")</f>
        <v>E6_3_4_2_mRNA : 0</v>
      </c>
      <c r="J282" s="68" t="str">
        <f t="shared" si="577"/>
        <v>E6_3_4_2 : 0</v>
      </c>
      <c r="K282" s="69" t="str">
        <f t="shared" si="524"/>
        <v>0.00292 - (0.0093 * E6_3_4_2_mRNA)</v>
      </c>
      <c r="L282" s="70" t="str">
        <f t="shared" si="525"/>
        <v>(0.278 * E6_3_4_2_mRNA) - (0.00000278 * E6_3_4_2)</v>
      </c>
      <c r="M282" s="71" t="str">
        <f t="shared" si="526"/>
        <v>mRNA281: -&gt; E6_3_4_2_mRNA | 0.00292 - (0.0093 * E6_3_4_2_mRNA)</v>
      </c>
      <c r="N282" s="72" t="str">
        <f t="shared" si="527"/>
        <v>Peptide281: E6_3_4_2_mRNA -&gt; E6_3_4_2 | (0.278 * E6_3_4_2_mRNA) - (0.000000278 * E6_3_4_2)</v>
      </c>
    </row>
    <row r="283" spans="1:14" ht="29" x14ac:dyDescent="0.35">
      <c r="A283" s="49">
        <v>282</v>
      </c>
      <c r="B283" s="49" t="s">
        <v>14796</v>
      </c>
      <c r="C283" s="49" t="str">
        <f t="shared" si="518"/>
        <v>E2_5_1_7_mRNA</v>
      </c>
      <c r="D283" s="49" t="str">
        <f t="shared" si="519"/>
        <v>E2_5_1_7</v>
      </c>
      <c r="E283" s="64" t="str">
        <f t="shared" si="520"/>
        <v>E2_5_1_7_kcat : 13.7</v>
      </c>
      <c r="F283" s="65" t="str">
        <f t="shared" si="521"/>
        <v>E2_5_1_7_km : 1</v>
      </c>
      <c r="G283" s="66" t="str">
        <f t="shared" ref="G283:H283" si="578">CONCATENATE(C283," : ",C283)</f>
        <v>E2_5_1_7_mRNA : E2_5_1_7_mRNA</v>
      </c>
      <c r="H283" s="67" t="str">
        <f t="shared" si="578"/>
        <v>E2_5_1_7 : E2_5_1_7</v>
      </c>
      <c r="I283" s="44" t="str">
        <f t="shared" ref="I283:J283" si="579">CONCATENATE(C283," : ","0")</f>
        <v>E2_5_1_7_mRNA : 0</v>
      </c>
      <c r="J283" s="68" t="str">
        <f t="shared" si="579"/>
        <v>E2_5_1_7 : 0</v>
      </c>
      <c r="K283" s="69" t="str">
        <f t="shared" si="524"/>
        <v>0.00292 - (0.0093 * E2_5_1_7_mRNA)</v>
      </c>
      <c r="L283" s="70" t="str">
        <f t="shared" si="525"/>
        <v>(0.278 * E2_5_1_7_mRNA) - (0.00000278 * E2_5_1_7)</v>
      </c>
      <c r="M283" s="71" t="str">
        <f t="shared" si="526"/>
        <v>mRNA282: -&gt; E2_5_1_7_mRNA | 0.00292 - (0.0093 * E2_5_1_7_mRNA)</v>
      </c>
      <c r="N283" s="72" t="str">
        <f t="shared" si="527"/>
        <v>Peptide282: E2_5_1_7_mRNA -&gt; E2_5_1_7 | (0.278 * E2_5_1_7_mRNA) - (0.000000278 * E2_5_1_7)</v>
      </c>
    </row>
    <row r="284" spans="1:14" ht="29" x14ac:dyDescent="0.35">
      <c r="A284" s="49">
        <v>283</v>
      </c>
      <c r="B284" s="49" t="s">
        <v>14797</v>
      </c>
      <c r="C284" s="49" t="str">
        <f t="shared" si="518"/>
        <v>E1_15_1_1_mRNA</v>
      </c>
      <c r="D284" s="49" t="str">
        <f t="shared" si="519"/>
        <v>E1_15_1_1</v>
      </c>
      <c r="E284" s="64" t="str">
        <f t="shared" si="520"/>
        <v>E1_15_1_1_kcat : 13.7</v>
      </c>
      <c r="F284" s="65" t="str">
        <f t="shared" si="521"/>
        <v>E1_15_1_1_km : 1</v>
      </c>
      <c r="G284" s="66" t="str">
        <f t="shared" ref="G284:H284" si="580">CONCATENATE(C284," : ",C284)</f>
        <v>E1_15_1_1_mRNA : E1_15_1_1_mRNA</v>
      </c>
      <c r="H284" s="67" t="str">
        <f t="shared" si="580"/>
        <v>E1_15_1_1 : E1_15_1_1</v>
      </c>
      <c r="I284" s="44" t="str">
        <f t="shared" ref="I284:J284" si="581">CONCATENATE(C284," : ","0")</f>
        <v>E1_15_1_1_mRNA : 0</v>
      </c>
      <c r="J284" s="68" t="str">
        <f t="shared" si="581"/>
        <v>E1_15_1_1 : 0</v>
      </c>
      <c r="K284" s="69" t="str">
        <f t="shared" si="524"/>
        <v>0.00292 - (0.0093 * E1_15_1_1_mRNA)</v>
      </c>
      <c r="L284" s="70" t="str">
        <f t="shared" si="525"/>
        <v>(0.278 * E1_15_1_1_mRNA) - (0.00000278 * E1_15_1_1)</v>
      </c>
      <c r="M284" s="71" t="str">
        <f t="shared" si="526"/>
        <v>mRNA283: -&gt; E1_15_1_1_mRNA | 0.00292 - (0.0093 * E1_15_1_1_mRNA)</v>
      </c>
      <c r="N284" s="72" t="str">
        <f t="shared" si="527"/>
        <v>Peptide283: E1_15_1_1_mRNA -&gt; E1_15_1_1 | (0.278 * E1_15_1_1_mRNA) - (0.000000278 * E1_15_1_1)</v>
      </c>
    </row>
    <row r="285" spans="1:14" ht="29" x14ac:dyDescent="0.35">
      <c r="A285" s="49">
        <v>284</v>
      </c>
      <c r="B285" s="49" t="s">
        <v>14798</v>
      </c>
      <c r="C285" s="49" t="str">
        <f t="shared" si="518"/>
        <v>E6_5_1_2_mRNA</v>
      </c>
      <c r="D285" s="49" t="str">
        <f t="shared" si="519"/>
        <v>E6_5_1_2</v>
      </c>
      <c r="E285" s="64" t="str">
        <f t="shared" si="520"/>
        <v>E6_5_1_2_kcat : 13.7</v>
      </c>
      <c r="F285" s="65" t="str">
        <f t="shared" si="521"/>
        <v>E6_5_1_2_km : 1</v>
      </c>
      <c r="G285" s="66" t="str">
        <f t="shared" ref="G285:H285" si="582">CONCATENATE(C285," : ",C285)</f>
        <v>E6_5_1_2_mRNA : E6_5_1_2_mRNA</v>
      </c>
      <c r="H285" s="67" t="str">
        <f t="shared" si="582"/>
        <v>E6_5_1_2 : E6_5_1_2</v>
      </c>
      <c r="I285" s="44" t="str">
        <f t="shared" ref="I285:J285" si="583">CONCATENATE(C285," : ","0")</f>
        <v>E6_5_1_2_mRNA : 0</v>
      </c>
      <c r="J285" s="68" t="str">
        <f t="shared" si="583"/>
        <v>E6_5_1_2 : 0</v>
      </c>
      <c r="K285" s="69" t="str">
        <f t="shared" si="524"/>
        <v>0.00292 - (0.0093 * E6_5_1_2_mRNA)</v>
      </c>
      <c r="L285" s="70" t="str">
        <f t="shared" si="525"/>
        <v>(0.278 * E6_5_1_2_mRNA) - (0.00000278 * E6_5_1_2)</v>
      </c>
      <c r="M285" s="71" t="str">
        <f t="shared" si="526"/>
        <v>mRNA284: -&gt; E6_5_1_2_mRNA | 0.00292 - (0.0093 * E6_5_1_2_mRNA)</v>
      </c>
      <c r="N285" s="72" t="str">
        <f t="shared" si="527"/>
        <v>Peptide284: E6_5_1_2_mRNA -&gt; E6_5_1_2 | (0.278 * E6_5_1_2_mRNA) - (0.000000278 * E6_5_1_2)</v>
      </c>
    </row>
    <row r="286" spans="1:14" ht="29" x14ac:dyDescent="0.35">
      <c r="A286" s="49">
        <v>285</v>
      </c>
      <c r="B286" s="49" t="s">
        <v>14799</v>
      </c>
      <c r="C286" s="49" t="str">
        <f t="shared" si="518"/>
        <v>E2_5_1_47_mRNA</v>
      </c>
      <c r="D286" s="49" t="str">
        <f t="shared" si="519"/>
        <v>E2_5_1_47</v>
      </c>
      <c r="E286" s="64" t="str">
        <f t="shared" si="520"/>
        <v>E2_5_1_47_kcat : 13.7</v>
      </c>
      <c r="F286" s="65" t="str">
        <f t="shared" si="521"/>
        <v>E2_5_1_47_km : 1</v>
      </c>
      <c r="G286" s="66" t="str">
        <f t="shared" ref="G286:H286" si="584">CONCATENATE(C286," : ",C286)</f>
        <v>E2_5_1_47_mRNA : E2_5_1_47_mRNA</v>
      </c>
      <c r="H286" s="67" t="str">
        <f t="shared" si="584"/>
        <v>E2_5_1_47 : E2_5_1_47</v>
      </c>
      <c r="I286" s="44" t="str">
        <f t="shared" ref="I286:J286" si="585">CONCATENATE(C286," : ","0")</f>
        <v>E2_5_1_47_mRNA : 0</v>
      </c>
      <c r="J286" s="68" t="str">
        <f t="shared" si="585"/>
        <v>E2_5_1_47 : 0</v>
      </c>
      <c r="K286" s="69" t="str">
        <f t="shared" si="524"/>
        <v>0.00292 - (0.0093 * E2_5_1_47_mRNA)</v>
      </c>
      <c r="L286" s="70" t="str">
        <f t="shared" si="525"/>
        <v>(0.278 * E2_5_1_47_mRNA) - (0.00000278 * E2_5_1_47)</v>
      </c>
      <c r="M286" s="71" t="str">
        <f t="shared" si="526"/>
        <v>mRNA285: -&gt; E2_5_1_47_mRNA | 0.00292 - (0.0093 * E2_5_1_47_mRNA)</v>
      </c>
      <c r="N286" s="72" t="str">
        <f t="shared" si="527"/>
        <v>Peptide285: E2_5_1_47_mRNA -&gt; E2_5_1_47 | (0.278 * E2_5_1_47_mRNA) - (0.000000278 * E2_5_1_47)</v>
      </c>
    </row>
    <row r="287" spans="1:14" ht="29" x14ac:dyDescent="0.35">
      <c r="A287" s="49">
        <v>286</v>
      </c>
      <c r="B287" s="49" t="s">
        <v>14800</v>
      </c>
      <c r="C287" s="49" t="str">
        <f t="shared" si="518"/>
        <v>E5_3_1_5_mRNA</v>
      </c>
      <c r="D287" s="49" t="str">
        <f t="shared" si="519"/>
        <v>E5_3_1_5</v>
      </c>
      <c r="E287" s="64" t="str">
        <f t="shared" si="520"/>
        <v>E5_3_1_5_kcat : 13.7</v>
      </c>
      <c r="F287" s="65" t="str">
        <f t="shared" si="521"/>
        <v>E5_3_1_5_km : 1</v>
      </c>
      <c r="G287" s="66" t="str">
        <f t="shared" ref="G287:H287" si="586">CONCATENATE(C287," : ",C287)</f>
        <v>E5_3_1_5_mRNA : E5_3_1_5_mRNA</v>
      </c>
      <c r="H287" s="67" t="str">
        <f t="shared" si="586"/>
        <v>E5_3_1_5 : E5_3_1_5</v>
      </c>
      <c r="I287" s="44" t="str">
        <f t="shared" ref="I287:J287" si="587">CONCATENATE(C287," : ","0")</f>
        <v>E5_3_1_5_mRNA : 0</v>
      </c>
      <c r="J287" s="68" t="str">
        <f t="shared" si="587"/>
        <v>E5_3_1_5 : 0</v>
      </c>
      <c r="K287" s="69" t="str">
        <f t="shared" si="524"/>
        <v>0.00292 - (0.0093 * E5_3_1_5_mRNA)</v>
      </c>
      <c r="L287" s="70" t="str">
        <f t="shared" si="525"/>
        <v>(0.278 * E5_3_1_5_mRNA) - (0.00000278 * E5_3_1_5)</v>
      </c>
      <c r="M287" s="71" t="str">
        <f t="shared" si="526"/>
        <v>mRNA286: -&gt; E5_3_1_5_mRNA | 0.00292 - (0.0093 * E5_3_1_5_mRNA)</v>
      </c>
      <c r="N287" s="72" t="str">
        <f t="shared" si="527"/>
        <v>Peptide286: E5_3_1_5_mRNA -&gt; E5_3_1_5 | (0.278 * E5_3_1_5_mRNA) - (0.000000278 * E5_3_1_5)</v>
      </c>
    </row>
    <row r="288" spans="1:14" ht="29" x14ac:dyDescent="0.35">
      <c r="A288" s="49">
        <v>287</v>
      </c>
      <c r="B288" s="49" t="s">
        <v>14801</v>
      </c>
      <c r="C288" s="49" t="str">
        <f t="shared" si="518"/>
        <v>E2_7_1_17_mRNA</v>
      </c>
      <c r="D288" s="49" t="str">
        <f t="shared" si="519"/>
        <v>E2_7_1_17</v>
      </c>
      <c r="E288" s="64" t="str">
        <f t="shared" si="520"/>
        <v>E2_7_1_17_kcat : 13.7</v>
      </c>
      <c r="F288" s="65" t="str">
        <f t="shared" si="521"/>
        <v>E2_7_1_17_km : 1</v>
      </c>
      <c r="G288" s="66" t="str">
        <f t="shared" ref="G288:H288" si="588">CONCATENATE(C288," : ",C288)</f>
        <v>E2_7_1_17_mRNA : E2_7_1_17_mRNA</v>
      </c>
      <c r="H288" s="67" t="str">
        <f t="shared" si="588"/>
        <v>E2_7_1_17 : E2_7_1_17</v>
      </c>
      <c r="I288" s="44" t="str">
        <f t="shared" ref="I288:J288" si="589">CONCATENATE(C288," : ","0")</f>
        <v>E2_7_1_17_mRNA : 0</v>
      </c>
      <c r="J288" s="68" t="str">
        <f t="shared" si="589"/>
        <v>E2_7_1_17 : 0</v>
      </c>
      <c r="K288" s="69" t="str">
        <f t="shared" si="524"/>
        <v>0.00292 - (0.0093 * E2_7_1_17_mRNA)</v>
      </c>
      <c r="L288" s="70" t="str">
        <f t="shared" si="525"/>
        <v>(0.278 * E2_7_1_17_mRNA) - (0.00000278 * E2_7_1_17)</v>
      </c>
      <c r="M288" s="71" t="str">
        <f t="shared" si="526"/>
        <v>mRNA287: -&gt; E2_7_1_17_mRNA | 0.00292 - (0.0093 * E2_7_1_17_mRNA)</v>
      </c>
      <c r="N288" s="72" t="str">
        <f t="shared" si="527"/>
        <v>Peptide287: E2_7_1_17_mRNA -&gt; E2_7_1_17 | (0.278 * E2_7_1_17_mRNA) - (0.000000278 * E2_7_1_17)</v>
      </c>
    </row>
    <row r="289" spans="1:14" ht="29" x14ac:dyDescent="0.35">
      <c r="A289" s="49">
        <v>288</v>
      </c>
      <c r="B289" s="49" t="s">
        <v>14802</v>
      </c>
      <c r="C289" s="49" t="str">
        <f t="shared" si="518"/>
        <v>E5_1_3_20_mRNA</v>
      </c>
      <c r="D289" s="49" t="str">
        <f t="shared" si="519"/>
        <v>E5_1_3_20</v>
      </c>
      <c r="E289" s="64" t="str">
        <f t="shared" si="520"/>
        <v>E5_1_3_20_kcat : 13.7</v>
      </c>
      <c r="F289" s="65" t="str">
        <f t="shared" si="521"/>
        <v>E5_1_3_20_km : 1</v>
      </c>
      <c r="G289" s="66" t="str">
        <f t="shared" ref="G289:H289" si="590">CONCATENATE(C289," : ",C289)</f>
        <v>E5_1_3_20_mRNA : E5_1_3_20_mRNA</v>
      </c>
      <c r="H289" s="67" t="str">
        <f t="shared" si="590"/>
        <v>E5_1_3_20 : E5_1_3_20</v>
      </c>
      <c r="I289" s="44" t="str">
        <f t="shared" ref="I289:J289" si="591">CONCATENATE(C289," : ","0")</f>
        <v>E5_1_3_20_mRNA : 0</v>
      </c>
      <c r="J289" s="68" t="str">
        <f t="shared" si="591"/>
        <v>E5_1_3_20 : 0</v>
      </c>
      <c r="K289" s="69" t="str">
        <f t="shared" si="524"/>
        <v>0.00292 - (0.0093 * E5_1_3_20_mRNA)</v>
      </c>
      <c r="L289" s="70" t="str">
        <f t="shared" si="525"/>
        <v>(0.278 * E5_1_3_20_mRNA) - (0.00000278 * E5_1_3_20)</v>
      </c>
      <c r="M289" s="71" t="str">
        <f t="shared" si="526"/>
        <v>mRNA288: -&gt; E5_1_3_20_mRNA | 0.00292 - (0.0093 * E5_1_3_20_mRNA)</v>
      </c>
      <c r="N289" s="72" t="str">
        <f t="shared" si="527"/>
        <v>Peptide288: E5_1_3_20_mRNA -&gt; E5_1_3_20 | (0.278 * E5_1_3_20_mRNA) - (0.000000278 * E5_1_3_20)</v>
      </c>
    </row>
    <row r="290" spans="1:14" ht="29" x14ac:dyDescent="0.35">
      <c r="A290" s="49">
        <v>289</v>
      </c>
      <c r="B290" s="49" t="s">
        <v>14803</v>
      </c>
      <c r="C290" s="49" t="str">
        <f t="shared" si="518"/>
        <v>E4_1_2_4_mRNA</v>
      </c>
      <c r="D290" s="49" t="str">
        <f t="shared" si="519"/>
        <v>E4_1_2_4</v>
      </c>
      <c r="E290" s="64" t="str">
        <f t="shared" si="520"/>
        <v>E4_1_2_4_kcat : 13.7</v>
      </c>
      <c r="F290" s="65" t="str">
        <f t="shared" si="521"/>
        <v>E4_1_2_4_km : 1</v>
      </c>
      <c r="G290" s="66" t="str">
        <f t="shared" ref="G290:H290" si="592">CONCATENATE(C290," : ",C290)</f>
        <v>E4_1_2_4_mRNA : E4_1_2_4_mRNA</v>
      </c>
      <c r="H290" s="67" t="str">
        <f t="shared" si="592"/>
        <v>E4_1_2_4 : E4_1_2_4</v>
      </c>
      <c r="I290" s="44" t="str">
        <f t="shared" ref="I290:J290" si="593">CONCATENATE(C290," : ","0")</f>
        <v>E4_1_2_4_mRNA : 0</v>
      </c>
      <c r="J290" s="68" t="str">
        <f t="shared" si="593"/>
        <v>E4_1_2_4 : 0</v>
      </c>
      <c r="K290" s="69" t="str">
        <f t="shared" si="524"/>
        <v>0.00292 - (0.0093 * E4_1_2_4_mRNA)</v>
      </c>
      <c r="L290" s="70" t="str">
        <f t="shared" si="525"/>
        <v>(0.278 * E4_1_2_4_mRNA) - (0.00000278 * E4_1_2_4)</v>
      </c>
      <c r="M290" s="71" t="str">
        <f t="shared" si="526"/>
        <v>mRNA289: -&gt; E4_1_2_4_mRNA | 0.00292 - (0.0093 * E4_1_2_4_mRNA)</v>
      </c>
      <c r="N290" s="72" t="str">
        <f t="shared" si="527"/>
        <v>Peptide289: E4_1_2_4_mRNA -&gt; E4_1_2_4 | (0.278 * E4_1_2_4_mRNA) - (0.000000278 * E4_1_2_4)</v>
      </c>
    </row>
    <row r="291" spans="1:14" ht="29" x14ac:dyDescent="0.35">
      <c r="A291" s="49">
        <v>290</v>
      </c>
      <c r="B291" s="49" t="s">
        <v>14804</v>
      </c>
      <c r="C291" s="49" t="str">
        <f t="shared" si="518"/>
        <v>E2_2_1_2_mRNA</v>
      </c>
      <c r="D291" s="49" t="str">
        <f t="shared" si="519"/>
        <v>E2_2_1_2</v>
      </c>
      <c r="E291" s="64" t="str">
        <f t="shared" si="520"/>
        <v>E2_2_1_2_kcat : 13.7</v>
      </c>
      <c r="F291" s="65" t="str">
        <f t="shared" si="521"/>
        <v>E2_2_1_2_km : 1</v>
      </c>
      <c r="G291" s="66" t="str">
        <f t="shared" ref="G291:H291" si="594">CONCATENATE(C291," : ",C291)</f>
        <v>E2_2_1_2_mRNA : E2_2_1_2_mRNA</v>
      </c>
      <c r="H291" s="67" t="str">
        <f t="shared" si="594"/>
        <v>E2_2_1_2 : E2_2_1_2</v>
      </c>
      <c r="I291" s="44" t="str">
        <f t="shared" ref="I291:J291" si="595">CONCATENATE(C291," : ","0")</f>
        <v>E2_2_1_2_mRNA : 0</v>
      </c>
      <c r="J291" s="68" t="str">
        <f t="shared" si="595"/>
        <v>E2_2_1_2 : 0</v>
      </c>
      <c r="K291" s="69" t="str">
        <f t="shared" si="524"/>
        <v>0.00292 - (0.0093 * E2_2_1_2_mRNA)</v>
      </c>
      <c r="L291" s="70" t="str">
        <f t="shared" si="525"/>
        <v>(0.278 * E2_2_1_2_mRNA) - (0.00000278 * E2_2_1_2)</v>
      </c>
      <c r="M291" s="71" t="str">
        <f t="shared" si="526"/>
        <v>mRNA290: -&gt; E2_2_1_2_mRNA | 0.00292 - (0.0093 * E2_2_1_2_mRNA)</v>
      </c>
      <c r="N291" s="72" t="str">
        <f t="shared" si="527"/>
        <v>Peptide290: E2_2_1_2_mRNA -&gt; E2_2_1_2 | (0.278 * E2_2_1_2_mRNA) - (0.000000278 * E2_2_1_2)</v>
      </c>
    </row>
    <row r="292" spans="1:14" ht="29" x14ac:dyDescent="0.35">
      <c r="A292" s="49">
        <v>291</v>
      </c>
      <c r="B292" s="49" t="s">
        <v>14983</v>
      </c>
      <c r="C292" s="49" t="str">
        <f t="shared" si="518"/>
        <v>E2_1_1_199_mRNA</v>
      </c>
      <c r="D292" s="49" t="str">
        <f t="shared" si="519"/>
        <v>E2_1_1_199</v>
      </c>
      <c r="E292" s="64" t="str">
        <f t="shared" si="520"/>
        <v>E2_1_1_199_kcat : 13.7</v>
      </c>
      <c r="F292" s="65" t="str">
        <f t="shared" si="521"/>
        <v>E2_1_1_199_km : 1</v>
      </c>
      <c r="G292" s="66" t="str">
        <f t="shared" ref="G292:H292" si="596">CONCATENATE(C292," : ",C292)</f>
        <v>E2_1_1_199_mRNA : E2_1_1_199_mRNA</v>
      </c>
      <c r="H292" s="67" t="str">
        <f t="shared" si="596"/>
        <v>E2_1_1_199 : E2_1_1_199</v>
      </c>
      <c r="I292" s="44" t="str">
        <f t="shared" ref="I292:J292" si="597">CONCATENATE(C292," : ","0")</f>
        <v>E2_1_1_199_mRNA : 0</v>
      </c>
      <c r="J292" s="68" t="str">
        <f t="shared" si="597"/>
        <v>E2_1_1_199 : 0</v>
      </c>
      <c r="K292" s="69" t="str">
        <f t="shared" si="524"/>
        <v>0.00292 - (0.0093 * E2_1_1_199_mRNA)</v>
      </c>
      <c r="L292" s="70" t="str">
        <f t="shared" si="525"/>
        <v>(0.278 * E2_1_1_199_mRNA) - (0.00000278 * E2_1_1_199)</v>
      </c>
      <c r="M292" s="71" t="str">
        <f t="shared" si="526"/>
        <v>mRNA291: -&gt; E2_1_1_199_mRNA | 0.00292 - (0.0093 * E2_1_1_199_mRNA)</v>
      </c>
      <c r="N292" s="72" t="str">
        <f t="shared" si="527"/>
        <v>Peptide291: E2_1_1_199_mRNA -&gt; E2_1_1_199 | (0.278 * E2_1_1_199_mRNA) - (0.000000278 * E2_1_1_199)</v>
      </c>
    </row>
    <row r="293" spans="1:14" ht="29" x14ac:dyDescent="0.35">
      <c r="A293" s="49">
        <v>292</v>
      </c>
      <c r="B293" s="49" t="s">
        <v>14805</v>
      </c>
      <c r="C293" s="49" t="str">
        <f t="shared" si="518"/>
        <v>E6_3_2_13_mRNA</v>
      </c>
      <c r="D293" s="49" t="str">
        <f t="shared" si="519"/>
        <v>E6_3_2_13</v>
      </c>
      <c r="E293" s="64" t="str">
        <f t="shared" si="520"/>
        <v>E6_3_2_13_kcat : 13.7</v>
      </c>
      <c r="F293" s="65" t="str">
        <f t="shared" si="521"/>
        <v>E6_3_2_13_km : 1</v>
      </c>
      <c r="G293" s="66" t="str">
        <f t="shared" ref="G293:H293" si="598">CONCATENATE(C293," : ",C293)</f>
        <v>E6_3_2_13_mRNA : E6_3_2_13_mRNA</v>
      </c>
      <c r="H293" s="67" t="str">
        <f t="shared" si="598"/>
        <v>E6_3_2_13 : E6_3_2_13</v>
      </c>
      <c r="I293" s="44" t="str">
        <f t="shared" ref="I293:J293" si="599">CONCATENATE(C293," : ","0")</f>
        <v>E6_3_2_13_mRNA : 0</v>
      </c>
      <c r="J293" s="68" t="str">
        <f t="shared" si="599"/>
        <v>E6_3_2_13 : 0</v>
      </c>
      <c r="K293" s="69" t="str">
        <f t="shared" si="524"/>
        <v>0.00292 - (0.0093 * E6_3_2_13_mRNA)</v>
      </c>
      <c r="L293" s="70" t="str">
        <f t="shared" si="525"/>
        <v>(0.278 * E6_3_2_13_mRNA) - (0.00000278 * E6_3_2_13)</v>
      </c>
      <c r="M293" s="71" t="str">
        <f t="shared" si="526"/>
        <v>mRNA292: -&gt; E6_3_2_13_mRNA | 0.00292 - (0.0093 * E6_3_2_13_mRNA)</v>
      </c>
      <c r="N293" s="72" t="str">
        <f t="shared" si="527"/>
        <v>Peptide292: E6_3_2_13_mRNA -&gt; E6_3_2_13 | (0.278 * E6_3_2_13_mRNA) - (0.000000278 * E6_3_2_13)</v>
      </c>
    </row>
    <row r="294" spans="1:14" ht="29" x14ac:dyDescent="0.35">
      <c r="A294" s="49">
        <v>293</v>
      </c>
      <c r="B294" s="49" t="s">
        <v>14806</v>
      </c>
      <c r="C294" s="49" t="str">
        <f t="shared" si="518"/>
        <v>E6_3_2_10_mRNA</v>
      </c>
      <c r="D294" s="49" t="str">
        <f t="shared" si="519"/>
        <v>E6_3_2_10</v>
      </c>
      <c r="E294" s="64" t="str">
        <f t="shared" si="520"/>
        <v>E6_3_2_10_kcat : 13.7</v>
      </c>
      <c r="F294" s="65" t="str">
        <f t="shared" si="521"/>
        <v>E6_3_2_10_km : 1</v>
      </c>
      <c r="G294" s="66" t="str">
        <f t="shared" ref="G294:H294" si="600">CONCATENATE(C294," : ",C294)</f>
        <v>E6_3_2_10_mRNA : E6_3_2_10_mRNA</v>
      </c>
      <c r="H294" s="67" t="str">
        <f t="shared" si="600"/>
        <v>E6_3_2_10 : E6_3_2_10</v>
      </c>
      <c r="I294" s="44" t="str">
        <f t="shared" ref="I294:J294" si="601">CONCATENATE(C294," : ","0")</f>
        <v>E6_3_2_10_mRNA : 0</v>
      </c>
      <c r="J294" s="68" t="str">
        <f t="shared" si="601"/>
        <v>E6_3_2_10 : 0</v>
      </c>
      <c r="K294" s="69" t="str">
        <f t="shared" si="524"/>
        <v>0.00292 - (0.0093 * E6_3_2_10_mRNA)</v>
      </c>
      <c r="L294" s="70" t="str">
        <f t="shared" si="525"/>
        <v>(0.278 * E6_3_2_10_mRNA) - (0.00000278 * E6_3_2_10)</v>
      </c>
      <c r="M294" s="71" t="str">
        <f t="shared" si="526"/>
        <v>mRNA293: -&gt; E6_3_2_10_mRNA | 0.00292 - (0.0093 * E6_3_2_10_mRNA)</v>
      </c>
      <c r="N294" s="72" t="str">
        <f t="shared" si="527"/>
        <v>Peptide293: E6_3_2_10_mRNA -&gt; E6_3_2_10 | (0.278 * E6_3_2_10_mRNA) - (0.000000278 * E6_3_2_10)</v>
      </c>
    </row>
    <row r="295" spans="1:14" ht="29" x14ac:dyDescent="0.35">
      <c r="A295" s="49">
        <v>294</v>
      </c>
      <c r="B295" s="49" t="s">
        <v>14807</v>
      </c>
      <c r="C295" s="49" t="str">
        <f t="shared" si="518"/>
        <v>E2_7_8_13_mRNA</v>
      </c>
      <c r="D295" s="49" t="str">
        <f t="shared" si="519"/>
        <v>E2_7_8_13</v>
      </c>
      <c r="E295" s="64" t="str">
        <f t="shared" si="520"/>
        <v>E2_7_8_13_kcat : 13.7</v>
      </c>
      <c r="F295" s="65" t="str">
        <f t="shared" si="521"/>
        <v>E2_7_8_13_km : 1</v>
      </c>
      <c r="G295" s="66" t="str">
        <f t="shared" ref="G295:H295" si="602">CONCATENATE(C295," : ",C295)</f>
        <v>E2_7_8_13_mRNA : E2_7_8_13_mRNA</v>
      </c>
      <c r="H295" s="67" t="str">
        <f t="shared" si="602"/>
        <v>E2_7_8_13 : E2_7_8_13</v>
      </c>
      <c r="I295" s="44" t="str">
        <f t="shared" ref="I295:J295" si="603">CONCATENATE(C295," : ","0")</f>
        <v>E2_7_8_13_mRNA : 0</v>
      </c>
      <c r="J295" s="68" t="str">
        <f t="shared" si="603"/>
        <v>E2_7_8_13 : 0</v>
      </c>
      <c r="K295" s="69" t="str">
        <f t="shared" si="524"/>
        <v>0.00292 - (0.0093 * E2_7_8_13_mRNA)</v>
      </c>
      <c r="L295" s="70" t="str">
        <f t="shared" si="525"/>
        <v>(0.278 * E2_7_8_13_mRNA) - (0.00000278 * E2_7_8_13)</v>
      </c>
      <c r="M295" s="71" t="str">
        <f t="shared" si="526"/>
        <v>mRNA294: -&gt; E2_7_8_13_mRNA | 0.00292 - (0.0093 * E2_7_8_13_mRNA)</v>
      </c>
      <c r="N295" s="72" t="str">
        <f t="shared" si="527"/>
        <v>Peptide294: E2_7_8_13_mRNA -&gt; E2_7_8_13 | (0.278 * E2_7_8_13_mRNA) - (0.000000278 * E2_7_8_13)</v>
      </c>
    </row>
    <row r="296" spans="1:14" ht="29" x14ac:dyDescent="0.35">
      <c r="A296" s="49">
        <v>295</v>
      </c>
      <c r="B296" s="49" t="s">
        <v>14808</v>
      </c>
      <c r="C296" s="49" t="str">
        <f t="shared" si="518"/>
        <v>E6_3_2_9_mRNA</v>
      </c>
      <c r="D296" s="49" t="str">
        <f t="shared" si="519"/>
        <v>E6_3_2_9</v>
      </c>
      <c r="E296" s="64" t="str">
        <f t="shared" si="520"/>
        <v>E6_3_2_9_kcat : 13.7</v>
      </c>
      <c r="F296" s="65" t="str">
        <f t="shared" si="521"/>
        <v>E6_3_2_9_km : 1</v>
      </c>
      <c r="G296" s="66" t="str">
        <f t="shared" ref="G296:H296" si="604">CONCATENATE(C296," : ",C296)</f>
        <v>E6_3_2_9_mRNA : E6_3_2_9_mRNA</v>
      </c>
      <c r="H296" s="67" t="str">
        <f t="shared" si="604"/>
        <v>E6_3_2_9 : E6_3_2_9</v>
      </c>
      <c r="I296" s="44" t="str">
        <f t="shared" ref="I296:J296" si="605">CONCATENATE(C296," : ","0")</f>
        <v>E6_3_2_9_mRNA : 0</v>
      </c>
      <c r="J296" s="68" t="str">
        <f t="shared" si="605"/>
        <v>E6_3_2_9 : 0</v>
      </c>
      <c r="K296" s="69" t="str">
        <f t="shared" si="524"/>
        <v>0.00292 - (0.0093 * E6_3_2_9_mRNA)</v>
      </c>
      <c r="L296" s="70" t="str">
        <f t="shared" si="525"/>
        <v>(0.278 * E6_3_2_9_mRNA) - (0.00000278 * E6_3_2_9)</v>
      </c>
      <c r="M296" s="71" t="str">
        <f t="shared" si="526"/>
        <v>mRNA295: -&gt; E6_3_2_9_mRNA | 0.00292 - (0.0093 * E6_3_2_9_mRNA)</v>
      </c>
      <c r="N296" s="72" t="str">
        <f t="shared" si="527"/>
        <v>Peptide295: E6_3_2_9_mRNA -&gt; E6_3_2_9 | (0.278 * E6_3_2_9_mRNA) - (0.000000278 * E6_3_2_9)</v>
      </c>
    </row>
    <row r="297" spans="1:14" ht="29" x14ac:dyDescent="0.35">
      <c r="A297" s="49">
        <v>296</v>
      </c>
      <c r="B297" s="49" t="s">
        <v>14809</v>
      </c>
      <c r="C297" s="49" t="str">
        <f t="shared" si="518"/>
        <v>E2_4_1_227_mRNA</v>
      </c>
      <c r="D297" s="49" t="str">
        <f t="shared" si="519"/>
        <v>E2_4_1_227</v>
      </c>
      <c r="E297" s="64" t="str">
        <f t="shared" si="520"/>
        <v>E2_4_1_227_kcat : 13.7</v>
      </c>
      <c r="F297" s="65" t="str">
        <f t="shared" si="521"/>
        <v>E2_4_1_227_km : 1</v>
      </c>
      <c r="G297" s="66" t="str">
        <f t="shared" ref="G297:H297" si="606">CONCATENATE(C297," : ",C297)</f>
        <v>E2_4_1_227_mRNA : E2_4_1_227_mRNA</v>
      </c>
      <c r="H297" s="67" t="str">
        <f t="shared" si="606"/>
        <v>E2_4_1_227 : E2_4_1_227</v>
      </c>
      <c r="I297" s="44" t="str">
        <f t="shared" ref="I297:J297" si="607">CONCATENATE(C297," : ","0")</f>
        <v>E2_4_1_227_mRNA : 0</v>
      </c>
      <c r="J297" s="68" t="str">
        <f t="shared" si="607"/>
        <v>E2_4_1_227 : 0</v>
      </c>
      <c r="K297" s="69" t="str">
        <f t="shared" si="524"/>
        <v>0.00292 - (0.0093 * E2_4_1_227_mRNA)</v>
      </c>
      <c r="L297" s="70" t="str">
        <f t="shared" si="525"/>
        <v>(0.278 * E2_4_1_227_mRNA) - (0.00000278 * E2_4_1_227)</v>
      </c>
      <c r="M297" s="71" t="str">
        <f t="shared" si="526"/>
        <v>mRNA296: -&gt; E2_4_1_227_mRNA | 0.00292 - (0.0093 * E2_4_1_227_mRNA)</v>
      </c>
      <c r="N297" s="72" t="str">
        <f t="shared" si="527"/>
        <v>Peptide296: E2_4_1_227_mRNA -&gt; E2_4_1_227 | (0.278 * E2_4_1_227_mRNA) - (0.000000278 * E2_4_1_227)</v>
      </c>
    </row>
    <row r="298" spans="1:14" ht="29" x14ac:dyDescent="0.35">
      <c r="A298" s="49">
        <v>297</v>
      </c>
      <c r="B298" s="49" t="s">
        <v>14810</v>
      </c>
      <c r="C298" s="49" t="str">
        <f t="shared" si="518"/>
        <v>E6_3_2_8_mRNA</v>
      </c>
      <c r="D298" s="49" t="str">
        <f t="shared" si="519"/>
        <v>E6_3_2_8</v>
      </c>
      <c r="E298" s="64" t="str">
        <f t="shared" si="520"/>
        <v>E6_3_2_8_kcat : 13.7</v>
      </c>
      <c r="F298" s="65" t="str">
        <f t="shared" si="521"/>
        <v>E6_3_2_8_km : 1</v>
      </c>
      <c r="G298" s="66" t="str">
        <f t="shared" ref="G298:H298" si="608">CONCATENATE(C298," : ",C298)</f>
        <v>E6_3_2_8_mRNA : E6_3_2_8_mRNA</v>
      </c>
      <c r="H298" s="67" t="str">
        <f t="shared" si="608"/>
        <v>E6_3_2_8 : E6_3_2_8</v>
      </c>
      <c r="I298" s="44" t="str">
        <f t="shared" ref="I298:J298" si="609">CONCATENATE(C298," : ","0")</f>
        <v>E6_3_2_8_mRNA : 0</v>
      </c>
      <c r="J298" s="68" t="str">
        <f t="shared" si="609"/>
        <v>E6_3_2_8 : 0</v>
      </c>
      <c r="K298" s="69" t="str">
        <f t="shared" si="524"/>
        <v>0.00292 - (0.0093 * E6_3_2_8_mRNA)</v>
      </c>
      <c r="L298" s="70" t="str">
        <f t="shared" si="525"/>
        <v>(0.278 * E6_3_2_8_mRNA) - (0.00000278 * E6_3_2_8)</v>
      </c>
      <c r="M298" s="71" t="str">
        <f t="shared" si="526"/>
        <v>mRNA297: -&gt; E6_3_2_8_mRNA | 0.00292 - (0.0093 * E6_3_2_8_mRNA)</v>
      </c>
      <c r="N298" s="72" t="str">
        <f t="shared" si="527"/>
        <v>Peptide297: E6_3_2_8_mRNA -&gt; E6_3_2_8 | (0.278 * E6_3_2_8_mRNA) - (0.000000278 * E6_3_2_8)</v>
      </c>
    </row>
    <row r="299" spans="1:14" ht="29" x14ac:dyDescent="0.35">
      <c r="A299" s="49">
        <v>298</v>
      </c>
      <c r="B299" s="49" t="s">
        <v>14811</v>
      </c>
      <c r="C299" s="49" t="str">
        <f t="shared" si="518"/>
        <v>E3_5_1_108_mRNA</v>
      </c>
      <c r="D299" s="49" t="str">
        <f t="shared" si="519"/>
        <v>E3_5_1_108</v>
      </c>
      <c r="E299" s="64" t="str">
        <f t="shared" si="520"/>
        <v>E3_5_1_108_kcat : 13.7</v>
      </c>
      <c r="F299" s="65" t="str">
        <f t="shared" si="521"/>
        <v>E3_5_1_108_km : 1</v>
      </c>
      <c r="G299" s="66" t="str">
        <f t="shared" ref="G299:H299" si="610">CONCATENATE(C299," : ",C299)</f>
        <v>E3_5_1_108_mRNA : E3_5_1_108_mRNA</v>
      </c>
      <c r="H299" s="67" t="str">
        <f t="shared" si="610"/>
        <v>E3_5_1_108 : E3_5_1_108</v>
      </c>
      <c r="I299" s="44" t="str">
        <f t="shared" ref="I299:J299" si="611">CONCATENATE(C299," : ","0")</f>
        <v>E3_5_1_108_mRNA : 0</v>
      </c>
      <c r="J299" s="68" t="str">
        <f t="shared" si="611"/>
        <v>E3_5_1_108 : 0</v>
      </c>
      <c r="K299" s="69" t="str">
        <f t="shared" si="524"/>
        <v>0.00292 - (0.0093 * E3_5_1_108_mRNA)</v>
      </c>
      <c r="L299" s="70" t="str">
        <f t="shared" si="525"/>
        <v>(0.278 * E3_5_1_108_mRNA) - (0.00000278 * E3_5_1_108)</v>
      </c>
      <c r="M299" s="71" t="str">
        <f t="shared" si="526"/>
        <v>mRNA298: -&gt; E3_5_1_108_mRNA | 0.00292 - (0.0093 * E3_5_1_108_mRNA)</v>
      </c>
      <c r="N299" s="72" t="str">
        <f t="shared" si="527"/>
        <v>Peptide298: E3_5_1_108_mRNA -&gt; E3_5_1_108 | (0.278 * E3_5_1_108_mRNA) - (0.000000278 * E3_5_1_108)</v>
      </c>
    </row>
    <row r="300" spans="1:14" ht="29" x14ac:dyDescent="0.35">
      <c r="A300" s="49">
        <v>299</v>
      </c>
      <c r="B300" s="49" t="s">
        <v>14812</v>
      </c>
      <c r="C300" s="49" t="str">
        <f t="shared" si="518"/>
        <v>E4_2_1_51_mRNA</v>
      </c>
      <c r="D300" s="49" t="str">
        <f t="shared" si="519"/>
        <v>E4_2_1_51</v>
      </c>
      <c r="E300" s="64" t="str">
        <f t="shared" si="520"/>
        <v>E4_2_1_51_kcat : 13.7</v>
      </c>
      <c r="F300" s="65" t="str">
        <f t="shared" si="521"/>
        <v>E4_2_1_51_km : 1</v>
      </c>
      <c r="G300" s="66" t="str">
        <f t="shared" ref="G300:H300" si="612">CONCATENATE(C300," : ",C300)</f>
        <v>E4_2_1_51_mRNA : E4_2_1_51_mRNA</v>
      </c>
      <c r="H300" s="67" t="str">
        <f t="shared" si="612"/>
        <v>E4_2_1_51 : E4_2_1_51</v>
      </c>
      <c r="I300" s="44" t="str">
        <f t="shared" ref="I300:J300" si="613">CONCATENATE(C300," : ","0")</f>
        <v>E4_2_1_51_mRNA : 0</v>
      </c>
      <c r="J300" s="68" t="str">
        <f t="shared" si="613"/>
        <v>E4_2_1_51 : 0</v>
      </c>
      <c r="K300" s="69" t="str">
        <f t="shared" si="524"/>
        <v>0.00292 - (0.0093 * E4_2_1_51_mRNA)</v>
      </c>
      <c r="L300" s="70" t="str">
        <f t="shared" si="525"/>
        <v>(0.278 * E4_2_1_51_mRNA) - (0.00000278 * E4_2_1_51)</v>
      </c>
      <c r="M300" s="71" t="str">
        <f t="shared" si="526"/>
        <v>mRNA299: -&gt; E4_2_1_51_mRNA | 0.00292 - (0.0093 * E4_2_1_51_mRNA)</v>
      </c>
      <c r="N300" s="72" t="str">
        <f t="shared" si="527"/>
        <v>Peptide299: E4_2_1_51_mRNA -&gt; E4_2_1_51 | (0.278 * E4_2_1_51_mRNA) - (0.000000278 * E4_2_1_51)</v>
      </c>
    </row>
    <row r="301" spans="1:14" ht="29" x14ac:dyDescent="0.35">
      <c r="A301" s="49">
        <v>300</v>
      </c>
      <c r="B301" s="49" t="s">
        <v>14813</v>
      </c>
      <c r="C301" s="49" t="str">
        <f t="shared" si="518"/>
        <v>E2_4_2_8_mRNA</v>
      </c>
      <c r="D301" s="49" t="str">
        <f t="shared" si="519"/>
        <v>E2_4_2_8</v>
      </c>
      <c r="E301" s="64" t="str">
        <f t="shared" si="520"/>
        <v>E2_4_2_8_kcat : 13.7</v>
      </c>
      <c r="F301" s="65" t="str">
        <f t="shared" si="521"/>
        <v>E2_4_2_8_km : 1</v>
      </c>
      <c r="G301" s="66" t="str">
        <f t="shared" ref="G301:H301" si="614">CONCATENATE(C301," : ",C301)</f>
        <v>E2_4_2_8_mRNA : E2_4_2_8_mRNA</v>
      </c>
      <c r="H301" s="67" t="str">
        <f t="shared" si="614"/>
        <v>E2_4_2_8 : E2_4_2_8</v>
      </c>
      <c r="I301" s="44" t="str">
        <f t="shared" ref="I301:J301" si="615">CONCATENATE(C301," : ","0")</f>
        <v>E2_4_2_8_mRNA : 0</v>
      </c>
      <c r="J301" s="68" t="str">
        <f t="shared" si="615"/>
        <v>E2_4_2_8 : 0</v>
      </c>
      <c r="K301" s="69" t="str">
        <f t="shared" si="524"/>
        <v>0.00292 - (0.0093 * E2_4_2_8_mRNA)</v>
      </c>
      <c r="L301" s="70" t="str">
        <f t="shared" si="525"/>
        <v>(0.278 * E2_4_2_8_mRNA) - (0.00000278 * E2_4_2_8)</v>
      </c>
      <c r="M301" s="71" t="str">
        <f t="shared" si="526"/>
        <v>mRNA300: -&gt; E2_4_2_8_mRNA | 0.00292 - (0.0093 * E2_4_2_8_mRNA)</v>
      </c>
      <c r="N301" s="72" t="str">
        <f t="shared" si="527"/>
        <v>Peptide300: E2_4_2_8_mRNA -&gt; E2_4_2_8 | (0.278 * E2_4_2_8_mRNA) - (0.000000278 * E2_4_2_8)</v>
      </c>
    </row>
    <row r="302" spans="1:14" ht="29" x14ac:dyDescent="0.35">
      <c r="A302" s="49">
        <v>301</v>
      </c>
      <c r="B302" s="49" t="s">
        <v>14814</v>
      </c>
      <c r="C302" s="49" t="str">
        <f t="shared" si="518"/>
        <v>E1_8_1_9_mRNA</v>
      </c>
      <c r="D302" s="49" t="str">
        <f t="shared" si="519"/>
        <v>E1_8_1_9</v>
      </c>
      <c r="E302" s="64" t="str">
        <f t="shared" si="520"/>
        <v>E1_8_1_9_kcat : 13.7</v>
      </c>
      <c r="F302" s="65" t="str">
        <f t="shared" si="521"/>
        <v>E1_8_1_9_km : 1</v>
      </c>
      <c r="G302" s="66" t="str">
        <f t="shared" ref="G302:H302" si="616">CONCATENATE(C302," : ",C302)</f>
        <v>E1_8_1_9_mRNA : E1_8_1_9_mRNA</v>
      </c>
      <c r="H302" s="67" t="str">
        <f t="shared" si="616"/>
        <v>E1_8_1_9 : E1_8_1_9</v>
      </c>
      <c r="I302" s="44" t="str">
        <f t="shared" ref="I302:J302" si="617">CONCATENATE(C302," : ","0")</f>
        <v>E1_8_1_9_mRNA : 0</v>
      </c>
      <c r="J302" s="68" t="str">
        <f t="shared" si="617"/>
        <v>E1_8_1_9 : 0</v>
      </c>
      <c r="K302" s="69" t="str">
        <f t="shared" si="524"/>
        <v>0.00292 - (0.0093 * E1_8_1_9_mRNA)</v>
      </c>
      <c r="L302" s="70" t="str">
        <f t="shared" si="525"/>
        <v>(0.278 * E1_8_1_9_mRNA) - (0.00000278 * E1_8_1_9)</v>
      </c>
      <c r="M302" s="71" t="str">
        <f t="shared" si="526"/>
        <v>mRNA301: -&gt; E1_8_1_9_mRNA | 0.00292 - (0.0093 * E1_8_1_9_mRNA)</v>
      </c>
      <c r="N302" s="72" t="str">
        <f t="shared" si="527"/>
        <v>Peptide301: E1_8_1_9_mRNA -&gt; E1_8_1_9 | (0.278 * E1_8_1_9_mRNA) - (0.000000278 * E1_8_1_9)</v>
      </c>
    </row>
    <row r="303" spans="1:14" ht="29" x14ac:dyDescent="0.35">
      <c r="A303" s="49">
        <v>302</v>
      </c>
      <c r="B303" s="49" t="s">
        <v>14984</v>
      </c>
      <c r="C303" s="49" t="str">
        <f t="shared" si="518"/>
        <v>E4_99_1_1_mRNA</v>
      </c>
      <c r="D303" s="49" t="str">
        <f t="shared" si="519"/>
        <v>E4_99_1_1</v>
      </c>
      <c r="E303" s="64" t="str">
        <f t="shared" si="520"/>
        <v>E4_99_1_1_kcat : 13.7</v>
      </c>
      <c r="F303" s="65" t="str">
        <f t="shared" si="521"/>
        <v>E4_99_1_1_km : 1</v>
      </c>
      <c r="G303" s="66" t="str">
        <f t="shared" ref="G303:H303" si="618">CONCATENATE(C303," : ",C303)</f>
        <v>E4_99_1_1_mRNA : E4_99_1_1_mRNA</v>
      </c>
      <c r="H303" s="67" t="str">
        <f t="shared" si="618"/>
        <v>E4_99_1_1 : E4_99_1_1</v>
      </c>
      <c r="I303" s="44" t="str">
        <f t="shared" ref="I303:J303" si="619">CONCATENATE(C303," : ","0")</f>
        <v>E4_99_1_1_mRNA : 0</v>
      </c>
      <c r="J303" s="68" t="str">
        <f t="shared" si="619"/>
        <v>E4_99_1_1 : 0</v>
      </c>
      <c r="K303" s="69" t="str">
        <f t="shared" si="524"/>
        <v>0.00292 - (0.0093 * E4_99_1_1_mRNA)</v>
      </c>
      <c r="L303" s="70" t="str">
        <f t="shared" si="525"/>
        <v>(0.278 * E4_99_1_1_mRNA) - (0.00000278 * E4_99_1_1)</v>
      </c>
      <c r="M303" s="71" t="str">
        <f t="shared" si="526"/>
        <v>mRNA302: -&gt; E4_99_1_1_mRNA | 0.00292 - (0.0093 * E4_99_1_1_mRNA)</v>
      </c>
      <c r="N303" s="72" t="str">
        <f t="shared" si="527"/>
        <v>Peptide302: E4_99_1_1_mRNA -&gt; E4_99_1_1 | (0.278 * E4_99_1_1_mRNA) - (0.000000278 * E4_99_1_1)</v>
      </c>
    </row>
    <row r="304" spans="1:14" ht="29" x14ac:dyDescent="0.35">
      <c r="A304" s="49">
        <v>303</v>
      </c>
      <c r="B304" s="49" t="s">
        <v>14815</v>
      </c>
      <c r="C304" s="49" t="str">
        <f t="shared" si="518"/>
        <v>E2_6_1_52_mRNA</v>
      </c>
      <c r="D304" s="49" t="str">
        <f t="shared" si="519"/>
        <v>E2_6_1_52</v>
      </c>
      <c r="E304" s="64" t="str">
        <f t="shared" si="520"/>
        <v>E2_6_1_52_kcat : 13.7</v>
      </c>
      <c r="F304" s="65" t="str">
        <f t="shared" si="521"/>
        <v>E2_6_1_52_km : 1</v>
      </c>
      <c r="G304" s="66" t="str">
        <f t="shared" ref="G304:H304" si="620">CONCATENATE(C304," : ",C304)</f>
        <v>E2_6_1_52_mRNA : E2_6_1_52_mRNA</v>
      </c>
      <c r="H304" s="67" t="str">
        <f t="shared" si="620"/>
        <v>E2_6_1_52 : E2_6_1_52</v>
      </c>
      <c r="I304" s="44" t="str">
        <f t="shared" ref="I304:J304" si="621">CONCATENATE(C304," : ","0")</f>
        <v>E2_6_1_52_mRNA : 0</v>
      </c>
      <c r="J304" s="68" t="str">
        <f t="shared" si="621"/>
        <v>E2_6_1_52 : 0</v>
      </c>
      <c r="K304" s="69" t="str">
        <f t="shared" si="524"/>
        <v>0.00292 - (0.0093 * E2_6_1_52_mRNA)</v>
      </c>
      <c r="L304" s="70" t="str">
        <f t="shared" si="525"/>
        <v>(0.278 * E2_6_1_52_mRNA) - (0.00000278 * E2_6_1_52)</v>
      </c>
      <c r="M304" s="71" t="str">
        <f t="shared" si="526"/>
        <v>mRNA303: -&gt; E2_6_1_52_mRNA | 0.00292 - (0.0093 * E2_6_1_52_mRNA)</v>
      </c>
      <c r="N304" s="72" t="str">
        <f t="shared" si="527"/>
        <v>Peptide303: E2_6_1_52_mRNA -&gt; E2_6_1_52 | (0.278 * E2_6_1_52_mRNA) - (0.000000278 * E2_6_1_52)</v>
      </c>
    </row>
    <row r="305" spans="1:14" ht="29" x14ac:dyDescent="0.35">
      <c r="A305" s="49">
        <v>304</v>
      </c>
      <c r="B305" s="49" t="s">
        <v>14816</v>
      </c>
      <c r="C305" s="49" t="str">
        <f t="shared" si="518"/>
        <v>E2_6_1_85_mRNA</v>
      </c>
      <c r="D305" s="49" t="str">
        <f t="shared" si="519"/>
        <v>E2_6_1_85</v>
      </c>
      <c r="E305" s="64" t="str">
        <f t="shared" si="520"/>
        <v>E2_6_1_85_kcat : 13.7</v>
      </c>
      <c r="F305" s="65" t="str">
        <f t="shared" si="521"/>
        <v>E2_6_1_85_km : 1</v>
      </c>
      <c r="G305" s="66" t="str">
        <f t="shared" ref="G305:H305" si="622">CONCATENATE(C305," : ",C305)</f>
        <v>E2_6_1_85_mRNA : E2_6_1_85_mRNA</v>
      </c>
      <c r="H305" s="67" t="str">
        <f t="shared" si="622"/>
        <v>E2_6_1_85 : E2_6_1_85</v>
      </c>
      <c r="I305" s="44" t="str">
        <f t="shared" ref="I305:J305" si="623">CONCATENATE(C305," : ","0")</f>
        <v>E2_6_1_85_mRNA : 0</v>
      </c>
      <c r="J305" s="68" t="str">
        <f t="shared" si="623"/>
        <v>E2_6_1_85 : 0</v>
      </c>
      <c r="K305" s="69" t="str">
        <f t="shared" si="524"/>
        <v>0.00292 - (0.0093 * E2_6_1_85_mRNA)</v>
      </c>
      <c r="L305" s="70" t="str">
        <f t="shared" si="525"/>
        <v>(0.278 * E2_6_1_85_mRNA) - (0.00000278 * E2_6_1_85)</v>
      </c>
      <c r="M305" s="71" t="str">
        <f t="shared" si="526"/>
        <v>mRNA304: -&gt; E2_6_1_85_mRNA | 0.00292 - (0.0093 * E2_6_1_85_mRNA)</v>
      </c>
      <c r="N305" s="72" t="str">
        <f t="shared" si="527"/>
        <v>Peptide304: E2_6_1_85_mRNA -&gt; E2_6_1_85 | (0.278 * E2_6_1_85_mRNA) - (0.000000278 * E2_6_1_85)</v>
      </c>
    </row>
    <row r="306" spans="1:14" ht="29" x14ac:dyDescent="0.35">
      <c r="A306" s="49">
        <v>305</v>
      </c>
      <c r="B306" s="49" t="s">
        <v>14817</v>
      </c>
      <c r="C306" s="49" t="str">
        <f t="shared" si="518"/>
        <v>E2_5_1_6_mRNA</v>
      </c>
      <c r="D306" s="49" t="str">
        <f t="shared" si="519"/>
        <v>E2_5_1_6</v>
      </c>
      <c r="E306" s="64" t="str">
        <f t="shared" si="520"/>
        <v>E2_5_1_6_kcat : 13.7</v>
      </c>
      <c r="F306" s="65" t="str">
        <f t="shared" si="521"/>
        <v>E2_5_1_6_km : 1</v>
      </c>
      <c r="G306" s="66" t="str">
        <f t="shared" ref="G306:H306" si="624">CONCATENATE(C306," : ",C306)</f>
        <v>E2_5_1_6_mRNA : E2_5_1_6_mRNA</v>
      </c>
      <c r="H306" s="67" t="str">
        <f t="shared" si="624"/>
        <v>E2_5_1_6 : E2_5_1_6</v>
      </c>
      <c r="I306" s="44" t="str">
        <f t="shared" ref="I306:J306" si="625">CONCATENATE(C306," : ","0")</f>
        <v>E2_5_1_6_mRNA : 0</v>
      </c>
      <c r="J306" s="68" t="str">
        <f t="shared" si="625"/>
        <v>E2_5_1_6 : 0</v>
      </c>
      <c r="K306" s="69" t="str">
        <f t="shared" si="524"/>
        <v>0.00292 - (0.0093 * E2_5_1_6_mRNA)</v>
      </c>
      <c r="L306" s="70" t="str">
        <f t="shared" si="525"/>
        <v>(0.278 * E2_5_1_6_mRNA) - (0.00000278 * E2_5_1_6)</v>
      </c>
      <c r="M306" s="71" t="str">
        <f t="shared" si="526"/>
        <v>mRNA305: -&gt; E2_5_1_6_mRNA | 0.00292 - (0.0093 * E2_5_1_6_mRNA)</v>
      </c>
      <c r="N306" s="72" t="str">
        <f t="shared" si="527"/>
        <v>Peptide305: E2_5_1_6_mRNA -&gt; E2_5_1_6 | (0.278 * E2_5_1_6_mRNA) - (0.000000278 * E2_5_1_6)</v>
      </c>
    </row>
    <row r="307" spans="1:14" ht="29" x14ac:dyDescent="0.35">
      <c r="A307" s="49">
        <v>306</v>
      </c>
      <c r="B307" s="49" t="s">
        <v>14985</v>
      </c>
      <c r="C307" s="49" t="str">
        <f t="shared" si="518"/>
        <v>E7_4_2_1_mRNA</v>
      </c>
      <c r="D307" s="49" t="str">
        <f t="shared" si="519"/>
        <v>E7_4_2_1</v>
      </c>
      <c r="E307" s="64" t="str">
        <f t="shared" si="520"/>
        <v>E7_4_2_1_kcat : 13.7</v>
      </c>
      <c r="F307" s="65" t="str">
        <f t="shared" si="521"/>
        <v>E7_4_2_1_km : 1</v>
      </c>
      <c r="G307" s="66" t="str">
        <f t="shared" ref="G307:H307" si="626">CONCATENATE(C307," : ",C307)</f>
        <v>E7_4_2_1_mRNA : E7_4_2_1_mRNA</v>
      </c>
      <c r="H307" s="67" t="str">
        <f t="shared" si="626"/>
        <v>E7_4_2_1 : E7_4_2_1</v>
      </c>
      <c r="I307" s="44" t="str">
        <f t="shared" ref="I307:J307" si="627">CONCATENATE(C307," : ","0")</f>
        <v>E7_4_2_1_mRNA : 0</v>
      </c>
      <c r="J307" s="68" t="str">
        <f t="shared" si="627"/>
        <v>E7_4_2_1 : 0</v>
      </c>
      <c r="K307" s="69" t="str">
        <f t="shared" si="524"/>
        <v>0.00292 - (0.0093 * E7_4_2_1_mRNA)</v>
      </c>
      <c r="L307" s="70" t="str">
        <f t="shared" si="525"/>
        <v>(0.278 * E7_4_2_1_mRNA) - (0.00000278 * E7_4_2_1)</v>
      </c>
      <c r="M307" s="71" t="str">
        <f t="shared" si="526"/>
        <v>mRNA306: -&gt; E7_4_2_1_mRNA | 0.00292 - (0.0093 * E7_4_2_1_mRNA)</v>
      </c>
      <c r="N307" s="72" t="str">
        <f t="shared" si="527"/>
        <v>Peptide306: E7_4_2_1_mRNA -&gt; E7_4_2_1 | (0.278 * E7_4_2_1_mRNA) - (0.000000278 * E7_4_2_1)</v>
      </c>
    </row>
    <row r="308" spans="1:14" ht="29" x14ac:dyDescent="0.35">
      <c r="A308" s="49">
        <v>307</v>
      </c>
      <c r="B308" s="49" t="s">
        <v>14818</v>
      </c>
      <c r="C308" s="49" t="str">
        <f t="shared" si="518"/>
        <v>E5_3_1_28_mRNA</v>
      </c>
      <c r="D308" s="49" t="str">
        <f t="shared" si="519"/>
        <v>E5_3_1_28</v>
      </c>
      <c r="E308" s="64" t="str">
        <f t="shared" si="520"/>
        <v>E5_3_1_28_kcat : 13.7</v>
      </c>
      <c r="F308" s="65" t="str">
        <f t="shared" si="521"/>
        <v>E5_3_1_28_km : 1</v>
      </c>
      <c r="G308" s="66" t="str">
        <f t="shared" ref="G308:H308" si="628">CONCATENATE(C308," : ",C308)</f>
        <v>E5_3_1_28_mRNA : E5_3_1_28_mRNA</v>
      </c>
      <c r="H308" s="67" t="str">
        <f t="shared" si="628"/>
        <v>E5_3_1_28 : E5_3_1_28</v>
      </c>
      <c r="I308" s="44" t="str">
        <f t="shared" ref="I308:J308" si="629">CONCATENATE(C308," : ","0")</f>
        <v>E5_3_1_28_mRNA : 0</v>
      </c>
      <c r="J308" s="68" t="str">
        <f t="shared" si="629"/>
        <v>E5_3_1_28 : 0</v>
      </c>
      <c r="K308" s="69" t="str">
        <f t="shared" si="524"/>
        <v>0.00292 - (0.0093 * E5_3_1_28_mRNA)</v>
      </c>
      <c r="L308" s="70" t="str">
        <f t="shared" si="525"/>
        <v>(0.278 * E5_3_1_28_mRNA) - (0.00000278 * E5_3_1_28)</v>
      </c>
      <c r="M308" s="71" t="str">
        <f t="shared" si="526"/>
        <v>mRNA307: -&gt; E5_3_1_28_mRNA | 0.00292 - (0.0093 * E5_3_1_28_mRNA)</v>
      </c>
      <c r="N308" s="72" t="str">
        <f t="shared" si="527"/>
        <v>Peptide307: E5_3_1_28_mRNA -&gt; E5_3_1_28 | (0.278 * E5_3_1_28_mRNA) - (0.000000278 * E5_3_1_28)</v>
      </c>
    </row>
    <row r="309" spans="1:14" ht="29" x14ac:dyDescent="0.35">
      <c r="A309" s="49">
        <v>308</v>
      </c>
      <c r="B309" s="49" t="s">
        <v>14819</v>
      </c>
      <c r="C309" s="49" t="str">
        <f t="shared" si="518"/>
        <v>E6_5_1_1_mRNA</v>
      </c>
      <c r="D309" s="49" t="str">
        <f t="shared" si="519"/>
        <v>E6_5_1_1</v>
      </c>
      <c r="E309" s="64" t="str">
        <f t="shared" si="520"/>
        <v>E6_5_1_1_kcat : 13.7</v>
      </c>
      <c r="F309" s="65" t="str">
        <f t="shared" si="521"/>
        <v>E6_5_1_1_km : 1</v>
      </c>
      <c r="G309" s="66" t="str">
        <f t="shared" ref="G309:H309" si="630">CONCATENATE(C309," : ",C309)</f>
        <v>E6_5_1_1_mRNA : E6_5_1_1_mRNA</v>
      </c>
      <c r="H309" s="67" t="str">
        <f t="shared" si="630"/>
        <v>E6_5_1_1 : E6_5_1_1</v>
      </c>
      <c r="I309" s="44" t="str">
        <f t="shared" ref="I309:J309" si="631">CONCATENATE(C309," : ","0")</f>
        <v>E6_5_1_1_mRNA : 0</v>
      </c>
      <c r="J309" s="68" t="str">
        <f t="shared" si="631"/>
        <v>E6_5_1_1 : 0</v>
      </c>
      <c r="K309" s="69" t="str">
        <f t="shared" si="524"/>
        <v>0.00292 - (0.0093 * E6_5_1_1_mRNA)</v>
      </c>
      <c r="L309" s="70" t="str">
        <f t="shared" si="525"/>
        <v>(0.278 * E6_5_1_1_mRNA) - (0.00000278 * E6_5_1_1)</v>
      </c>
      <c r="M309" s="71" t="str">
        <f t="shared" si="526"/>
        <v>mRNA308: -&gt; E6_5_1_1_mRNA | 0.00292 - (0.0093 * E6_5_1_1_mRNA)</v>
      </c>
      <c r="N309" s="72" t="str">
        <f t="shared" si="527"/>
        <v>Peptide308: E6_5_1_1_mRNA -&gt; E6_5_1_1 | (0.278 * E6_5_1_1_mRNA) - (0.000000278 * E6_5_1_1)</v>
      </c>
    </row>
    <row r="310" spans="1:14" ht="29" x14ac:dyDescent="0.35">
      <c r="A310" s="49">
        <v>309</v>
      </c>
      <c r="B310" s="49" t="s">
        <v>14820</v>
      </c>
      <c r="C310" s="49" t="str">
        <f t="shared" si="518"/>
        <v>E4_1_2_50_mRNA</v>
      </c>
      <c r="D310" s="49" t="str">
        <f t="shared" si="519"/>
        <v>E4_1_2_50</v>
      </c>
      <c r="E310" s="64" t="str">
        <f t="shared" si="520"/>
        <v>E4_1_2_50_kcat : 13.7</v>
      </c>
      <c r="F310" s="65" t="str">
        <f t="shared" si="521"/>
        <v>E4_1_2_50_km : 1</v>
      </c>
      <c r="G310" s="66" t="str">
        <f t="shared" ref="G310:H310" si="632">CONCATENATE(C310," : ",C310)</f>
        <v>E4_1_2_50_mRNA : E4_1_2_50_mRNA</v>
      </c>
      <c r="H310" s="67" t="str">
        <f t="shared" si="632"/>
        <v>E4_1_2_50 : E4_1_2_50</v>
      </c>
      <c r="I310" s="44" t="str">
        <f t="shared" ref="I310:J310" si="633">CONCATENATE(C310," : ","0")</f>
        <v>E4_1_2_50_mRNA : 0</v>
      </c>
      <c r="J310" s="68" t="str">
        <f t="shared" si="633"/>
        <v>E4_1_2_50 : 0</v>
      </c>
      <c r="K310" s="69" t="str">
        <f t="shared" si="524"/>
        <v>0.00292 - (0.0093 * E4_1_2_50_mRNA)</v>
      </c>
      <c r="L310" s="70" t="str">
        <f t="shared" si="525"/>
        <v>(0.278 * E4_1_2_50_mRNA) - (0.00000278 * E4_1_2_50)</v>
      </c>
      <c r="M310" s="71" t="str">
        <f t="shared" si="526"/>
        <v>mRNA309: -&gt; E4_1_2_50_mRNA | 0.00292 - (0.0093 * E4_1_2_50_mRNA)</v>
      </c>
      <c r="N310" s="72" t="str">
        <f t="shared" si="527"/>
        <v>Peptide309: E4_1_2_50_mRNA -&gt; E4_1_2_50 | (0.278 * E4_1_2_50_mRNA) - (0.000000278 * E4_1_2_50)</v>
      </c>
    </row>
    <row r="311" spans="1:14" ht="29" x14ac:dyDescent="0.35">
      <c r="A311" s="49">
        <v>310</v>
      </c>
      <c r="B311" s="49" t="s">
        <v>14821</v>
      </c>
      <c r="C311" s="49" t="str">
        <f t="shared" si="518"/>
        <v>E6_3_4_20_mRNA</v>
      </c>
      <c r="D311" s="49" t="str">
        <f t="shared" si="519"/>
        <v>E6_3_4_20</v>
      </c>
      <c r="E311" s="64" t="str">
        <f t="shared" si="520"/>
        <v>E6_3_4_20_kcat : 13.7</v>
      </c>
      <c r="F311" s="65" t="str">
        <f t="shared" si="521"/>
        <v>E6_3_4_20_km : 1</v>
      </c>
      <c r="G311" s="66" t="str">
        <f t="shared" ref="G311:H311" si="634">CONCATENATE(C311," : ",C311)</f>
        <v>E6_3_4_20_mRNA : E6_3_4_20_mRNA</v>
      </c>
      <c r="H311" s="67" t="str">
        <f t="shared" si="634"/>
        <v>E6_3_4_20 : E6_3_4_20</v>
      </c>
      <c r="I311" s="44" t="str">
        <f t="shared" ref="I311:J311" si="635">CONCATENATE(C311," : ","0")</f>
        <v>E6_3_4_20_mRNA : 0</v>
      </c>
      <c r="J311" s="68" t="str">
        <f t="shared" si="635"/>
        <v>E6_3_4_20 : 0</v>
      </c>
      <c r="K311" s="69" t="str">
        <f t="shared" si="524"/>
        <v>0.00292 - (0.0093 * E6_3_4_20_mRNA)</v>
      </c>
      <c r="L311" s="70" t="str">
        <f t="shared" si="525"/>
        <v>(0.278 * E6_3_4_20_mRNA) - (0.00000278 * E6_3_4_20)</v>
      </c>
      <c r="M311" s="71" t="str">
        <f t="shared" si="526"/>
        <v>mRNA310: -&gt; E6_3_4_20_mRNA | 0.00292 - (0.0093 * E6_3_4_20_mRNA)</v>
      </c>
      <c r="N311" s="72" t="str">
        <f t="shared" si="527"/>
        <v>Peptide310: E6_3_4_20_mRNA -&gt; E6_3_4_20 | (0.278 * E6_3_4_20_mRNA) - (0.000000278 * E6_3_4_20)</v>
      </c>
    </row>
    <row r="312" spans="1:14" ht="29" x14ac:dyDescent="0.35">
      <c r="A312" s="49">
        <v>311</v>
      </c>
      <c r="B312" s="49" t="s">
        <v>14822</v>
      </c>
      <c r="C312" s="49" t="str">
        <f t="shared" si="518"/>
        <v>E2_6_1_42_mRNA</v>
      </c>
      <c r="D312" s="49" t="str">
        <f t="shared" si="519"/>
        <v>E2_6_1_42</v>
      </c>
      <c r="E312" s="64" t="str">
        <f t="shared" si="520"/>
        <v>E2_6_1_42_kcat : 13.7</v>
      </c>
      <c r="F312" s="65" t="str">
        <f t="shared" si="521"/>
        <v>E2_6_1_42_km : 1</v>
      </c>
      <c r="G312" s="66" t="str">
        <f t="shared" ref="G312:H312" si="636">CONCATENATE(C312," : ",C312)</f>
        <v>E2_6_1_42_mRNA : E2_6_1_42_mRNA</v>
      </c>
      <c r="H312" s="67" t="str">
        <f t="shared" si="636"/>
        <v>E2_6_1_42 : E2_6_1_42</v>
      </c>
      <c r="I312" s="44" t="str">
        <f t="shared" ref="I312:J312" si="637">CONCATENATE(C312," : ","0")</f>
        <v>E2_6_1_42_mRNA : 0</v>
      </c>
      <c r="J312" s="68" t="str">
        <f t="shared" si="637"/>
        <v>E2_6_1_42 : 0</v>
      </c>
      <c r="K312" s="69" t="str">
        <f t="shared" si="524"/>
        <v>0.00292 - (0.0093 * E2_6_1_42_mRNA)</v>
      </c>
      <c r="L312" s="70" t="str">
        <f t="shared" si="525"/>
        <v>(0.278 * E2_6_1_42_mRNA) - (0.00000278 * E2_6_1_42)</v>
      </c>
      <c r="M312" s="71" t="str">
        <f t="shared" si="526"/>
        <v>mRNA311: -&gt; E2_6_1_42_mRNA | 0.00292 - (0.0093 * E2_6_1_42_mRNA)</v>
      </c>
      <c r="N312" s="72" t="str">
        <f t="shared" si="527"/>
        <v>Peptide311: E2_6_1_42_mRNA -&gt; E2_6_1_42 | (0.278 * E2_6_1_42_mRNA) - (0.000000278 * E2_6_1_42)</v>
      </c>
    </row>
    <row r="313" spans="1:14" ht="29" x14ac:dyDescent="0.35">
      <c r="A313" s="49">
        <v>312</v>
      </c>
      <c r="B313" s="49" t="s">
        <v>14986</v>
      </c>
      <c r="C313" s="49" t="str">
        <f t="shared" si="518"/>
        <v>E2_1_1_186_mRNA</v>
      </c>
      <c r="D313" s="49" t="str">
        <f t="shared" si="519"/>
        <v>E2_1_1_186</v>
      </c>
      <c r="E313" s="64" t="str">
        <f t="shared" si="520"/>
        <v>E2_1_1_186_kcat : 13.7</v>
      </c>
      <c r="F313" s="65" t="str">
        <f t="shared" si="521"/>
        <v>E2_1_1_186_km : 1</v>
      </c>
      <c r="G313" s="66" t="str">
        <f t="shared" ref="G313:H313" si="638">CONCATENATE(C313," : ",C313)</f>
        <v>E2_1_1_186_mRNA : E2_1_1_186_mRNA</v>
      </c>
      <c r="H313" s="67" t="str">
        <f t="shared" si="638"/>
        <v>E2_1_1_186 : E2_1_1_186</v>
      </c>
      <c r="I313" s="44" t="str">
        <f t="shared" ref="I313:J313" si="639">CONCATENATE(C313," : ","0")</f>
        <v>E2_1_1_186_mRNA : 0</v>
      </c>
      <c r="J313" s="68" t="str">
        <f t="shared" si="639"/>
        <v>E2_1_1_186 : 0</v>
      </c>
      <c r="K313" s="69" t="str">
        <f t="shared" si="524"/>
        <v>0.00292 - (0.0093 * E2_1_1_186_mRNA)</v>
      </c>
      <c r="L313" s="70" t="str">
        <f t="shared" si="525"/>
        <v>(0.278 * E2_1_1_186_mRNA) - (0.00000278 * E2_1_1_186)</v>
      </c>
      <c r="M313" s="71" t="str">
        <f t="shared" si="526"/>
        <v>mRNA312: -&gt; E2_1_1_186_mRNA | 0.00292 - (0.0093 * E2_1_1_186_mRNA)</v>
      </c>
      <c r="N313" s="72" t="str">
        <f t="shared" si="527"/>
        <v>Peptide312: E2_1_1_186_mRNA -&gt; E2_1_1_186 | (0.278 * E2_1_1_186_mRNA) - (0.000000278 * E2_1_1_186)</v>
      </c>
    </row>
    <row r="314" spans="1:14" ht="29" x14ac:dyDescent="0.35">
      <c r="A314" s="49">
        <v>313</v>
      </c>
      <c r="B314" s="49" t="s">
        <v>14823</v>
      </c>
      <c r="C314" s="49" t="str">
        <f t="shared" si="518"/>
        <v>E6_2_1_5_mRNA</v>
      </c>
      <c r="D314" s="49" t="str">
        <f t="shared" si="519"/>
        <v>E6_2_1_5</v>
      </c>
      <c r="E314" s="64" t="str">
        <f t="shared" si="520"/>
        <v>E6_2_1_5_kcat : 13.7</v>
      </c>
      <c r="F314" s="65" t="str">
        <f t="shared" si="521"/>
        <v>E6_2_1_5_km : 1</v>
      </c>
      <c r="G314" s="66" t="str">
        <f t="shared" ref="G314:H314" si="640">CONCATENATE(C314," : ",C314)</f>
        <v>E6_2_1_5_mRNA : E6_2_1_5_mRNA</v>
      </c>
      <c r="H314" s="67" t="str">
        <f t="shared" si="640"/>
        <v>E6_2_1_5 : E6_2_1_5</v>
      </c>
      <c r="I314" s="44" t="str">
        <f t="shared" ref="I314:J314" si="641">CONCATENATE(C314," : ","0")</f>
        <v>E6_2_1_5_mRNA : 0</v>
      </c>
      <c r="J314" s="68" t="str">
        <f t="shared" si="641"/>
        <v>E6_2_1_5 : 0</v>
      </c>
      <c r="K314" s="69" t="str">
        <f t="shared" si="524"/>
        <v>0.00292 - (0.0093 * E6_2_1_5_mRNA)</v>
      </c>
      <c r="L314" s="70" t="str">
        <f t="shared" si="525"/>
        <v>(0.278 * E6_2_1_5_mRNA) - (0.00000278 * E6_2_1_5)</v>
      </c>
      <c r="M314" s="71" t="str">
        <f t="shared" si="526"/>
        <v>mRNA313: -&gt; E6_2_1_5_mRNA | 0.00292 - (0.0093 * E6_2_1_5_mRNA)</v>
      </c>
      <c r="N314" s="72" t="str">
        <f t="shared" si="527"/>
        <v>Peptide313: E6_2_1_5_mRNA -&gt; E6_2_1_5 | (0.278 * E6_2_1_5_mRNA) - (0.000000278 * E6_2_1_5)</v>
      </c>
    </row>
    <row r="315" spans="1:14" ht="29" x14ac:dyDescent="0.35">
      <c r="A315" s="49">
        <v>314</v>
      </c>
      <c r="B315" s="49" t="s">
        <v>14987</v>
      </c>
      <c r="C315" s="49" t="str">
        <f t="shared" si="518"/>
        <v>E5_4_99_22_mRNA</v>
      </c>
      <c r="D315" s="49" t="str">
        <f t="shared" si="519"/>
        <v>E5_4_99_22</v>
      </c>
      <c r="E315" s="64" t="str">
        <f t="shared" si="520"/>
        <v>E5_4_99_22_kcat : 13.7</v>
      </c>
      <c r="F315" s="65" t="str">
        <f t="shared" si="521"/>
        <v>E5_4_99_22_km : 1</v>
      </c>
      <c r="G315" s="66" t="str">
        <f t="shared" ref="G315:H315" si="642">CONCATENATE(C315," : ",C315)</f>
        <v>E5_4_99_22_mRNA : E5_4_99_22_mRNA</v>
      </c>
      <c r="H315" s="67" t="str">
        <f t="shared" si="642"/>
        <v>E5_4_99_22 : E5_4_99_22</v>
      </c>
      <c r="I315" s="44" t="str">
        <f t="shared" ref="I315:J315" si="643">CONCATENATE(C315," : ","0")</f>
        <v>E5_4_99_22_mRNA : 0</v>
      </c>
      <c r="J315" s="68" t="str">
        <f t="shared" si="643"/>
        <v>E5_4_99_22 : 0</v>
      </c>
      <c r="K315" s="69" t="str">
        <f t="shared" si="524"/>
        <v>0.00292 - (0.0093 * E5_4_99_22_mRNA)</v>
      </c>
      <c r="L315" s="70" t="str">
        <f t="shared" si="525"/>
        <v>(0.278 * E5_4_99_22_mRNA) - (0.00000278 * E5_4_99_22)</v>
      </c>
      <c r="M315" s="71" t="str">
        <f t="shared" si="526"/>
        <v>mRNA314: -&gt; E5_4_99_22_mRNA | 0.00292 - (0.0093 * E5_4_99_22_mRNA)</v>
      </c>
      <c r="N315" s="72" t="str">
        <f t="shared" si="527"/>
        <v>Peptide314: E5_4_99_22_mRNA -&gt; E5_4_99_22 | (0.278 * E5_4_99_22_mRNA) - (0.000000278 * E5_4_99_22)</v>
      </c>
    </row>
    <row r="316" spans="1:14" ht="29" x14ac:dyDescent="0.35">
      <c r="A316" s="49">
        <v>315</v>
      </c>
      <c r="B316" s="49" t="s">
        <v>14824</v>
      </c>
      <c r="C316" s="49" t="str">
        <f t="shared" si="518"/>
        <v>E2_1_1_298_mRNA</v>
      </c>
      <c r="D316" s="49" t="str">
        <f t="shared" si="519"/>
        <v>E2_1_1_298</v>
      </c>
      <c r="E316" s="64" t="str">
        <f t="shared" si="520"/>
        <v>E2_1_1_298_kcat : 13.7</v>
      </c>
      <c r="F316" s="65" t="str">
        <f t="shared" si="521"/>
        <v>E2_1_1_298_km : 1</v>
      </c>
      <c r="G316" s="66" t="str">
        <f t="shared" ref="G316:H316" si="644">CONCATENATE(C316," : ",C316)</f>
        <v>E2_1_1_298_mRNA : E2_1_1_298_mRNA</v>
      </c>
      <c r="H316" s="67" t="str">
        <f t="shared" si="644"/>
        <v>E2_1_1_298 : E2_1_1_298</v>
      </c>
      <c r="I316" s="44" t="str">
        <f t="shared" ref="I316:J316" si="645">CONCATENATE(C316," : ","0")</f>
        <v>E2_1_1_298_mRNA : 0</v>
      </c>
      <c r="J316" s="68" t="str">
        <f t="shared" si="645"/>
        <v>E2_1_1_298 : 0</v>
      </c>
      <c r="K316" s="69" t="str">
        <f t="shared" si="524"/>
        <v>0.00292 - (0.0093 * E2_1_1_298_mRNA)</v>
      </c>
      <c r="L316" s="70" t="str">
        <f t="shared" si="525"/>
        <v>(0.278 * E2_1_1_298_mRNA) - (0.00000278 * E2_1_1_298)</v>
      </c>
      <c r="M316" s="71" t="str">
        <f t="shared" si="526"/>
        <v>mRNA315: -&gt; E2_1_1_298_mRNA | 0.00292 - (0.0093 * E2_1_1_298_mRNA)</v>
      </c>
      <c r="N316" s="72" t="str">
        <f t="shared" si="527"/>
        <v>Peptide315: E2_1_1_298_mRNA -&gt; E2_1_1_298 | (0.278 * E2_1_1_298_mRNA) - (0.000000278 * E2_1_1_298)</v>
      </c>
    </row>
    <row r="317" spans="1:14" ht="29" x14ac:dyDescent="0.35">
      <c r="A317" s="49">
        <v>316</v>
      </c>
      <c r="B317" s="49" t="s">
        <v>14825</v>
      </c>
      <c r="C317" s="49" t="str">
        <f t="shared" si="518"/>
        <v>E2_3_1_8_mRNA</v>
      </c>
      <c r="D317" s="49" t="str">
        <f t="shared" si="519"/>
        <v>E2_3_1_8</v>
      </c>
      <c r="E317" s="64" t="str">
        <f t="shared" si="520"/>
        <v>E2_3_1_8_kcat : 13.7</v>
      </c>
      <c r="F317" s="65" t="str">
        <f t="shared" si="521"/>
        <v>E2_3_1_8_km : 1</v>
      </c>
      <c r="G317" s="66" t="str">
        <f t="shared" ref="G317:H317" si="646">CONCATENATE(C317," : ",C317)</f>
        <v>E2_3_1_8_mRNA : E2_3_1_8_mRNA</v>
      </c>
      <c r="H317" s="67" t="str">
        <f t="shared" si="646"/>
        <v>E2_3_1_8 : E2_3_1_8</v>
      </c>
      <c r="I317" s="44" t="str">
        <f t="shared" ref="I317:J317" si="647">CONCATENATE(C317," : ","0")</f>
        <v>E2_3_1_8_mRNA : 0</v>
      </c>
      <c r="J317" s="68" t="str">
        <f t="shared" si="647"/>
        <v>E2_3_1_8 : 0</v>
      </c>
      <c r="K317" s="69" t="str">
        <f t="shared" si="524"/>
        <v>0.00292 - (0.0093 * E2_3_1_8_mRNA)</v>
      </c>
      <c r="L317" s="70" t="str">
        <f t="shared" si="525"/>
        <v>(0.278 * E2_3_1_8_mRNA) - (0.00000278 * E2_3_1_8)</v>
      </c>
      <c r="M317" s="71" t="str">
        <f t="shared" si="526"/>
        <v>mRNA316: -&gt; E2_3_1_8_mRNA | 0.00292 - (0.0093 * E2_3_1_8_mRNA)</v>
      </c>
      <c r="N317" s="72" t="str">
        <f t="shared" si="527"/>
        <v>Peptide316: E2_3_1_8_mRNA -&gt; E2_3_1_8 | (0.278 * E2_3_1_8_mRNA) - (0.000000278 * E2_3_1_8)</v>
      </c>
    </row>
    <row r="318" spans="1:14" ht="29" x14ac:dyDescent="0.35">
      <c r="A318" s="49">
        <v>317</v>
      </c>
      <c r="B318" s="49" t="s">
        <v>14826</v>
      </c>
      <c r="C318" s="49" t="str">
        <f t="shared" si="518"/>
        <v>E2_4_2_14_mRNA</v>
      </c>
      <c r="D318" s="49" t="str">
        <f t="shared" si="519"/>
        <v>E2_4_2_14</v>
      </c>
      <c r="E318" s="64" t="str">
        <f t="shared" si="520"/>
        <v>E2_4_2_14_kcat : 13.7</v>
      </c>
      <c r="F318" s="65" t="str">
        <f t="shared" si="521"/>
        <v>E2_4_2_14_km : 1</v>
      </c>
      <c r="G318" s="66" t="str">
        <f t="shared" ref="G318:H318" si="648">CONCATENATE(C318," : ",C318)</f>
        <v>E2_4_2_14_mRNA : E2_4_2_14_mRNA</v>
      </c>
      <c r="H318" s="67" t="str">
        <f t="shared" si="648"/>
        <v>E2_4_2_14 : E2_4_2_14</v>
      </c>
      <c r="I318" s="44" t="str">
        <f t="shared" ref="I318:J318" si="649">CONCATENATE(C318," : ","0")</f>
        <v>E2_4_2_14_mRNA : 0</v>
      </c>
      <c r="J318" s="68" t="str">
        <f t="shared" si="649"/>
        <v>E2_4_2_14 : 0</v>
      </c>
      <c r="K318" s="69" t="str">
        <f t="shared" si="524"/>
        <v>0.00292 - (0.0093 * E2_4_2_14_mRNA)</v>
      </c>
      <c r="L318" s="70" t="str">
        <f t="shared" si="525"/>
        <v>(0.278 * E2_4_2_14_mRNA) - (0.00000278 * E2_4_2_14)</v>
      </c>
      <c r="M318" s="71" t="str">
        <f t="shared" si="526"/>
        <v>mRNA317: -&gt; E2_4_2_14_mRNA | 0.00292 - (0.0093 * E2_4_2_14_mRNA)</v>
      </c>
      <c r="N318" s="72" t="str">
        <f t="shared" si="527"/>
        <v>Peptide317: E2_4_2_14_mRNA -&gt; E2_4_2_14 | (0.278 * E2_4_2_14_mRNA) - (0.000000278 * E2_4_2_14)</v>
      </c>
    </row>
    <row r="319" spans="1:14" ht="29" x14ac:dyDescent="0.35">
      <c r="A319" s="49">
        <v>318</v>
      </c>
      <c r="B319" s="49" t="s">
        <v>14827</v>
      </c>
      <c r="C319" s="49" t="str">
        <f t="shared" si="518"/>
        <v>E1_1_1_37_mRNA</v>
      </c>
      <c r="D319" s="49" t="str">
        <f t="shared" si="519"/>
        <v>E1_1_1_37</v>
      </c>
      <c r="E319" s="64" t="str">
        <f t="shared" si="520"/>
        <v>E1_1_1_37_kcat : 13.7</v>
      </c>
      <c r="F319" s="65" t="str">
        <f t="shared" si="521"/>
        <v>E1_1_1_37_km : 1</v>
      </c>
      <c r="G319" s="66" t="str">
        <f t="shared" ref="G319:H319" si="650">CONCATENATE(C319," : ",C319)</f>
        <v>E1_1_1_37_mRNA : E1_1_1_37_mRNA</v>
      </c>
      <c r="H319" s="67" t="str">
        <f t="shared" si="650"/>
        <v>E1_1_1_37 : E1_1_1_37</v>
      </c>
      <c r="I319" s="44" t="str">
        <f t="shared" ref="I319:J319" si="651">CONCATENATE(C319," : ","0")</f>
        <v>E1_1_1_37_mRNA : 0</v>
      </c>
      <c r="J319" s="68" t="str">
        <f t="shared" si="651"/>
        <v>E1_1_1_37 : 0</v>
      </c>
      <c r="K319" s="69" t="str">
        <f t="shared" si="524"/>
        <v>0.00292 - (0.0093 * E1_1_1_37_mRNA)</v>
      </c>
      <c r="L319" s="70" t="str">
        <f t="shared" si="525"/>
        <v>(0.278 * E1_1_1_37_mRNA) - (0.00000278 * E1_1_1_37)</v>
      </c>
      <c r="M319" s="71" t="str">
        <f t="shared" si="526"/>
        <v>mRNA318: -&gt; E1_1_1_37_mRNA | 0.00292 - (0.0093 * E1_1_1_37_mRNA)</v>
      </c>
      <c r="N319" s="72" t="str">
        <f t="shared" si="527"/>
        <v>Peptide318: E1_1_1_37_mRNA -&gt; E1_1_1_37 | (0.278 * E1_1_1_37_mRNA) - (0.000000278 * E1_1_1_37)</v>
      </c>
    </row>
    <row r="320" spans="1:14" ht="29" x14ac:dyDescent="0.35">
      <c r="A320" s="49">
        <v>319</v>
      </c>
      <c r="B320" s="49" t="s">
        <v>14828</v>
      </c>
      <c r="C320" s="49" t="str">
        <f t="shared" si="518"/>
        <v>E6_1_1_6_mRNA</v>
      </c>
      <c r="D320" s="49" t="str">
        <f t="shared" si="519"/>
        <v>E6_1_1_6</v>
      </c>
      <c r="E320" s="64" t="str">
        <f t="shared" si="520"/>
        <v>E6_1_1_6_kcat : 13.7</v>
      </c>
      <c r="F320" s="65" t="str">
        <f t="shared" si="521"/>
        <v>E6_1_1_6_km : 1</v>
      </c>
      <c r="G320" s="66" t="str">
        <f t="shared" ref="G320:H320" si="652">CONCATENATE(C320," : ",C320)</f>
        <v>E6_1_1_6_mRNA : E6_1_1_6_mRNA</v>
      </c>
      <c r="H320" s="67" t="str">
        <f t="shared" si="652"/>
        <v>E6_1_1_6 : E6_1_1_6</v>
      </c>
      <c r="I320" s="44" t="str">
        <f t="shared" ref="I320:J320" si="653">CONCATENATE(C320," : ","0")</f>
        <v>E6_1_1_6_mRNA : 0</v>
      </c>
      <c r="J320" s="68" t="str">
        <f t="shared" si="653"/>
        <v>E6_1_1_6 : 0</v>
      </c>
      <c r="K320" s="69" t="str">
        <f t="shared" si="524"/>
        <v>0.00292 - (0.0093 * E6_1_1_6_mRNA)</v>
      </c>
      <c r="L320" s="70" t="str">
        <f t="shared" si="525"/>
        <v>(0.278 * E6_1_1_6_mRNA) - (0.00000278 * E6_1_1_6)</v>
      </c>
      <c r="M320" s="71" t="str">
        <f t="shared" si="526"/>
        <v>mRNA319: -&gt; E6_1_1_6_mRNA | 0.00292 - (0.0093 * E6_1_1_6_mRNA)</v>
      </c>
      <c r="N320" s="72" t="str">
        <f t="shared" si="527"/>
        <v>Peptide319: E6_1_1_6_mRNA -&gt; E6_1_1_6 | (0.278 * E6_1_1_6_mRNA) - (0.000000278 * E6_1_1_6)</v>
      </c>
    </row>
    <row r="321" spans="1:14" ht="29" x14ac:dyDescent="0.35">
      <c r="A321" s="49">
        <v>320</v>
      </c>
      <c r="B321" s="49" t="s">
        <v>14988</v>
      </c>
      <c r="C321" s="49" t="str">
        <f t="shared" si="518"/>
        <v>E5_3_4_1_mRNA</v>
      </c>
      <c r="D321" s="49" t="str">
        <f t="shared" si="519"/>
        <v>E5_3_4_1</v>
      </c>
      <c r="E321" s="64" t="str">
        <f t="shared" si="520"/>
        <v>E5_3_4_1_kcat : 13.7</v>
      </c>
      <c r="F321" s="65" t="str">
        <f t="shared" si="521"/>
        <v>E5_3_4_1_km : 1</v>
      </c>
      <c r="G321" s="66" t="str">
        <f t="shared" ref="G321:H321" si="654">CONCATENATE(C321," : ",C321)</f>
        <v>E5_3_4_1_mRNA : E5_3_4_1_mRNA</v>
      </c>
      <c r="H321" s="67" t="str">
        <f t="shared" si="654"/>
        <v>E5_3_4_1 : E5_3_4_1</v>
      </c>
      <c r="I321" s="44" t="str">
        <f t="shared" ref="I321:J321" si="655">CONCATENATE(C321," : ","0")</f>
        <v>E5_3_4_1_mRNA : 0</v>
      </c>
      <c r="J321" s="68" t="str">
        <f t="shared" si="655"/>
        <v>E5_3_4_1 : 0</v>
      </c>
      <c r="K321" s="69" t="str">
        <f t="shared" si="524"/>
        <v>0.00292 - (0.0093 * E5_3_4_1_mRNA)</v>
      </c>
      <c r="L321" s="70" t="str">
        <f t="shared" si="525"/>
        <v>(0.278 * E5_3_4_1_mRNA) - (0.00000278 * E5_3_4_1)</v>
      </c>
      <c r="M321" s="71" t="str">
        <f t="shared" si="526"/>
        <v>mRNA320: -&gt; E5_3_4_1_mRNA | 0.00292 - (0.0093 * E5_3_4_1_mRNA)</v>
      </c>
      <c r="N321" s="72" t="str">
        <f t="shared" si="527"/>
        <v>Peptide320: E5_3_4_1_mRNA -&gt; E5_3_4_1 | (0.278 * E5_3_4_1_mRNA) - (0.000000278 * E5_3_4_1)</v>
      </c>
    </row>
    <row r="322" spans="1:14" ht="29" x14ac:dyDescent="0.35">
      <c r="A322" s="49">
        <v>321</v>
      </c>
      <c r="B322" s="49" t="s">
        <v>14829</v>
      </c>
      <c r="C322" s="49" t="str">
        <f t="shared" si="518"/>
        <v>E3_2_2_9_mRNA</v>
      </c>
      <c r="D322" s="49" t="str">
        <f t="shared" si="519"/>
        <v>E3_2_2_9</v>
      </c>
      <c r="E322" s="64" t="str">
        <f t="shared" si="520"/>
        <v>E3_2_2_9_kcat : 13.7</v>
      </c>
      <c r="F322" s="65" t="str">
        <f t="shared" si="521"/>
        <v>E3_2_2_9_km : 1</v>
      </c>
      <c r="G322" s="66" t="str">
        <f t="shared" ref="G322:H322" si="656">CONCATENATE(C322," : ",C322)</f>
        <v>E3_2_2_9_mRNA : E3_2_2_9_mRNA</v>
      </c>
      <c r="H322" s="67" t="str">
        <f t="shared" si="656"/>
        <v>E3_2_2_9 : E3_2_2_9</v>
      </c>
      <c r="I322" s="44" t="str">
        <f t="shared" ref="I322:J322" si="657">CONCATENATE(C322," : ","0")</f>
        <v>E3_2_2_9_mRNA : 0</v>
      </c>
      <c r="J322" s="68" t="str">
        <f t="shared" si="657"/>
        <v>E3_2_2_9 : 0</v>
      </c>
      <c r="K322" s="69" t="str">
        <f t="shared" si="524"/>
        <v>0.00292 - (0.0093 * E3_2_2_9_mRNA)</v>
      </c>
      <c r="L322" s="70" t="str">
        <f t="shared" si="525"/>
        <v>(0.278 * E3_2_2_9_mRNA) - (0.00000278 * E3_2_2_9)</v>
      </c>
      <c r="M322" s="71" t="str">
        <f t="shared" si="526"/>
        <v>mRNA321: -&gt; E3_2_2_9_mRNA | 0.00292 - (0.0093 * E3_2_2_9_mRNA)</v>
      </c>
      <c r="N322" s="72" t="str">
        <f t="shared" si="527"/>
        <v>Peptide321: E3_2_2_9_mRNA -&gt; E3_2_2_9 | (0.278 * E3_2_2_9_mRNA) - (0.000000278 * E3_2_2_9)</v>
      </c>
    </row>
    <row r="323" spans="1:14" ht="29" x14ac:dyDescent="0.35">
      <c r="A323" s="49">
        <v>322</v>
      </c>
      <c r="B323" s="49" t="s">
        <v>14830</v>
      </c>
      <c r="C323" s="49" t="str">
        <f t="shared" si="518"/>
        <v>E5_4_99_12_mRNA</v>
      </c>
      <c r="D323" s="49" t="str">
        <f t="shared" si="519"/>
        <v>E5_4_99_12</v>
      </c>
      <c r="E323" s="64" t="str">
        <f t="shared" si="520"/>
        <v>E5_4_99_12_kcat : 13.7</v>
      </c>
      <c r="F323" s="65" t="str">
        <f t="shared" si="521"/>
        <v>E5_4_99_12_km : 1</v>
      </c>
      <c r="G323" s="66" t="str">
        <f t="shared" ref="G323:H323" si="658">CONCATENATE(C323," : ",C323)</f>
        <v>E5_4_99_12_mRNA : E5_4_99_12_mRNA</v>
      </c>
      <c r="H323" s="67" t="str">
        <f t="shared" si="658"/>
        <v>E5_4_99_12 : E5_4_99_12</v>
      </c>
      <c r="I323" s="44" t="str">
        <f t="shared" ref="I323:J323" si="659">CONCATENATE(C323," : ","0")</f>
        <v>E5_4_99_12_mRNA : 0</v>
      </c>
      <c r="J323" s="68" t="str">
        <f t="shared" si="659"/>
        <v>E5_4_99_12 : 0</v>
      </c>
      <c r="K323" s="69" t="str">
        <f t="shared" si="524"/>
        <v>0.00292 - (0.0093 * E5_4_99_12_mRNA)</v>
      </c>
      <c r="L323" s="70" t="str">
        <f t="shared" si="525"/>
        <v>(0.278 * E5_4_99_12_mRNA) - (0.00000278 * E5_4_99_12)</v>
      </c>
      <c r="M323" s="71" t="str">
        <f t="shared" si="526"/>
        <v>mRNA322: -&gt; E5_4_99_12_mRNA | 0.00292 - (0.0093 * E5_4_99_12_mRNA)</v>
      </c>
      <c r="N323" s="72" t="str">
        <f t="shared" si="527"/>
        <v>Peptide322: E5_4_99_12_mRNA -&gt; E5_4_99_12 | (0.278 * E5_4_99_12_mRNA) - (0.000000278 * E5_4_99_12)</v>
      </c>
    </row>
    <row r="324" spans="1:14" ht="29" x14ac:dyDescent="0.35">
      <c r="A324" s="49">
        <v>323</v>
      </c>
      <c r="B324" s="49" t="s">
        <v>14831</v>
      </c>
      <c r="C324" s="49" t="str">
        <f t="shared" si="518"/>
        <v>E4_1_1_31_mRNA</v>
      </c>
      <c r="D324" s="49" t="str">
        <f t="shared" si="519"/>
        <v>E4_1_1_31</v>
      </c>
      <c r="E324" s="64" t="str">
        <f t="shared" si="520"/>
        <v>E4_1_1_31_kcat : 13.7</v>
      </c>
      <c r="F324" s="65" t="str">
        <f t="shared" si="521"/>
        <v>E4_1_1_31_km : 1</v>
      </c>
      <c r="G324" s="66" t="str">
        <f t="shared" ref="G324:H324" si="660">CONCATENATE(C324," : ",C324)</f>
        <v>E4_1_1_31_mRNA : E4_1_1_31_mRNA</v>
      </c>
      <c r="H324" s="67" t="str">
        <f t="shared" si="660"/>
        <v>E4_1_1_31 : E4_1_1_31</v>
      </c>
      <c r="I324" s="44" t="str">
        <f t="shared" ref="I324:J324" si="661">CONCATENATE(C324," : ","0")</f>
        <v>E4_1_1_31_mRNA : 0</v>
      </c>
      <c r="J324" s="68" t="str">
        <f t="shared" si="661"/>
        <v>E4_1_1_31 : 0</v>
      </c>
      <c r="K324" s="69" t="str">
        <f t="shared" si="524"/>
        <v>0.00292 - (0.0093 * E4_1_1_31_mRNA)</v>
      </c>
      <c r="L324" s="70" t="str">
        <f t="shared" si="525"/>
        <v>(0.278 * E4_1_1_31_mRNA) - (0.00000278 * E4_1_1_31)</v>
      </c>
      <c r="M324" s="71" t="str">
        <f t="shared" si="526"/>
        <v>mRNA323: -&gt; E4_1_1_31_mRNA | 0.00292 - (0.0093 * E4_1_1_31_mRNA)</v>
      </c>
      <c r="N324" s="72" t="str">
        <f t="shared" si="527"/>
        <v>Peptide323: E4_1_1_31_mRNA -&gt; E4_1_1_31 | (0.278 * E4_1_1_31_mRNA) - (0.000000278 * E4_1_1_31)</v>
      </c>
    </row>
    <row r="325" spans="1:14" ht="29" x14ac:dyDescent="0.35">
      <c r="A325" s="49">
        <v>324</v>
      </c>
      <c r="B325" s="49" t="s">
        <v>14832</v>
      </c>
      <c r="C325" s="49" t="str">
        <f t="shared" si="518"/>
        <v>E2_3_1_117_mRNA</v>
      </c>
      <c r="D325" s="49" t="str">
        <f t="shared" si="519"/>
        <v>E2_3_1_117</v>
      </c>
      <c r="E325" s="64" t="str">
        <f t="shared" si="520"/>
        <v>E2_3_1_117_kcat : 13.7</v>
      </c>
      <c r="F325" s="65" t="str">
        <f t="shared" si="521"/>
        <v>E2_3_1_117_km : 1</v>
      </c>
      <c r="G325" s="66" t="str">
        <f t="shared" ref="G325:H325" si="662">CONCATENATE(C325," : ",C325)</f>
        <v>E2_3_1_117_mRNA : E2_3_1_117_mRNA</v>
      </c>
      <c r="H325" s="67" t="str">
        <f t="shared" si="662"/>
        <v>E2_3_1_117 : E2_3_1_117</v>
      </c>
      <c r="I325" s="44" t="str">
        <f t="shared" ref="I325:J325" si="663">CONCATENATE(C325," : ","0")</f>
        <v>E2_3_1_117_mRNA : 0</v>
      </c>
      <c r="J325" s="68" t="str">
        <f t="shared" si="663"/>
        <v>E2_3_1_117 : 0</v>
      </c>
      <c r="K325" s="69" t="str">
        <f t="shared" si="524"/>
        <v>0.00292 - (0.0093 * E2_3_1_117_mRNA)</v>
      </c>
      <c r="L325" s="70" t="str">
        <f t="shared" si="525"/>
        <v>(0.278 * E2_3_1_117_mRNA) - (0.00000278 * E2_3_1_117)</v>
      </c>
      <c r="M325" s="71" t="str">
        <f t="shared" si="526"/>
        <v>mRNA324: -&gt; E2_3_1_117_mRNA | 0.00292 - (0.0093 * E2_3_1_117_mRNA)</v>
      </c>
      <c r="N325" s="72" t="str">
        <f t="shared" si="527"/>
        <v>Peptide324: E2_3_1_117_mRNA -&gt; E2_3_1_117 | (0.278 * E2_3_1_117_mRNA) - (0.000000278 * E2_3_1_117)</v>
      </c>
    </row>
    <row r="326" spans="1:14" ht="29" x14ac:dyDescent="0.35">
      <c r="A326" s="49">
        <v>325</v>
      </c>
      <c r="B326" s="49" t="s">
        <v>14833</v>
      </c>
      <c r="C326" s="49" t="str">
        <f t="shared" si="518"/>
        <v>E6_3_4_4_mRNA</v>
      </c>
      <c r="D326" s="49" t="str">
        <f t="shared" si="519"/>
        <v>E6_3_4_4</v>
      </c>
      <c r="E326" s="64" t="str">
        <f t="shared" si="520"/>
        <v>E6_3_4_4_kcat : 13.7</v>
      </c>
      <c r="F326" s="65" t="str">
        <f t="shared" si="521"/>
        <v>E6_3_4_4_km : 1</v>
      </c>
      <c r="G326" s="66" t="str">
        <f t="shared" ref="G326:H326" si="664">CONCATENATE(C326," : ",C326)</f>
        <v>E6_3_4_4_mRNA : E6_3_4_4_mRNA</v>
      </c>
      <c r="H326" s="67" t="str">
        <f t="shared" si="664"/>
        <v>E6_3_4_4 : E6_3_4_4</v>
      </c>
      <c r="I326" s="44" t="str">
        <f t="shared" ref="I326:J326" si="665">CONCATENATE(C326," : ","0")</f>
        <v>E6_3_4_4_mRNA : 0</v>
      </c>
      <c r="J326" s="68" t="str">
        <f t="shared" si="665"/>
        <v>E6_3_4_4 : 0</v>
      </c>
      <c r="K326" s="69" t="str">
        <f t="shared" si="524"/>
        <v>0.00292 - (0.0093 * E6_3_4_4_mRNA)</v>
      </c>
      <c r="L326" s="70" t="str">
        <f t="shared" si="525"/>
        <v>(0.278 * E6_3_4_4_mRNA) - (0.00000278 * E6_3_4_4)</v>
      </c>
      <c r="M326" s="71" t="str">
        <f t="shared" si="526"/>
        <v>mRNA325: -&gt; E6_3_4_4_mRNA | 0.00292 - (0.0093 * E6_3_4_4_mRNA)</v>
      </c>
      <c r="N326" s="72" t="str">
        <f t="shared" si="527"/>
        <v>Peptide325: E6_3_4_4_mRNA -&gt; E6_3_4_4 | (0.278 * E6_3_4_4_mRNA) - (0.000000278 * E6_3_4_4)</v>
      </c>
    </row>
    <row r="327" spans="1:14" ht="29" x14ac:dyDescent="0.35">
      <c r="A327" s="49">
        <v>326</v>
      </c>
      <c r="B327" s="49" t="s">
        <v>14834</v>
      </c>
      <c r="C327" s="49" t="str">
        <f t="shared" si="518"/>
        <v>E6_3_4_18_mRNA</v>
      </c>
      <c r="D327" s="49" t="str">
        <f t="shared" si="519"/>
        <v>E6_3_4_18</v>
      </c>
      <c r="E327" s="64" t="str">
        <f t="shared" si="520"/>
        <v>E6_3_4_18_kcat : 13.7</v>
      </c>
      <c r="F327" s="65" t="str">
        <f t="shared" si="521"/>
        <v>E6_3_4_18_km : 1</v>
      </c>
      <c r="G327" s="66" t="str">
        <f t="shared" ref="G327:H327" si="666">CONCATENATE(C327," : ",C327)</f>
        <v>E6_3_4_18_mRNA : E6_3_4_18_mRNA</v>
      </c>
      <c r="H327" s="67" t="str">
        <f t="shared" si="666"/>
        <v>E6_3_4_18 : E6_3_4_18</v>
      </c>
      <c r="I327" s="44" t="str">
        <f t="shared" ref="I327:J327" si="667">CONCATENATE(C327," : ","0")</f>
        <v>E6_3_4_18_mRNA : 0</v>
      </c>
      <c r="J327" s="68" t="str">
        <f t="shared" si="667"/>
        <v>E6_3_4_18 : 0</v>
      </c>
      <c r="K327" s="69" t="str">
        <f t="shared" si="524"/>
        <v>0.00292 - (0.0093 * E6_3_4_18_mRNA)</v>
      </c>
      <c r="L327" s="70" t="str">
        <f t="shared" si="525"/>
        <v>(0.278 * E6_3_4_18_mRNA) - (0.00000278 * E6_3_4_18)</v>
      </c>
      <c r="M327" s="71" t="str">
        <f t="shared" si="526"/>
        <v>mRNA326: -&gt; E6_3_4_18_mRNA | 0.00292 - (0.0093 * E6_3_4_18_mRNA)</v>
      </c>
      <c r="N327" s="72" t="str">
        <f t="shared" si="527"/>
        <v>Peptide326: E6_3_4_18_mRNA -&gt; E6_3_4_18 | (0.278 * E6_3_4_18_mRNA) - (0.000000278 * E6_3_4_18)</v>
      </c>
    </row>
    <row r="328" spans="1:14" ht="29" x14ac:dyDescent="0.35">
      <c r="A328" s="49">
        <v>327</v>
      </c>
      <c r="B328" s="49" t="s">
        <v>14835</v>
      </c>
      <c r="C328" s="49" t="str">
        <f t="shared" si="518"/>
        <v>E4_1_1_21_mRNA</v>
      </c>
      <c r="D328" s="49" t="str">
        <f t="shared" si="519"/>
        <v>E4_1_1_21</v>
      </c>
      <c r="E328" s="64" t="str">
        <f t="shared" si="520"/>
        <v>E4_1_1_21_kcat : 13.7</v>
      </c>
      <c r="F328" s="65" t="str">
        <f t="shared" si="521"/>
        <v>E4_1_1_21_km : 1</v>
      </c>
      <c r="G328" s="66" t="str">
        <f t="shared" ref="G328:H328" si="668">CONCATENATE(C328," : ",C328)</f>
        <v>E4_1_1_21_mRNA : E4_1_1_21_mRNA</v>
      </c>
      <c r="H328" s="67" t="str">
        <f t="shared" si="668"/>
        <v>E4_1_1_21 : E4_1_1_21</v>
      </c>
      <c r="I328" s="44" t="str">
        <f t="shared" ref="I328:J328" si="669">CONCATENATE(C328," : ","0")</f>
        <v>E4_1_1_21_mRNA : 0</v>
      </c>
      <c r="J328" s="68" t="str">
        <f t="shared" si="669"/>
        <v>E4_1_1_21 : 0</v>
      </c>
      <c r="K328" s="69" t="str">
        <f t="shared" si="524"/>
        <v>0.00292 - (0.0093 * E4_1_1_21_mRNA)</v>
      </c>
      <c r="L328" s="70" t="str">
        <f t="shared" si="525"/>
        <v>(0.278 * E4_1_1_21_mRNA) - (0.00000278 * E4_1_1_21)</v>
      </c>
      <c r="M328" s="71" t="str">
        <f t="shared" si="526"/>
        <v>mRNA327: -&gt; E4_1_1_21_mRNA | 0.00292 - (0.0093 * E4_1_1_21_mRNA)</v>
      </c>
      <c r="N328" s="72" t="str">
        <f t="shared" si="527"/>
        <v>Peptide327: E4_1_1_21_mRNA -&gt; E4_1_1_21 | (0.278 * E4_1_1_21_mRNA) - (0.000000278 * E4_1_1_21)</v>
      </c>
    </row>
    <row r="329" spans="1:14" ht="29" x14ac:dyDescent="0.35">
      <c r="A329" s="49">
        <v>328</v>
      </c>
      <c r="B329" s="49" t="s">
        <v>14836</v>
      </c>
      <c r="C329" s="49" t="str">
        <f t="shared" si="518"/>
        <v>E5_4_99_18_mRNA</v>
      </c>
      <c r="D329" s="49" t="str">
        <f t="shared" si="519"/>
        <v>E5_4_99_18</v>
      </c>
      <c r="E329" s="64" t="str">
        <f t="shared" si="520"/>
        <v>E5_4_99_18_kcat : 13.7</v>
      </c>
      <c r="F329" s="65" t="str">
        <f t="shared" si="521"/>
        <v>E5_4_99_18_km : 1</v>
      </c>
      <c r="G329" s="66" t="str">
        <f t="shared" ref="G329:H329" si="670">CONCATENATE(C329," : ",C329)</f>
        <v>E5_4_99_18_mRNA : E5_4_99_18_mRNA</v>
      </c>
      <c r="H329" s="67" t="str">
        <f t="shared" si="670"/>
        <v>E5_4_99_18 : E5_4_99_18</v>
      </c>
      <c r="I329" s="44" t="str">
        <f t="shared" ref="I329:J329" si="671">CONCATENATE(C329," : ","0")</f>
        <v>E5_4_99_18_mRNA : 0</v>
      </c>
      <c r="J329" s="68" t="str">
        <f t="shared" si="671"/>
        <v>E5_4_99_18 : 0</v>
      </c>
      <c r="K329" s="69" t="str">
        <f t="shared" si="524"/>
        <v>0.00292 - (0.0093 * E5_4_99_18_mRNA)</v>
      </c>
      <c r="L329" s="70" t="str">
        <f t="shared" si="525"/>
        <v>(0.278 * E5_4_99_18_mRNA) - (0.00000278 * E5_4_99_18)</v>
      </c>
      <c r="M329" s="71" t="str">
        <f t="shared" si="526"/>
        <v>mRNA328: -&gt; E5_4_99_18_mRNA | 0.00292 - (0.0093 * E5_4_99_18_mRNA)</v>
      </c>
      <c r="N329" s="72" t="str">
        <f t="shared" si="527"/>
        <v>Peptide328: E5_4_99_18_mRNA -&gt; E5_4_99_18 | (0.278 * E5_4_99_18_mRNA) - (0.000000278 * E5_4_99_18)</v>
      </c>
    </row>
    <row r="330" spans="1:14" ht="29" x14ac:dyDescent="0.35">
      <c r="A330" s="49">
        <v>329</v>
      </c>
      <c r="B330" s="49" t="s">
        <v>14989</v>
      </c>
      <c r="C330" s="49" t="str">
        <f t="shared" si="518"/>
        <v>E3_4_11_2_mRNA</v>
      </c>
      <c r="D330" s="49" t="str">
        <f t="shared" si="519"/>
        <v>E3_4_11_2</v>
      </c>
      <c r="E330" s="64" t="str">
        <f t="shared" si="520"/>
        <v>E3_4_11_2_kcat : 13.7</v>
      </c>
      <c r="F330" s="65" t="str">
        <f t="shared" si="521"/>
        <v>E3_4_11_2_km : 1</v>
      </c>
      <c r="G330" s="66" t="str">
        <f t="shared" ref="G330:H330" si="672">CONCATENATE(C330," : ",C330)</f>
        <v>E3_4_11_2_mRNA : E3_4_11_2_mRNA</v>
      </c>
      <c r="H330" s="67" t="str">
        <f t="shared" si="672"/>
        <v>E3_4_11_2 : E3_4_11_2</v>
      </c>
      <c r="I330" s="44" t="str">
        <f t="shared" ref="I330:J330" si="673">CONCATENATE(C330," : ","0")</f>
        <v>E3_4_11_2_mRNA : 0</v>
      </c>
      <c r="J330" s="68" t="str">
        <f t="shared" si="673"/>
        <v>E3_4_11_2 : 0</v>
      </c>
      <c r="K330" s="69" t="str">
        <f t="shared" si="524"/>
        <v>0.00292 - (0.0093 * E3_4_11_2_mRNA)</v>
      </c>
      <c r="L330" s="70" t="str">
        <f t="shared" si="525"/>
        <v>(0.278 * E3_4_11_2_mRNA) - (0.00000278 * E3_4_11_2)</v>
      </c>
      <c r="M330" s="71" t="str">
        <f t="shared" si="526"/>
        <v>mRNA329: -&gt; E3_4_11_2_mRNA | 0.00292 - (0.0093 * E3_4_11_2_mRNA)</v>
      </c>
      <c r="N330" s="72" t="str">
        <f t="shared" si="527"/>
        <v>Peptide329: E3_4_11_2_mRNA -&gt; E3_4_11_2 | (0.278 * E3_4_11_2_mRNA) - (0.000000278 * E3_4_11_2)</v>
      </c>
    </row>
    <row r="331" spans="1:14" ht="29" x14ac:dyDescent="0.35">
      <c r="A331" s="49">
        <v>330</v>
      </c>
      <c r="B331" s="49" t="s">
        <v>14837</v>
      </c>
      <c r="C331" s="49" t="str">
        <f t="shared" si="518"/>
        <v>E2_5_1_9_mRNA</v>
      </c>
      <c r="D331" s="49" t="str">
        <f t="shared" si="519"/>
        <v>E2_5_1_9</v>
      </c>
      <c r="E331" s="64" t="str">
        <f t="shared" si="520"/>
        <v>E2_5_1_9_kcat : 13.7</v>
      </c>
      <c r="F331" s="65" t="str">
        <f t="shared" si="521"/>
        <v>E2_5_1_9_km : 1</v>
      </c>
      <c r="G331" s="66" t="str">
        <f t="shared" ref="G331:H331" si="674">CONCATENATE(C331," : ",C331)</f>
        <v>E2_5_1_9_mRNA : E2_5_1_9_mRNA</v>
      </c>
      <c r="H331" s="67" t="str">
        <f t="shared" si="674"/>
        <v>E2_5_1_9 : E2_5_1_9</v>
      </c>
      <c r="I331" s="44" t="str">
        <f t="shared" ref="I331:J331" si="675">CONCATENATE(C331," : ","0")</f>
        <v>E2_5_1_9_mRNA : 0</v>
      </c>
      <c r="J331" s="68" t="str">
        <f t="shared" si="675"/>
        <v>E2_5_1_9 : 0</v>
      </c>
      <c r="K331" s="69" t="str">
        <f t="shared" si="524"/>
        <v>0.00292 - (0.0093 * E2_5_1_9_mRNA)</v>
      </c>
      <c r="L331" s="70" t="str">
        <f t="shared" si="525"/>
        <v>(0.278 * E2_5_1_9_mRNA) - (0.00000278 * E2_5_1_9)</v>
      </c>
      <c r="M331" s="71" t="str">
        <f t="shared" si="526"/>
        <v>mRNA330: -&gt; E2_5_1_9_mRNA | 0.00292 - (0.0093 * E2_5_1_9_mRNA)</v>
      </c>
      <c r="N331" s="72" t="str">
        <f t="shared" si="527"/>
        <v>Peptide330: E2_5_1_9_mRNA -&gt; E2_5_1_9 | (0.278 * E2_5_1_9_mRNA) - (0.000000278 * E2_5_1_9)</v>
      </c>
    </row>
    <row r="332" spans="1:14" ht="29" x14ac:dyDescent="0.35">
      <c r="A332" s="49">
        <v>331</v>
      </c>
      <c r="B332" s="49" t="s">
        <v>14838</v>
      </c>
      <c r="C332" s="49" t="str">
        <f t="shared" si="518"/>
        <v>E6_1_1_1_mRNA</v>
      </c>
      <c r="D332" s="49" t="str">
        <f t="shared" si="519"/>
        <v>E6_1_1_1</v>
      </c>
      <c r="E332" s="64" t="str">
        <f t="shared" si="520"/>
        <v>E6_1_1_1_kcat : 13.7</v>
      </c>
      <c r="F332" s="65" t="str">
        <f t="shared" si="521"/>
        <v>E6_1_1_1_km : 1</v>
      </c>
      <c r="G332" s="66" t="str">
        <f t="shared" ref="G332:H332" si="676">CONCATENATE(C332," : ",C332)</f>
        <v>E6_1_1_1_mRNA : E6_1_1_1_mRNA</v>
      </c>
      <c r="H332" s="67" t="str">
        <f t="shared" si="676"/>
        <v>E6_1_1_1 : E6_1_1_1</v>
      </c>
      <c r="I332" s="44" t="str">
        <f t="shared" ref="I332:J332" si="677">CONCATENATE(C332," : ","0")</f>
        <v>E6_1_1_1_mRNA : 0</v>
      </c>
      <c r="J332" s="68" t="str">
        <f t="shared" si="677"/>
        <v>E6_1_1_1 : 0</v>
      </c>
      <c r="K332" s="69" t="str">
        <f t="shared" si="524"/>
        <v>0.00292 - (0.0093 * E6_1_1_1_mRNA)</v>
      </c>
      <c r="L332" s="70" t="str">
        <f t="shared" si="525"/>
        <v>(0.278 * E6_1_1_1_mRNA) - (0.00000278 * E6_1_1_1)</v>
      </c>
      <c r="M332" s="71" t="str">
        <f t="shared" si="526"/>
        <v>mRNA331: -&gt; E6_1_1_1_mRNA | 0.00292 - (0.0093 * E6_1_1_1_mRNA)</v>
      </c>
      <c r="N332" s="72" t="str">
        <f t="shared" si="527"/>
        <v>Peptide331: E6_1_1_1_mRNA -&gt; E6_1_1_1 | (0.278 * E6_1_1_1_mRNA) - (0.000000278 * E6_1_1_1)</v>
      </c>
    </row>
    <row r="333" spans="1:14" ht="29" x14ac:dyDescent="0.35">
      <c r="A333" s="49">
        <v>332</v>
      </c>
      <c r="B333" s="49" t="s">
        <v>14839</v>
      </c>
      <c r="C333" s="49" t="str">
        <f t="shared" si="518"/>
        <v>E2_7_1_148_mRNA</v>
      </c>
      <c r="D333" s="49" t="str">
        <f t="shared" si="519"/>
        <v>E2_7_1_148</v>
      </c>
      <c r="E333" s="64" t="str">
        <f t="shared" si="520"/>
        <v>E2_7_1_148_kcat : 13.7</v>
      </c>
      <c r="F333" s="65" t="str">
        <f t="shared" si="521"/>
        <v>E2_7_1_148_km : 1</v>
      </c>
      <c r="G333" s="66" t="str">
        <f t="shared" ref="G333:H333" si="678">CONCATENATE(C333," : ",C333)</f>
        <v>E2_7_1_148_mRNA : E2_7_1_148_mRNA</v>
      </c>
      <c r="H333" s="67" t="str">
        <f t="shared" si="678"/>
        <v>E2_7_1_148 : E2_7_1_148</v>
      </c>
      <c r="I333" s="44" t="str">
        <f t="shared" ref="I333:J333" si="679">CONCATENATE(C333," : ","0")</f>
        <v>E2_7_1_148_mRNA : 0</v>
      </c>
      <c r="J333" s="68" t="str">
        <f t="shared" si="679"/>
        <v>E2_7_1_148 : 0</v>
      </c>
      <c r="K333" s="69" t="str">
        <f t="shared" si="524"/>
        <v>0.00292 - (0.0093 * E2_7_1_148_mRNA)</v>
      </c>
      <c r="L333" s="70" t="str">
        <f t="shared" si="525"/>
        <v>(0.278 * E2_7_1_148_mRNA) - (0.00000278 * E2_7_1_148)</v>
      </c>
      <c r="M333" s="71" t="str">
        <f t="shared" si="526"/>
        <v>mRNA332: -&gt; E2_7_1_148_mRNA | 0.00292 - (0.0093 * E2_7_1_148_mRNA)</v>
      </c>
      <c r="N333" s="72" t="str">
        <f t="shared" si="527"/>
        <v>Peptide332: E2_7_1_148_mRNA -&gt; E2_7_1_148 | (0.278 * E2_7_1_148_mRNA) - (0.000000278 * E2_7_1_148)</v>
      </c>
    </row>
    <row r="334" spans="1:14" ht="29" x14ac:dyDescent="0.35">
      <c r="A334" s="49">
        <v>333</v>
      </c>
      <c r="B334" s="49" t="s">
        <v>14840</v>
      </c>
      <c r="C334" s="49" t="str">
        <f t="shared" si="518"/>
        <v>E2_7_7_72_mRNA</v>
      </c>
      <c r="D334" s="49" t="str">
        <f t="shared" si="519"/>
        <v>E2_7_7_72</v>
      </c>
      <c r="E334" s="64" t="str">
        <f t="shared" si="520"/>
        <v>E2_7_7_72_kcat : 13.7</v>
      </c>
      <c r="F334" s="65" t="str">
        <f t="shared" si="521"/>
        <v>E2_7_7_72_km : 1</v>
      </c>
      <c r="G334" s="66" t="str">
        <f t="shared" ref="G334:H334" si="680">CONCATENATE(C334," : ",C334)</f>
        <v>E2_7_7_72_mRNA : E2_7_7_72_mRNA</v>
      </c>
      <c r="H334" s="67" t="str">
        <f t="shared" si="680"/>
        <v>E2_7_7_72 : E2_7_7_72</v>
      </c>
      <c r="I334" s="44" t="str">
        <f t="shared" ref="I334:J334" si="681">CONCATENATE(C334," : ","0")</f>
        <v>E2_7_7_72_mRNA : 0</v>
      </c>
      <c r="J334" s="68" t="str">
        <f t="shared" si="681"/>
        <v>E2_7_7_72 : 0</v>
      </c>
      <c r="K334" s="69" t="str">
        <f t="shared" si="524"/>
        <v>0.00292 - (0.0093 * E2_7_7_72_mRNA)</v>
      </c>
      <c r="L334" s="70" t="str">
        <f t="shared" si="525"/>
        <v>(0.278 * E2_7_7_72_mRNA) - (0.00000278 * E2_7_7_72)</v>
      </c>
      <c r="M334" s="71" t="str">
        <f t="shared" si="526"/>
        <v>mRNA333: -&gt; E2_7_7_72_mRNA | 0.00292 - (0.0093 * E2_7_7_72_mRNA)</v>
      </c>
      <c r="N334" s="72" t="str">
        <f t="shared" si="527"/>
        <v>Peptide333: E2_7_7_72_mRNA -&gt; E2_7_7_72 | (0.278 * E2_7_7_72_mRNA) - (0.000000278 * E2_7_7_72)</v>
      </c>
    </row>
    <row r="335" spans="1:14" ht="29" x14ac:dyDescent="0.35">
      <c r="A335" s="49">
        <v>334</v>
      </c>
      <c r="B335" s="49" t="s">
        <v>14841</v>
      </c>
      <c r="C335" s="49" t="str">
        <f t="shared" si="518"/>
        <v>E2_5_1_19_mRNA</v>
      </c>
      <c r="D335" s="49" t="str">
        <f t="shared" si="519"/>
        <v>E2_5_1_19</v>
      </c>
      <c r="E335" s="64" t="str">
        <f t="shared" si="520"/>
        <v>E2_5_1_19_kcat : 13.7</v>
      </c>
      <c r="F335" s="65" t="str">
        <f t="shared" si="521"/>
        <v>E2_5_1_19_km : 1</v>
      </c>
      <c r="G335" s="66" t="str">
        <f t="shared" ref="G335:H335" si="682">CONCATENATE(C335," : ",C335)</f>
        <v>E2_5_1_19_mRNA : E2_5_1_19_mRNA</v>
      </c>
      <c r="H335" s="67" t="str">
        <f t="shared" si="682"/>
        <v>E2_5_1_19 : E2_5_1_19</v>
      </c>
      <c r="I335" s="44" t="str">
        <f t="shared" ref="I335:J335" si="683">CONCATENATE(C335," : ","0")</f>
        <v>E2_5_1_19_mRNA : 0</v>
      </c>
      <c r="J335" s="68" t="str">
        <f t="shared" si="683"/>
        <v>E2_5_1_19 : 0</v>
      </c>
      <c r="K335" s="69" t="str">
        <f t="shared" si="524"/>
        <v>0.00292 - (0.0093 * E2_5_1_19_mRNA)</v>
      </c>
      <c r="L335" s="70" t="str">
        <f t="shared" si="525"/>
        <v>(0.278 * E2_5_1_19_mRNA) - (0.00000278 * E2_5_1_19)</v>
      </c>
      <c r="M335" s="71" t="str">
        <f t="shared" si="526"/>
        <v>mRNA334: -&gt; E2_5_1_19_mRNA | 0.00292 - (0.0093 * E2_5_1_19_mRNA)</v>
      </c>
      <c r="N335" s="72" t="str">
        <f t="shared" si="527"/>
        <v>Peptide334: E2_5_1_19_mRNA -&gt; E2_5_1_19 | (0.278 * E2_5_1_19_mRNA) - (0.000000278 * E2_5_1_19)</v>
      </c>
    </row>
    <row r="336" spans="1:14" ht="29" x14ac:dyDescent="0.35">
      <c r="A336" s="49">
        <v>335</v>
      </c>
      <c r="B336" s="49" t="s">
        <v>14842</v>
      </c>
      <c r="C336" s="49" t="str">
        <f t="shared" si="518"/>
        <v>E3_5_1_10_mRNA</v>
      </c>
      <c r="D336" s="49" t="str">
        <f t="shared" si="519"/>
        <v>E3_5_1_10</v>
      </c>
      <c r="E336" s="64" t="str">
        <f t="shared" si="520"/>
        <v>E3_5_1_10_kcat : 13.7</v>
      </c>
      <c r="F336" s="65" t="str">
        <f t="shared" si="521"/>
        <v>E3_5_1_10_km : 1</v>
      </c>
      <c r="G336" s="66" t="str">
        <f t="shared" ref="G336:H336" si="684">CONCATENATE(C336," : ",C336)</f>
        <v>E3_5_1_10_mRNA : E3_5_1_10_mRNA</v>
      </c>
      <c r="H336" s="67" t="str">
        <f t="shared" si="684"/>
        <v>E3_5_1_10 : E3_5_1_10</v>
      </c>
      <c r="I336" s="44" t="str">
        <f t="shared" ref="I336:J336" si="685">CONCATENATE(C336," : ","0")</f>
        <v>E3_5_1_10_mRNA : 0</v>
      </c>
      <c r="J336" s="68" t="str">
        <f t="shared" si="685"/>
        <v>E3_5_1_10 : 0</v>
      </c>
      <c r="K336" s="69" t="str">
        <f t="shared" si="524"/>
        <v>0.00292 - (0.0093 * E3_5_1_10_mRNA)</v>
      </c>
      <c r="L336" s="70" t="str">
        <f t="shared" si="525"/>
        <v>(0.278 * E3_5_1_10_mRNA) - (0.00000278 * E3_5_1_10)</v>
      </c>
      <c r="M336" s="71" t="str">
        <f t="shared" si="526"/>
        <v>mRNA335: -&gt; E3_5_1_10_mRNA | 0.00292 - (0.0093 * E3_5_1_10_mRNA)</v>
      </c>
      <c r="N336" s="72" t="str">
        <f t="shared" si="527"/>
        <v>Peptide335: E3_5_1_10_mRNA -&gt; E3_5_1_10 | (0.278 * E3_5_1_10_mRNA) - (0.000000278 * E3_5_1_10)</v>
      </c>
    </row>
    <row r="337" spans="1:14" ht="29" x14ac:dyDescent="0.35">
      <c r="A337" s="49">
        <v>336</v>
      </c>
      <c r="B337" s="49" t="s">
        <v>14843</v>
      </c>
      <c r="C337" s="49" t="str">
        <f t="shared" si="518"/>
        <v>E2_2_1_6_mRNA</v>
      </c>
      <c r="D337" s="49" t="str">
        <f t="shared" si="519"/>
        <v>E2_2_1_6</v>
      </c>
      <c r="E337" s="64" t="str">
        <f t="shared" si="520"/>
        <v>E2_2_1_6_kcat : 13.7</v>
      </c>
      <c r="F337" s="65" t="str">
        <f t="shared" si="521"/>
        <v>E2_2_1_6_km : 1</v>
      </c>
      <c r="G337" s="66" t="str">
        <f t="shared" ref="G337:H337" si="686">CONCATENATE(C337," : ",C337)</f>
        <v>E2_2_1_6_mRNA : E2_2_1_6_mRNA</v>
      </c>
      <c r="H337" s="67" t="str">
        <f t="shared" si="686"/>
        <v>E2_2_1_6 : E2_2_1_6</v>
      </c>
      <c r="I337" s="44" t="str">
        <f t="shared" ref="I337:J337" si="687">CONCATENATE(C337," : ","0")</f>
        <v>E2_2_1_6_mRNA : 0</v>
      </c>
      <c r="J337" s="68" t="str">
        <f t="shared" si="687"/>
        <v>E2_2_1_6 : 0</v>
      </c>
      <c r="K337" s="69" t="str">
        <f t="shared" si="524"/>
        <v>0.00292 - (0.0093 * E2_2_1_6_mRNA)</v>
      </c>
      <c r="L337" s="70" t="str">
        <f t="shared" si="525"/>
        <v>(0.278 * E2_2_1_6_mRNA) - (0.00000278 * E2_2_1_6)</v>
      </c>
      <c r="M337" s="71" t="str">
        <f t="shared" si="526"/>
        <v>mRNA336: -&gt; E2_2_1_6_mRNA | 0.00292 - (0.0093 * E2_2_1_6_mRNA)</v>
      </c>
      <c r="N337" s="72" t="str">
        <f t="shared" si="527"/>
        <v>Peptide336: E2_2_1_6_mRNA -&gt; E2_2_1_6 | (0.278 * E2_2_1_6_mRNA) - (0.000000278 * E2_2_1_6)</v>
      </c>
    </row>
    <row r="338" spans="1:14" ht="29" x14ac:dyDescent="0.35">
      <c r="A338" s="49">
        <v>337</v>
      </c>
      <c r="B338" s="49" t="s">
        <v>14844</v>
      </c>
      <c r="C338" s="49" t="str">
        <f t="shared" si="518"/>
        <v>E6_1_1_19_mRNA</v>
      </c>
      <c r="D338" s="49" t="str">
        <f t="shared" si="519"/>
        <v>E6_1_1_19</v>
      </c>
      <c r="E338" s="64" t="str">
        <f t="shared" si="520"/>
        <v>E6_1_1_19_kcat : 13.7</v>
      </c>
      <c r="F338" s="65" t="str">
        <f t="shared" si="521"/>
        <v>E6_1_1_19_km : 1</v>
      </c>
      <c r="G338" s="66" t="str">
        <f t="shared" ref="G338:H338" si="688">CONCATENATE(C338," : ",C338)</f>
        <v>E6_1_1_19_mRNA : E6_1_1_19_mRNA</v>
      </c>
      <c r="H338" s="67" t="str">
        <f t="shared" si="688"/>
        <v>E6_1_1_19 : E6_1_1_19</v>
      </c>
      <c r="I338" s="44" t="str">
        <f t="shared" ref="I338:J338" si="689">CONCATENATE(C338," : ","0")</f>
        <v>E6_1_1_19_mRNA : 0</v>
      </c>
      <c r="J338" s="68" t="str">
        <f t="shared" si="689"/>
        <v>E6_1_1_19 : 0</v>
      </c>
      <c r="K338" s="69" t="str">
        <f t="shared" si="524"/>
        <v>0.00292 - (0.0093 * E6_1_1_19_mRNA)</v>
      </c>
      <c r="L338" s="70" t="str">
        <f t="shared" si="525"/>
        <v>(0.278 * E6_1_1_19_mRNA) - (0.00000278 * E6_1_1_19)</v>
      </c>
      <c r="M338" s="71" t="str">
        <f t="shared" si="526"/>
        <v>mRNA337: -&gt; E6_1_1_19_mRNA | 0.00292 - (0.0093 * E6_1_1_19_mRNA)</v>
      </c>
      <c r="N338" s="72" t="str">
        <f t="shared" si="527"/>
        <v>Peptide337: E6_1_1_19_mRNA -&gt; E6_1_1_19 | (0.278 * E6_1_1_19_mRNA) - (0.000000278 * E6_1_1_19)</v>
      </c>
    </row>
    <row r="339" spans="1:14" ht="29" x14ac:dyDescent="0.35">
      <c r="A339" s="49">
        <v>338</v>
      </c>
      <c r="B339" s="49" t="s">
        <v>14845</v>
      </c>
      <c r="C339" s="49" t="str">
        <f t="shared" si="518"/>
        <v>E5_3_1_9_mRNA</v>
      </c>
      <c r="D339" s="49" t="str">
        <f t="shared" si="519"/>
        <v>E5_3_1_9</v>
      </c>
      <c r="E339" s="64" t="str">
        <f t="shared" si="520"/>
        <v>E5_3_1_9_kcat : 13.7</v>
      </c>
      <c r="F339" s="65" t="str">
        <f t="shared" si="521"/>
        <v>E5_3_1_9_km : 1</v>
      </c>
      <c r="G339" s="66" t="str">
        <f t="shared" ref="G339:H339" si="690">CONCATENATE(C339," : ",C339)</f>
        <v>E5_3_1_9_mRNA : E5_3_1_9_mRNA</v>
      </c>
      <c r="H339" s="67" t="str">
        <f t="shared" si="690"/>
        <v>E5_3_1_9 : E5_3_1_9</v>
      </c>
      <c r="I339" s="44" t="str">
        <f t="shared" ref="I339:J339" si="691">CONCATENATE(C339," : ","0")</f>
        <v>E5_3_1_9_mRNA : 0</v>
      </c>
      <c r="J339" s="68" t="str">
        <f t="shared" si="691"/>
        <v>E5_3_1_9 : 0</v>
      </c>
      <c r="K339" s="69" t="str">
        <f t="shared" si="524"/>
        <v>0.00292 - (0.0093 * E5_3_1_9_mRNA)</v>
      </c>
      <c r="L339" s="70" t="str">
        <f t="shared" si="525"/>
        <v>(0.278 * E5_3_1_9_mRNA) - (0.00000278 * E5_3_1_9)</v>
      </c>
      <c r="M339" s="71" t="str">
        <f t="shared" si="526"/>
        <v>mRNA338: -&gt; E5_3_1_9_mRNA | 0.00292 - (0.0093 * E5_3_1_9_mRNA)</v>
      </c>
      <c r="N339" s="72" t="str">
        <f t="shared" si="527"/>
        <v>Peptide338: E5_3_1_9_mRNA -&gt; E5_3_1_9 | (0.278 * E5_3_1_9_mRNA) - (0.000000278 * E5_3_1_9)</v>
      </c>
    </row>
    <row r="340" spans="1:14" ht="29" x14ac:dyDescent="0.35">
      <c r="A340" s="49">
        <v>339</v>
      </c>
      <c r="B340" s="49" t="s">
        <v>14846</v>
      </c>
      <c r="C340" s="49" t="str">
        <f t="shared" si="518"/>
        <v>E5_1_1_1_mRNA</v>
      </c>
      <c r="D340" s="49" t="str">
        <f t="shared" si="519"/>
        <v>E5_1_1_1</v>
      </c>
      <c r="E340" s="64" t="str">
        <f t="shared" si="520"/>
        <v>E5_1_1_1_kcat : 13.7</v>
      </c>
      <c r="F340" s="65" t="str">
        <f t="shared" si="521"/>
        <v>E5_1_1_1_km : 1</v>
      </c>
      <c r="G340" s="66" t="str">
        <f t="shared" ref="G340:H340" si="692">CONCATENATE(C340," : ",C340)</f>
        <v>E5_1_1_1_mRNA : E5_1_1_1_mRNA</v>
      </c>
      <c r="H340" s="67" t="str">
        <f t="shared" si="692"/>
        <v>E5_1_1_1 : E5_1_1_1</v>
      </c>
      <c r="I340" s="44" t="str">
        <f t="shared" ref="I340:J340" si="693">CONCATENATE(C340," : ","0")</f>
        <v>E5_1_1_1_mRNA : 0</v>
      </c>
      <c r="J340" s="68" t="str">
        <f t="shared" si="693"/>
        <v>E5_1_1_1 : 0</v>
      </c>
      <c r="K340" s="69" t="str">
        <f t="shared" si="524"/>
        <v>0.00292 - (0.0093 * E5_1_1_1_mRNA)</v>
      </c>
      <c r="L340" s="70" t="str">
        <f t="shared" si="525"/>
        <v>(0.278 * E5_1_1_1_mRNA) - (0.00000278 * E5_1_1_1)</v>
      </c>
      <c r="M340" s="71" t="str">
        <f t="shared" si="526"/>
        <v>mRNA339: -&gt; E5_1_1_1_mRNA | 0.00292 - (0.0093 * E5_1_1_1_mRNA)</v>
      </c>
      <c r="N340" s="72" t="str">
        <f t="shared" si="527"/>
        <v>Peptide339: E5_1_1_1_mRNA -&gt; E5_1_1_1 | (0.278 * E5_1_1_1_mRNA) - (0.000000278 * E5_1_1_1)</v>
      </c>
    </row>
    <row r="341" spans="1:14" ht="29" x14ac:dyDescent="0.35">
      <c r="A341" s="49">
        <v>340</v>
      </c>
      <c r="B341" s="49" t="s">
        <v>14847</v>
      </c>
      <c r="C341" s="49" t="str">
        <f t="shared" si="518"/>
        <v>E2_7_1_40_mRNA</v>
      </c>
      <c r="D341" s="49" t="str">
        <f t="shared" si="519"/>
        <v>E2_7_1_40</v>
      </c>
      <c r="E341" s="64" t="str">
        <f t="shared" si="520"/>
        <v>E2_7_1_40_kcat : 13.7</v>
      </c>
      <c r="F341" s="65" t="str">
        <f t="shared" si="521"/>
        <v>E2_7_1_40_km : 1</v>
      </c>
      <c r="G341" s="66" t="str">
        <f t="shared" ref="G341:H341" si="694">CONCATENATE(C341," : ",C341)</f>
        <v>E2_7_1_40_mRNA : E2_7_1_40_mRNA</v>
      </c>
      <c r="H341" s="67" t="str">
        <f t="shared" si="694"/>
        <v>E2_7_1_40 : E2_7_1_40</v>
      </c>
      <c r="I341" s="44" t="str">
        <f t="shared" ref="I341:J341" si="695">CONCATENATE(C341," : ","0")</f>
        <v>E2_7_1_40_mRNA : 0</v>
      </c>
      <c r="J341" s="68" t="str">
        <f t="shared" si="695"/>
        <v>E2_7_1_40 : 0</v>
      </c>
      <c r="K341" s="69" t="str">
        <f t="shared" si="524"/>
        <v>0.00292 - (0.0093 * E2_7_1_40_mRNA)</v>
      </c>
      <c r="L341" s="70" t="str">
        <f t="shared" si="525"/>
        <v>(0.278 * E2_7_1_40_mRNA) - (0.00000278 * E2_7_1_40)</v>
      </c>
      <c r="M341" s="71" t="str">
        <f t="shared" si="526"/>
        <v>mRNA340: -&gt; E2_7_1_40_mRNA | 0.00292 - (0.0093 * E2_7_1_40_mRNA)</v>
      </c>
      <c r="N341" s="72" t="str">
        <f t="shared" si="527"/>
        <v>Peptide340: E2_7_1_40_mRNA -&gt; E2_7_1_40 | (0.278 * E2_7_1_40_mRNA) - (0.000000278 * E2_7_1_40)</v>
      </c>
    </row>
    <row r="342" spans="1:14" ht="29" x14ac:dyDescent="0.35">
      <c r="A342" s="49">
        <v>341</v>
      </c>
      <c r="B342" s="49" t="s">
        <v>14848</v>
      </c>
      <c r="C342" s="49" t="str">
        <f t="shared" si="518"/>
        <v>E2_5_1_55_mRNA</v>
      </c>
      <c r="D342" s="49" t="str">
        <f t="shared" si="519"/>
        <v>E2_5_1_55</v>
      </c>
      <c r="E342" s="64" t="str">
        <f t="shared" si="520"/>
        <v>E2_5_1_55_kcat : 13.7</v>
      </c>
      <c r="F342" s="65" t="str">
        <f t="shared" si="521"/>
        <v>E2_5_1_55_km : 1</v>
      </c>
      <c r="G342" s="66" t="str">
        <f t="shared" ref="G342:H342" si="696">CONCATENATE(C342," : ",C342)</f>
        <v>E2_5_1_55_mRNA : E2_5_1_55_mRNA</v>
      </c>
      <c r="H342" s="67" t="str">
        <f t="shared" si="696"/>
        <v>E2_5_1_55 : E2_5_1_55</v>
      </c>
      <c r="I342" s="44" t="str">
        <f t="shared" ref="I342:J342" si="697">CONCATENATE(C342," : ","0")</f>
        <v>E2_5_1_55_mRNA : 0</v>
      </c>
      <c r="J342" s="68" t="str">
        <f t="shared" si="697"/>
        <v>E2_5_1_55 : 0</v>
      </c>
      <c r="K342" s="69" t="str">
        <f t="shared" si="524"/>
        <v>0.00292 - (0.0093 * E2_5_1_55_mRNA)</v>
      </c>
      <c r="L342" s="70" t="str">
        <f t="shared" si="525"/>
        <v>(0.278 * E2_5_1_55_mRNA) - (0.00000278 * E2_5_1_55)</v>
      </c>
      <c r="M342" s="71" t="str">
        <f t="shared" si="526"/>
        <v>mRNA341: -&gt; E2_5_1_55_mRNA | 0.00292 - (0.0093 * E2_5_1_55_mRNA)</v>
      </c>
      <c r="N342" s="72" t="str">
        <f t="shared" si="527"/>
        <v>Peptide341: E2_5_1_55_mRNA -&gt; E2_5_1_55 | (0.278 * E2_5_1_55_mRNA) - (0.000000278 * E2_5_1_55)</v>
      </c>
    </row>
    <row r="343" spans="1:14" ht="29" x14ac:dyDescent="0.35">
      <c r="A343" s="49">
        <v>342</v>
      </c>
      <c r="B343" s="49" t="s">
        <v>14849</v>
      </c>
      <c r="C343" s="49" t="str">
        <f t="shared" si="518"/>
        <v>E2_6_1_62_mRNA</v>
      </c>
      <c r="D343" s="49" t="str">
        <f t="shared" si="519"/>
        <v>E2_6_1_62</v>
      </c>
      <c r="E343" s="64" t="str">
        <f t="shared" si="520"/>
        <v>E2_6_1_62_kcat : 13.7</v>
      </c>
      <c r="F343" s="65" t="str">
        <f t="shared" si="521"/>
        <v>E2_6_1_62_km : 1</v>
      </c>
      <c r="G343" s="66" t="str">
        <f t="shared" ref="G343:H343" si="698">CONCATENATE(C343," : ",C343)</f>
        <v>E2_6_1_62_mRNA : E2_6_1_62_mRNA</v>
      </c>
      <c r="H343" s="67" t="str">
        <f t="shared" si="698"/>
        <v>E2_6_1_62 : E2_6_1_62</v>
      </c>
      <c r="I343" s="44" t="str">
        <f t="shared" ref="I343:J343" si="699">CONCATENATE(C343," : ","0")</f>
        <v>E2_6_1_62_mRNA : 0</v>
      </c>
      <c r="J343" s="68" t="str">
        <f t="shared" si="699"/>
        <v>E2_6_1_62 : 0</v>
      </c>
      <c r="K343" s="69" t="str">
        <f t="shared" si="524"/>
        <v>0.00292 - (0.0093 * E2_6_1_62_mRNA)</v>
      </c>
      <c r="L343" s="70" t="str">
        <f t="shared" si="525"/>
        <v>(0.278 * E2_6_1_62_mRNA) - (0.00000278 * E2_6_1_62)</v>
      </c>
      <c r="M343" s="71" t="str">
        <f t="shared" si="526"/>
        <v>mRNA342: -&gt; E2_6_1_62_mRNA | 0.00292 - (0.0093 * E2_6_1_62_mRNA)</v>
      </c>
      <c r="N343" s="72" t="str">
        <f t="shared" si="527"/>
        <v>Peptide342: E2_6_1_62_mRNA -&gt; E2_6_1_62 | (0.278 * E2_6_1_62_mRNA) - (0.000000278 * E2_6_1_62)</v>
      </c>
    </row>
    <row r="344" spans="1:14" ht="29" x14ac:dyDescent="0.35">
      <c r="A344" s="49">
        <v>343</v>
      </c>
      <c r="B344" s="49" t="s">
        <v>14850</v>
      </c>
      <c r="C344" s="49" t="str">
        <f t="shared" si="518"/>
        <v>E2_3_1_47_mRNA</v>
      </c>
      <c r="D344" s="49" t="str">
        <f t="shared" si="519"/>
        <v>E2_3_1_47</v>
      </c>
      <c r="E344" s="64" t="str">
        <f t="shared" si="520"/>
        <v>E2_3_1_47_kcat : 13.7</v>
      </c>
      <c r="F344" s="65" t="str">
        <f t="shared" si="521"/>
        <v>E2_3_1_47_km : 1</v>
      </c>
      <c r="G344" s="66" t="str">
        <f t="shared" ref="G344:H344" si="700">CONCATENATE(C344," : ",C344)</f>
        <v>E2_3_1_47_mRNA : E2_3_1_47_mRNA</v>
      </c>
      <c r="H344" s="67" t="str">
        <f t="shared" si="700"/>
        <v>E2_3_1_47 : E2_3_1_47</v>
      </c>
      <c r="I344" s="44" t="str">
        <f t="shared" ref="I344:J344" si="701">CONCATENATE(C344," : ","0")</f>
        <v>E2_3_1_47_mRNA : 0</v>
      </c>
      <c r="J344" s="68" t="str">
        <f t="shared" si="701"/>
        <v>E2_3_1_47 : 0</v>
      </c>
      <c r="K344" s="69" t="str">
        <f t="shared" si="524"/>
        <v>0.00292 - (0.0093 * E2_3_1_47_mRNA)</v>
      </c>
      <c r="L344" s="70" t="str">
        <f t="shared" si="525"/>
        <v>(0.278 * E2_3_1_47_mRNA) - (0.00000278 * E2_3_1_47)</v>
      </c>
      <c r="M344" s="71" t="str">
        <f t="shared" si="526"/>
        <v>mRNA343: -&gt; E2_3_1_47_mRNA | 0.00292 - (0.0093 * E2_3_1_47_mRNA)</v>
      </c>
      <c r="N344" s="72" t="str">
        <f t="shared" si="527"/>
        <v>Peptide343: E2_3_1_47_mRNA -&gt; E2_3_1_47 | (0.278 * E2_3_1_47_mRNA) - (0.000000278 * E2_3_1_47)</v>
      </c>
    </row>
    <row r="345" spans="1:14" ht="29" x14ac:dyDescent="0.35">
      <c r="A345" s="49">
        <v>344</v>
      </c>
      <c r="B345" s="49" t="s">
        <v>14851</v>
      </c>
      <c r="C345" s="49" t="str">
        <f t="shared" si="518"/>
        <v>E2_1_1_197_mRNA</v>
      </c>
      <c r="D345" s="49" t="str">
        <f t="shared" si="519"/>
        <v>E2_1_1_197</v>
      </c>
      <c r="E345" s="64" t="str">
        <f t="shared" si="520"/>
        <v>E2_1_1_197_kcat : 13.7</v>
      </c>
      <c r="F345" s="65" t="str">
        <f t="shared" si="521"/>
        <v>E2_1_1_197_km : 1</v>
      </c>
      <c r="G345" s="66" t="str">
        <f t="shared" ref="G345:H345" si="702">CONCATENATE(C345," : ",C345)</f>
        <v>E2_1_1_197_mRNA : E2_1_1_197_mRNA</v>
      </c>
      <c r="H345" s="67" t="str">
        <f t="shared" si="702"/>
        <v>E2_1_1_197 : E2_1_1_197</v>
      </c>
      <c r="I345" s="44" t="str">
        <f t="shared" ref="I345:J345" si="703">CONCATENATE(C345," : ","0")</f>
        <v>E2_1_1_197_mRNA : 0</v>
      </c>
      <c r="J345" s="68" t="str">
        <f t="shared" si="703"/>
        <v>E2_1_1_197 : 0</v>
      </c>
      <c r="K345" s="69" t="str">
        <f t="shared" si="524"/>
        <v>0.00292 - (0.0093 * E2_1_1_197_mRNA)</v>
      </c>
      <c r="L345" s="70" t="str">
        <f t="shared" si="525"/>
        <v>(0.278 * E2_1_1_197_mRNA) - (0.00000278 * E2_1_1_197)</v>
      </c>
      <c r="M345" s="71" t="str">
        <f t="shared" si="526"/>
        <v>mRNA344: -&gt; E2_1_1_197_mRNA | 0.00292 - (0.0093 * E2_1_1_197_mRNA)</v>
      </c>
      <c r="N345" s="72" t="str">
        <f t="shared" si="527"/>
        <v>Peptide344: E2_1_1_197_mRNA -&gt; E2_1_1_197 | (0.278 * E2_1_1_197_mRNA) - (0.000000278 * E2_1_1_197)</v>
      </c>
    </row>
    <row r="346" spans="1:14" ht="29" x14ac:dyDescent="0.35">
      <c r="A346" s="49">
        <v>345</v>
      </c>
      <c r="B346" s="49" t="s">
        <v>14852</v>
      </c>
      <c r="C346" s="49" t="str">
        <f t="shared" si="518"/>
        <v>E6_3_3_3_mRNA</v>
      </c>
      <c r="D346" s="49" t="str">
        <f t="shared" si="519"/>
        <v>E6_3_3_3</v>
      </c>
      <c r="E346" s="64" t="str">
        <f t="shared" si="520"/>
        <v>E6_3_3_3_kcat : 13.7</v>
      </c>
      <c r="F346" s="65" t="str">
        <f t="shared" si="521"/>
        <v>E6_3_3_3_km : 1</v>
      </c>
      <c r="G346" s="66" t="str">
        <f t="shared" ref="G346:H346" si="704">CONCATENATE(C346," : ",C346)</f>
        <v>E6_3_3_3_mRNA : E6_3_3_3_mRNA</v>
      </c>
      <c r="H346" s="67" t="str">
        <f t="shared" si="704"/>
        <v>E6_3_3_3 : E6_3_3_3</v>
      </c>
      <c r="I346" s="44" t="str">
        <f t="shared" ref="I346:J346" si="705">CONCATENATE(C346," : ","0")</f>
        <v>E6_3_3_3_mRNA : 0</v>
      </c>
      <c r="J346" s="68" t="str">
        <f t="shared" si="705"/>
        <v>E6_3_3_3 : 0</v>
      </c>
      <c r="K346" s="69" t="str">
        <f t="shared" si="524"/>
        <v>0.00292 - (0.0093 * E6_3_3_3_mRNA)</v>
      </c>
      <c r="L346" s="70" t="str">
        <f t="shared" si="525"/>
        <v>(0.278 * E6_3_3_3_mRNA) - (0.00000278 * E6_3_3_3)</v>
      </c>
      <c r="M346" s="71" t="str">
        <f t="shared" si="526"/>
        <v>mRNA345: -&gt; E6_3_3_3_mRNA | 0.00292 - (0.0093 * E6_3_3_3_mRNA)</v>
      </c>
      <c r="N346" s="72" t="str">
        <f t="shared" si="527"/>
        <v>Peptide345: E6_3_3_3_mRNA -&gt; E6_3_3_3 | (0.278 * E6_3_3_3_mRNA) - (0.000000278 * E6_3_3_3)</v>
      </c>
    </row>
    <row r="347" spans="1:14" ht="29" x14ac:dyDescent="0.35">
      <c r="A347" s="49">
        <v>346</v>
      </c>
      <c r="B347" s="49" t="s">
        <v>14853</v>
      </c>
      <c r="C347" s="49" t="str">
        <f t="shared" si="518"/>
        <v>E2_5_1_54_mRNA</v>
      </c>
      <c r="D347" s="49" t="str">
        <f t="shared" si="519"/>
        <v>E2_5_1_54</v>
      </c>
      <c r="E347" s="64" t="str">
        <f t="shared" si="520"/>
        <v>E2_5_1_54_kcat : 13.7</v>
      </c>
      <c r="F347" s="65" t="str">
        <f t="shared" si="521"/>
        <v>E2_5_1_54_km : 1</v>
      </c>
      <c r="G347" s="66" t="str">
        <f t="shared" ref="G347:H347" si="706">CONCATENATE(C347," : ",C347)</f>
        <v>E2_5_1_54_mRNA : E2_5_1_54_mRNA</v>
      </c>
      <c r="H347" s="67" t="str">
        <f t="shared" si="706"/>
        <v>E2_5_1_54 : E2_5_1_54</v>
      </c>
      <c r="I347" s="44" t="str">
        <f t="shared" ref="I347:J347" si="707">CONCATENATE(C347," : ","0")</f>
        <v>E2_5_1_54_mRNA : 0</v>
      </c>
      <c r="J347" s="68" t="str">
        <f t="shared" si="707"/>
        <v>E2_5_1_54 : 0</v>
      </c>
      <c r="K347" s="69" t="str">
        <f t="shared" si="524"/>
        <v>0.00292 - (0.0093 * E2_5_1_54_mRNA)</v>
      </c>
      <c r="L347" s="70" t="str">
        <f t="shared" si="525"/>
        <v>(0.278 * E2_5_1_54_mRNA) - (0.00000278 * E2_5_1_54)</v>
      </c>
      <c r="M347" s="71" t="str">
        <f t="shared" si="526"/>
        <v>mRNA346: -&gt; E2_5_1_54_mRNA | 0.00292 - (0.0093 * E2_5_1_54_mRNA)</v>
      </c>
      <c r="N347" s="72" t="str">
        <f t="shared" si="527"/>
        <v>Peptide346: E2_5_1_54_mRNA -&gt; E2_5_1_54 | (0.278 * E2_5_1_54_mRNA) - (0.000000278 * E2_5_1_54)</v>
      </c>
    </row>
    <row r="348" spans="1:14" ht="29" x14ac:dyDescent="0.35">
      <c r="A348" s="49">
        <v>347</v>
      </c>
      <c r="B348" s="49" t="s">
        <v>14854</v>
      </c>
      <c r="C348" s="49" t="str">
        <f t="shared" si="518"/>
        <v>E2_3_1_41_mRNA</v>
      </c>
      <c r="D348" s="49" t="str">
        <f t="shared" si="519"/>
        <v>E2_3_1_41</v>
      </c>
      <c r="E348" s="64" t="str">
        <f t="shared" si="520"/>
        <v>E2_3_1_41_kcat : 13.7</v>
      </c>
      <c r="F348" s="65" t="str">
        <f t="shared" si="521"/>
        <v>E2_3_1_41_km : 1</v>
      </c>
      <c r="G348" s="66" t="str">
        <f t="shared" ref="G348:H348" si="708">CONCATENATE(C348," : ",C348)</f>
        <v>E2_3_1_41_mRNA : E2_3_1_41_mRNA</v>
      </c>
      <c r="H348" s="67" t="str">
        <f t="shared" si="708"/>
        <v>E2_3_1_41 : E2_3_1_41</v>
      </c>
      <c r="I348" s="44" t="str">
        <f t="shared" ref="I348:J348" si="709">CONCATENATE(C348," : ","0")</f>
        <v>E2_3_1_41_mRNA : 0</v>
      </c>
      <c r="J348" s="68" t="str">
        <f t="shared" si="709"/>
        <v>E2_3_1_41 : 0</v>
      </c>
      <c r="K348" s="69" t="str">
        <f t="shared" si="524"/>
        <v>0.00292 - (0.0093 * E2_3_1_41_mRNA)</v>
      </c>
      <c r="L348" s="70" t="str">
        <f t="shared" si="525"/>
        <v>(0.278 * E2_3_1_41_mRNA) - (0.00000278 * E2_3_1_41)</v>
      </c>
      <c r="M348" s="71" t="str">
        <f t="shared" si="526"/>
        <v>mRNA347: -&gt; E2_3_1_41_mRNA | 0.00292 - (0.0093 * E2_3_1_41_mRNA)</v>
      </c>
      <c r="N348" s="72" t="str">
        <f t="shared" si="527"/>
        <v>Peptide347: E2_3_1_41_mRNA -&gt; E2_3_1_41 | (0.278 * E2_3_1_41_mRNA) - (0.000000278 * E2_3_1_41)</v>
      </c>
    </row>
    <row r="349" spans="1:14" ht="29" x14ac:dyDescent="0.35">
      <c r="A349" s="49">
        <v>348</v>
      </c>
      <c r="B349" s="49" t="s">
        <v>14855</v>
      </c>
      <c r="C349" s="49" t="str">
        <f t="shared" si="518"/>
        <v>E2_7_1_167_mRNA</v>
      </c>
      <c r="D349" s="49" t="str">
        <f t="shared" si="519"/>
        <v>E2_7_1_167</v>
      </c>
      <c r="E349" s="64" t="str">
        <f t="shared" si="520"/>
        <v>E2_7_1_167_kcat : 13.7</v>
      </c>
      <c r="F349" s="65" t="str">
        <f t="shared" si="521"/>
        <v>E2_7_1_167_km : 1</v>
      </c>
      <c r="G349" s="66" t="str">
        <f t="shared" ref="G349:H349" si="710">CONCATENATE(C349," : ",C349)</f>
        <v>E2_7_1_167_mRNA : E2_7_1_167_mRNA</v>
      </c>
      <c r="H349" s="67" t="str">
        <f t="shared" si="710"/>
        <v>E2_7_1_167 : E2_7_1_167</v>
      </c>
      <c r="I349" s="44" t="str">
        <f t="shared" ref="I349:J349" si="711">CONCATENATE(C349," : ","0")</f>
        <v>E2_7_1_167_mRNA : 0</v>
      </c>
      <c r="J349" s="68" t="str">
        <f t="shared" si="711"/>
        <v>E2_7_1_167 : 0</v>
      </c>
      <c r="K349" s="69" t="str">
        <f t="shared" si="524"/>
        <v>0.00292 - (0.0093 * E2_7_1_167_mRNA)</v>
      </c>
      <c r="L349" s="70" t="str">
        <f t="shared" si="525"/>
        <v>(0.278 * E2_7_1_167_mRNA) - (0.00000278 * E2_7_1_167)</v>
      </c>
      <c r="M349" s="71" t="str">
        <f t="shared" si="526"/>
        <v>mRNA348: -&gt; E2_7_1_167_mRNA | 0.00292 - (0.0093 * E2_7_1_167_mRNA)</v>
      </c>
      <c r="N349" s="72" t="str">
        <f t="shared" si="527"/>
        <v>Peptide348: E2_7_1_167_mRNA -&gt; E2_7_1_167 | (0.278 * E2_7_1_167_mRNA) - (0.000000278 * E2_7_1_167)</v>
      </c>
    </row>
    <row r="350" spans="1:14" ht="29" x14ac:dyDescent="0.35">
      <c r="A350" s="49">
        <v>349</v>
      </c>
      <c r="B350" s="49" t="s">
        <v>14990</v>
      </c>
      <c r="C350" s="49" t="str">
        <f t="shared" si="518"/>
        <v>E2_7_7_70_mRNA</v>
      </c>
      <c r="D350" s="49" t="str">
        <f t="shared" si="519"/>
        <v>E2_7_7_70</v>
      </c>
      <c r="E350" s="64" t="str">
        <f t="shared" si="520"/>
        <v>E2_7_7_70_kcat : 13.7</v>
      </c>
      <c r="F350" s="65" t="str">
        <f t="shared" si="521"/>
        <v>E2_7_7_70_km : 1</v>
      </c>
      <c r="G350" s="66" t="str">
        <f t="shared" ref="G350:H350" si="712">CONCATENATE(C350," : ",C350)</f>
        <v>E2_7_7_70_mRNA : E2_7_7_70_mRNA</v>
      </c>
      <c r="H350" s="67" t="str">
        <f t="shared" si="712"/>
        <v>E2_7_7_70 : E2_7_7_70</v>
      </c>
      <c r="I350" s="44" t="str">
        <f t="shared" ref="I350:J350" si="713">CONCATENATE(C350," : ","0")</f>
        <v>E2_7_7_70_mRNA : 0</v>
      </c>
      <c r="J350" s="68" t="str">
        <f t="shared" si="713"/>
        <v>E2_7_7_70 : 0</v>
      </c>
      <c r="K350" s="69" t="str">
        <f t="shared" si="524"/>
        <v>0.00292 - (0.0093 * E2_7_7_70_mRNA)</v>
      </c>
      <c r="L350" s="70" t="str">
        <f t="shared" si="525"/>
        <v>(0.278 * E2_7_7_70_mRNA) - (0.00000278 * E2_7_7_70)</v>
      </c>
      <c r="M350" s="71" t="str">
        <f t="shared" si="526"/>
        <v>mRNA349: -&gt; E2_7_7_70_mRNA | 0.00292 - (0.0093 * E2_7_7_70_mRNA)</v>
      </c>
      <c r="N350" s="72" t="str">
        <f t="shared" si="527"/>
        <v>Peptide349: E2_7_7_70_mRNA -&gt; E2_7_7_70 | (0.278 * E2_7_7_70_mRNA) - (0.000000278 * E2_7_7_70)</v>
      </c>
    </row>
    <row r="351" spans="1:14" ht="29" x14ac:dyDescent="0.35">
      <c r="A351" s="49">
        <v>350</v>
      </c>
      <c r="B351" s="49" t="s">
        <v>14856</v>
      </c>
      <c r="C351" s="49" t="str">
        <f t="shared" si="518"/>
        <v>E6_1_1_22_mRNA</v>
      </c>
      <c r="D351" s="49" t="str">
        <f t="shared" si="519"/>
        <v>E6_1_1_22</v>
      </c>
      <c r="E351" s="64" t="str">
        <f t="shared" si="520"/>
        <v>E6_1_1_22_kcat : 13.7</v>
      </c>
      <c r="F351" s="65" t="str">
        <f t="shared" si="521"/>
        <v>E6_1_1_22_km : 1</v>
      </c>
      <c r="G351" s="66" t="str">
        <f t="shared" ref="G351:H351" si="714">CONCATENATE(C351," : ",C351)</f>
        <v>E6_1_1_22_mRNA : E6_1_1_22_mRNA</v>
      </c>
      <c r="H351" s="67" t="str">
        <f t="shared" si="714"/>
        <v>E6_1_1_22 : E6_1_1_22</v>
      </c>
      <c r="I351" s="44" t="str">
        <f t="shared" ref="I351:J351" si="715">CONCATENATE(C351," : ","0")</f>
        <v>E6_1_1_22_mRNA : 0</v>
      </c>
      <c r="J351" s="68" t="str">
        <f t="shared" si="715"/>
        <v>E6_1_1_22 : 0</v>
      </c>
      <c r="K351" s="69" t="str">
        <f t="shared" si="524"/>
        <v>0.00292 - (0.0093 * E6_1_1_22_mRNA)</v>
      </c>
      <c r="L351" s="70" t="str">
        <f t="shared" si="525"/>
        <v>(0.278 * E6_1_1_22_mRNA) - (0.00000278 * E6_1_1_22)</v>
      </c>
      <c r="M351" s="71" t="str">
        <f t="shared" si="526"/>
        <v>mRNA350: -&gt; E6_1_1_22_mRNA | 0.00292 - (0.0093 * E6_1_1_22_mRNA)</v>
      </c>
      <c r="N351" s="72" t="str">
        <f t="shared" si="527"/>
        <v>Peptide350: E6_1_1_22_mRNA -&gt; E6_1_1_22 | (0.278 * E6_1_1_22_mRNA) - (0.000000278 * E6_1_1_22)</v>
      </c>
    </row>
    <row r="352" spans="1:14" ht="29" x14ac:dyDescent="0.35">
      <c r="A352" s="49">
        <v>351</v>
      </c>
      <c r="B352" s="49" t="s">
        <v>14857</v>
      </c>
      <c r="C352" s="49" t="str">
        <f t="shared" si="518"/>
        <v>E2_5_1_78_mRNA</v>
      </c>
      <c r="D352" s="49" t="str">
        <f t="shared" si="519"/>
        <v>E2_5_1_78</v>
      </c>
      <c r="E352" s="64" t="str">
        <f t="shared" si="520"/>
        <v>E2_5_1_78_kcat : 13.7</v>
      </c>
      <c r="F352" s="65" t="str">
        <f t="shared" si="521"/>
        <v>E2_5_1_78_km : 1</v>
      </c>
      <c r="G352" s="66" t="str">
        <f t="shared" ref="G352:H352" si="716">CONCATENATE(C352," : ",C352)</f>
        <v>E2_5_1_78_mRNA : E2_5_1_78_mRNA</v>
      </c>
      <c r="H352" s="67" t="str">
        <f t="shared" si="716"/>
        <v>E2_5_1_78 : E2_5_1_78</v>
      </c>
      <c r="I352" s="44" t="str">
        <f t="shared" ref="I352:J352" si="717">CONCATENATE(C352," : ","0")</f>
        <v>E2_5_1_78_mRNA : 0</v>
      </c>
      <c r="J352" s="68" t="str">
        <f t="shared" si="717"/>
        <v>E2_5_1_78 : 0</v>
      </c>
      <c r="K352" s="69" t="str">
        <f t="shared" si="524"/>
        <v>0.00292 - (0.0093 * E2_5_1_78_mRNA)</v>
      </c>
      <c r="L352" s="70" t="str">
        <f t="shared" si="525"/>
        <v>(0.278 * E2_5_1_78_mRNA) - (0.00000278 * E2_5_1_78)</v>
      </c>
      <c r="M352" s="71" t="str">
        <f t="shared" si="526"/>
        <v>mRNA351: -&gt; E2_5_1_78_mRNA | 0.00292 - (0.0093 * E2_5_1_78_mRNA)</v>
      </c>
      <c r="N352" s="72" t="str">
        <f t="shared" si="527"/>
        <v>Peptide351: E2_5_1_78_mRNA -&gt; E2_5_1_78 | (0.278 * E2_5_1_78_mRNA) - (0.000000278 * E2_5_1_78)</v>
      </c>
    </row>
    <row r="353" spans="1:14" ht="29" x14ac:dyDescent="0.35">
      <c r="A353" s="49">
        <v>352</v>
      </c>
      <c r="B353" s="49" t="s">
        <v>14858</v>
      </c>
      <c r="C353" s="49" t="str">
        <f t="shared" si="518"/>
        <v>E2_7_4_16_mRNA</v>
      </c>
      <c r="D353" s="49" t="str">
        <f t="shared" si="519"/>
        <v>E2_7_4_16</v>
      </c>
      <c r="E353" s="64" t="str">
        <f t="shared" si="520"/>
        <v>E2_7_4_16_kcat : 13.7</v>
      </c>
      <c r="F353" s="65" t="str">
        <f t="shared" si="521"/>
        <v>E2_7_4_16_km : 1</v>
      </c>
      <c r="G353" s="66" t="str">
        <f t="shared" ref="G353:H353" si="718">CONCATENATE(C353," : ",C353)</f>
        <v>E2_7_4_16_mRNA : E2_7_4_16_mRNA</v>
      </c>
      <c r="H353" s="67" t="str">
        <f t="shared" si="718"/>
        <v>E2_7_4_16 : E2_7_4_16</v>
      </c>
      <c r="I353" s="44" t="str">
        <f t="shared" ref="I353:J353" si="719">CONCATENATE(C353," : ","0")</f>
        <v>E2_7_4_16_mRNA : 0</v>
      </c>
      <c r="J353" s="68" t="str">
        <f t="shared" si="719"/>
        <v>E2_7_4_16 : 0</v>
      </c>
      <c r="K353" s="69" t="str">
        <f t="shared" si="524"/>
        <v>0.00292 - (0.0093 * E2_7_4_16_mRNA)</v>
      </c>
      <c r="L353" s="70" t="str">
        <f t="shared" si="525"/>
        <v>(0.278 * E2_7_4_16_mRNA) - (0.00000278 * E2_7_4_16)</v>
      </c>
      <c r="M353" s="71" t="str">
        <f t="shared" si="526"/>
        <v>mRNA352: -&gt; E2_7_4_16_mRNA | 0.00292 - (0.0093 * E2_7_4_16_mRNA)</v>
      </c>
      <c r="N353" s="72" t="str">
        <f t="shared" si="527"/>
        <v>Peptide352: E2_7_4_16_mRNA -&gt; E2_7_4_16 | (0.278 * E2_7_4_16_mRNA) - (0.000000278 * E2_7_4_16)</v>
      </c>
    </row>
    <row r="354" spans="1:14" ht="29" x14ac:dyDescent="0.35">
      <c r="A354" s="49">
        <v>353</v>
      </c>
      <c r="B354" s="49" t="s">
        <v>14859</v>
      </c>
      <c r="C354" s="49" t="str">
        <f t="shared" si="518"/>
        <v>E3_1_3_27_mRNA</v>
      </c>
      <c r="D354" s="49" t="str">
        <f t="shared" si="519"/>
        <v>E3_1_3_27</v>
      </c>
      <c r="E354" s="64" t="str">
        <f t="shared" si="520"/>
        <v>E3_1_3_27_kcat : 13.7</v>
      </c>
      <c r="F354" s="65" t="str">
        <f t="shared" si="521"/>
        <v>E3_1_3_27_km : 1</v>
      </c>
      <c r="G354" s="66" t="str">
        <f t="shared" ref="G354:H354" si="720">CONCATENATE(C354," : ",C354)</f>
        <v>E3_1_3_27_mRNA : E3_1_3_27_mRNA</v>
      </c>
      <c r="H354" s="67" t="str">
        <f t="shared" si="720"/>
        <v>E3_1_3_27 : E3_1_3_27</v>
      </c>
      <c r="I354" s="44" t="str">
        <f t="shared" ref="I354:J354" si="721">CONCATENATE(C354," : ","0")</f>
        <v>E3_1_3_27_mRNA : 0</v>
      </c>
      <c r="J354" s="68" t="str">
        <f t="shared" si="721"/>
        <v>E3_1_3_27 : 0</v>
      </c>
      <c r="K354" s="69" t="str">
        <f t="shared" si="524"/>
        <v>0.00292 - (0.0093 * E3_1_3_27_mRNA)</v>
      </c>
      <c r="L354" s="70" t="str">
        <f t="shared" si="525"/>
        <v>(0.278 * E3_1_3_27_mRNA) - (0.00000278 * E3_1_3_27)</v>
      </c>
      <c r="M354" s="71" t="str">
        <f t="shared" si="526"/>
        <v>mRNA353: -&gt; E3_1_3_27_mRNA | 0.00292 - (0.0093 * E3_1_3_27_mRNA)</v>
      </c>
      <c r="N354" s="72" t="str">
        <f t="shared" si="527"/>
        <v>Peptide353: E3_1_3_27_mRNA -&gt; E3_1_3_27 | (0.278 * E3_1_3_27_mRNA) - (0.000000278 * E3_1_3_27)</v>
      </c>
    </row>
    <row r="355" spans="1:14" ht="29" x14ac:dyDescent="0.35">
      <c r="A355" s="49">
        <v>354</v>
      </c>
      <c r="B355" s="49" t="s">
        <v>14860</v>
      </c>
      <c r="C355" s="49" t="str">
        <f t="shared" si="518"/>
        <v>E1_17_1_8_mRNA</v>
      </c>
      <c r="D355" s="49" t="str">
        <f t="shared" si="519"/>
        <v>E1_17_1_8</v>
      </c>
      <c r="E355" s="64" t="str">
        <f t="shared" si="520"/>
        <v>E1_17_1_8_kcat : 13.7</v>
      </c>
      <c r="F355" s="65" t="str">
        <f t="shared" si="521"/>
        <v>E1_17_1_8_km : 1</v>
      </c>
      <c r="G355" s="66" t="str">
        <f t="shared" ref="G355:H355" si="722">CONCATENATE(C355," : ",C355)</f>
        <v>E1_17_1_8_mRNA : E1_17_1_8_mRNA</v>
      </c>
      <c r="H355" s="67" t="str">
        <f t="shared" si="722"/>
        <v>E1_17_1_8 : E1_17_1_8</v>
      </c>
      <c r="I355" s="44" t="str">
        <f t="shared" ref="I355:J355" si="723">CONCATENATE(C355," : ","0")</f>
        <v>E1_17_1_8_mRNA : 0</v>
      </c>
      <c r="J355" s="68" t="str">
        <f t="shared" si="723"/>
        <v>E1_17_1_8 : 0</v>
      </c>
      <c r="K355" s="69" t="str">
        <f t="shared" si="524"/>
        <v>0.00292 - (0.0093 * E1_17_1_8_mRNA)</v>
      </c>
      <c r="L355" s="70" t="str">
        <f t="shared" si="525"/>
        <v>(0.278 * E1_17_1_8_mRNA) - (0.00000278 * E1_17_1_8)</v>
      </c>
      <c r="M355" s="71" t="str">
        <f t="shared" si="526"/>
        <v>mRNA354: -&gt; E1_17_1_8_mRNA | 0.00292 - (0.0093 * E1_17_1_8_mRNA)</v>
      </c>
      <c r="N355" s="72" t="str">
        <f t="shared" si="527"/>
        <v>Peptide354: E1_17_1_8_mRNA -&gt; E1_17_1_8 | (0.278 * E1_17_1_8_mRNA) - (0.000000278 * E1_17_1_8)</v>
      </c>
    </row>
    <row r="356" spans="1:14" ht="29" x14ac:dyDescent="0.35">
      <c r="A356" s="49">
        <v>355</v>
      </c>
      <c r="B356" s="49" t="s">
        <v>14861</v>
      </c>
      <c r="C356" s="49" t="str">
        <f t="shared" si="518"/>
        <v>E6_1_1_20_mRNA</v>
      </c>
      <c r="D356" s="49" t="str">
        <f t="shared" si="519"/>
        <v>E6_1_1_20</v>
      </c>
      <c r="E356" s="64" t="str">
        <f t="shared" si="520"/>
        <v>E6_1_1_20_kcat : 13.7</v>
      </c>
      <c r="F356" s="65" t="str">
        <f t="shared" si="521"/>
        <v>E6_1_1_20_km : 1</v>
      </c>
      <c r="G356" s="66" t="str">
        <f t="shared" ref="G356:H356" si="724">CONCATENATE(C356," : ",C356)</f>
        <v>E6_1_1_20_mRNA : E6_1_1_20_mRNA</v>
      </c>
      <c r="H356" s="67" t="str">
        <f t="shared" si="724"/>
        <v>E6_1_1_20 : E6_1_1_20</v>
      </c>
      <c r="I356" s="44" t="str">
        <f t="shared" ref="I356:J356" si="725">CONCATENATE(C356," : ","0")</f>
        <v>E6_1_1_20_mRNA : 0</v>
      </c>
      <c r="J356" s="68" t="str">
        <f t="shared" si="725"/>
        <v>E6_1_1_20 : 0</v>
      </c>
      <c r="K356" s="69" t="str">
        <f t="shared" si="524"/>
        <v>0.00292 - (0.0093 * E6_1_1_20_mRNA)</v>
      </c>
      <c r="L356" s="70" t="str">
        <f t="shared" si="525"/>
        <v>(0.278 * E6_1_1_20_mRNA) - (0.00000278 * E6_1_1_20)</v>
      </c>
      <c r="M356" s="71" t="str">
        <f t="shared" si="526"/>
        <v>mRNA355: -&gt; E6_1_1_20_mRNA | 0.00292 - (0.0093 * E6_1_1_20_mRNA)</v>
      </c>
      <c r="N356" s="72" t="str">
        <f t="shared" si="527"/>
        <v>Peptide355: E6_1_1_20_mRNA -&gt; E6_1_1_20 | (0.278 * E6_1_1_20_mRNA) - (0.000000278 * E6_1_1_20)</v>
      </c>
    </row>
    <row r="357" spans="1:14" ht="29" x14ac:dyDescent="0.35">
      <c r="A357" s="49">
        <v>356</v>
      </c>
      <c r="B357" s="49" t="s">
        <v>14862</v>
      </c>
      <c r="C357" s="49" t="str">
        <f t="shared" si="518"/>
        <v>E5_3_3_14_mRNA</v>
      </c>
      <c r="D357" s="49" t="str">
        <f t="shared" si="519"/>
        <v>E5_3_3_14</v>
      </c>
      <c r="E357" s="64" t="str">
        <f t="shared" si="520"/>
        <v>E5_3_3_14_kcat : 13.7</v>
      </c>
      <c r="F357" s="65" t="str">
        <f t="shared" si="521"/>
        <v>E5_3_3_14_km : 1</v>
      </c>
      <c r="G357" s="66" t="str">
        <f t="shared" ref="G357:H357" si="726">CONCATENATE(C357," : ",C357)</f>
        <v>E5_3_3_14_mRNA : E5_3_3_14_mRNA</v>
      </c>
      <c r="H357" s="67" t="str">
        <f t="shared" si="726"/>
        <v>E5_3_3_14 : E5_3_3_14</v>
      </c>
      <c r="I357" s="44" t="str">
        <f t="shared" ref="I357:J357" si="727">CONCATENATE(C357," : ","0")</f>
        <v>E5_3_3_14_mRNA : 0</v>
      </c>
      <c r="J357" s="68" t="str">
        <f t="shared" si="727"/>
        <v>E5_3_3_14 : 0</v>
      </c>
      <c r="K357" s="69" t="str">
        <f t="shared" si="524"/>
        <v>0.00292 - (0.0093 * E5_3_3_14_mRNA)</v>
      </c>
      <c r="L357" s="70" t="str">
        <f t="shared" si="525"/>
        <v>(0.278 * E5_3_3_14_mRNA) - (0.00000278 * E5_3_3_14)</v>
      </c>
      <c r="M357" s="71" t="str">
        <f t="shared" si="526"/>
        <v>mRNA356: -&gt; E5_3_3_14_mRNA | 0.00292 - (0.0093 * E5_3_3_14_mRNA)</v>
      </c>
      <c r="N357" s="72" t="str">
        <f t="shared" si="527"/>
        <v>Peptide356: E5_3_3_14_mRNA -&gt; E5_3_3_14 | (0.278 * E5_3_3_14_mRNA) - (0.000000278 * E5_3_3_14)</v>
      </c>
    </row>
    <row r="358" spans="1:14" ht="29" x14ac:dyDescent="0.35">
      <c r="A358" s="49">
        <v>357</v>
      </c>
      <c r="B358" s="49" t="s">
        <v>14991</v>
      </c>
      <c r="C358" s="49" t="str">
        <f t="shared" si="518"/>
        <v>E3_4_16_4_mRNA</v>
      </c>
      <c r="D358" s="49" t="str">
        <f t="shared" si="519"/>
        <v>E3_4_16_4</v>
      </c>
      <c r="E358" s="64" t="str">
        <f t="shared" si="520"/>
        <v>E3_4_16_4_kcat : 13.7</v>
      </c>
      <c r="F358" s="65" t="str">
        <f t="shared" si="521"/>
        <v>E3_4_16_4_km : 1</v>
      </c>
      <c r="G358" s="66" t="str">
        <f t="shared" ref="G358:H358" si="728">CONCATENATE(C358," : ",C358)</f>
        <v>E3_4_16_4_mRNA : E3_4_16_4_mRNA</v>
      </c>
      <c r="H358" s="67" t="str">
        <f t="shared" si="728"/>
        <v>E3_4_16_4 : E3_4_16_4</v>
      </c>
      <c r="I358" s="44" t="str">
        <f t="shared" ref="I358:J358" si="729">CONCATENATE(C358," : ","0")</f>
        <v>E3_4_16_4_mRNA : 0</v>
      </c>
      <c r="J358" s="68" t="str">
        <f t="shared" si="729"/>
        <v>E3_4_16_4 : 0</v>
      </c>
      <c r="K358" s="69" t="str">
        <f t="shared" si="524"/>
        <v>0.00292 - (0.0093 * E3_4_16_4_mRNA)</v>
      </c>
      <c r="L358" s="70" t="str">
        <f t="shared" si="525"/>
        <v>(0.278 * E3_4_16_4_mRNA) - (0.00000278 * E3_4_16_4)</v>
      </c>
      <c r="M358" s="71" t="str">
        <f t="shared" si="526"/>
        <v>mRNA357: -&gt; E3_4_16_4_mRNA | 0.00292 - (0.0093 * E3_4_16_4_mRNA)</v>
      </c>
      <c r="N358" s="72" t="str">
        <f t="shared" si="527"/>
        <v>Peptide357: E3_4_16_4_mRNA -&gt; E3_4_16_4 | (0.278 * E3_4_16_4_mRNA) - (0.000000278 * E3_4_16_4)</v>
      </c>
    </row>
    <row r="359" spans="1:14" ht="29" x14ac:dyDescent="0.35">
      <c r="A359" s="49">
        <v>358</v>
      </c>
      <c r="B359" s="49" t="s">
        <v>14992</v>
      </c>
      <c r="C359" s="49" t="str">
        <f t="shared" si="518"/>
        <v>E2_1_1_166_mRNA</v>
      </c>
      <c r="D359" s="49" t="str">
        <f t="shared" si="519"/>
        <v>E2_1_1_166</v>
      </c>
      <c r="E359" s="64" t="str">
        <f t="shared" si="520"/>
        <v>E2_1_1_166_kcat : 13.7</v>
      </c>
      <c r="F359" s="65" t="str">
        <f t="shared" si="521"/>
        <v>E2_1_1_166_km : 1</v>
      </c>
      <c r="G359" s="66" t="str">
        <f t="shared" ref="G359:H359" si="730">CONCATENATE(C359," : ",C359)</f>
        <v>E2_1_1_166_mRNA : E2_1_1_166_mRNA</v>
      </c>
      <c r="H359" s="67" t="str">
        <f t="shared" si="730"/>
        <v>E2_1_1_166 : E2_1_1_166</v>
      </c>
      <c r="I359" s="44" t="str">
        <f t="shared" ref="I359:J359" si="731">CONCATENATE(C359," : ","0")</f>
        <v>E2_1_1_166_mRNA : 0</v>
      </c>
      <c r="J359" s="68" t="str">
        <f t="shared" si="731"/>
        <v>E2_1_1_166 : 0</v>
      </c>
      <c r="K359" s="69" t="str">
        <f t="shared" si="524"/>
        <v>0.00292 - (0.0093 * E2_1_1_166_mRNA)</v>
      </c>
      <c r="L359" s="70" t="str">
        <f t="shared" si="525"/>
        <v>(0.278 * E2_1_1_166_mRNA) - (0.00000278 * E2_1_1_166)</v>
      </c>
      <c r="M359" s="71" t="str">
        <f t="shared" si="526"/>
        <v>mRNA358: -&gt; E2_1_1_166_mRNA | 0.00292 - (0.0093 * E2_1_1_166_mRNA)</v>
      </c>
      <c r="N359" s="72" t="str">
        <f t="shared" si="527"/>
        <v>Peptide358: E2_1_1_166_mRNA -&gt; E2_1_1_166 | (0.278 * E2_1_1_166_mRNA) - (0.000000278 * E2_1_1_166)</v>
      </c>
    </row>
    <row r="360" spans="1:14" ht="29" x14ac:dyDescent="0.35">
      <c r="A360" s="49">
        <v>359</v>
      </c>
      <c r="B360" s="49" t="s">
        <v>14863</v>
      </c>
      <c r="C360" s="49" t="str">
        <f t="shared" si="518"/>
        <v>E2_5_1_15_mRNA</v>
      </c>
      <c r="D360" s="49" t="str">
        <f t="shared" si="519"/>
        <v>E2_5_1_15</v>
      </c>
      <c r="E360" s="64" t="str">
        <f t="shared" si="520"/>
        <v>E2_5_1_15_kcat : 13.7</v>
      </c>
      <c r="F360" s="65" t="str">
        <f t="shared" si="521"/>
        <v>E2_5_1_15_km : 1</v>
      </c>
      <c r="G360" s="66" t="str">
        <f t="shared" ref="G360:H360" si="732">CONCATENATE(C360," : ",C360)</f>
        <v>E2_5_1_15_mRNA : E2_5_1_15_mRNA</v>
      </c>
      <c r="H360" s="67" t="str">
        <f t="shared" si="732"/>
        <v>E2_5_1_15 : E2_5_1_15</v>
      </c>
      <c r="I360" s="44" t="str">
        <f t="shared" ref="I360:J360" si="733">CONCATENATE(C360," : ","0")</f>
        <v>E2_5_1_15_mRNA : 0</v>
      </c>
      <c r="J360" s="68" t="str">
        <f t="shared" si="733"/>
        <v>E2_5_1_15 : 0</v>
      </c>
      <c r="K360" s="69" t="str">
        <f t="shared" si="524"/>
        <v>0.00292 - (0.0093 * E2_5_1_15_mRNA)</v>
      </c>
      <c r="L360" s="70" t="str">
        <f t="shared" si="525"/>
        <v>(0.278 * E2_5_1_15_mRNA) - (0.00000278 * E2_5_1_15)</v>
      </c>
      <c r="M360" s="71" t="str">
        <f t="shared" si="526"/>
        <v>mRNA359: -&gt; E2_5_1_15_mRNA | 0.00292 - (0.0093 * E2_5_1_15_mRNA)</v>
      </c>
      <c r="N360" s="72" t="str">
        <f t="shared" si="527"/>
        <v>Peptide359: E2_5_1_15_mRNA -&gt; E2_5_1_15 | (0.278 * E2_5_1_15_mRNA) - (0.000000278 * E2_5_1_15)</v>
      </c>
    </row>
    <row r="361" spans="1:14" ht="29" x14ac:dyDescent="0.35">
      <c r="A361" s="49">
        <v>360</v>
      </c>
      <c r="B361" s="49" t="s">
        <v>14864</v>
      </c>
      <c r="C361" s="49" t="str">
        <f t="shared" si="518"/>
        <v>E5_4_2_10_mRNA</v>
      </c>
      <c r="D361" s="49" t="str">
        <f t="shared" si="519"/>
        <v>E5_4_2_10</v>
      </c>
      <c r="E361" s="64" t="str">
        <f t="shared" si="520"/>
        <v>E5_4_2_10_kcat : 13.7</v>
      </c>
      <c r="F361" s="65" t="str">
        <f t="shared" si="521"/>
        <v>E5_4_2_10_km : 1</v>
      </c>
      <c r="G361" s="66" t="str">
        <f t="shared" ref="G361:H361" si="734">CONCATENATE(C361," : ",C361)</f>
        <v>E5_4_2_10_mRNA : E5_4_2_10_mRNA</v>
      </c>
      <c r="H361" s="67" t="str">
        <f t="shared" si="734"/>
        <v>E5_4_2_10 : E5_4_2_10</v>
      </c>
      <c r="I361" s="44" t="str">
        <f t="shared" ref="I361:J361" si="735">CONCATENATE(C361," : ","0")</f>
        <v>E5_4_2_10_mRNA : 0</v>
      </c>
      <c r="J361" s="68" t="str">
        <f t="shared" si="735"/>
        <v>E5_4_2_10 : 0</v>
      </c>
      <c r="K361" s="69" t="str">
        <f t="shared" si="524"/>
        <v>0.00292 - (0.0093 * E5_4_2_10_mRNA)</v>
      </c>
      <c r="L361" s="70" t="str">
        <f t="shared" si="525"/>
        <v>(0.278 * E5_4_2_10_mRNA) - (0.00000278 * E5_4_2_10)</v>
      </c>
      <c r="M361" s="71" t="str">
        <f t="shared" si="526"/>
        <v>mRNA360: -&gt; E5_4_2_10_mRNA | 0.00292 - (0.0093 * E5_4_2_10_mRNA)</v>
      </c>
      <c r="N361" s="72" t="str">
        <f t="shared" si="527"/>
        <v>Peptide360: E5_4_2_10_mRNA -&gt; E5_4_2_10 | (0.278 * E5_4_2_10_mRNA) - (0.000000278 * E5_4_2_10)</v>
      </c>
    </row>
    <row r="362" spans="1:14" ht="29" x14ac:dyDescent="0.35">
      <c r="A362" s="49">
        <v>361</v>
      </c>
      <c r="B362" s="49" t="s">
        <v>14865</v>
      </c>
      <c r="C362" s="49" t="str">
        <f t="shared" si="518"/>
        <v>E2_7_7_80_mRNA</v>
      </c>
      <c r="D362" s="49" t="str">
        <f t="shared" si="519"/>
        <v>E2_7_7_80</v>
      </c>
      <c r="E362" s="64" t="str">
        <f t="shared" si="520"/>
        <v>E2_7_7_80_kcat : 13.7</v>
      </c>
      <c r="F362" s="65" t="str">
        <f t="shared" si="521"/>
        <v>E2_7_7_80_km : 1</v>
      </c>
      <c r="G362" s="66" t="str">
        <f t="shared" ref="G362:H362" si="736">CONCATENATE(C362," : ",C362)</f>
        <v>E2_7_7_80_mRNA : E2_7_7_80_mRNA</v>
      </c>
      <c r="H362" s="67" t="str">
        <f t="shared" si="736"/>
        <v>E2_7_7_80 : E2_7_7_80</v>
      </c>
      <c r="I362" s="44" t="str">
        <f t="shared" ref="I362:J362" si="737">CONCATENATE(C362," : ","0")</f>
        <v>E2_7_7_80_mRNA : 0</v>
      </c>
      <c r="J362" s="68" t="str">
        <f t="shared" si="737"/>
        <v>E2_7_7_80 : 0</v>
      </c>
      <c r="K362" s="69" t="str">
        <f t="shared" si="524"/>
        <v>0.00292 - (0.0093 * E2_7_7_80_mRNA)</v>
      </c>
      <c r="L362" s="70" t="str">
        <f t="shared" si="525"/>
        <v>(0.278 * E2_7_7_80_mRNA) - (0.00000278 * E2_7_7_80)</v>
      </c>
      <c r="M362" s="71" t="str">
        <f t="shared" si="526"/>
        <v>mRNA361: -&gt; E2_7_7_80_mRNA | 0.00292 - (0.0093 * E2_7_7_80_mRNA)</v>
      </c>
      <c r="N362" s="72" t="str">
        <f t="shared" si="527"/>
        <v>Peptide361: E2_7_7_80_mRNA -&gt; E2_7_7_80 | (0.278 * E2_7_7_80_mRNA) - (0.000000278 * E2_7_7_80)</v>
      </c>
    </row>
    <row r="363" spans="1:14" ht="29" x14ac:dyDescent="0.35">
      <c r="A363" s="49">
        <v>362</v>
      </c>
      <c r="B363" s="49" t="s">
        <v>14866</v>
      </c>
      <c r="C363" s="49" t="str">
        <f t="shared" si="518"/>
        <v>E2_10_1_1_mRNA</v>
      </c>
      <c r="D363" s="49" t="str">
        <f t="shared" si="519"/>
        <v>E2_10_1_1</v>
      </c>
      <c r="E363" s="64" t="str">
        <f t="shared" si="520"/>
        <v>E2_10_1_1_kcat : 13.7</v>
      </c>
      <c r="F363" s="65" t="str">
        <f t="shared" si="521"/>
        <v>E2_10_1_1_km : 1</v>
      </c>
      <c r="G363" s="66" t="str">
        <f t="shared" ref="G363:H363" si="738">CONCATENATE(C363," : ",C363)</f>
        <v>E2_10_1_1_mRNA : E2_10_1_1_mRNA</v>
      </c>
      <c r="H363" s="67" t="str">
        <f t="shared" si="738"/>
        <v>E2_10_1_1 : E2_10_1_1</v>
      </c>
      <c r="I363" s="44" t="str">
        <f t="shared" ref="I363:J363" si="739">CONCATENATE(C363," : ","0")</f>
        <v>E2_10_1_1_mRNA : 0</v>
      </c>
      <c r="J363" s="68" t="str">
        <f t="shared" si="739"/>
        <v>E2_10_1_1 : 0</v>
      </c>
      <c r="K363" s="69" t="str">
        <f t="shared" si="524"/>
        <v>0.00292 - (0.0093 * E2_10_1_1_mRNA)</v>
      </c>
      <c r="L363" s="70" t="str">
        <f t="shared" si="525"/>
        <v>(0.278 * E2_10_1_1_mRNA) - (0.00000278 * E2_10_1_1)</v>
      </c>
      <c r="M363" s="71" t="str">
        <f t="shared" si="526"/>
        <v>mRNA362: -&gt; E2_10_1_1_mRNA | 0.00292 - (0.0093 * E2_10_1_1_mRNA)</v>
      </c>
      <c r="N363" s="72" t="str">
        <f t="shared" si="527"/>
        <v>Peptide362: E2_10_1_1_mRNA -&gt; E2_10_1_1 | (0.278 * E2_10_1_1_mRNA) - (0.000000278 * E2_10_1_1)</v>
      </c>
    </row>
    <row r="364" spans="1:14" ht="29" x14ac:dyDescent="0.35">
      <c r="A364" s="49">
        <v>363</v>
      </c>
      <c r="B364" s="49" t="s">
        <v>14867</v>
      </c>
      <c r="C364" s="49" t="str">
        <f t="shared" si="518"/>
        <v>E3_5_4_16_mRNA</v>
      </c>
      <c r="D364" s="49" t="str">
        <f t="shared" si="519"/>
        <v>E3_5_4_16</v>
      </c>
      <c r="E364" s="64" t="str">
        <f t="shared" si="520"/>
        <v>E3_5_4_16_kcat : 13.7</v>
      </c>
      <c r="F364" s="65" t="str">
        <f t="shared" si="521"/>
        <v>E3_5_4_16_km : 1</v>
      </c>
      <c r="G364" s="66" t="str">
        <f t="shared" ref="G364:H364" si="740">CONCATENATE(C364," : ",C364)</f>
        <v>E3_5_4_16_mRNA : E3_5_4_16_mRNA</v>
      </c>
      <c r="H364" s="67" t="str">
        <f t="shared" si="740"/>
        <v>E3_5_4_16 : E3_5_4_16</v>
      </c>
      <c r="I364" s="44" t="str">
        <f t="shared" ref="I364:J364" si="741">CONCATENATE(C364," : ","0")</f>
        <v>E3_5_4_16_mRNA : 0</v>
      </c>
      <c r="J364" s="68" t="str">
        <f t="shared" si="741"/>
        <v>E3_5_4_16 : 0</v>
      </c>
      <c r="K364" s="69" t="str">
        <f t="shared" si="524"/>
        <v>0.00292 - (0.0093 * E3_5_4_16_mRNA)</v>
      </c>
      <c r="L364" s="70" t="str">
        <f t="shared" si="525"/>
        <v>(0.278 * E3_5_4_16_mRNA) - (0.00000278 * E3_5_4_16)</v>
      </c>
      <c r="M364" s="71" t="str">
        <f t="shared" si="526"/>
        <v>mRNA363: -&gt; E3_5_4_16_mRNA | 0.00292 - (0.0093 * E3_5_4_16_mRNA)</v>
      </c>
      <c r="N364" s="72" t="str">
        <f t="shared" si="527"/>
        <v>Peptide363: E3_5_4_16_mRNA -&gt; E3_5_4_16 | (0.278 * E3_5_4_16_mRNA) - (0.000000278 * E3_5_4_16)</v>
      </c>
    </row>
    <row r="365" spans="1:14" ht="29" x14ac:dyDescent="0.35">
      <c r="A365" s="49">
        <v>364</v>
      </c>
      <c r="B365" s="49" t="s">
        <v>14868</v>
      </c>
      <c r="C365" s="49" t="str">
        <f t="shared" si="518"/>
        <v>E1_5_1_20_mRNA</v>
      </c>
      <c r="D365" s="49" t="str">
        <f t="shared" si="519"/>
        <v>E1_5_1_20</v>
      </c>
      <c r="E365" s="64" t="str">
        <f t="shared" si="520"/>
        <v>E1_5_1_20_kcat : 13.7</v>
      </c>
      <c r="F365" s="65" t="str">
        <f t="shared" si="521"/>
        <v>E1_5_1_20_km : 1</v>
      </c>
      <c r="G365" s="66" t="str">
        <f t="shared" ref="G365:H365" si="742">CONCATENATE(C365," : ",C365)</f>
        <v>E1_5_1_20_mRNA : E1_5_1_20_mRNA</v>
      </c>
      <c r="H365" s="67" t="str">
        <f t="shared" si="742"/>
        <v>E1_5_1_20 : E1_5_1_20</v>
      </c>
      <c r="I365" s="44" t="str">
        <f t="shared" ref="I365:J365" si="743">CONCATENATE(C365," : ","0")</f>
        <v>E1_5_1_20_mRNA : 0</v>
      </c>
      <c r="J365" s="68" t="str">
        <f t="shared" si="743"/>
        <v>E1_5_1_20 : 0</v>
      </c>
      <c r="K365" s="69" t="str">
        <f t="shared" si="524"/>
        <v>0.00292 - (0.0093 * E1_5_1_20_mRNA)</v>
      </c>
      <c r="L365" s="70" t="str">
        <f t="shared" si="525"/>
        <v>(0.278 * E1_5_1_20_mRNA) - (0.00000278 * E1_5_1_20)</v>
      </c>
      <c r="M365" s="71" t="str">
        <f t="shared" si="526"/>
        <v>mRNA364: -&gt; E1_5_1_20_mRNA | 0.00292 - (0.0093 * E1_5_1_20_mRNA)</v>
      </c>
      <c r="N365" s="72" t="str">
        <f t="shared" si="527"/>
        <v>Peptide364: E1_5_1_20_mRNA -&gt; E1_5_1_20 | (0.278 * E1_5_1_20_mRNA) - (0.000000278 * E1_5_1_20)</v>
      </c>
    </row>
    <row r="366" spans="1:14" ht="29" x14ac:dyDescent="0.35">
      <c r="A366" s="49">
        <v>365</v>
      </c>
      <c r="B366" s="49" t="s">
        <v>14869</v>
      </c>
      <c r="C366" s="49" t="str">
        <f t="shared" si="518"/>
        <v>E2_2_1_7_mRNA</v>
      </c>
      <c r="D366" s="49" t="str">
        <f t="shared" si="519"/>
        <v>E2_2_1_7</v>
      </c>
      <c r="E366" s="64" t="str">
        <f t="shared" si="520"/>
        <v>E2_2_1_7_kcat : 13.7</v>
      </c>
      <c r="F366" s="65" t="str">
        <f t="shared" si="521"/>
        <v>E2_2_1_7_km : 1</v>
      </c>
      <c r="G366" s="66" t="str">
        <f t="shared" ref="G366:H366" si="744">CONCATENATE(C366," : ",C366)</f>
        <v>E2_2_1_7_mRNA : E2_2_1_7_mRNA</v>
      </c>
      <c r="H366" s="67" t="str">
        <f t="shared" si="744"/>
        <v>E2_2_1_7 : E2_2_1_7</v>
      </c>
      <c r="I366" s="44" t="str">
        <f t="shared" ref="I366:J366" si="745">CONCATENATE(C366," : ","0")</f>
        <v>E2_2_1_7_mRNA : 0</v>
      </c>
      <c r="J366" s="68" t="str">
        <f t="shared" si="745"/>
        <v>E2_2_1_7 : 0</v>
      </c>
      <c r="K366" s="69" t="str">
        <f t="shared" si="524"/>
        <v>0.00292 - (0.0093 * E2_2_1_7_mRNA)</v>
      </c>
      <c r="L366" s="70" t="str">
        <f t="shared" si="525"/>
        <v>(0.278 * E2_2_1_7_mRNA) - (0.00000278 * E2_2_1_7)</v>
      </c>
      <c r="M366" s="71" t="str">
        <f t="shared" si="526"/>
        <v>mRNA365: -&gt; E2_2_1_7_mRNA | 0.00292 - (0.0093 * E2_2_1_7_mRNA)</v>
      </c>
      <c r="N366" s="72" t="str">
        <f t="shared" si="527"/>
        <v>Peptide365: E2_2_1_7_mRNA -&gt; E2_2_1_7 | (0.278 * E2_2_1_7_mRNA) - (0.000000278 * E2_2_1_7)</v>
      </c>
    </row>
    <row r="367" spans="1:14" ht="29" x14ac:dyDescent="0.35">
      <c r="A367" s="49">
        <v>366</v>
      </c>
      <c r="B367" s="49" t="s">
        <v>14870</v>
      </c>
      <c r="C367" s="49" t="str">
        <f t="shared" si="518"/>
        <v>E2_5_1_10_mRNA</v>
      </c>
      <c r="D367" s="49" t="str">
        <f t="shared" si="519"/>
        <v>E2_5_1_10</v>
      </c>
      <c r="E367" s="64" t="str">
        <f t="shared" si="520"/>
        <v>E2_5_1_10_kcat : 13.7</v>
      </c>
      <c r="F367" s="65" t="str">
        <f t="shared" si="521"/>
        <v>E2_5_1_10_km : 1</v>
      </c>
      <c r="G367" s="66" t="str">
        <f t="shared" ref="G367:H367" si="746">CONCATENATE(C367," : ",C367)</f>
        <v>E2_5_1_10_mRNA : E2_5_1_10_mRNA</v>
      </c>
      <c r="H367" s="67" t="str">
        <f t="shared" si="746"/>
        <v>E2_5_1_10 : E2_5_1_10</v>
      </c>
      <c r="I367" s="44" t="str">
        <f t="shared" ref="I367:J367" si="747">CONCATENATE(C367," : ","0")</f>
        <v>E2_5_1_10_mRNA : 0</v>
      </c>
      <c r="J367" s="68" t="str">
        <f t="shared" si="747"/>
        <v>E2_5_1_10 : 0</v>
      </c>
      <c r="K367" s="69" t="str">
        <f t="shared" si="524"/>
        <v>0.00292 - (0.0093 * E2_5_1_10_mRNA)</v>
      </c>
      <c r="L367" s="70" t="str">
        <f t="shared" si="525"/>
        <v>(0.278 * E2_5_1_10_mRNA) - (0.00000278 * E2_5_1_10)</v>
      </c>
      <c r="M367" s="71" t="str">
        <f t="shared" si="526"/>
        <v>mRNA366: -&gt; E2_5_1_10_mRNA | 0.00292 - (0.0093 * E2_5_1_10_mRNA)</v>
      </c>
      <c r="N367" s="72" t="str">
        <f t="shared" si="527"/>
        <v>Peptide366: E2_5_1_10_mRNA -&gt; E2_5_1_10 | (0.278 * E2_5_1_10_mRNA) - (0.000000278 * E2_5_1_10)</v>
      </c>
    </row>
    <row r="368" spans="1:14" ht="29" x14ac:dyDescent="0.35">
      <c r="A368" s="49">
        <v>367</v>
      </c>
      <c r="B368" s="49" t="s">
        <v>14871</v>
      </c>
      <c r="C368" s="49" t="str">
        <f t="shared" si="518"/>
        <v>E2_8_1_4_mRNA</v>
      </c>
      <c r="D368" s="49" t="str">
        <f t="shared" si="519"/>
        <v>E2_8_1_4</v>
      </c>
      <c r="E368" s="64" t="str">
        <f t="shared" si="520"/>
        <v>E2_8_1_4_kcat : 13.7</v>
      </c>
      <c r="F368" s="65" t="str">
        <f t="shared" si="521"/>
        <v>E2_8_1_4_km : 1</v>
      </c>
      <c r="G368" s="66" t="str">
        <f t="shared" ref="G368:H368" si="748">CONCATENATE(C368," : ",C368)</f>
        <v>E2_8_1_4_mRNA : E2_8_1_4_mRNA</v>
      </c>
      <c r="H368" s="67" t="str">
        <f t="shared" si="748"/>
        <v>E2_8_1_4 : E2_8_1_4</v>
      </c>
      <c r="I368" s="44" t="str">
        <f t="shared" ref="I368:J368" si="749">CONCATENATE(C368," : ","0")</f>
        <v>E2_8_1_4_mRNA : 0</v>
      </c>
      <c r="J368" s="68" t="str">
        <f t="shared" si="749"/>
        <v>E2_8_1_4 : 0</v>
      </c>
      <c r="K368" s="69" t="str">
        <f t="shared" si="524"/>
        <v>0.00292 - (0.0093 * E2_8_1_4_mRNA)</v>
      </c>
      <c r="L368" s="70" t="str">
        <f t="shared" si="525"/>
        <v>(0.278 * E2_8_1_4_mRNA) - (0.00000278 * E2_8_1_4)</v>
      </c>
      <c r="M368" s="71" t="str">
        <f t="shared" si="526"/>
        <v>mRNA367: -&gt; E2_8_1_4_mRNA | 0.00292 - (0.0093 * E2_8_1_4_mRNA)</v>
      </c>
      <c r="N368" s="72" t="str">
        <f t="shared" si="527"/>
        <v>Peptide367: E2_8_1_4_mRNA -&gt; E2_8_1_4 | (0.278 * E2_8_1_4_mRNA) - (0.000000278 * E2_8_1_4)</v>
      </c>
    </row>
    <row r="369" spans="1:14" ht="29" x14ac:dyDescent="0.35">
      <c r="A369" s="49">
        <v>368</v>
      </c>
      <c r="B369" s="49" t="s">
        <v>14993</v>
      </c>
      <c r="C369" s="49" t="str">
        <f t="shared" si="518"/>
        <v>E5_4_99_26_mRNA</v>
      </c>
      <c r="D369" s="49" t="str">
        <f t="shared" si="519"/>
        <v>E5_4_99_26</v>
      </c>
      <c r="E369" s="64" t="str">
        <f t="shared" si="520"/>
        <v>E5_4_99_26_kcat : 13.7</v>
      </c>
      <c r="F369" s="65" t="str">
        <f t="shared" si="521"/>
        <v>E5_4_99_26_km : 1</v>
      </c>
      <c r="G369" s="66" t="str">
        <f t="shared" ref="G369:H369" si="750">CONCATENATE(C369," : ",C369)</f>
        <v>E5_4_99_26_mRNA : E5_4_99_26_mRNA</v>
      </c>
      <c r="H369" s="67" t="str">
        <f t="shared" si="750"/>
        <v>E5_4_99_26 : E5_4_99_26</v>
      </c>
      <c r="I369" s="44" t="str">
        <f t="shared" ref="I369:J369" si="751">CONCATENATE(C369," : ","0")</f>
        <v>E5_4_99_26_mRNA : 0</v>
      </c>
      <c r="J369" s="68" t="str">
        <f t="shared" si="751"/>
        <v>E5_4_99_26 : 0</v>
      </c>
      <c r="K369" s="69" t="str">
        <f t="shared" si="524"/>
        <v>0.00292 - (0.0093 * E5_4_99_26_mRNA)</v>
      </c>
      <c r="L369" s="70" t="str">
        <f t="shared" si="525"/>
        <v>(0.278 * E5_4_99_26_mRNA) - (0.00000278 * E5_4_99_26)</v>
      </c>
      <c r="M369" s="71" t="str">
        <f t="shared" si="526"/>
        <v>mRNA368: -&gt; E5_4_99_26_mRNA | 0.00292 - (0.0093 * E5_4_99_26_mRNA)</v>
      </c>
      <c r="N369" s="72" t="str">
        <f t="shared" si="527"/>
        <v>Peptide368: E5_4_99_26_mRNA -&gt; E5_4_99_26 | (0.278 * E5_4_99_26_mRNA) - (0.000000278 * E5_4_99_26)</v>
      </c>
    </row>
    <row r="370" spans="1:14" ht="29" x14ac:dyDescent="0.35">
      <c r="A370" s="49">
        <v>369</v>
      </c>
      <c r="B370" s="49" t="s">
        <v>14872</v>
      </c>
      <c r="C370" s="49" t="str">
        <f t="shared" si="518"/>
        <v>E4_2_1_20_mRNA</v>
      </c>
      <c r="D370" s="49" t="str">
        <f t="shared" si="519"/>
        <v>E4_2_1_20</v>
      </c>
      <c r="E370" s="64" t="str">
        <f t="shared" si="520"/>
        <v>E4_2_1_20_kcat : 13.7</v>
      </c>
      <c r="F370" s="65" t="str">
        <f t="shared" si="521"/>
        <v>E4_2_1_20_km : 1</v>
      </c>
      <c r="G370" s="66" t="str">
        <f t="shared" ref="G370:H370" si="752">CONCATENATE(C370," : ",C370)</f>
        <v>E4_2_1_20_mRNA : E4_2_1_20_mRNA</v>
      </c>
      <c r="H370" s="67" t="str">
        <f t="shared" si="752"/>
        <v>E4_2_1_20 : E4_2_1_20</v>
      </c>
      <c r="I370" s="44" t="str">
        <f t="shared" ref="I370:J370" si="753">CONCATENATE(C370," : ","0")</f>
        <v>E4_2_1_20_mRNA : 0</v>
      </c>
      <c r="J370" s="68" t="str">
        <f t="shared" si="753"/>
        <v>E4_2_1_20 : 0</v>
      </c>
      <c r="K370" s="69" t="str">
        <f t="shared" si="524"/>
        <v>0.00292 - (0.0093 * E4_2_1_20_mRNA)</v>
      </c>
      <c r="L370" s="70" t="str">
        <f t="shared" si="525"/>
        <v>(0.278 * E4_2_1_20_mRNA) - (0.00000278 * E4_2_1_20)</v>
      </c>
      <c r="M370" s="71" t="str">
        <f t="shared" si="526"/>
        <v>mRNA369: -&gt; E4_2_1_20_mRNA | 0.00292 - (0.0093 * E4_2_1_20_mRNA)</v>
      </c>
      <c r="N370" s="72" t="str">
        <f t="shared" si="527"/>
        <v>Peptide369: E4_2_1_20_mRNA -&gt; E4_2_1_20 | (0.278 * E4_2_1_20_mRNA) - (0.000000278 * E4_2_1_20)</v>
      </c>
    </row>
    <row r="371" spans="1:14" ht="29" x14ac:dyDescent="0.35">
      <c r="A371" s="49">
        <v>370</v>
      </c>
      <c r="B371" s="49" t="s">
        <v>14873</v>
      </c>
      <c r="C371" s="49" t="str">
        <f t="shared" si="518"/>
        <v>E6_3_3_1_mRNA</v>
      </c>
      <c r="D371" s="49" t="str">
        <f t="shared" si="519"/>
        <v>E6_3_3_1</v>
      </c>
      <c r="E371" s="64" t="str">
        <f t="shared" si="520"/>
        <v>E6_3_3_1_kcat : 13.7</v>
      </c>
      <c r="F371" s="65" t="str">
        <f t="shared" si="521"/>
        <v>E6_3_3_1_km : 1</v>
      </c>
      <c r="G371" s="66" t="str">
        <f t="shared" ref="G371:H371" si="754">CONCATENATE(C371," : ",C371)</f>
        <v>E6_3_3_1_mRNA : E6_3_3_1_mRNA</v>
      </c>
      <c r="H371" s="67" t="str">
        <f t="shared" si="754"/>
        <v>E6_3_3_1 : E6_3_3_1</v>
      </c>
      <c r="I371" s="44" t="str">
        <f t="shared" ref="I371:J371" si="755">CONCATENATE(C371," : ","0")</f>
        <v>E6_3_3_1_mRNA : 0</v>
      </c>
      <c r="J371" s="68" t="str">
        <f t="shared" si="755"/>
        <v>E6_3_3_1 : 0</v>
      </c>
      <c r="K371" s="69" t="str">
        <f t="shared" si="524"/>
        <v>0.00292 - (0.0093 * E6_3_3_1_mRNA)</v>
      </c>
      <c r="L371" s="70" t="str">
        <f t="shared" si="525"/>
        <v>(0.278 * E6_3_3_1_mRNA) - (0.00000278 * E6_3_3_1)</v>
      </c>
      <c r="M371" s="71" t="str">
        <f t="shared" si="526"/>
        <v>mRNA370: -&gt; E6_3_3_1_mRNA | 0.00292 - (0.0093 * E6_3_3_1_mRNA)</v>
      </c>
      <c r="N371" s="72" t="str">
        <f t="shared" si="527"/>
        <v>Peptide370: E6_3_3_1_mRNA -&gt; E6_3_3_1 | (0.278 * E6_3_3_1_mRNA) - (0.000000278 * E6_3_3_1)</v>
      </c>
    </row>
    <row r="372" spans="1:14" ht="29" x14ac:dyDescent="0.35">
      <c r="A372" s="49">
        <v>371</v>
      </c>
      <c r="B372" s="49" t="s">
        <v>14874</v>
      </c>
      <c r="C372" s="49" t="str">
        <f t="shared" si="518"/>
        <v>E2_1_2_2_mRNA</v>
      </c>
      <c r="D372" s="49" t="str">
        <f t="shared" si="519"/>
        <v>E2_1_2_2</v>
      </c>
      <c r="E372" s="64" t="str">
        <f t="shared" si="520"/>
        <v>E2_1_2_2_kcat : 13.7</v>
      </c>
      <c r="F372" s="65" t="str">
        <f t="shared" si="521"/>
        <v>E2_1_2_2_km : 1</v>
      </c>
      <c r="G372" s="66" t="str">
        <f t="shared" ref="G372:H372" si="756">CONCATENATE(C372," : ",C372)</f>
        <v>E2_1_2_2_mRNA : E2_1_2_2_mRNA</v>
      </c>
      <c r="H372" s="67" t="str">
        <f t="shared" si="756"/>
        <v>E2_1_2_2 : E2_1_2_2</v>
      </c>
      <c r="I372" s="44" t="str">
        <f t="shared" ref="I372:J372" si="757">CONCATENATE(C372," : ","0")</f>
        <v>E2_1_2_2_mRNA : 0</v>
      </c>
      <c r="J372" s="68" t="str">
        <f t="shared" si="757"/>
        <v>E2_1_2_2 : 0</v>
      </c>
      <c r="K372" s="69" t="str">
        <f t="shared" si="524"/>
        <v>0.00292 - (0.0093 * E2_1_2_2_mRNA)</v>
      </c>
      <c r="L372" s="70" t="str">
        <f t="shared" si="525"/>
        <v>(0.278 * E2_1_2_2_mRNA) - (0.00000278 * E2_1_2_2)</v>
      </c>
      <c r="M372" s="71" t="str">
        <f t="shared" si="526"/>
        <v>mRNA371: -&gt; E2_1_2_2_mRNA | 0.00292 - (0.0093 * E2_1_2_2_mRNA)</v>
      </c>
      <c r="N372" s="72" t="str">
        <f t="shared" si="527"/>
        <v>Peptide371: E2_1_2_2_mRNA -&gt; E2_1_2_2 | (0.278 * E2_1_2_2_mRNA) - (0.000000278 * E2_1_2_2)</v>
      </c>
    </row>
    <row r="373" spans="1:14" ht="29" x14ac:dyDescent="0.35">
      <c r="A373" s="49">
        <v>372</v>
      </c>
      <c r="B373" s="49" t="s">
        <v>14875</v>
      </c>
      <c r="C373" s="49" t="str">
        <f t="shared" si="518"/>
        <v>E1_3_5_2_mRNA</v>
      </c>
      <c r="D373" s="49" t="str">
        <f t="shared" si="519"/>
        <v>E1_3_5_2</v>
      </c>
      <c r="E373" s="64" t="str">
        <f t="shared" si="520"/>
        <v>E1_3_5_2_kcat : 13.7</v>
      </c>
      <c r="F373" s="65" t="str">
        <f t="shared" si="521"/>
        <v>E1_3_5_2_km : 1</v>
      </c>
      <c r="G373" s="66" t="str">
        <f t="shared" ref="G373:H373" si="758">CONCATENATE(C373," : ",C373)</f>
        <v>E1_3_5_2_mRNA : E1_3_5_2_mRNA</v>
      </c>
      <c r="H373" s="67" t="str">
        <f t="shared" si="758"/>
        <v>E1_3_5_2 : E1_3_5_2</v>
      </c>
      <c r="I373" s="44" t="str">
        <f t="shared" ref="I373:J373" si="759">CONCATENATE(C373," : ","0")</f>
        <v>E1_3_5_2_mRNA : 0</v>
      </c>
      <c r="J373" s="68" t="str">
        <f t="shared" si="759"/>
        <v>E1_3_5_2 : 0</v>
      </c>
      <c r="K373" s="69" t="str">
        <f t="shared" si="524"/>
        <v>0.00292 - (0.0093 * E1_3_5_2_mRNA)</v>
      </c>
      <c r="L373" s="70" t="str">
        <f t="shared" si="525"/>
        <v>(0.278 * E1_3_5_2_mRNA) - (0.00000278 * E1_3_5_2)</v>
      </c>
      <c r="M373" s="71" t="str">
        <f t="shared" si="526"/>
        <v>mRNA372: -&gt; E1_3_5_2_mRNA | 0.00292 - (0.0093 * E1_3_5_2_mRNA)</v>
      </c>
      <c r="N373" s="72" t="str">
        <f t="shared" si="527"/>
        <v>Peptide372: E1_3_5_2_mRNA -&gt; E1_3_5_2 | (0.278 * E1_3_5_2_mRNA) - (0.000000278 * E1_3_5_2)</v>
      </c>
    </row>
    <row r="374" spans="1:14" ht="29" x14ac:dyDescent="0.35">
      <c r="A374" s="49">
        <v>373</v>
      </c>
      <c r="B374" s="49" t="s">
        <v>14876</v>
      </c>
      <c r="C374" s="49" t="str">
        <f t="shared" si="518"/>
        <v>E4_2_1_2_mRNA</v>
      </c>
      <c r="D374" s="49" t="str">
        <f t="shared" si="519"/>
        <v>E4_2_1_2</v>
      </c>
      <c r="E374" s="64" t="str">
        <f t="shared" si="520"/>
        <v>E4_2_1_2_kcat : 13.7</v>
      </c>
      <c r="F374" s="65" t="str">
        <f t="shared" si="521"/>
        <v>E4_2_1_2_km : 1</v>
      </c>
      <c r="G374" s="66" t="str">
        <f t="shared" ref="G374:H374" si="760">CONCATENATE(C374," : ",C374)</f>
        <v>E4_2_1_2_mRNA : E4_2_1_2_mRNA</v>
      </c>
      <c r="H374" s="67" t="str">
        <f t="shared" si="760"/>
        <v>E4_2_1_2 : E4_2_1_2</v>
      </c>
      <c r="I374" s="44" t="str">
        <f t="shared" ref="I374:J374" si="761">CONCATENATE(C374," : ","0")</f>
        <v>E4_2_1_2_mRNA : 0</v>
      </c>
      <c r="J374" s="68" t="str">
        <f t="shared" si="761"/>
        <v>E4_2_1_2 : 0</v>
      </c>
      <c r="K374" s="69" t="str">
        <f t="shared" si="524"/>
        <v>0.00292 - (0.0093 * E4_2_1_2_mRNA)</v>
      </c>
      <c r="L374" s="70" t="str">
        <f t="shared" si="525"/>
        <v>(0.278 * E4_2_1_2_mRNA) - (0.00000278 * E4_2_1_2)</v>
      </c>
      <c r="M374" s="71" t="str">
        <f t="shared" si="526"/>
        <v>mRNA373: -&gt; E4_2_1_2_mRNA | 0.00292 - (0.0093 * E4_2_1_2_mRNA)</v>
      </c>
      <c r="N374" s="72" t="str">
        <f t="shared" si="527"/>
        <v>Peptide373: E4_2_1_2_mRNA -&gt; E4_2_1_2 | (0.278 * E4_2_1_2_mRNA) - (0.000000278 * E4_2_1_2)</v>
      </c>
    </row>
    <row r="375" spans="1:14" ht="29" x14ac:dyDescent="0.35">
      <c r="A375" s="49">
        <v>374</v>
      </c>
      <c r="B375" s="49" t="s">
        <v>14877</v>
      </c>
      <c r="C375" s="49" t="str">
        <f t="shared" si="518"/>
        <v>E2_1_1_37_mRNA</v>
      </c>
      <c r="D375" s="49" t="str">
        <f t="shared" si="519"/>
        <v>E2_1_1_37</v>
      </c>
      <c r="E375" s="64" t="str">
        <f t="shared" si="520"/>
        <v>E2_1_1_37_kcat : 13.7</v>
      </c>
      <c r="F375" s="65" t="str">
        <f t="shared" si="521"/>
        <v>E2_1_1_37_km : 1</v>
      </c>
      <c r="G375" s="66" t="str">
        <f t="shared" ref="G375:H375" si="762">CONCATENATE(C375," : ",C375)</f>
        <v>E2_1_1_37_mRNA : E2_1_1_37_mRNA</v>
      </c>
      <c r="H375" s="67" t="str">
        <f t="shared" si="762"/>
        <v>E2_1_1_37 : E2_1_1_37</v>
      </c>
      <c r="I375" s="44" t="str">
        <f t="shared" ref="I375:J375" si="763">CONCATENATE(C375," : ","0")</f>
        <v>E2_1_1_37_mRNA : 0</v>
      </c>
      <c r="J375" s="68" t="str">
        <f t="shared" si="763"/>
        <v>E2_1_1_37 : 0</v>
      </c>
      <c r="K375" s="69" t="str">
        <f t="shared" si="524"/>
        <v>0.00292 - (0.0093 * E2_1_1_37_mRNA)</v>
      </c>
      <c r="L375" s="70" t="str">
        <f t="shared" si="525"/>
        <v>(0.278 * E2_1_1_37_mRNA) - (0.00000278 * E2_1_1_37)</v>
      </c>
      <c r="M375" s="71" t="str">
        <f t="shared" si="526"/>
        <v>mRNA374: -&gt; E2_1_1_37_mRNA | 0.00292 - (0.0093 * E2_1_1_37_mRNA)</v>
      </c>
      <c r="N375" s="72" t="str">
        <f t="shared" si="527"/>
        <v>Peptide374: E2_1_1_37_mRNA -&gt; E2_1_1_37 | (0.278 * E2_1_1_37_mRNA) - (0.000000278 * E2_1_1_37)</v>
      </c>
    </row>
    <row r="376" spans="1:14" ht="29" x14ac:dyDescent="0.35">
      <c r="A376" s="49">
        <v>375</v>
      </c>
      <c r="B376" s="49" t="s">
        <v>14878</v>
      </c>
      <c r="C376" s="49" t="str">
        <f t="shared" si="518"/>
        <v>E6_1_1_9_mRNA</v>
      </c>
      <c r="D376" s="49" t="str">
        <f t="shared" si="519"/>
        <v>E6_1_1_9</v>
      </c>
      <c r="E376" s="64" t="str">
        <f t="shared" si="520"/>
        <v>E6_1_1_9_kcat : 13.7</v>
      </c>
      <c r="F376" s="65" t="str">
        <f t="shared" si="521"/>
        <v>E6_1_1_9_km : 1</v>
      </c>
      <c r="G376" s="66" t="str">
        <f t="shared" ref="G376:H376" si="764">CONCATENATE(C376," : ",C376)</f>
        <v>E6_1_1_9_mRNA : E6_1_1_9_mRNA</v>
      </c>
      <c r="H376" s="67" t="str">
        <f t="shared" si="764"/>
        <v>E6_1_1_9 : E6_1_1_9</v>
      </c>
      <c r="I376" s="44" t="str">
        <f t="shared" ref="I376:J376" si="765">CONCATENATE(C376," : ","0")</f>
        <v>E6_1_1_9_mRNA : 0</v>
      </c>
      <c r="J376" s="68" t="str">
        <f t="shared" si="765"/>
        <v>E6_1_1_9 : 0</v>
      </c>
      <c r="K376" s="69" t="str">
        <f t="shared" si="524"/>
        <v>0.00292 - (0.0093 * E6_1_1_9_mRNA)</v>
      </c>
      <c r="L376" s="70" t="str">
        <f t="shared" si="525"/>
        <v>(0.278 * E6_1_1_9_mRNA) - (0.00000278 * E6_1_1_9)</v>
      </c>
      <c r="M376" s="71" t="str">
        <f t="shared" si="526"/>
        <v>mRNA375: -&gt; E6_1_1_9_mRNA | 0.00292 - (0.0093 * E6_1_1_9_mRNA)</v>
      </c>
      <c r="N376" s="72" t="str">
        <f t="shared" si="527"/>
        <v>Peptide375: E6_1_1_9_mRNA -&gt; E6_1_1_9 | (0.278 * E6_1_1_9_mRNA) - (0.000000278 * E6_1_1_9)</v>
      </c>
    </row>
    <row r="377" spans="1:14" ht="29" x14ac:dyDescent="0.35">
      <c r="A377" s="49">
        <v>376</v>
      </c>
      <c r="B377" s="49" t="s">
        <v>14879</v>
      </c>
      <c r="C377" s="49" t="str">
        <f t="shared" si="518"/>
        <v>E4_1_1_48_mRNA</v>
      </c>
      <c r="D377" s="49" t="str">
        <f t="shared" si="519"/>
        <v>E4_1_1_48</v>
      </c>
      <c r="E377" s="64" t="str">
        <f t="shared" si="520"/>
        <v>E4_1_1_48_kcat : 13.7</v>
      </c>
      <c r="F377" s="65" t="str">
        <f t="shared" si="521"/>
        <v>E4_1_1_48_km : 1</v>
      </c>
      <c r="G377" s="66" t="str">
        <f t="shared" ref="G377:H377" si="766">CONCATENATE(C377," : ",C377)</f>
        <v>E4_1_1_48_mRNA : E4_1_1_48_mRNA</v>
      </c>
      <c r="H377" s="67" t="str">
        <f t="shared" si="766"/>
        <v>E4_1_1_48 : E4_1_1_48</v>
      </c>
      <c r="I377" s="44" t="str">
        <f t="shared" ref="I377:J377" si="767">CONCATENATE(C377," : ","0")</f>
        <v>E4_1_1_48_mRNA : 0</v>
      </c>
      <c r="J377" s="68" t="str">
        <f t="shared" si="767"/>
        <v>E4_1_1_48 : 0</v>
      </c>
      <c r="K377" s="69" t="str">
        <f t="shared" si="524"/>
        <v>0.00292 - (0.0093 * E4_1_1_48_mRNA)</v>
      </c>
      <c r="L377" s="70" t="str">
        <f t="shared" si="525"/>
        <v>(0.278 * E4_1_1_48_mRNA) - (0.00000278 * E4_1_1_48)</v>
      </c>
      <c r="M377" s="71" t="str">
        <f t="shared" si="526"/>
        <v>mRNA376: -&gt; E4_1_1_48_mRNA | 0.00292 - (0.0093 * E4_1_1_48_mRNA)</v>
      </c>
      <c r="N377" s="72" t="str">
        <f t="shared" si="527"/>
        <v>Peptide376: E4_1_1_48_mRNA -&gt; E4_1_1_48 | (0.278 * E4_1_1_48_mRNA) - (0.000000278 * E4_1_1_48)</v>
      </c>
    </row>
    <row r="378" spans="1:14" ht="29" x14ac:dyDescent="0.35">
      <c r="A378" s="49">
        <v>377</v>
      </c>
      <c r="B378" s="49" t="s">
        <v>14994</v>
      </c>
      <c r="C378" s="49" t="str">
        <f t="shared" si="518"/>
        <v>E5_3_1_24_mRNA</v>
      </c>
      <c r="D378" s="49" t="str">
        <f t="shared" si="519"/>
        <v>E5_3_1_24</v>
      </c>
      <c r="E378" s="64" t="str">
        <f t="shared" si="520"/>
        <v>E5_3_1_24_kcat : 13.7</v>
      </c>
      <c r="F378" s="65" t="str">
        <f t="shared" si="521"/>
        <v>E5_3_1_24_km : 1</v>
      </c>
      <c r="G378" s="66" t="str">
        <f t="shared" ref="G378:H378" si="768">CONCATENATE(C378," : ",C378)</f>
        <v>E5_3_1_24_mRNA : E5_3_1_24_mRNA</v>
      </c>
      <c r="H378" s="67" t="str">
        <f t="shared" si="768"/>
        <v>E5_3_1_24 : E5_3_1_24</v>
      </c>
      <c r="I378" s="44" t="str">
        <f t="shared" ref="I378:J378" si="769">CONCATENATE(C378," : ","0")</f>
        <v>E5_3_1_24_mRNA : 0</v>
      </c>
      <c r="J378" s="68" t="str">
        <f t="shared" si="769"/>
        <v>E5_3_1_24 : 0</v>
      </c>
      <c r="K378" s="69" t="str">
        <f t="shared" si="524"/>
        <v>0.00292 - (0.0093 * E5_3_1_24_mRNA)</v>
      </c>
      <c r="L378" s="70" t="str">
        <f t="shared" si="525"/>
        <v>(0.278 * E5_3_1_24_mRNA) - (0.00000278 * E5_3_1_24)</v>
      </c>
      <c r="M378" s="71" t="str">
        <f t="shared" si="526"/>
        <v>mRNA377: -&gt; E5_3_1_24_mRNA | 0.00292 - (0.0093 * E5_3_1_24_mRNA)</v>
      </c>
      <c r="N378" s="72" t="str">
        <f t="shared" si="527"/>
        <v>Peptide377: E5_3_1_24_mRNA -&gt; E5_3_1_24 | (0.278 * E5_3_1_24_mRNA) - (0.000000278 * E5_3_1_24)</v>
      </c>
    </row>
    <row r="379" spans="1:14" ht="29" x14ac:dyDescent="0.35">
      <c r="A379" s="49">
        <v>378</v>
      </c>
      <c r="B379" s="49" t="s">
        <v>14995</v>
      </c>
      <c r="C379" s="49" t="str">
        <f t="shared" si="518"/>
        <v>E2_4_2_18_mRNA</v>
      </c>
      <c r="D379" s="49" t="str">
        <f t="shared" si="519"/>
        <v>E2_4_2_18</v>
      </c>
      <c r="E379" s="64" t="str">
        <f t="shared" si="520"/>
        <v>E2_4_2_18_kcat : 13.7</v>
      </c>
      <c r="F379" s="65" t="str">
        <f t="shared" si="521"/>
        <v>E2_4_2_18_km : 1</v>
      </c>
      <c r="G379" s="66" t="str">
        <f t="shared" ref="G379:H379" si="770">CONCATENATE(C379," : ",C379)</f>
        <v>E2_4_2_18_mRNA : E2_4_2_18_mRNA</v>
      </c>
      <c r="H379" s="67" t="str">
        <f t="shared" si="770"/>
        <v>E2_4_2_18 : E2_4_2_18</v>
      </c>
      <c r="I379" s="44" t="str">
        <f t="shared" ref="I379:J379" si="771">CONCATENATE(C379," : ","0")</f>
        <v>E2_4_2_18_mRNA : 0</v>
      </c>
      <c r="J379" s="68" t="str">
        <f t="shared" si="771"/>
        <v>E2_4_2_18 : 0</v>
      </c>
      <c r="K379" s="69" t="str">
        <f t="shared" si="524"/>
        <v>0.00292 - (0.0093 * E2_4_2_18_mRNA)</v>
      </c>
      <c r="L379" s="70" t="str">
        <f t="shared" si="525"/>
        <v>(0.278 * E2_4_2_18_mRNA) - (0.00000278 * E2_4_2_18)</v>
      </c>
      <c r="M379" s="71" t="str">
        <f t="shared" si="526"/>
        <v>mRNA378: -&gt; E2_4_2_18_mRNA | 0.00292 - (0.0093 * E2_4_2_18_mRNA)</v>
      </c>
      <c r="N379" s="72" t="str">
        <f t="shared" si="527"/>
        <v>Peptide378: E2_4_2_18_mRNA -&gt; E2_4_2_18 | (0.278 * E2_4_2_18_mRNA) - (0.000000278 * E2_4_2_18)</v>
      </c>
    </row>
    <row r="380" spans="1:14" ht="29" x14ac:dyDescent="0.35">
      <c r="A380" s="49">
        <v>379</v>
      </c>
      <c r="B380" s="49" t="s">
        <v>14880</v>
      </c>
      <c r="C380" s="49" t="str">
        <f t="shared" si="518"/>
        <v>E4_1_3_27_mRNA</v>
      </c>
      <c r="D380" s="49" t="str">
        <f t="shared" si="519"/>
        <v>E4_1_3_27</v>
      </c>
      <c r="E380" s="64" t="str">
        <f t="shared" si="520"/>
        <v>E4_1_3_27_kcat : 13.7</v>
      </c>
      <c r="F380" s="65" t="str">
        <f t="shared" si="521"/>
        <v>E4_1_3_27_km : 1</v>
      </c>
      <c r="G380" s="66" t="str">
        <f t="shared" ref="G380:H380" si="772">CONCATENATE(C380," : ",C380)</f>
        <v>E4_1_3_27_mRNA : E4_1_3_27_mRNA</v>
      </c>
      <c r="H380" s="67" t="str">
        <f t="shared" si="772"/>
        <v>E4_1_3_27 : E4_1_3_27</v>
      </c>
      <c r="I380" s="44" t="str">
        <f t="shared" ref="I380:J380" si="773">CONCATENATE(C380," : ","0")</f>
        <v>E4_1_3_27_mRNA : 0</v>
      </c>
      <c r="J380" s="68" t="str">
        <f t="shared" si="773"/>
        <v>E4_1_3_27 : 0</v>
      </c>
      <c r="K380" s="69" t="str">
        <f t="shared" si="524"/>
        <v>0.00292 - (0.0093 * E4_1_3_27_mRNA)</v>
      </c>
      <c r="L380" s="70" t="str">
        <f t="shared" si="525"/>
        <v>(0.278 * E4_1_3_27_mRNA) - (0.00000278 * E4_1_3_27)</v>
      </c>
      <c r="M380" s="71" t="str">
        <f t="shared" si="526"/>
        <v>mRNA379: -&gt; E4_1_3_27_mRNA | 0.00292 - (0.0093 * E4_1_3_27_mRNA)</v>
      </c>
      <c r="N380" s="72" t="str">
        <f t="shared" si="527"/>
        <v>Peptide379: E4_1_3_27_mRNA -&gt; E4_1_3_27 | (0.278 * E4_1_3_27_mRNA) - (0.000000278 * E4_1_3_27)</v>
      </c>
    </row>
    <row r="381" spans="1:14" ht="29" x14ac:dyDescent="0.35">
      <c r="A381" s="49">
        <v>380</v>
      </c>
      <c r="B381" s="49" t="s">
        <v>14881</v>
      </c>
      <c r="C381" s="49" t="str">
        <f t="shared" si="518"/>
        <v>E1_16_3_2_mRNA</v>
      </c>
      <c r="D381" s="49" t="str">
        <f t="shared" si="519"/>
        <v>E1_16_3_2</v>
      </c>
      <c r="E381" s="64" t="str">
        <f t="shared" si="520"/>
        <v>E1_16_3_2_kcat : 13.7</v>
      </c>
      <c r="F381" s="65" t="str">
        <f t="shared" si="521"/>
        <v>E1_16_3_2_km : 1</v>
      </c>
      <c r="G381" s="66" t="str">
        <f t="shared" ref="G381:H381" si="774">CONCATENATE(C381," : ",C381)</f>
        <v>E1_16_3_2_mRNA : E1_16_3_2_mRNA</v>
      </c>
      <c r="H381" s="67" t="str">
        <f t="shared" si="774"/>
        <v>E1_16_3_2 : E1_16_3_2</v>
      </c>
      <c r="I381" s="44" t="str">
        <f t="shared" ref="I381:J381" si="775">CONCATENATE(C381," : ","0")</f>
        <v>E1_16_3_2_mRNA : 0</v>
      </c>
      <c r="J381" s="68" t="str">
        <f t="shared" si="775"/>
        <v>E1_16_3_2 : 0</v>
      </c>
      <c r="K381" s="69" t="str">
        <f t="shared" si="524"/>
        <v>0.00292 - (0.0093 * E1_16_3_2_mRNA)</v>
      </c>
      <c r="L381" s="70" t="str">
        <f t="shared" si="525"/>
        <v>(0.278 * E1_16_3_2_mRNA) - (0.00000278 * E1_16_3_2)</v>
      </c>
      <c r="M381" s="71" t="str">
        <f t="shared" si="526"/>
        <v>mRNA380: -&gt; E1_16_3_2_mRNA | 0.00292 - (0.0093 * E1_16_3_2_mRNA)</v>
      </c>
      <c r="N381" s="72" t="str">
        <f t="shared" si="527"/>
        <v>Peptide380: E1_16_3_2_mRNA -&gt; E1_16_3_2 | (0.278 * E1_16_3_2_mRNA) - (0.000000278 * E1_16_3_2)</v>
      </c>
    </row>
    <row r="382" spans="1:14" ht="29" x14ac:dyDescent="0.35">
      <c r="A382" s="49">
        <v>381</v>
      </c>
      <c r="B382" s="49" t="s">
        <v>14996</v>
      </c>
      <c r="C382" s="49" t="str">
        <f t="shared" si="518"/>
        <v>E7_3_2_1_mRNA</v>
      </c>
      <c r="D382" s="49" t="str">
        <f t="shared" si="519"/>
        <v>E7_3_2_1</v>
      </c>
      <c r="E382" s="64" t="str">
        <f t="shared" si="520"/>
        <v>E7_3_2_1_kcat : 13.7</v>
      </c>
      <c r="F382" s="65" t="str">
        <f t="shared" si="521"/>
        <v>E7_3_2_1_km : 1</v>
      </c>
      <c r="G382" s="66" t="str">
        <f t="shared" ref="G382:H382" si="776">CONCATENATE(C382," : ",C382)</f>
        <v>E7_3_2_1_mRNA : E7_3_2_1_mRNA</v>
      </c>
      <c r="H382" s="67" t="str">
        <f t="shared" si="776"/>
        <v>E7_3_2_1 : E7_3_2_1</v>
      </c>
      <c r="I382" s="44" t="str">
        <f t="shared" ref="I382:J382" si="777">CONCATENATE(C382," : ","0")</f>
        <v>E7_3_2_1_mRNA : 0</v>
      </c>
      <c r="J382" s="68" t="str">
        <f t="shared" si="777"/>
        <v>E7_3_2_1 : 0</v>
      </c>
      <c r="K382" s="69" t="str">
        <f t="shared" si="524"/>
        <v>0.00292 - (0.0093 * E7_3_2_1_mRNA)</v>
      </c>
      <c r="L382" s="70" t="str">
        <f t="shared" si="525"/>
        <v>(0.278 * E7_3_2_1_mRNA) - (0.00000278 * E7_3_2_1)</v>
      </c>
      <c r="M382" s="71" t="str">
        <f t="shared" si="526"/>
        <v>mRNA381: -&gt; E7_3_2_1_mRNA | 0.00292 - (0.0093 * E7_3_2_1_mRNA)</v>
      </c>
      <c r="N382" s="72" t="str">
        <f t="shared" si="527"/>
        <v>Peptide381: E7_3_2_1_mRNA -&gt; E7_3_2_1 | (0.278 * E7_3_2_1_mRNA) - (0.000000278 * E7_3_2_1)</v>
      </c>
    </row>
    <row r="383" spans="1:14" ht="29" x14ac:dyDescent="0.35">
      <c r="A383" s="49">
        <v>382</v>
      </c>
      <c r="B383" s="49" t="s">
        <v>14997</v>
      </c>
      <c r="C383" s="49" t="str">
        <f t="shared" si="518"/>
        <v>E3_1_11_1_mRNA</v>
      </c>
      <c r="D383" s="49" t="str">
        <f t="shared" si="519"/>
        <v>E3_1_11_1</v>
      </c>
      <c r="E383" s="64" t="str">
        <f t="shared" si="520"/>
        <v>E3_1_11_1_kcat : 13.7</v>
      </c>
      <c r="F383" s="65" t="str">
        <f t="shared" si="521"/>
        <v>E3_1_11_1_km : 1</v>
      </c>
      <c r="G383" s="66" t="str">
        <f t="shared" ref="G383:H383" si="778">CONCATENATE(C383," : ",C383)</f>
        <v>E3_1_11_1_mRNA : E3_1_11_1_mRNA</v>
      </c>
      <c r="H383" s="67" t="str">
        <f t="shared" si="778"/>
        <v>E3_1_11_1 : E3_1_11_1</v>
      </c>
      <c r="I383" s="44" t="str">
        <f t="shared" ref="I383:J383" si="779">CONCATENATE(C383," : ","0")</f>
        <v>E3_1_11_1_mRNA : 0</v>
      </c>
      <c r="J383" s="68" t="str">
        <f t="shared" si="779"/>
        <v>E3_1_11_1 : 0</v>
      </c>
      <c r="K383" s="69" t="str">
        <f t="shared" si="524"/>
        <v>0.00292 - (0.0093 * E3_1_11_1_mRNA)</v>
      </c>
      <c r="L383" s="70" t="str">
        <f t="shared" si="525"/>
        <v>(0.278 * E3_1_11_1_mRNA) - (0.00000278 * E3_1_11_1)</v>
      </c>
      <c r="M383" s="71" t="str">
        <f t="shared" si="526"/>
        <v>mRNA382: -&gt; E3_1_11_1_mRNA | 0.00292 - (0.0093 * E3_1_11_1_mRNA)</v>
      </c>
      <c r="N383" s="72" t="str">
        <f t="shared" si="527"/>
        <v>Peptide382: E3_1_11_1_mRNA -&gt; E3_1_11_1 | (0.278 * E3_1_11_1_mRNA) - (0.000000278 * E3_1_11_1)</v>
      </c>
    </row>
    <row r="384" spans="1:14" ht="29" x14ac:dyDescent="0.35">
      <c r="A384" s="49">
        <v>383</v>
      </c>
      <c r="B384" s="49" t="s">
        <v>14882</v>
      </c>
      <c r="C384" s="49" t="str">
        <f t="shared" si="518"/>
        <v>E6_1_1_3_mRNA</v>
      </c>
      <c r="D384" s="49" t="str">
        <f t="shared" si="519"/>
        <v>E6_1_1_3</v>
      </c>
      <c r="E384" s="64" t="str">
        <f t="shared" si="520"/>
        <v>E6_1_1_3_kcat : 13.7</v>
      </c>
      <c r="F384" s="65" t="str">
        <f t="shared" si="521"/>
        <v>E6_1_1_3_km : 1</v>
      </c>
      <c r="G384" s="66" t="str">
        <f t="shared" ref="G384:H384" si="780">CONCATENATE(C384," : ",C384)</f>
        <v>E6_1_1_3_mRNA : E6_1_1_3_mRNA</v>
      </c>
      <c r="H384" s="67" t="str">
        <f t="shared" si="780"/>
        <v>E6_1_1_3 : E6_1_1_3</v>
      </c>
      <c r="I384" s="44" t="str">
        <f t="shared" ref="I384:J384" si="781">CONCATENATE(C384," : ","0")</f>
        <v>E6_1_1_3_mRNA : 0</v>
      </c>
      <c r="J384" s="68" t="str">
        <f t="shared" si="781"/>
        <v>E6_1_1_3 : 0</v>
      </c>
      <c r="K384" s="69" t="str">
        <f t="shared" si="524"/>
        <v>0.00292 - (0.0093 * E6_1_1_3_mRNA)</v>
      </c>
      <c r="L384" s="70" t="str">
        <f t="shared" si="525"/>
        <v>(0.278 * E6_1_1_3_mRNA) - (0.00000278 * E6_1_1_3)</v>
      </c>
      <c r="M384" s="71" t="str">
        <f t="shared" si="526"/>
        <v>mRNA383: -&gt; E6_1_1_3_mRNA | 0.00292 - (0.0093 * E6_1_1_3_mRNA)</v>
      </c>
      <c r="N384" s="72" t="str">
        <f t="shared" si="527"/>
        <v>Peptide383: E6_1_1_3_mRNA -&gt; E6_1_1_3 | (0.278 * E6_1_1_3_mRNA) - (0.000000278 * E6_1_1_3)</v>
      </c>
    </row>
    <row r="385" spans="1:14" ht="29" x14ac:dyDescent="0.35">
      <c r="A385" s="49">
        <v>384</v>
      </c>
      <c r="B385" s="49" t="s">
        <v>14998</v>
      </c>
      <c r="C385" s="49" t="str">
        <f t="shared" si="518"/>
        <v>E5_6_2_1_mRNA</v>
      </c>
      <c r="D385" s="49" t="str">
        <f t="shared" si="519"/>
        <v>E5_6_2_1</v>
      </c>
      <c r="E385" s="64" t="str">
        <f t="shared" si="520"/>
        <v>E5_6_2_1_kcat : 13.7</v>
      </c>
      <c r="F385" s="65" t="str">
        <f t="shared" si="521"/>
        <v>E5_6_2_1_km : 1</v>
      </c>
      <c r="G385" s="66" t="str">
        <f t="shared" ref="G385:H385" si="782">CONCATENATE(C385," : ",C385)</f>
        <v>E5_6_2_1_mRNA : E5_6_2_1_mRNA</v>
      </c>
      <c r="H385" s="67" t="str">
        <f t="shared" si="782"/>
        <v>E5_6_2_1 : E5_6_2_1</v>
      </c>
      <c r="I385" s="44" t="str">
        <f t="shared" ref="I385:J385" si="783">CONCATENATE(C385," : ","0")</f>
        <v>E5_6_2_1_mRNA : 0</v>
      </c>
      <c r="J385" s="68" t="str">
        <f t="shared" si="783"/>
        <v>E5_6_2_1 : 0</v>
      </c>
      <c r="K385" s="69" t="str">
        <f t="shared" si="524"/>
        <v>0.00292 - (0.0093 * E5_6_2_1_mRNA)</v>
      </c>
      <c r="L385" s="70" t="str">
        <f t="shared" si="525"/>
        <v>(0.278 * E5_6_2_1_mRNA) - (0.00000278 * E5_6_2_1)</v>
      </c>
      <c r="M385" s="71" t="str">
        <f t="shared" si="526"/>
        <v>mRNA384: -&gt; E5_6_2_1_mRNA | 0.00292 - (0.0093 * E5_6_2_1_mRNA)</v>
      </c>
      <c r="N385" s="72" t="str">
        <f t="shared" si="527"/>
        <v>Peptide384: E5_6_2_1_mRNA -&gt; E5_6_2_1 | (0.278 * E5_6_2_1_mRNA) - (0.000000278 * E5_6_2_1)</v>
      </c>
    </row>
    <row r="386" spans="1:14" ht="29" x14ac:dyDescent="0.35">
      <c r="A386" s="49">
        <v>385</v>
      </c>
      <c r="B386" s="49" t="s">
        <v>14999</v>
      </c>
      <c r="C386" s="49" t="str">
        <f t="shared" si="518"/>
        <v>E1_6_1_2_mRNA</v>
      </c>
      <c r="D386" s="49" t="str">
        <f t="shared" si="519"/>
        <v>E1_6_1_2</v>
      </c>
      <c r="E386" s="64" t="str">
        <f t="shared" si="520"/>
        <v>E1_6_1_2_kcat : 13.7</v>
      </c>
      <c r="F386" s="65" t="str">
        <f t="shared" si="521"/>
        <v>E1_6_1_2_km : 1</v>
      </c>
      <c r="G386" s="66" t="str">
        <f t="shared" ref="G386:H386" si="784">CONCATENATE(C386," : ",C386)</f>
        <v>E1_6_1_2_mRNA : E1_6_1_2_mRNA</v>
      </c>
      <c r="H386" s="67" t="str">
        <f t="shared" si="784"/>
        <v>E1_6_1_2 : E1_6_1_2</v>
      </c>
      <c r="I386" s="44" t="str">
        <f t="shared" ref="I386:J386" si="785">CONCATENATE(C386," : ","0")</f>
        <v>E1_6_1_2_mRNA : 0</v>
      </c>
      <c r="J386" s="68" t="str">
        <f t="shared" si="785"/>
        <v>E1_6_1_2 : 0</v>
      </c>
      <c r="K386" s="69" t="str">
        <f t="shared" si="524"/>
        <v>0.00292 - (0.0093 * E1_6_1_2_mRNA)</v>
      </c>
      <c r="L386" s="70" t="str">
        <f t="shared" si="525"/>
        <v>(0.278 * E1_6_1_2_mRNA) - (0.00000278 * E1_6_1_2)</v>
      </c>
      <c r="M386" s="71" t="str">
        <f t="shared" si="526"/>
        <v>mRNA385: -&gt; E1_6_1_2_mRNA | 0.00292 - (0.0093 * E1_6_1_2_mRNA)</v>
      </c>
      <c r="N386" s="72" t="str">
        <f t="shared" si="527"/>
        <v>Peptide385: E1_6_1_2_mRNA -&gt; E1_6_1_2 | (0.278 * E1_6_1_2_mRNA) - (0.000000278 * E1_6_1_2)</v>
      </c>
    </row>
    <row r="387" spans="1:14" ht="29" x14ac:dyDescent="0.35">
      <c r="A387" s="49">
        <v>386</v>
      </c>
      <c r="B387" s="49" t="s">
        <v>14883</v>
      </c>
      <c r="C387" s="49" t="str">
        <f t="shared" si="518"/>
        <v>E2_4_1_21_mRNA</v>
      </c>
      <c r="D387" s="49" t="str">
        <f t="shared" si="519"/>
        <v>E2_4_1_21</v>
      </c>
      <c r="E387" s="64" t="str">
        <f t="shared" si="520"/>
        <v>E2_4_1_21_kcat : 13.7</v>
      </c>
      <c r="F387" s="65" t="str">
        <f t="shared" si="521"/>
        <v>E2_4_1_21_km : 1</v>
      </c>
      <c r="G387" s="66" t="str">
        <f t="shared" ref="G387:H387" si="786">CONCATENATE(C387," : ",C387)</f>
        <v>E2_4_1_21_mRNA : E2_4_1_21_mRNA</v>
      </c>
      <c r="H387" s="67" t="str">
        <f t="shared" si="786"/>
        <v>E2_4_1_21 : E2_4_1_21</v>
      </c>
      <c r="I387" s="44" t="str">
        <f t="shared" ref="I387:J387" si="787">CONCATENATE(C387," : ","0")</f>
        <v>E2_4_1_21_mRNA : 0</v>
      </c>
      <c r="J387" s="68" t="str">
        <f t="shared" si="787"/>
        <v>E2_4_1_21 : 0</v>
      </c>
      <c r="K387" s="69" t="str">
        <f t="shared" si="524"/>
        <v>0.00292 - (0.0093 * E2_4_1_21_mRNA)</v>
      </c>
      <c r="L387" s="70" t="str">
        <f t="shared" si="525"/>
        <v>(0.278 * E2_4_1_21_mRNA) - (0.00000278 * E2_4_1_21)</v>
      </c>
      <c r="M387" s="71" t="str">
        <f t="shared" si="526"/>
        <v>mRNA386: -&gt; E2_4_1_21_mRNA | 0.00292 - (0.0093 * E2_4_1_21_mRNA)</v>
      </c>
      <c r="N387" s="72" t="str">
        <f t="shared" si="527"/>
        <v>Peptide386: E2_4_1_21_mRNA -&gt; E2_4_1_21 | (0.278 * E2_4_1_21_mRNA) - (0.000000278 * E2_4_1_21)</v>
      </c>
    </row>
    <row r="388" spans="1:14" ht="29" x14ac:dyDescent="0.35">
      <c r="A388" s="49">
        <v>387</v>
      </c>
      <c r="B388" s="49" t="s">
        <v>14884</v>
      </c>
      <c r="C388" s="49" t="str">
        <f t="shared" si="518"/>
        <v>E2_7_7_27_mRNA</v>
      </c>
      <c r="D388" s="49" t="str">
        <f t="shared" si="519"/>
        <v>E2_7_7_27</v>
      </c>
      <c r="E388" s="64" t="str">
        <f t="shared" si="520"/>
        <v>E2_7_7_27_kcat : 13.7</v>
      </c>
      <c r="F388" s="65" t="str">
        <f t="shared" si="521"/>
        <v>E2_7_7_27_km : 1</v>
      </c>
      <c r="G388" s="66" t="str">
        <f t="shared" ref="G388:H388" si="788">CONCATENATE(C388," : ",C388)</f>
        <v>E2_7_7_27_mRNA : E2_7_7_27_mRNA</v>
      </c>
      <c r="H388" s="67" t="str">
        <f t="shared" si="788"/>
        <v>E2_7_7_27 : E2_7_7_27</v>
      </c>
      <c r="I388" s="44" t="str">
        <f t="shared" ref="I388:J388" si="789">CONCATENATE(C388," : ","0")</f>
        <v>E2_7_7_27_mRNA : 0</v>
      </c>
      <c r="J388" s="68" t="str">
        <f t="shared" si="789"/>
        <v>E2_7_7_27 : 0</v>
      </c>
      <c r="K388" s="69" t="str">
        <f t="shared" si="524"/>
        <v>0.00292 - (0.0093 * E2_7_7_27_mRNA)</v>
      </c>
      <c r="L388" s="70" t="str">
        <f t="shared" si="525"/>
        <v>(0.278 * E2_7_7_27_mRNA) - (0.00000278 * E2_7_7_27)</v>
      </c>
      <c r="M388" s="71" t="str">
        <f t="shared" si="526"/>
        <v>mRNA387: -&gt; E2_7_7_27_mRNA | 0.00292 - (0.0093 * E2_7_7_27_mRNA)</v>
      </c>
      <c r="N388" s="72" t="str">
        <f t="shared" si="527"/>
        <v>Peptide387: E2_7_7_27_mRNA -&gt; E2_7_7_27 | (0.278 * E2_7_7_27_mRNA) - (0.000000278 * E2_7_7_27)</v>
      </c>
    </row>
    <row r="389" spans="1:14" ht="29" x14ac:dyDescent="0.35">
      <c r="A389" s="49">
        <v>388</v>
      </c>
      <c r="B389" s="49" t="s">
        <v>14885</v>
      </c>
      <c r="C389" s="49" t="str">
        <f t="shared" si="518"/>
        <v>E2_4_1_18_mRNA</v>
      </c>
      <c r="D389" s="49" t="str">
        <f t="shared" si="519"/>
        <v>E2_4_1_18</v>
      </c>
      <c r="E389" s="64" t="str">
        <f t="shared" si="520"/>
        <v>E2_4_1_18_kcat : 13.7</v>
      </c>
      <c r="F389" s="65" t="str">
        <f t="shared" si="521"/>
        <v>E2_4_1_18_km : 1</v>
      </c>
      <c r="G389" s="66" t="str">
        <f t="shared" ref="G389:H389" si="790">CONCATENATE(C389," : ",C389)</f>
        <v>E2_4_1_18_mRNA : E2_4_1_18_mRNA</v>
      </c>
      <c r="H389" s="67" t="str">
        <f t="shared" si="790"/>
        <v>E2_4_1_18 : E2_4_1_18</v>
      </c>
      <c r="I389" s="44" t="str">
        <f t="shared" ref="I389:J389" si="791">CONCATENATE(C389," : ","0")</f>
        <v>E2_4_1_18_mRNA : 0</v>
      </c>
      <c r="J389" s="68" t="str">
        <f t="shared" si="791"/>
        <v>E2_4_1_18 : 0</v>
      </c>
      <c r="K389" s="69" t="str">
        <f t="shared" si="524"/>
        <v>0.00292 - (0.0093 * E2_4_1_18_mRNA)</v>
      </c>
      <c r="L389" s="70" t="str">
        <f t="shared" si="525"/>
        <v>(0.278 * E2_4_1_18_mRNA) - (0.00000278 * E2_4_1_18)</v>
      </c>
      <c r="M389" s="71" t="str">
        <f t="shared" si="526"/>
        <v>mRNA388: -&gt; E2_4_1_18_mRNA | 0.00292 - (0.0093 * E2_4_1_18_mRNA)</v>
      </c>
      <c r="N389" s="72" t="str">
        <f t="shared" si="527"/>
        <v>Peptide388: E2_4_1_18_mRNA -&gt; E2_4_1_18 | (0.278 * E2_4_1_18_mRNA) - (0.000000278 * E2_4_1_18)</v>
      </c>
    </row>
    <row r="390" spans="1:14" ht="29" x14ac:dyDescent="0.35">
      <c r="A390" s="49">
        <v>389</v>
      </c>
      <c r="B390" s="49" t="s">
        <v>15000</v>
      </c>
      <c r="C390" s="49" t="str">
        <f t="shared" si="518"/>
        <v>E2_4_1_25_mRNA</v>
      </c>
      <c r="D390" s="49" t="str">
        <f t="shared" si="519"/>
        <v>E2_4_1_25</v>
      </c>
      <c r="E390" s="64" t="str">
        <f t="shared" si="520"/>
        <v>E2_4_1_25_kcat : 13.7</v>
      </c>
      <c r="F390" s="65" t="str">
        <f t="shared" si="521"/>
        <v>E2_4_1_25_km : 1</v>
      </c>
      <c r="G390" s="66" t="str">
        <f t="shared" ref="G390:H390" si="792">CONCATENATE(C390," : ",C390)</f>
        <v>E2_4_1_25_mRNA : E2_4_1_25_mRNA</v>
      </c>
      <c r="H390" s="67" t="str">
        <f t="shared" si="792"/>
        <v>E2_4_1_25 : E2_4_1_25</v>
      </c>
      <c r="I390" s="44" t="str">
        <f t="shared" ref="I390:J390" si="793">CONCATENATE(C390," : ","0")</f>
        <v>E2_4_1_25_mRNA : 0</v>
      </c>
      <c r="J390" s="68" t="str">
        <f t="shared" si="793"/>
        <v>E2_4_1_25 : 0</v>
      </c>
      <c r="K390" s="69" t="str">
        <f t="shared" si="524"/>
        <v>0.00292 - (0.0093 * E2_4_1_25_mRNA)</v>
      </c>
      <c r="L390" s="70" t="str">
        <f t="shared" si="525"/>
        <v>(0.278 * E2_4_1_25_mRNA) - (0.00000278 * E2_4_1_25)</v>
      </c>
      <c r="M390" s="71" t="str">
        <f t="shared" si="526"/>
        <v>mRNA389: -&gt; E2_4_1_25_mRNA | 0.00292 - (0.0093 * E2_4_1_25_mRNA)</v>
      </c>
      <c r="N390" s="72" t="str">
        <f t="shared" si="527"/>
        <v>Peptide389: E2_4_1_25_mRNA -&gt; E2_4_1_25 | (0.278 * E2_4_1_25_mRNA) - (0.000000278 * E2_4_1_25)</v>
      </c>
    </row>
    <row r="391" spans="1:14" ht="29" x14ac:dyDescent="0.35">
      <c r="A391" s="49">
        <v>390</v>
      </c>
      <c r="B391" s="49" t="s">
        <v>14886</v>
      </c>
      <c r="C391" s="49" t="str">
        <f t="shared" si="518"/>
        <v>E6_1_1_18_mRNA</v>
      </c>
      <c r="D391" s="49" t="str">
        <f t="shared" si="519"/>
        <v>E6_1_1_18</v>
      </c>
      <c r="E391" s="64" t="str">
        <f t="shared" si="520"/>
        <v>E6_1_1_18_kcat : 13.7</v>
      </c>
      <c r="F391" s="65" t="str">
        <f t="shared" si="521"/>
        <v>E6_1_1_18_km : 1</v>
      </c>
      <c r="G391" s="66" t="str">
        <f t="shared" ref="G391:H391" si="794">CONCATENATE(C391," : ",C391)</f>
        <v>E6_1_1_18_mRNA : E6_1_1_18_mRNA</v>
      </c>
      <c r="H391" s="67" t="str">
        <f t="shared" si="794"/>
        <v>E6_1_1_18 : E6_1_1_18</v>
      </c>
      <c r="I391" s="44" t="str">
        <f t="shared" ref="I391:J391" si="795">CONCATENATE(C391," : ","0")</f>
        <v>E6_1_1_18_mRNA : 0</v>
      </c>
      <c r="J391" s="68" t="str">
        <f t="shared" si="795"/>
        <v>E6_1_1_18 : 0</v>
      </c>
      <c r="K391" s="69" t="str">
        <f t="shared" si="524"/>
        <v>0.00292 - (0.0093 * E6_1_1_18_mRNA)</v>
      </c>
      <c r="L391" s="70" t="str">
        <f t="shared" si="525"/>
        <v>(0.278 * E6_1_1_18_mRNA) - (0.00000278 * E6_1_1_18)</v>
      </c>
      <c r="M391" s="71" t="str">
        <f t="shared" si="526"/>
        <v>mRNA390: -&gt; E6_1_1_18_mRNA | 0.00292 - (0.0093 * E6_1_1_18_mRNA)</v>
      </c>
      <c r="N391" s="72" t="str">
        <f t="shared" si="527"/>
        <v>Peptide390: E6_1_1_18_mRNA -&gt; E6_1_1_18 | (0.278 * E6_1_1_18_mRNA) - (0.000000278 * E6_1_1_18)</v>
      </c>
    </row>
    <row r="392" spans="1:14" ht="29" x14ac:dyDescent="0.35">
      <c r="A392" s="49">
        <v>391</v>
      </c>
      <c r="B392" s="49" t="s">
        <v>14887</v>
      </c>
      <c r="C392" s="49" t="str">
        <f t="shared" si="518"/>
        <v>E3_5_4_5_mRNA</v>
      </c>
      <c r="D392" s="49" t="str">
        <f t="shared" si="519"/>
        <v>E3_5_4_5</v>
      </c>
      <c r="E392" s="64" t="str">
        <f t="shared" si="520"/>
        <v>E3_5_4_5_kcat : 13.7</v>
      </c>
      <c r="F392" s="65" t="str">
        <f t="shared" si="521"/>
        <v>E3_5_4_5_km : 1</v>
      </c>
      <c r="G392" s="66" t="str">
        <f t="shared" ref="G392:H392" si="796">CONCATENATE(C392," : ",C392)</f>
        <v>E3_5_4_5_mRNA : E3_5_4_5_mRNA</v>
      </c>
      <c r="H392" s="67" t="str">
        <f t="shared" si="796"/>
        <v>E3_5_4_5 : E3_5_4_5</v>
      </c>
      <c r="I392" s="44" t="str">
        <f t="shared" ref="I392:J392" si="797">CONCATENATE(C392," : ","0")</f>
        <v>E3_5_4_5_mRNA : 0</v>
      </c>
      <c r="J392" s="68" t="str">
        <f t="shared" si="797"/>
        <v>E3_5_4_5 : 0</v>
      </c>
      <c r="K392" s="69" t="str">
        <f t="shared" si="524"/>
        <v>0.00292 - (0.0093 * E3_5_4_5_mRNA)</v>
      </c>
      <c r="L392" s="70" t="str">
        <f t="shared" si="525"/>
        <v>(0.278 * E3_5_4_5_mRNA) - (0.00000278 * E3_5_4_5)</v>
      </c>
      <c r="M392" s="71" t="str">
        <f t="shared" si="526"/>
        <v>mRNA391: -&gt; E3_5_4_5_mRNA | 0.00292 - (0.0093 * E3_5_4_5_mRNA)</v>
      </c>
      <c r="N392" s="72" t="str">
        <f t="shared" si="527"/>
        <v>Peptide391: E3_5_4_5_mRNA -&gt; E3_5_4_5 | (0.278 * E3_5_4_5_mRNA) - (0.000000278 * E3_5_4_5)</v>
      </c>
    </row>
    <row r="393" spans="1:14" ht="29" x14ac:dyDescent="0.35">
      <c r="A393" s="49">
        <v>392</v>
      </c>
      <c r="B393" s="49" t="s">
        <v>15001</v>
      </c>
      <c r="C393" s="49" t="str">
        <f t="shared" si="518"/>
        <v>E3_4_11_4_mRNA</v>
      </c>
      <c r="D393" s="49" t="str">
        <f t="shared" si="519"/>
        <v>E3_4_11_4</v>
      </c>
      <c r="E393" s="64" t="str">
        <f t="shared" si="520"/>
        <v>E3_4_11_4_kcat : 13.7</v>
      </c>
      <c r="F393" s="65" t="str">
        <f t="shared" si="521"/>
        <v>E3_4_11_4_km : 1</v>
      </c>
      <c r="G393" s="66" t="str">
        <f t="shared" ref="G393:H393" si="798">CONCATENATE(C393," : ",C393)</f>
        <v>E3_4_11_4_mRNA : E3_4_11_4_mRNA</v>
      </c>
      <c r="H393" s="67" t="str">
        <f t="shared" si="798"/>
        <v>E3_4_11_4 : E3_4_11_4</v>
      </c>
      <c r="I393" s="44" t="str">
        <f t="shared" ref="I393:J393" si="799">CONCATENATE(C393," : ","0")</f>
        <v>E3_4_11_4_mRNA : 0</v>
      </c>
      <c r="J393" s="68" t="str">
        <f t="shared" si="799"/>
        <v>E3_4_11_4 : 0</v>
      </c>
      <c r="K393" s="69" t="str">
        <f t="shared" si="524"/>
        <v>0.00292 - (0.0093 * E3_4_11_4_mRNA)</v>
      </c>
      <c r="L393" s="70" t="str">
        <f t="shared" si="525"/>
        <v>(0.278 * E3_4_11_4_mRNA) - (0.00000278 * E3_4_11_4)</v>
      </c>
      <c r="M393" s="71" t="str">
        <f t="shared" si="526"/>
        <v>mRNA392: -&gt; E3_4_11_4_mRNA | 0.00292 - (0.0093 * E3_4_11_4_mRNA)</v>
      </c>
      <c r="N393" s="72" t="str">
        <f t="shared" si="527"/>
        <v>Peptide392: E3_4_11_4_mRNA -&gt; E3_4_11_4 | (0.278 * E3_4_11_4_mRNA) - (0.000000278 * E3_4_11_4)</v>
      </c>
    </row>
    <row r="394" spans="1:14" ht="29" x14ac:dyDescent="0.35">
      <c r="A394" s="49">
        <v>393</v>
      </c>
      <c r="B394" s="49" t="s">
        <v>14888</v>
      </c>
      <c r="C394" s="49" t="str">
        <f t="shared" si="518"/>
        <v>E1_7_1_13_mRNA</v>
      </c>
      <c r="D394" s="49" t="str">
        <f t="shared" si="519"/>
        <v>E1_7_1_13</v>
      </c>
      <c r="E394" s="64" t="str">
        <f t="shared" si="520"/>
        <v>E1_7_1_13_kcat : 13.7</v>
      </c>
      <c r="F394" s="65" t="str">
        <f t="shared" si="521"/>
        <v>E1_7_1_13_km : 1</v>
      </c>
      <c r="G394" s="66" t="str">
        <f t="shared" ref="G394:H394" si="800">CONCATENATE(C394," : ",C394)</f>
        <v>E1_7_1_13_mRNA : E1_7_1_13_mRNA</v>
      </c>
      <c r="H394" s="67" t="str">
        <f t="shared" si="800"/>
        <v>E1_7_1_13 : E1_7_1_13</v>
      </c>
      <c r="I394" s="44" t="str">
        <f t="shared" ref="I394:J394" si="801">CONCATENATE(C394," : ","0")</f>
        <v>E1_7_1_13_mRNA : 0</v>
      </c>
      <c r="J394" s="68" t="str">
        <f t="shared" si="801"/>
        <v>E1_7_1_13 : 0</v>
      </c>
      <c r="K394" s="69" t="str">
        <f t="shared" si="524"/>
        <v>0.00292 - (0.0093 * E1_7_1_13_mRNA)</v>
      </c>
      <c r="L394" s="70" t="str">
        <f t="shared" si="525"/>
        <v>(0.278 * E1_7_1_13_mRNA) - (0.00000278 * E1_7_1_13)</v>
      </c>
      <c r="M394" s="71" t="str">
        <f t="shared" si="526"/>
        <v>mRNA393: -&gt; E1_7_1_13_mRNA | 0.00292 - (0.0093 * E1_7_1_13_mRNA)</v>
      </c>
      <c r="N394" s="72" t="str">
        <f t="shared" si="527"/>
        <v>Peptide393: E1_7_1_13_mRNA -&gt; E1_7_1_13 | (0.278 * E1_7_1_13_mRNA) - (0.000000278 * E1_7_1_13)</v>
      </c>
    </row>
    <row r="395" spans="1:14" ht="29" x14ac:dyDescent="0.35">
      <c r="A395" s="49">
        <v>394</v>
      </c>
      <c r="B395" s="49" t="s">
        <v>14889</v>
      </c>
      <c r="C395" s="49" t="str">
        <f t="shared" si="518"/>
        <v>E1_3_1_12_mRNA</v>
      </c>
      <c r="D395" s="49" t="str">
        <f t="shared" si="519"/>
        <v>E1_3_1_12</v>
      </c>
      <c r="E395" s="64" t="str">
        <f t="shared" si="520"/>
        <v>E1_3_1_12_kcat : 13.7</v>
      </c>
      <c r="F395" s="65" t="str">
        <f t="shared" si="521"/>
        <v>E1_3_1_12_km : 1</v>
      </c>
      <c r="G395" s="66" t="str">
        <f t="shared" ref="G395:H395" si="802">CONCATENATE(C395," : ",C395)</f>
        <v>E1_3_1_12_mRNA : E1_3_1_12_mRNA</v>
      </c>
      <c r="H395" s="67" t="str">
        <f t="shared" si="802"/>
        <v>E1_3_1_12 : E1_3_1_12</v>
      </c>
      <c r="I395" s="44" t="str">
        <f t="shared" ref="I395:J395" si="803">CONCATENATE(C395," : ","0")</f>
        <v>E1_3_1_12_mRNA : 0</v>
      </c>
      <c r="J395" s="68" t="str">
        <f t="shared" si="803"/>
        <v>E1_3_1_12 : 0</v>
      </c>
      <c r="K395" s="69" t="str">
        <f t="shared" si="524"/>
        <v>0.00292 - (0.0093 * E1_3_1_12_mRNA)</v>
      </c>
      <c r="L395" s="70" t="str">
        <f t="shared" si="525"/>
        <v>(0.278 * E1_3_1_12_mRNA) - (0.00000278 * E1_3_1_12)</v>
      </c>
      <c r="M395" s="71" t="str">
        <f t="shared" si="526"/>
        <v>mRNA394: -&gt; E1_3_1_12_mRNA | 0.00292 - (0.0093 * E1_3_1_12_mRNA)</v>
      </c>
      <c r="N395" s="72" t="str">
        <f t="shared" si="527"/>
        <v>Peptide394: E1_3_1_12_mRNA -&gt; E1_3_1_12 | (0.278 * E1_3_1_12_mRNA) - (0.000000278 * E1_3_1_12)</v>
      </c>
    </row>
    <row r="396" spans="1:14" ht="29" x14ac:dyDescent="0.35">
      <c r="A396" s="49">
        <v>395</v>
      </c>
      <c r="B396" s="49" t="s">
        <v>14890</v>
      </c>
      <c r="C396" s="49" t="str">
        <f t="shared" si="518"/>
        <v>E5_4_99_5_mRNA</v>
      </c>
      <c r="D396" s="49" t="str">
        <f t="shared" si="519"/>
        <v>E5_4_99_5</v>
      </c>
      <c r="E396" s="64" t="str">
        <f t="shared" si="520"/>
        <v>E5_4_99_5_kcat : 13.7</v>
      </c>
      <c r="F396" s="65" t="str">
        <f t="shared" si="521"/>
        <v>E5_4_99_5_km : 1</v>
      </c>
      <c r="G396" s="66" t="str">
        <f t="shared" ref="G396:H396" si="804">CONCATENATE(C396," : ",C396)</f>
        <v>E5_4_99_5_mRNA : E5_4_99_5_mRNA</v>
      </c>
      <c r="H396" s="67" t="str">
        <f t="shared" si="804"/>
        <v>E5_4_99_5 : E5_4_99_5</v>
      </c>
      <c r="I396" s="44" t="str">
        <f t="shared" ref="I396:J396" si="805">CONCATENATE(C396," : ","0")</f>
        <v>E5_4_99_5_mRNA : 0</v>
      </c>
      <c r="J396" s="68" t="str">
        <f t="shared" si="805"/>
        <v>E5_4_99_5 : 0</v>
      </c>
      <c r="K396" s="69" t="str">
        <f t="shared" si="524"/>
        <v>0.00292 - (0.0093 * E5_4_99_5_mRNA)</v>
      </c>
      <c r="L396" s="70" t="str">
        <f t="shared" si="525"/>
        <v>(0.278 * E5_4_99_5_mRNA) - (0.00000278 * E5_4_99_5)</v>
      </c>
      <c r="M396" s="71" t="str">
        <f t="shared" si="526"/>
        <v>mRNA395: -&gt; E5_4_99_5_mRNA | 0.00292 - (0.0093 * E5_4_99_5_mRNA)</v>
      </c>
      <c r="N396" s="72" t="str">
        <f t="shared" si="527"/>
        <v>Peptide395: E5_4_99_5_mRNA -&gt; E5_4_99_5 | (0.278 * E5_4_99_5_mRNA) - (0.000000278 * E5_4_99_5)</v>
      </c>
    </row>
    <row r="397" spans="1:14" ht="29" x14ac:dyDescent="0.35">
      <c r="A397" s="49">
        <v>396</v>
      </c>
      <c r="B397" s="49" t="s">
        <v>15002</v>
      </c>
      <c r="C397" s="49" t="str">
        <f t="shared" si="518"/>
        <v>E5_4_99_25_mRNA</v>
      </c>
      <c r="D397" s="49" t="str">
        <f t="shared" si="519"/>
        <v>E5_4_99_25</v>
      </c>
      <c r="E397" s="64" t="str">
        <f t="shared" si="520"/>
        <v>E5_4_99_25_kcat : 13.7</v>
      </c>
      <c r="F397" s="65" t="str">
        <f t="shared" si="521"/>
        <v>E5_4_99_25_km : 1</v>
      </c>
      <c r="G397" s="66" t="str">
        <f t="shared" ref="G397:H397" si="806">CONCATENATE(C397," : ",C397)</f>
        <v>E5_4_99_25_mRNA : E5_4_99_25_mRNA</v>
      </c>
      <c r="H397" s="67" t="str">
        <f t="shared" si="806"/>
        <v>E5_4_99_25 : E5_4_99_25</v>
      </c>
      <c r="I397" s="44" t="str">
        <f t="shared" ref="I397:J397" si="807">CONCATENATE(C397," : ","0")</f>
        <v>E5_4_99_25_mRNA : 0</v>
      </c>
      <c r="J397" s="68" t="str">
        <f t="shared" si="807"/>
        <v>E5_4_99_25 : 0</v>
      </c>
      <c r="K397" s="69" t="str">
        <f t="shared" si="524"/>
        <v>0.00292 - (0.0093 * E5_4_99_25_mRNA)</v>
      </c>
      <c r="L397" s="70" t="str">
        <f t="shared" si="525"/>
        <v>(0.278 * E5_4_99_25_mRNA) - (0.00000278 * E5_4_99_25)</v>
      </c>
      <c r="M397" s="71" t="str">
        <f t="shared" si="526"/>
        <v>mRNA396: -&gt; E5_4_99_25_mRNA | 0.00292 - (0.0093 * E5_4_99_25_mRNA)</v>
      </c>
      <c r="N397" s="72" t="str">
        <f t="shared" si="527"/>
        <v>Peptide396: E5_4_99_25_mRNA -&gt; E5_4_99_25 | (0.278 * E5_4_99_25_mRNA) - (0.000000278 * E5_4_99_25)</v>
      </c>
    </row>
    <row r="398" spans="1:14" ht="29" x14ac:dyDescent="0.35">
      <c r="A398" s="49">
        <v>397</v>
      </c>
      <c r="B398" s="49" t="s">
        <v>14891</v>
      </c>
      <c r="C398" s="49" t="str">
        <f t="shared" si="518"/>
        <v>E6_1_1_10_mRNA</v>
      </c>
      <c r="D398" s="49" t="str">
        <f t="shared" si="519"/>
        <v>E6_1_1_10</v>
      </c>
      <c r="E398" s="64" t="str">
        <f t="shared" si="520"/>
        <v>E6_1_1_10_kcat : 13.7</v>
      </c>
      <c r="F398" s="65" t="str">
        <f t="shared" si="521"/>
        <v>E6_1_1_10_km : 1</v>
      </c>
      <c r="G398" s="66" t="str">
        <f t="shared" ref="G398:H398" si="808">CONCATENATE(C398," : ",C398)</f>
        <v>E6_1_1_10_mRNA : E6_1_1_10_mRNA</v>
      </c>
      <c r="H398" s="67" t="str">
        <f t="shared" si="808"/>
        <v>E6_1_1_10 : E6_1_1_10</v>
      </c>
      <c r="I398" s="44" t="str">
        <f t="shared" ref="I398:J398" si="809">CONCATENATE(C398," : ","0")</f>
        <v>E6_1_1_10_mRNA : 0</v>
      </c>
      <c r="J398" s="68" t="str">
        <f t="shared" si="809"/>
        <v>E6_1_1_10 : 0</v>
      </c>
      <c r="K398" s="69" t="str">
        <f t="shared" si="524"/>
        <v>0.00292 - (0.0093 * E6_1_1_10_mRNA)</v>
      </c>
      <c r="L398" s="70" t="str">
        <f t="shared" si="525"/>
        <v>(0.278 * E6_1_1_10_mRNA) - (0.00000278 * E6_1_1_10)</v>
      </c>
      <c r="M398" s="71" t="str">
        <f t="shared" si="526"/>
        <v>mRNA397: -&gt; E6_1_1_10_mRNA | 0.00292 - (0.0093 * E6_1_1_10_mRNA)</v>
      </c>
      <c r="N398" s="72" t="str">
        <f t="shared" si="527"/>
        <v>Peptide397: E6_1_1_10_mRNA -&gt; E6_1_1_10 | (0.278 * E6_1_1_10_mRNA) - (0.000000278 * E6_1_1_10)</v>
      </c>
    </row>
    <row r="399" spans="1:14" ht="29" x14ac:dyDescent="0.35">
      <c r="A399" s="49">
        <v>398</v>
      </c>
      <c r="B399" s="49" t="s">
        <v>14892</v>
      </c>
      <c r="C399" s="49" t="str">
        <f t="shared" si="518"/>
        <v>E3_1_2_6_mRNA</v>
      </c>
      <c r="D399" s="49" t="str">
        <f t="shared" si="519"/>
        <v>E3_1_2_6</v>
      </c>
      <c r="E399" s="64" t="str">
        <f t="shared" si="520"/>
        <v>E3_1_2_6_kcat : 13.7</v>
      </c>
      <c r="F399" s="65" t="str">
        <f t="shared" si="521"/>
        <v>E3_1_2_6_km : 1</v>
      </c>
      <c r="G399" s="66" t="str">
        <f t="shared" ref="G399:H399" si="810">CONCATENATE(C399," : ",C399)</f>
        <v>E3_1_2_6_mRNA : E3_1_2_6_mRNA</v>
      </c>
      <c r="H399" s="67" t="str">
        <f t="shared" si="810"/>
        <v>E3_1_2_6 : E3_1_2_6</v>
      </c>
      <c r="I399" s="44" t="str">
        <f t="shared" ref="I399:J399" si="811">CONCATENATE(C399," : ","0")</f>
        <v>E3_1_2_6_mRNA : 0</v>
      </c>
      <c r="J399" s="68" t="str">
        <f t="shared" si="811"/>
        <v>E3_1_2_6 : 0</v>
      </c>
      <c r="K399" s="69" t="str">
        <f t="shared" si="524"/>
        <v>0.00292 - (0.0093 * E3_1_2_6_mRNA)</v>
      </c>
      <c r="L399" s="70" t="str">
        <f t="shared" si="525"/>
        <v>(0.278 * E3_1_2_6_mRNA) - (0.00000278 * E3_1_2_6)</v>
      </c>
      <c r="M399" s="71" t="str">
        <f t="shared" si="526"/>
        <v>mRNA398: -&gt; E3_1_2_6_mRNA | 0.00292 - (0.0093 * E3_1_2_6_mRNA)</v>
      </c>
      <c r="N399" s="72" t="str">
        <f t="shared" si="527"/>
        <v>Peptide398: E3_1_2_6_mRNA -&gt; E3_1_2_6 | (0.278 * E3_1_2_6_mRNA) - (0.000000278 * E3_1_2_6)</v>
      </c>
    </row>
    <row r="400" spans="1:14" ht="29" x14ac:dyDescent="0.35">
      <c r="A400" s="49">
        <v>399</v>
      </c>
      <c r="B400" s="49" t="s">
        <v>15003</v>
      </c>
      <c r="C400" s="49" t="str">
        <f t="shared" si="518"/>
        <v>E2_3_1_31_mRNA</v>
      </c>
      <c r="D400" s="49" t="str">
        <f t="shared" si="519"/>
        <v>E2_3_1_31</v>
      </c>
      <c r="E400" s="64" t="str">
        <f t="shared" si="520"/>
        <v>E2_3_1_31_kcat : 13.7</v>
      </c>
      <c r="F400" s="65" t="str">
        <f t="shared" si="521"/>
        <v>E2_3_1_31_km : 1</v>
      </c>
      <c r="G400" s="66" t="str">
        <f t="shared" ref="G400:H400" si="812">CONCATENATE(C400," : ",C400)</f>
        <v>E2_3_1_31_mRNA : E2_3_1_31_mRNA</v>
      </c>
      <c r="H400" s="67" t="str">
        <f t="shared" si="812"/>
        <v>E2_3_1_31 : E2_3_1_31</v>
      </c>
      <c r="I400" s="44" t="str">
        <f t="shared" ref="I400:J400" si="813">CONCATENATE(C400," : ","0")</f>
        <v>E2_3_1_31_mRNA : 0</v>
      </c>
      <c r="J400" s="68" t="str">
        <f t="shared" si="813"/>
        <v>E2_3_1_31 : 0</v>
      </c>
      <c r="K400" s="69" t="str">
        <f t="shared" si="524"/>
        <v>0.00292 - (0.0093 * E2_3_1_31_mRNA)</v>
      </c>
      <c r="L400" s="70" t="str">
        <f t="shared" si="525"/>
        <v>(0.278 * E2_3_1_31_mRNA) - (0.00000278 * E2_3_1_31)</v>
      </c>
      <c r="M400" s="71" t="str">
        <f t="shared" si="526"/>
        <v>mRNA399: -&gt; E2_3_1_31_mRNA | 0.00292 - (0.0093 * E2_3_1_31_mRNA)</v>
      </c>
      <c r="N400" s="72" t="str">
        <f t="shared" si="527"/>
        <v>Peptide399: E2_3_1_31_mRNA -&gt; E2_3_1_31 | (0.278 * E2_3_1_31_mRNA) - (0.000000278 * E2_3_1_31)</v>
      </c>
    </row>
    <row r="401" spans="1:14" ht="29" x14ac:dyDescent="0.35">
      <c r="A401" s="49">
        <v>400</v>
      </c>
      <c r="B401" s="49" t="s">
        <v>14893</v>
      </c>
      <c r="C401" s="49" t="str">
        <f t="shared" si="518"/>
        <v>E6_3_2_12_mRNA</v>
      </c>
      <c r="D401" s="49" t="str">
        <f t="shared" si="519"/>
        <v>E6_3_2_12</v>
      </c>
      <c r="E401" s="64" t="str">
        <f t="shared" si="520"/>
        <v>E6_3_2_12_kcat : 13.7</v>
      </c>
      <c r="F401" s="65" t="str">
        <f t="shared" si="521"/>
        <v>E6_3_2_12_km : 1</v>
      </c>
      <c r="G401" s="66" t="str">
        <f t="shared" ref="G401:H401" si="814">CONCATENATE(C401," : ",C401)</f>
        <v>E6_3_2_12_mRNA : E6_3_2_12_mRNA</v>
      </c>
      <c r="H401" s="67" t="str">
        <f t="shared" si="814"/>
        <v>E6_3_2_12 : E6_3_2_12</v>
      </c>
      <c r="I401" s="44" t="str">
        <f t="shared" ref="I401:J401" si="815">CONCATENATE(C401," : ","0")</f>
        <v>E6_3_2_12_mRNA : 0</v>
      </c>
      <c r="J401" s="68" t="str">
        <f t="shared" si="815"/>
        <v>E6_3_2_12 : 0</v>
      </c>
      <c r="K401" s="69" t="str">
        <f t="shared" si="524"/>
        <v>0.00292 - (0.0093 * E6_3_2_12_mRNA)</v>
      </c>
      <c r="L401" s="70" t="str">
        <f t="shared" si="525"/>
        <v>(0.278 * E6_3_2_12_mRNA) - (0.00000278 * E6_3_2_12)</v>
      </c>
      <c r="M401" s="71" t="str">
        <f t="shared" si="526"/>
        <v>mRNA400: -&gt; E6_3_2_12_mRNA | 0.00292 - (0.0093 * E6_3_2_12_mRNA)</v>
      </c>
      <c r="N401" s="72" t="str">
        <f t="shared" si="527"/>
        <v>Peptide400: E6_3_2_12_mRNA -&gt; E6_3_2_12 | (0.278 * E6_3_2_12_mRNA) - (0.000000278 * E6_3_2_12)</v>
      </c>
    </row>
    <row r="402" spans="1:14" ht="29" x14ac:dyDescent="0.35">
      <c r="A402" s="49">
        <v>401</v>
      </c>
      <c r="B402" s="49" t="s">
        <v>14894</v>
      </c>
      <c r="C402" s="49" t="str">
        <f t="shared" si="518"/>
        <v>E6_3_2_17_mRNA</v>
      </c>
      <c r="D402" s="49" t="str">
        <f t="shared" si="519"/>
        <v>E6_3_2_17</v>
      </c>
      <c r="E402" s="64" t="str">
        <f t="shared" si="520"/>
        <v>E6_3_2_17_kcat : 13.7</v>
      </c>
      <c r="F402" s="65" t="str">
        <f t="shared" si="521"/>
        <v>E6_3_2_17_km : 1</v>
      </c>
      <c r="G402" s="66" t="str">
        <f t="shared" ref="G402:H402" si="816">CONCATENATE(C402," : ",C402)</f>
        <v>E6_3_2_17_mRNA : E6_3_2_17_mRNA</v>
      </c>
      <c r="H402" s="67" t="str">
        <f t="shared" si="816"/>
        <v>E6_3_2_17 : E6_3_2_17</v>
      </c>
      <c r="I402" s="44" t="str">
        <f t="shared" ref="I402:J402" si="817">CONCATENATE(C402," : ","0")</f>
        <v>E6_3_2_17_mRNA : 0</v>
      </c>
      <c r="J402" s="68" t="str">
        <f t="shared" si="817"/>
        <v>E6_3_2_17 : 0</v>
      </c>
      <c r="K402" s="69" t="str">
        <f t="shared" si="524"/>
        <v>0.00292 - (0.0093 * E6_3_2_17_mRNA)</v>
      </c>
      <c r="L402" s="70" t="str">
        <f t="shared" si="525"/>
        <v>(0.278 * E6_3_2_17_mRNA) - (0.00000278 * E6_3_2_17)</v>
      </c>
      <c r="M402" s="71" t="str">
        <f t="shared" si="526"/>
        <v>mRNA401: -&gt; E6_3_2_17_mRNA | 0.00292 - (0.0093 * E6_3_2_17_mRNA)</v>
      </c>
      <c r="N402" s="72" t="str">
        <f t="shared" si="527"/>
        <v>Peptide401: E6_3_2_17_mRNA -&gt; E6_3_2_17 | (0.278 * E6_3_2_17_mRNA) - (0.000000278 * E6_3_2_17)</v>
      </c>
    </row>
    <row r="403" spans="1:14" ht="29" x14ac:dyDescent="0.35">
      <c r="A403" s="49">
        <v>402</v>
      </c>
      <c r="B403" s="49" t="s">
        <v>15004</v>
      </c>
      <c r="C403" s="49" t="str">
        <f t="shared" si="518"/>
        <v>E5_4_99_19_mRNA</v>
      </c>
      <c r="D403" s="49" t="str">
        <f t="shared" si="519"/>
        <v>E5_4_99_19</v>
      </c>
      <c r="E403" s="64" t="str">
        <f t="shared" si="520"/>
        <v>E5_4_99_19_kcat : 13.7</v>
      </c>
      <c r="F403" s="65" t="str">
        <f t="shared" si="521"/>
        <v>E5_4_99_19_km : 1</v>
      </c>
      <c r="G403" s="66" t="str">
        <f t="shared" ref="G403:H403" si="818">CONCATENATE(C403," : ",C403)</f>
        <v>E5_4_99_19_mRNA : E5_4_99_19_mRNA</v>
      </c>
      <c r="H403" s="67" t="str">
        <f t="shared" si="818"/>
        <v>E5_4_99_19 : E5_4_99_19</v>
      </c>
      <c r="I403" s="44" t="str">
        <f t="shared" ref="I403:J403" si="819">CONCATENATE(C403," : ","0")</f>
        <v>E5_4_99_19_mRNA : 0</v>
      </c>
      <c r="J403" s="68" t="str">
        <f t="shared" si="819"/>
        <v>E5_4_99_19 : 0</v>
      </c>
      <c r="K403" s="69" t="str">
        <f t="shared" si="524"/>
        <v>0.00292 - (0.0093 * E5_4_99_19_mRNA)</v>
      </c>
      <c r="L403" s="70" t="str">
        <f t="shared" si="525"/>
        <v>(0.278 * E5_4_99_19_mRNA) - (0.00000278 * E5_4_99_19)</v>
      </c>
      <c r="M403" s="71" t="str">
        <f t="shared" si="526"/>
        <v>mRNA402: -&gt; E5_4_99_19_mRNA | 0.00292 - (0.0093 * E5_4_99_19_mRNA)</v>
      </c>
      <c r="N403" s="72" t="str">
        <f t="shared" si="527"/>
        <v>Peptide402: E5_4_99_19_mRNA -&gt; E5_4_99_19 | (0.278 * E5_4_99_19_mRNA) - (0.000000278 * E5_4_99_19)</v>
      </c>
    </row>
    <row r="404" spans="1:14" ht="29" x14ac:dyDescent="0.35">
      <c r="A404" s="49">
        <v>403</v>
      </c>
      <c r="B404" s="49" t="s">
        <v>14895</v>
      </c>
      <c r="C404" s="49" t="str">
        <f t="shared" si="518"/>
        <v>E1_2_1_41_mRNA</v>
      </c>
      <c r="D404" s="49" t="str">
        <f t="shared" si="519"/>
        <v>E1_2_1_41</v>
      </c>
      <c r="E404" s="64" t="str">
        <f t="shared" si="520"/>
        <v>E1_2_1_41_kcat : 13.7</v>
      </c>
      <c r="F404" s="65" t="str">
        <f t="shared" si="521"/>
        <v>E1_2_1_41_km : 1</v>
      </c>
      <c r="G404" s="66" t="str">
        <f t="shared" ref="G404:H404" si="820">CONCATENATE(C404," : ",C404)</f>
        <v>E1_2_1_41_mRNA : E1_2_1_41_mRNA</v>
      </c>
      <c r="H404" s="67" t="str">
        <f t="shared" si="820"/>
        <v>E1_2_1_41 : E1_2_1_41</v>
      </c>
      <c r="I404" s="44" t="str">
        <f t="shared" ref="I404:J404" si="821">CONCATENATE(C404," : ","0")</f>
        <v>E1_2_1_41_mRNA : 0</v>
      </c>
      <c r="J404" s="68" t="str">
        <f t="shared" si="821"/>
        <v>E1_2_1_41 : 0</v>
      </c>
      <c r="K404" s="69" t="str">
        <f t="shared" si="524"/>
        <v>0.00292 - (0.0093 * E1_2_1_41_mRNA)</v>
      </c>
      <c r="L404" s="70" t="str">
        <f t="shared" si="525"/>
        <v>(0.278 * E1_2_1_41_mRNA) - (0.00000278 * E1_2_1_41)</v>
      </c>
      <c r="M404" s="71" t="str">
        <f t="shared" si="526"/>
        <v>mRNA403: -&gt; E1_2_1_41_mRNA | 0.00292 - (0.0093 * E1_2_1_41_mRNA)</v>
      </c>
      <c r="N404" s="72" t="str">
        <f t="shared" si="527"/>
        <v>Peptide403: E1_2_1_41_mRNA -&gt; E1_2_1_41 | (0.278 * E1_2_1_41_mRNA) - (0.000000278 * E1_2_1_41)</v>
      </c>
    </row>
    <row r="405" spans="1:14" ht="29" x14ac:dyDescent="0.35">
      <c r="A405" s="49">
        <v>404</v>
      </c>
      <c r="B405" s="49" t="s">
        <v>14896</v>
      </c>
      <c r="C405" s="49" t="str">
        <f t="shared" si="518"/>
        <v>E4_2_3_3_mRNA</v>
      </c>
      <c r="D405" s="49" t="str">
        <f t="shared" si="519"/>
        <v>E4_2_3_3</v>
      </c>
      <c r="E405" s="64" t="str">
        <f t="shared" si="520"/>
        <v>E4_2_3_3_kcat : 13.7</v>
      </c>
      <c r="F405" s="65" t="str">
        <f t="shared" si="521"/>
        <v>E4_2_3_3_km : 1</v>
      </c>
      <c r="G405" s="66" t="str">
        <f t="shared" ref="G405:H405" si="822">CONCATENATE(C405," : ",C405)</f>
        <v>E4_2_3_3_mRNA : E4_2_3_3_mRNA</v>
      </c>
      <c r="H405" s="67" t="str">
        <f t="shared" si="822"/>
        <v>E4_2_3_3 : E4_2_3_3</v>
      </c>
      <c r="I405" s="44" t="str">
        <f t="shared" ref="I405:J405" si="823">CONCATENATE(C405," : ","0")</f>
        <v>E4_2_3_3_mRNA : 0</v>
      </c>
      <c r="J405" s="68" t="str">
        <f t="shared" si="823"/>
        <v>E4_2_3_3 : 0</v>
      </c>
      <c r="K405" s="69" t="str">
        <f t="shared" si="524"/>
        <v>0.00292 - (0.0093 * E4_2_3_3_mRNA)</v>
      </c>
      <c r="L405" s="70" t="str">
        <f t="shared" si="525"/>
        <v>(0.278 * E4_2_3_3_mRNA) - (0.00000278 * E4_2_3_3)</v>
      </c>
      <c r="M405" s="71" t="str">
        <f t="shared" si="526"/>
        <v>mRNA404: -&gt; E4_2_3_3_mRNA | 0.00292 - (0.0093 * E4_2_3_3_mRNA)</v>
      </c>
      <c r="N405" s="72" t="str">
        <f t="shared" si="527"/>
        <v>Peptide404: E4_2_3_3_mRNA -&gt; E4_2_3_3 | (0.278 * E4_2_3_3_mRNA) - (0.000000278 * E4_2_3_3)</v>
      </c>
    </row>
    <row r="406" spans="1:14" ht="29" x14ac:dyDescent="0.35">
      <c r="A406" s="49">
        <v>405</v>
      </c>
      <c r="B406" s="49" t="s">
        <v>14897</v>
      </c>
      <c r="C406" s="49" t="str">
        <f t="shared" si="518"/>
        <v>E1_2_4_1_mRNA</v>
      </c>
      <c r="D406" s="49" t="str">
        <f t="shared" si="519"/>
        <v>E1_2_4_1</v>
      </c>
      <c r="E406" s="64" t="str">
        <f t="shared" si="520"/>
        <v>E1_2_4_1_kcat : 13.7</v>
      </c>
      <c r="F406" s="65" t="str">
        <f t="shared" si="521"/>
        <v>E1_2_4_1_km : 1</v>
      </c>
      <c r="G406" s="66" t="str">
        <f t="shared" ref="G406:H406" si="824">CONCATENATE(C406," : ",C406)</f>
        <v>E1_2_4_1_mRNA : E1_2_4_1_mRNA</v>
      </c>
      <c r="H406" s="67" t="str">
        <f t="shared" si="824"/>
        <v>E1_2_4_1 : E1_2_4_1</v>
      </c>
      <c r="I406" s="44" t="str">
        <f t="shared" ref="I406:J406" si="825">CONCATENATE(C406," : ","0")</f>
        <v>E1_2_4_1_mRNA : 0</v>
      </c>
      <c r="J406" s="68" t="str">
        <f t="shared" si="825"/>
        <v>E1_2_4_1 : 0</v>
      </c>
      <c r="K406" s="69" t="str">
        <f t="shared" si="524"/>
        <v>0.00292 - (0.0093 * E1_2_4_1_mRNA)</v>
      </c>
      <c r="L406" s="70" t="str">
        <f t="shared" si="525"/>
        <v>(0.278 * E1_2_4_1_mRNA) - (0.00000278 * E1_2_4_1)</v>
      </c>
      <c r="M406" s="71" t="str">
        <f t="shared" si="526"/>
        <v>mRNA405: -&gt; E1_2_4_1_mRNA | 0.00292 - (0.0093 * E1_2_4_1_mRNA)</v>
      </c>
      <c r="N406" s="72" t="str">
        <f t="shared" si="527"/>
        <v>Peptide405: E1_2_4_1_mRNA -&gt; E1_2_4_1 | (0.278 * E1_2_4_1_mRNA) - (0.000000278 * E1_2_4_1)</v>
      </c>
    </row>
    <row r="407" spans="1:14" ht="29" x14ac:dyDescent="0.35">
      <c r="A407" s="49">
        <v>406</v>
      </c>
      <c r="B407" s="49" t="s">
        <v>14898</v>
      </c>
      <c r="C407" s="49" t="str">
        <f t="shared" si="518"/>
        <v>E2_3_1_12_mRNA</v>
      </c>
      <c r="D407" s="49" t="str">
        <f t="shared" si="519"/>
        <v>E2_3_1_12</v>
      </c>
      <c r="E407" s="64" t="str">
        <f t="shared" si="520"/>
        <v>E2_3_1_12_kcat : 13.7</v>
      </c>
      <c r="F407" s="65" t="str">
        <f t="shared" si="521"/>
        <v>E2_3_1_12_km : 1</v>
      </c>
      <c r="G407" s="66" t="str">
        <f t="shared" ref="G407:H407" si="826">CONCATENATE(C407," : ",C407)</f>
        <v>E2_3_1_12_mRNA : E2_3_1_12_mRNA</v>
      </c>
      <c r="H407" s="67" t="str">
        <f t="shared" si="826"/>
        <v>E2_3_1_12 : E2_3_1_12</v>
      </c>
      <c r="I407" s="44" t="str">
        <f t="shared" ref="I407:J407" si="827">CONCATENATE(C407," : ","0")</f>
        <v>E2_3_1_12_mRNA : 0</v>
      </c>
      <c r="J407" s="68" t="str">
        <f t="shared" si="827"/>
        <v>E2_3_1_12 : 0</v>
      </c>
      <c r="K407" s="69" t="str">
        <f t="shared" si="524"/>
        <v>0.00292 - (0.0093 * E2_3_1_12_mRNA)</v>
      </c>
      <c r="L407" s="70" t="str">
        <f t="shared" si="525"/>
        <v>(0.278 * E2_3_1_12_mRNA) - (0.00000278 * E2_3_1_12)</v>
      </c>
      <c r="M407" s="71" t="str">
        <f t="shared" si="526"/>
        <v>mRNA406: -&gt; E2_3_1_12_mRNA | 0.00292 - (0.0093 * E2_3_1_12_mRNA)</v>
      </c>
      <c r="N407" s="72" t="str">
        <f t="shared" si="527"/>
        <v>Peptide406: E2_3_1_12_mRNA -&gt; E2_3_1_12 | (0.278 * E2_3_1_12_mRNA) - (0.000000278 * E2_3_1_12)</v>
      </c>
    </row>
    <row r="408" spans="1:14" ht="29" x14ac:dyDescent="0.35">
      <c r="A408" s="49">
        <v>407</v>
      </c>
      <c r="B408" s="49" t="s">
        <v>14899</v>
      </c>
      <c r="C408" s="49" t="str">
        <f t="shared" si="518"/>
        <v>E1_8_1_4_mRNA</v>
      </c>
      <c r="D408" s="49" t="str">
        <f t="shared" si="519"/>
        <v>E1_8_1_4</v>
      </c>
      <c r="E408" s="64" t="str">
        <f t="shared" si="520"/>
        <v>E1_8_1_4_kcat : 13.7</v>
      </c>
      <c r="F408" s="65" t="str">
        <f t="shared" si="521"/>
        <v>E1_8_1_4_km : 1</v>
      </c>
      <c r="G408" s="66" t="str">
        <f t="shared" ref="G408:H408" si="828">CONCATENATE(C408," : ",C408)</f>
        <v>E1_8_1_4_mRNA : E1_8_1_4_mRNA</v>
      </c>
      <c r="H408" s="67" t="str">
        <f t="shared" si="828"/>
        <v>E1_8_1_4 : E1_8_1_4</v>
      </c>
      <c r="I408" s="44" t="str">
        <f t="shared" ref="I408:J408" si="829">CONCATENATE(C408," : ","0")</f>
        <v>E1_8_1_4_mRNA : 0</v>
      </c>
      <c r="J408" s="68" t="str">
        <f t="shared" si="829"/>
        <v>E1_8_1_4 : 0</v>
      </c>
      <c r="K408" s="69" t="str">
        <f t="shared" si="524"/>
        <v>0.00292 - (0.0093 * E1_8_1_4_mRNA)</v>
      </c>
      <c r="L408" s="70" t="str">
        <f t="shared" si="525"/>
        <v>(0.278 * E1_8_1_4_mRNA) - (0.00000278 * E1_8_1_4)</v>
      </c>
      <c r="M408" s="71" t="str">
        <f t="shared" si="526"/>
        <v>mRNA407: -&gt; E1_8_1_4_mRNA | 0.00292 - (0.0093 * E1_8_1_4_mRNA)</v>
      </c>
      <c r="N408" s="72" t="str">
        <f t="shared" si="527"/>
        <v>Peptide407: E1_8_1_4_mRNA -&gt; E1_8_1_4 | (0.278 * E1_8_1_4_mRNA) - (0.000000278 * E1_8_1_4)</v>
      </c>
    </row>
    <row r="409" spans="1:14" ht="29" x14ac:dyDescent="0.35">
      <c r="A409" s="49">
        <v>408</v>
      </c>
      <c r="B409" s="49" t="s">
        <v>14900</v>
      </c>
      <c r="C409" s="49" t="str">
        <f t="shared" si="518"/>
        <v>E2_4_2_7_mRNA</v>
      </c>
      <c r="D409" s="49" t="str">
        <f t="shared" si="519"/>
        <v>E2_4_2_7</v>
      </c>
      <c r="E409" s="64" t="str">
        <f t="shared" si="520"/>
        <v>E2_4_2_7_kcat : 13.7</v>
      </c>
      <c r="F409" s="65" t="str">
        <f t="shared" si="521"/>
        <v>E2_4_2_7_km : 1</v>
      </c>
      <c r="G409" s="66" t="str">
        <f t="shared" ref="G409:H409" si="830">CONCATENATE(C409," : ",C409)</f>
        <v>E2_4_2_7_mRNA : E2_4_2_7_mRNA</v>
      </c>
      <c r="H409" s="67" t="str">
        <f t="shared" si="830"/>
        <v>E2_4_2_7 : E2_4_2_7</v>
      </c>
      <c r="I409" s="44" t="str">
        <f t="shared" ref="I409:J409" si="831">CONCATENATE(C409," : ","0")</f>
        <v>E2_4_2_7_mRNA : 0</v>
      </c>
      <c r="J409" s="68" t="str">
        <f t="shared" si="831"/>
        <v>E2_4_2_7 : 0</v>
      </c>
      <c r="K409" s="69" t="str">
        <f t="shared" si="524"/>
        <v>0.00292 - (0.0093 * E2_4_2_7_mRNA)</v>
      </c>
      <c r="L409" s="70" t="str">
        <f t="shared" si="525"/>
        <v>(0.278 * E2_4_2_7_mRNA) - (0.00000278 * E2_4_2_7)</v>
      </c>
      <c r="M409" s="71" t="str">
        <f t="shared" si="526"/>
        <v>mRNA408: -&gt; E2_4_2_7_mRNA | 0.00292 - (0.0093 * E2_4_2_7_mRNA)</v>
      </c>
      <c r="N409" s="72" t="str">
        <f t="shared" si="527"/>
        <v>Peptide408: E2_4_2_7_mRNA -&gt; E2_4_2_7 | (0.278 * E2_4_2_7_mRNA) - (0.000000278 * E2_4_2_7)</v>
      </c>
    </row>
    <row r="410" spans="1:14" ht="29" x14ac:dyDescent="0.35">
      <c r="A410" s="49">
        <v>409</v>
      </c>
      <c r="B410" s="49" t="s">
        <v>14901</v>
      </c>
      <c r="C410" s="49" t="str">
        <f t="shared" si="518"/>
        <v>E4_1_1_23_mRNA</v>
      </c>
      <c r="D410" s="49" t="str">
        <f t="shared" si="519"/>
        <v>E4_1_1_23</v>
      </c>
      <c r="E410" s="64" t="str">
        <f t="shared" si="520"/>
        <v>E4_1_1_23_kcat : 13.7</v>
      </c>
      <c r="F410" s="65" t="str">
        <f t="shared" si="521"/>
        <v>E4_1_1_23_km : 1</v>
      </c>
      <c r="G410" s="66" t="str">
        <f t="shared" ref="G410:H410" si="832">CONCATENATE(C410," : ",C410)</f>
        <v>E4_1_1_23_mRNA : E4_1_1_23_mRNA</v>
      </c>
      <c r="H410" s="67" t="str">
        <f t="shared" si="832"/>
        <v>E4_1_1_23 : E4_1_1_23</v>
      </c>
      <c r="I410" s="44" t="str">
        <f t="shared" ref="I410:J410" si="833">CONCATENATE(C410," : ","0")</f>
        <v>E4_1_1_23_mRNA : 0</v>
      </c>
      <c r="J410" s="68" t="str">
        <f t="shared" si="833"/>
        <v>E4_1_1_23 : 0</v>
      </c>
      <c r="K410" s="69" t="str">
        <f t="shared" si="524"/>
        <v>0.00292 - (0.0093 * E4_1_1_23_mRNA)</v>
      </c>
      <c r="L410" s="70" t="str">
        <f t="shared" si="525"/>
        <v>(0.278 * E4_1_1_23_mRNA) - (0.00000278 * E4_1_1_23)</v>
      </c>
      <c r="M410" s="71" t="str">
        <f t="shared" si="526"/>
        <v>mRNA409: -&gt; E4_1_1_23_mRNA | 0.00292 - (0.0093 * E4_1_1_23_mRNA)</v>
      </c>
      <c r="N410" s="72" t="str">
        <f t="shared" si="527"/>
        <v>Peptide409: E4_1_1_23_mRNA -&gt; E4_1_1_23 | (0.278 * E4_1_1_23_mRNA) - (0.000000278 * E4_1_1_23)</v>
      </c>
    </row>
    <row r="411" spans="1:14" ht="29" x14ac:dyDescent="0.35">
      <c r="A411" s="49">
        <v>410</v>
      </c>
      <c r="B411" s="49" t="s">
        <v>14902</v>
      </c>
      <c r="C411" s="49" t="str">
        <f t="shared" si="518"/>
        <v>E2_7_4_25_mRNA</v>
      </c>
      <c r="D411" s="49" t="str">
        <f t="shared" si="519"/>
        <v>E2_7_4_25</v>
      </c>
      <c r="E411" s="64" t="str">
        <f t="shared" si="520"/>
        <v>E2_7_4_25_kcat : 13.7</v>
      </c>
      <c r="F411" s="65" t="str">
        <f t="shared" si="521"/>
        <v>E2_7_4_25_km : 1</v>
      </c>
      <c r="G411" s="66" t="str">
        <f t="shared" ref="G411:H411" si="834">CONCATENATE(C411," : ",C411)</f>
        <v>E2_7_4_25_mRNA : E2_7_4_25_mRNA</v>
      </c>
      <c r="H411" s="67" t="str">
        <f t="shared" si="834"/>
        <v>E2_7_4_25 : E2_7_4_25</v>
      </c>
      <c r="I411" s="44" t="str">
        <f t="shared" ref="I411:J411" si="835">CONCATENATE(C411," : ","0")</f>
        <v>E2_7_4_25_mRNA : 0</v>
      </c>
      <c r="J411" s="68" t="str">
        <f t="shared" si="835"/>
        <v>E2_7_4_25 : 0</v>
      </c>
      <c r="K411" s="69" t="str">
        <f t="shared" si="524"/>
        <v>0.00292 - (0.0093 * E2_7_4_25_mRNA)</v>
      </c>
      <c r="L411" s="70" t="str">
        <f t="shared" si="525"/>
        <v>(0.278 * E2_7_4_25_mRNA) - (0.00000278 * E2_7_4_25)</v>
      </c>
      <c r="M411" s="71" t="str">
        <f t="shared" si="526"/>
        <v>mRNA410: -&gt; E2_7_4_25_mRNA | 0.00292 - (0.0093 * E2_7_4_25_mRNA)</v>
      </c>
      <c r="N411" s="72" t="str">
        <f t="shared" si="527"/>
        <v>Peptide410: E2_7_4_25_mRNA -&gt; E2_7_4_25 | (0.278 * E2_7_4_25_mRNA) - (0.000000278 * E2_7_4_25)</v>
      </c>
    </row>
    <row r="412" spans="1:14" ht="29" x14ac:dyDescent="0.35">
      <c r="A412" s="49">
        <v>411</v>
      </c>
      <c r="B412" s="49" t="s">
        <v>14903</v>
      </c>
      <c r="C412" s="49" t="str">
        <f t="shared" si="518"/>
        <v>E3_5_1_2_mRNA</v>
      </c>
      <c r="D412" s="49" t="str">
        <f t="shared" si="519"/>
        <v>E3_5_1_2</v>
      </c>
      <c r="E412" s="64" t="str">
        <f t="shared" si="520"/>
        <v>E3_5_1_2_kcat : 13.7</v>
      </c>
      <c r="F412" s="65" t="str">
        <f t="shared" si="521"/>
        <v>E3_5_1_2_km : 1</v>
      </c>
      <c r="G412" s="66" t="str">
        <f t="shared" ref="G412:H412" si="836">CONCATENATE(C412," : ",C412)</f>
        <v>E3_5_1_2_mRNA : E3_5_1_2_mRNA</v>
      </c>
      <c r="H412" s="67" t="str">
        <f t="shared" si="836"/>
        <v>E3_5_1_2 : E3_5_1_2</v>
      </c>
      <c r="I412" s="44" t="str">
        <f t="shared" ref="I412:J412" si="837">CONCATENATE(C412," : ","0")</f>
        <v>E3_5_1_2_mRNA : 0</v>
      </c>
      <c r="J412" s="68" t="str">
        <f t="shared" si="837"/>
        <v>E3_5_1_2 : 0</v>
      </c>
      <c r="K412" s="69" t="str">
        <f t="shared" si="524"/>
        <v>0.00292 - (0.0093 * E3_5_1_2_mRNA)</v>
      </c>
      <c r="L412" s="70" t="str">
        <f t="shared" si="525"/>
        <v>(0.278 * E3_5_1_2_mRNA) - (0.00000278 * E3_5_1_2)</v>
      </c>
      <c r="M412" s="71" t="str">
        <f t="shared" si="526"/>
        <v>mRNA411: -&gt; E3_5_1_2_mRNA | 0.00292 - (0.0093 * E3_5_1_2_mRNA)</v>
      </c>
      <c r="N412" s="72" t="str">
        <f t="shared" si="527"/>
        <v>Peptide411: E3_5_1_2_mRNA -&gt; E3_5_1_2 | (0.278 * E3_5_1_2_mRNA) - (0.000000278 * E3_5_1_2)</v>
      </c>
    </row>
    <row r="413" spans="1:14" ht="29" x14ac:dyDescent="0.35">
      <c r="A413" s="49">
        <v>412</v>
      </c>
      <c r="B413" s="49" t="s">
        <v>14904</v>
      </c>
      <c r="C413" s="49" t="str">
        <f t="shared" si="518"/>
        <v>E4_3_3_6_mRNA</v>
      </c>
      <c r="D413" s="49" t="str">
        <f t="shared" si="519"/>
        <v>E4_3_3_6</v>
      </c>
      <c r="E413" s="64" t="str">
        <f t="shared" si="520"/>
        <v>E4_3_3_6_kcat : 13.7</v>
      </c>
      <c r="F413" s="65" t="str">
        <f t="shared" si="521"/>
        <v>E4_3_3_6_km : 1</v>
      </c>
      <c r="G413" s="66" t="str">
        <f t="shared" ref="G413:H413" si="838">CONCATENATE(C413," : ",C413)</f>
        <v>E4_3_3_6_mRNA : E4_3_3_6_mRNA</v>
      </c>
      <c r="H413" s="67" t="str">
        <f t="shared" si="838"/>
        <v>E4_3_3_6 : E4_3_3_6</v>
      </c>
      <c r="I413" s="44" t="str">
        <f t="shared" ref="I413:J413" si="839">CONCATENATE(C413," : ","0")</f>
        <v>E4_3_3_6_mRNA : 0</v>
      </c>
      <c r="J413" s="68" t="str">
        <f t="shared" si="839"/>
        <v>E4_3_3_6 : 0</v>
      </c>
      <c r="K413" s="69" t="str">
        <f t="shared" si="524"/>
        <v>0.00292 - (0.0093 * E4_3_3_6_mRNA)</v>
      </c>
      <c r="L413" s="70" t="str">
        <f t="shared" si="525"/>
        <v>(0.278 * E4_3_3_6_mRNA) - (0.00000278 * E4_3_3_6)</v>
      </c>
      <c r="M413" s="71" t="str">
        <f t="shared" si="526"/>
        <v>mRNA412: -&gt; E4_3_3_6_mRNA | 0.00292 - (0.0093 * E4_3_3_6_mRNA)</v>
      </c>
      <c r="N413" s="72" t="str">
        <f t="shared" si="527"/>
        <v>Peptide412: E4_3_3_6_mRNA -&gt; E4_3_3_6 | (0.278 * E4_3_3_6_mRNA) - (0.000000278 * E4_3_3_6)</v>
      </c>
    </row>
    <row r="414" spans="1:14" ht="29" x14ac:dyDescent="0.35">
      <c r="A414" s="49">
        <v>413</v>
      </c>
      <c r="B414" s="49" t="s">
        <v>14905</v>
      </c>
      <c r="C414" s="49" t="str">
        <f t="shared" si="518"/>
        <v>E1_1_1_28_mRNA</v>
      </c>
      <c r="D414" s="49" t="str">
        <f t="shared" si="519"/>
        <v>E1_1_1_28</v>
      </c>
      <c r="E414" s="64" t="str">
        <f t="shared" si="520"/>
        <v>E1_1_1_28_kcat : 13.7</v>
      </c>
      <c r="F414" s="65" t="str">
        <f t="shared" si="521"/>
        <v>E1_1_1_28_km : 1</v>
      </c>
      <c r="G414" s="66" t="str">
        <f t="shared" ref="G414:H414" si="840">CONCATENATE(C414," : ",C414)</f>
        <v>E1_1_1_28_mRNA : E1_1_1_28_mRNA</v>
      </c>
      <c r="H414" s="67" t="str">
        <f t="shared" si="840"/>
        <v>E1_1_1_28 : E1_1_1_28</v>
      </c>
      <c r="I414" s="44" t="str">
        <f t="shared" ref="I414:J414" si="841">CONCATENATE(C414," : ","0")</f>
        <v>E1_1_1_28_mRNA : 0</v>
      </c>
      <c r="J414" s="68" t="str">
        <f t="shared" si="841"/>
        <v>E1_1_1_28 : 0</v>
      </c>
      <c r="K414" s="69" t="str">
        <f t="shared" si="524"/>
        <v>0.00292 - (0.0093 * E1_1_1_28_mRNA)</v>
      </c>
      <c r="L414" s="70" t="str">
        <f t="shared" si="525"/>
        <v>(0.278 * E1_1_1_28_mRNA) - (0.00000278 * E1_1_1_28)</v>
      </c>
      <c r="M414" s="71" t="str">
        <f t="shared" si="526"/>
        <v>mRNA413: -&gt; E1_1_1_28_mRNA | 0.00292 - (0.0093 * E1_1_1_28_mRNA)</v>
      </c>
      <c r="N414" s="72" t="str">
        <f t="shared" si="527"/>
        <v>Peptide413: E1_1_1_28_mRNA -&gt; E1_1_1_28 | (0.278 * E1_1_1_28_mRNA) - (0.000000278 * E1_1_1_28)</v>
      </c>
    </row>
    <row r="415" spans="1:14" ht="29" x14ac:dyDescent="0.35">
      <c r="A415" s="49">
        <v>414</v>
      </c>
      <c r="B415" s="49" t="s">
        <v>15005</v>
      </c>
      <c r="C415" s="49" t="str">
        <f t="shared" si="518"/>
        <v>E2_1_1_198_mRNA</v>
      </c>
      <c r="D415" s="49" t="str">
        <f t="shared" si="519"/>
        <v>E2_1_1_198</v>
      </c>
      <c r="E415" s="64" t="str">
        <f t="shared" si="520"/>
        <v>E2_1_1_198_kcat : 13.7</v>
      </c>
      <c r="F415" s="65" t="str">
        <f t="shared" si="521"/>
        <v>E2_1_1_198_km : 1</v>
      </c>
      <c r="G415" s="66" t="str">
        <f t="shared" ref="G415:H415" si="842">CONCATENATE(C415," : ",C415)</f>
        <v>E2_1_1_198_mRNA : E2_1_1_198_mRNA</v>
      </c>
      <c r="H415" s="67" t="str">
        <f t="shared" si="842"/>
        <v>E2_1_1_198 : E2_1_1_198</v>
      </c>
      <c r="I415" s="44" t="str">
        <f t="shared" ref="I415:J415" si="843">CONCATENATE(C415," : ","0")</f>
        <v>E2_1_1_198_mRNA : 0</v>
      </c>
      <c r="J415" s="68" t="str">
        <f t="shared" si="843"/>
        <v>E2_1_1_198 : 0</v>
      </c>
      <c r="K415" s="69" t="str">
        <f t="shared" si="524"/>
        <v>0.00292 - (0.0093 * E2_1_1_198_mRNA)</v>
      </c>
      <c r="L415" s="70" t="str">
        <f t="shared" si="525"/>
        <v>(0.278 * E2_1_1_198_mRNA) - (0.00000278 * E2_1_1_198)</v>
      </c>
      <c r="M415" s="71" t="str">
        <f t="shared" si="526"/>
        <v>mRNA414: -&gt; E2_1_1_198_mRNA | 0.00292 - (0.0093 * E2_1_1_198_mRNA)</v>
      </c>
      <c r="N415" s="72" t="str">
        <f t="shared" si="527"/>
        <v>Peptide414: E2_1_1_198_mRNA -&gt; E2_1_1_198 | (0.278 * E2_1_1_198_mRNA) - (0.000000278 * E2_1_1_198)</v>
      </c>
    </row>
    <row r="416" spans="1:14" ht="29" x14ac:dyDescent="0.35">
      <c r="A416" s="49">
        <v>415</v>
      </c>
      <c r="B416" s="49" t="s">
        <v>14906</v>
      </c>
      <c r="C416" s="49" t="str">
        <f t="shared" si="518"/>
        <v>E1_17_4_1_mRNA</v>
      </c>
      <c r="D416" s="49" t="str">
        <f t="shared" si="519"/>
        <v>E1_17_4_1</v>
      </c>
      <c r="E416" s="64" t="str">
        <f t="shared" si="520"/>
        <v>E1_17_4_1_kcat : 13.7</v>
      </c>
      <c r="F416" s="65" t="str">
        <f t="shared" si="521"/>
        <v>E1_17_4_1_km : 1</v>
      </c>
      <c r="G416" s="66" t="str">
        <f t="shared" ref="G416:H416" si="844">CONCATENATE(C416," : ",C416)</f>
        <v>E1_17_4_1_mRNA : E1_17_4_1_mRNA</v>
      </c>
      <c r="H416" s="67" t="str">
        <f t="shared" si="844"/>
        <v>E1_17_4_1 : E1_17_4_1</v>
      </c>
      <c r="I416" s="44" t="str">
        <f t="shared" ref="I416:J416" si="845">CONCATENATE(C416," : ","0")</f>
        <v>E1_17_4_1_mRNA : 0</v>
      </c>
      <c r="J416" s="68" t="str">
        <f t="shared" si="845"/>
        <v>E1_17_4_1 : 0</v>
      </c>
      <c r="K416" s="69" t="str">
        <f t="shared" si="524"/>
        <v>0.00292 - (0.0093 * E1_17_4_1_mRNA)</v>
      </c>
      <c r="L416" s="70" t="str">
        <f t="shared" si="525"/>
        <v>(0.278 * E1_17_4_1_mRNA) - (0.00000278 * E1_17_4_1)</v>
      </c>
      <c r="M416" s="71" t="str">
        <f t="shared" si="526"/>
        <v>mRNA415: -&gt; E1_17_4_1_mRNA | 0.00292 - (0.0093 * E1_17_4_1_mRNA)</v>
      </c>
      <c r="N416" s="72" t="str">
        <f t="shared" si="527"/>
        <v>Peptide415: E1_17_4_1_mRNA -&gt; E1_17_4_1 | (0.278 * E1_17_4_1_mRNA) - (0.000000278 * E1_17_4_1)</v>
      </c>
    </row>
    <row r="417" spans="1:14" ht="29" x14ac:dyDescent="0.35">
      <c r="A417" s="49">
        <v>416</v>
      </c>
      <c r="B417" s="49" t="s">
        <v>14907</v>
      </c>
      <c r="C417" s="49" t="str">
        <f t="shared" si="518"/>
        <v>E2_3_1_61_mRNA</v>
      </c>
      <c r="D417" s="49" t="str">
        <f t="shared" si="519"/>
        <v>E2_3_1_61</v>
      </c>
      <c r="E417" s="64" t="str">
        <f t="shared" si="520"/>
        <v>E2_3_1_61_kcat : 13.7</v>
      </c>
      <c r="F417" s="65" t="str">
        <f t="shared" si="521"/>
        <v>E2_3_1_61_km : 1</v>
      </c>
      <c r="G417" s="66" t="str">
        <f t="shared" ref="G417:H417" si="846">CONCATENATE(C417," : ",C417)</f>
        <v>E2_3_1_61_mRNA : E2_3_1_61_mRNA</v>
      </c>
      <c r="H417" s="67" t="str">
        <f t="shared" si="846"/>
        <v>E2_3_1_61 : E2_3_1_61</v>
      </c>
      <c r="I417" s="44" t="str">
        <f t="shared" ref="I417:J417" si="847">CONCATENATE(C417," : ","0")</f>
        <v>E2_3_1_61_mRNA : 0</v>
      </c>
      <c r="J417" s="68" t="str">
        <f t="shared" si="847"/>
        <v>E2_3_1_61 : 0</v>
      </c>
      <c r="K417" s="69" t="str">
        <f t="shared" si="524"/>
        <v>0.00292 - (0.0093 * E2_3_1_61_mRNA)</v>
      </c>
      <c r="L417" s="70" t="str">
        <f t="shared" si="525"/>
        <v>(0.278 * E2_3_1_61_mRNA) - (0.00000278 * E2_3_1_61)</v>
      </c>
      <c r="M417" s="71" t="str">
        <f t="shared" si="526"/>
        <v>mRNA416: -&gt; E2_3_1_61_mRNA | 0.00292 - (0.0093 * E2_3_1_61_mRNA)</v>
      </c>
      <c r="N417" s="72" t="str">
        <f t="shared" si="527"/>
        <v>Peptide416: E2_3_1_61_mRNA -&gt; E2_3_1_61 | (0.278 * E2_3_1_61_mRNA) - (0.000000278 * E2_3_1_61)</v>
      </c>
    </row>
    <row r="418" spans="1:14" ht="29" x14ac:dyDescent="0.35">
      <c r="A418" s="49">
        <v>417</v>
      </c>
      <c r="B418" s="49" t="s">
        <v>14908</v>
      </c>
      <c r="C418" s="49" t="str">
        <f t="shared" si="518"/>
        <v>E1_2_4_2_mRNA</v>
      </c>
      <c r="D418" s="49" t="str">
        <f t="shared" si="519"/>
        <v>E1_2_4_2</v>
      </c>
      <c r="E418" s="64" t="str">
        <f t="shared" si="520"/>
        <v>E1_2_4_2_kcat : 13.7</v>
      </c>
      <c r="F418" s="65" t="str">
        <f t="shared" si="521"/>
        <v>E1_2_4_2_km : 1</v>
      </c>
      <c r="G418" s="66" t="str">
        <f t="shared" ref="G418:H418" si="848">CONCATENATE(C418," : ",C418)</f>
        <v>E1_2_4_2_mRNA : E1_2_4_2_mRNA</v>
      </c>
      <c r="H418" s="67" t="str">
        <f t="shared" si="848"/>
        <v>E1_2_4_2 : E1_2_4_2</v>
      </c>
      <c r="I418" s="44" t="str">
        <f t="shared" ref="I418:J418" si="849">CONCATENATE(C418," : ","0")</f>
        <v>E1_2_4_2_mRNA : 0</v>
      </c>
      <c r="J418" s="68" t="str">
        <f t="shared" si="849"/>
        <v>E1_2_4_2 : 0</v>
      </c>
      <c r="K418" s="69" t="str">
        <f t="shared" si="524"/>
        <v>0.00292 - (0.0093 * E1_2_4_2_mRNA)</v>
      </c>
      <c r="L418" s="70" t="str">
        <f t="shared" si="525"/>
        <v>(0.278 * E1_2_4_2_mRNA) - (0.00000278 * E1_2_4_2)</v>
      </c>
      <c r="M418" s="71" t="str">
        <f t="shared" si="526"/>
        <v>mRNA417: -&gt; E1_2_4_2_mRNA | 0.00292 - (0.0093 * E1_2_4_2_mRNA)</v>
      </c>
      <c r="N418" s="72" t="str">
        <f t="shared" si="527"/>
        <v>Peptide417: E1_2_4_2_mRNA -&gt; E1_2_4_2 | (0.278 * E1_2_4_2_mRNA) - (0.000000278 * E1_2_4_2)</v>
      </c>
    </row>
    <row r="419" spans="1:14" ht="29" x14ac:dyDescent="0.35">
      <c r="A419" s="49">
        <v>418</v>
      </c>
      <c r="B419" s="49" t="s">
        <v>15006</v>
      </c>
      <c r="C419" s="49" t="str">
        <f t="shared" si="518"/>
        <v>E3_4_21_102_mRNA</v>
      </c>
      <c r="D419" s="49" t="str">
        <f t="shared" si="519"/>
        <v>E3_4_21_102</v>
      </c>
      <c r="E419" s="64" t="str">
        <f t="shared" si="520"/>
        <v>E3_4_21_102_kcat : 13.7</v>
      </c>
      <c r="F419" s="65" t="str">
        <f t="shared" si="521"/>
        <v>E3_4_21_102_km : 1</v>
      </c>
      <c r="G419" s="66" t="str">
        <f t="shared" ref="G419:H419" si="850">CONCATENATE(C419," : ",C419)</f>
        <v>E3_4_21_102_mRNA : E3_4_21_102_mRNA</v>
      </c>
      <c r="H419" s="67" t="str">
        <f t="shared" si="850"/>
        <v>E3_4_21_102 : E3_4_21_102</v>
      </c>
      <c r="I419" s="44" t="str">
        <f t="shared" ref="I419:J419" si="851">CONCATENATE(C419," : ","0")</f>
        <v>E3_4_21_102_mRNA : 0</v>
      </c>
      <c r="J419" s="68" t="str">
        <f t="shared" si="851"/>
        <v>E3_4_21_102 : 0</v>
      </c>
      <c r="K419" s="69" t="str">
        <f t="shared" si="524"/>
        <v>0.00292 - (0.0093 * E3_4_21_102_mRNA)</v>
      </c>
      <c r="L419" s="70" t="str">
        <f t="shared" si="525"/>
        <v>(0.278 * E3_4_21_102_mRNA) - (0.00000278 * E3_4_21_102)</v>
      </c>
      <c r="M419" s="71" t="str">
        <f t="shared" si="526"/>
        <v>mRNA418: -&gt; E3_4_21_102_mRNA | 0.00292 - (0.0093 * E3_4_21_102_mRNA)</v>
      </c>
      <c r="N419" s="72" t="str">
        <f t="shared" si="527"/>
        <v>Peptide418: E3_4_21_102_mRNA -&gt; E3_4_21_102 | (0.278 * E3_4_21_102_mRNA) - (0.000000278 * E3_4_21_102)</v>
      </c>
    </row>
    <row r="420" spans="1:14" ht="29" x14ac:dyDescent="0.35">
      <c r="A420" s="49">
        <v>419</v>
      </c>
      <c r="B420" s="49" t="s">
        <v>14909</v>
      </c>
      <c r="C420" s="49" t="str">
        <f t="shared" si="518"/>
        <v>E2_8_1_12_mRNA</v>
      </c>
      <c r="D420" s="49" t="str">
        <f t="shared" si="519"/>
        <v>E2_8_1_12</v>
      </c>
      <c r="E420" s="64" t="str">
        <f t="shared" si="520"/>
        <v>E2_8_1_12_kcat : 13.7</v>
      </c>
      <c r="F420" s="65" t="str">
        <f t="shared" si="521"/>
        <v>E2_8_1_12_km : 1</v>
      </c>
      <c r="G420" s="66" t="str">
        <f t="shared" ref="G420:H420" si="852">CONCATENATE(C420," : ",C420)</f>
        <v>E2_8_1_12_mRNA : E2_8_1_12_mRNA</v>
      </c>
      <c r="H420" s="67" t="str">
        <f t="shared" si="852"/>
        <v>E2_8_1_12 : E2_8_1_12</v>
      </c>
      <c r="I420" s="44" t="str">
        <f t="shared" ref="I420:J420" si="853">CONCATENATE(C420," : ","0")</f>
        <v>E2_8_1_12_mRNA : 0</v>
      </c>
      <c r="J420" s="68" t="str">
        <f t="shared" si="853"/>
        <v>E2_8_1_12 : 0</v>
      </c>
      <c r="K420" s="69" t="str">
        <f t="shared" si="524"/>
        <v>0.00292 - (0.0093 * E2_8_1_12_mRNA)</v>
      </c>
      <c r="L420" s="70" t="str">
        <f t="shared" si="525"/>
        <v>(0.278 * E2_8_1_12_mRNA) - (0.00000278 * E2_8_1_12)</v>
      </c>
      <c r="M420" s="71" t="str">
        <f t="shared" si="526"/>
        <v>mRNA419: -&gt; E2_8_1_12_mRNA | 0.00292 - (0.0093 * E2_8_1_12_mRNA)</v>
      </c>
      <c r="N420" s="72" t="str">
        <f t="shared" si="527"/>
        <v>Peptide419: E2_8_1_12_mRNA -&gt; E2_8_1_12 | (0.278 * E2_8_1_12_mRNA) - (0.000000278 * E2_8_1_12)</v>
      </c>
    </row>
    <row r="421" spans="1:14" ht="29" x14ac:dyDescent="0.35">
      <c r="A421" s="49">
        <v>420</v>
      </c>
      <c r="B421" s="49" t="s">
        <v>14910</v>
      </c>
      <c r="C421" s="49" t="str">
        <f t="shared" si="518"/>
        <v>E4_6_1_17_mRNA</v>
      </c>
      <c r="D421" s="49" t="str">
        <f t="shared" si="519"/>
        <v>E4_6_1_17</v>
      </c>
      <c r="E421" s="64" t="str">
        <f t="shared" si="520"/>
        <v>E4_6_1_17_kcat : 13.7</v>
      </c>
      <c r="F421" s="65" t="str">
        <f t="shared" si="521"/>
        <v>E4_6_1_17_km : 1</v>
      </c>
      <c r="G421" s="66" t="str">
        <f t="shared" ref="G421:H421" si="854">CONCATENATE(C421," : ",C421)</f>
        <v>E4_6_1_17_mRNA : E4_6_1_17_mRNA</v>
      </c>
      <c r="H421" s="67" t="str">
        <f t="shared" si="854"/>
        <v>E4_6_1_17 : E4_6_1_17</v>
      </c>
      <c r="I421" s="44" t="str">
        <f t="shared" ref="I421:J421" si="855">CONCATENATE(C421," : ","0")</f>
        <v>E4_6_1_17_mRNA : 0</v>
      </c>
      <c r="J421" s="68" t="str">
        <f t="shared" si="855"/>
        <v>E4_6_1_17 : 0</v>
      </c>
      <c r="K421" s="69" t="str">
        <f t="shared" si="524"/>
        <v>0.00292 - (0.0093 * E4_6_1_17_mRNA)</v>
      </c>
      <c r="L421" s="70" t="str">
        <f t="shared" si="525"/>
        <v>(0.278 * E4_6_1_17_mRNA) - (0.00000278 * E4_6_1_17)</v>
      </c>
      <c r="M421" s="71" t="str">
        <f t="shared" si="526"/>
        <v>mRNA420: -&gt; E4_6_1_17_mRNA | 0.00292 - (0.0093 * E4_6_1_17_mRNA)</v>
      </c>
      <c r="N421" s="72" t="str">
        <f t="shared" si="527"/>
        <v>Peptide420: E4_6_1_17_mRNA -&gt; E4_6_1_17 | (0.278 * E4_6_1_17_mRNA) - (0.000000278 * E4_6_1_17)</v>
      </c>
    </row>
    <row r="422" spans="1:14" ht="29" x14ac:dyDescent="0.35">
      <c r="A422" s="49">
        <v>421</v>
      </c>
      <c r="B422" s="49" t="s">
        <v>14911</v>
      </c>
      <c r="C422" s="49" t="str">
        <f t="shared" si="518"/>
        <v>E4_1_99_22_mRNA</v>
      </c>
      <c r="D422" s="49" t="str">
        <f t="shared" si="519"/>
        <v>E4_1_99_22</v>
      </c>
      <c r="E422" s="64" t="str">
        <f t="shared" si="520"/>
        <v>E4_1_99_22_kcat : 13.7</v>
      </c>
      <c r="F422" s="65" t="str">
        <f t="shared" si="521"/>
        <v>E4_1_99_22_km : 1</v>
      </c>
      <c r="G422" s="66" t="str">
        <f t="shared" ref="G422:H422" si="856">CONCATENATE(C422," : ",C422)</f>
        <v>E4_1_99_22_mRNA : E4_1_99_22_mRNA</v>
      </c>
      <c r="H422" s="67" t="str">
        <f t="shared" si="856"/>
        <v>E4_1_99_22 : E4_1_99_22</v>
      </c>
      <c r="I422" s="44" t="str">
        <f t="shared" ref="I422:J422" si="857">CONCATENATE(C422," : ","0")</f>
        <v>E4_1_99_22_mRNA : 0</v>
      </c>
      <c r="J422" s="68" t="str">
        <f t="shared" si="857"/>
        <v>E4_1_99_22 : 0</v>
      </c>
      <c r="K422" s="69" t="str">
        <f t="shared" si="524"/>
        <v>0.00292 - (0.0093 * E4_1_99_22_mRNA)</v>
      </c>
      <c r="L422" s="70" t="str">
        <f t="shared" si="525"/>
        <v>(0.278 * E4_1_99_22_mRNA) - (0.00000278 * E4_1_99_22)</v>
      </c>
      <c r="M422" s="71" t="str">
        <f t="shared" si="526"/>
        <v>mRNA421: -&gt; E4_1_99_22_mRNA | 0.00292 - (0.0093 * E4_1_99_22_mRNA)</v>
      </c>
      <c r="N422" s="72" t="str">
        <f t="shared" si="527"/>
        <v>Peptide421: E4_1_99_22_mRNA -&gt; E4_1_99_22 | (0.278 * E4_1_99_22_mRNA) - (0.000000278 * E4_1_99_22)</v>
      </c>
    </row>
    <row r="423" spans="1:14" ht="29" x14ac:dyDescent="0.35">
      <c r="A423" s="49">
        <v>422</v>
      </c>
      <c r="B423" s="49" t="s">
        <v>15007</v>
      </c>
      <c r="C423" s="49" t="str">
        <f t="shared" si="518"/>
        <v>E4_2_99_18_mRNA</v>
      </c>
      <c r="D423" s="49" t="str">
        <f t="shared" si="519"/>
        <v>E4_2_99_18</v>
      </c>
      <c r="E423" s="64" t="str">
        <f t="shared" si="520"/>
        <v>E4_2_99_18_kcat : 13.7</v>
      </c>
      <c r="F423" s="65" t="str">
        <f t="shared" si="521"/>
        <v>E4_2_99_18_km : 1</v>
      </c>
      <c r="G423" s="66" t="str">
        <f t="shared" ref="G423:H423" si="858">CONCATENATE(C423," : ",C423)</f>
        <v>E4_2_99_18_mRNA : E4_2_99_18_mRNA</v>
      </c>
      <c r="H423" s="67" t="str">
        <f t="shared" si="858"/>
        <v>E4_2_99_18 : E4_2_99_18</v>
      </c>
      <c r="I423" s="44" t="str">
        <f t="shared" ref="I423:J423" si="859">CONCATENATE(C423," : ","0")</f>
        <v>E4_2_99_18_mRNA : 0</v>
      </c>
      <c r="J423" s="68" t="str">
        <f t="shared" si="859"/>
        <v>E4_2_99_18 : 0</v>
      </c>
      <c r="K423" s="69" t="str">
        <f t="shared" si="524"/>
        <v>0.00292 - (0.0093 * E4_2_99_18_mRNA)</v>
      </c>
      <c r="L423" s="70" t="str">
        <f t="shared" si="525"/>
        <v>(0.278 * E4_2_99_18_mRNA) - (0.00000278 * E4_2_99_18)</v>
      </c>
      <c r="M423" s="71" t="str">
        <f t="shared" si="526"/>
        <v>mRNA422: -&gt; E4_2_99_18_mRNA | 0.00292 - (0.0093 * E4_2_99_18_mRNA)</v>
      </c>
      <c r="N423" s="72" t="str">
        <f t="shared" si="527"/>
        <v>Peptide422: E4_2_99_18_mRNA -&gt; E4_2_99_18 | (0.278 * E4_2_99_18_mRNA) - (0.000000278 * E4_2_99_18)</v>
      </c>
    </row>
    <row r="424" spans="1:14" ht="29" x14ac:dyDescent="0.35">
      <c r="A424" s="49">
        <v>423</v>
      </c>
      <c r="B424" s="49" t="s">
        <v>15008</v>
      </c>
      <c r="C424" s="49" t="str">
        <f t="shared" si="518"/>
        <v>E7_3_2_5_mRNA</v>
      </c>
      <c r="D424" s="49" t="str">
        <f t="shared" si="519"/>
        <v>E7_3_2_5</v>
      </c>
      <c r="E424" s="64" t="str">
        <f t="shared" si="520"/>
        <v>E7_3_2_5_kcat : 13.7</v>
      </c>
      <c r="F424" s="65" t="str">
        <f t="shared" si="521"/>
        <v>E7_3_2_5_km : 1</v>
      </c>
      <c r="G424" s="66" t="str">
        <f t="shared" ref="G424:H424" si="860">CONCATENATE(C424," : ",C424)</f>
        <v>E7_3_2_5_mRNA : E7_3_2_5_mRNA</v>
      </c>
      <c r="H424" s="67" t="str">
        <f t="shared" si="860"/>
        <v>E7_3_2_5 : E7_3_2_5</v>
      </c>
      <c r="I424" s="44" t="str">
        <f t="shared" ref="I424:J424" si="861">CONCATENATE(C424," : ","0")</f>
        <v>E7_3_2_5_mRNA : 0</v>
      </c>
      <c r="J424" s="68" t="str">
        <f t="shared" si="861"/>
        <v>E7_3_2_5 : 0</v>
      </c>
      <c r="K424" s="69" t="str">
        <f t="shared" si="524"/>
        <v>0.00292 - (0.0093 * E7_3_2_5_mRNA)</v>
      </c>
      <c r="L424" s="70" t="str">
        <f t="shared" si="525"/>
        <v>(0.278 * E7_3_2_5_mRNA) - (0.00000278 * E7_3_2_5)</v>
      </c>
      <c r="M424" s="71" t="str">
        <f t="shared" si="526"/>
        <v>mRNA423: -&gt; E7_3_2_5_mRNA | 0.00292 - (0.0093 * E7_3_2_5_mRNA)</v>
      </c>
      <c r="N424" s="72" t="str">
        <f t="shared" si="527"/>
        <v>Peptide423: E7_3_2_5_mRNA -&gt; E7_3_2_5 | (0.278 * E7_3_2_5_mRNA) - (0.000000278 * E7_3_2_5)</v>
      </c>
    </row>
    <row r="425" spans="1:14" ht="29" x14ac:dyDescent="0.35">
      <c r="A425" s="49">
        <v>424</v>
      </c>
      <c r="B425" s="49" t="s">
        <v>15009</v>
      </c>
      <c r="C425" s="49" t="str">
        <f t="shared" si="518"/>
        <v>E2_4_99_6_mRNA</v>
      </c>
      <c r="D425" s="49" t="str">
        <f t="shared" si="519"/>
        <v>E2_4_99_6</v>
      </c>
      <c r="E425" s="64" t="str">
        <f t="shared" si="520"/>
        <v>E2_4_99_6_kcat : 13.7</v>
      </c>
      <c r="F425" s="65" t="str">
        <f t="shared" si="521"/>
        <v>E2_4_99_6_km : 1</v>
      </c>
      <c r="G425" s="66" t="str">
        <f t="shared" ref="G425:H425" si="862">CONCATENATE(C425," : ",C425)</f>
        <v>E2_4_99_6_mRNA : E2_4_99_6_mRNA</v>
      </c>
      <c r="H425" s="67" t="str">
        <f t="shared" si="862"/>
        <v>E2_4_99_6 : E2_4_99_6</v>
      </c>
      <c r="I425" s="44" t="str">
        <f t="shared" ref="I425:J425" si="863">CONCATENATE(C425," : ","0")</f>
        <v>E2_4_99_6_mRNA : 0</v>
      </c>
      <c r="J425" s="68" t="str">
        <f t="shared" si="863"/>
        <v>E2_4_99_6 : 0</v>
      </c>
      <c r="K425" s="69" t="str">
        <f t="shared" si="524"/>
        <v>0.00292 - (0.0093 * E2_4_99_6_mRNA)</v>
      </c>
      <c r="L425" s="70" t="str">
        <f t="shared" si="525"/>
        <v>(0.278 * E2_4_99_6_mRNA) - (0.00000278 * E2_4_99_6)</v>
      </c>
      <c r="M425" s="71" t="str">
        <f t="shared" si="526"/>
        <v>mRNA424: -&gt; E2_4_99_6_mRNA | 0.00292 - (0.0093 * E2_4_99_6_mRNA)</v>
      </c>
      <c r="N425" s="72" t="str">
        <f t="shared" si="527"/>
        <v>Peptide424: E2_4_99_6_mRNA -&gt; E2_4_99_6 | (0.278 * E2_4_99_6_mRNA) - (0.000000278 * E2_4_99_6)</v>
      </c>
    </row>
    <row r="426" spans="1:14" ht="29" x14ac:dyDescent="0.35">
      <c r="A426" s="49">
        <v>425</v>
      </c>
      <c r="B426" s="49" t="s">
        <v>14912</v>
      </c>
      <c r="C426" s="49" t="str">
        <f t="shared" si="518"/>
        <v>E2_1_1_14_mRNA</v>
      </c>
      <c r="D426" s="49" t="str">
        <f t="shared" si="519"/>
        <v>E2_1_1_14</v>
      </c>
      <c r="E426" s="64" t="str">
        <f t="shared" si="520"/>
        <v>E2_1_1_14_kcat : 13.7</v>
      </c>
      <c r="F426" s="65" t="str">
        <f t="shared" si="521"/>
        <v>E2_1_1_14_km : 1</v>
      </c>
      <c r="G426" s="66" t="str">
        <f t="shared" ref="G426:H426" si="864">CONCATENATE(C426," : ",C426)</f>
        <v>E2_1_1_14_mRNA : E2_1_1_14_mRNA</v>
      </c>
      <c r="H426" s="67" t="str">
        <f t="shared" si="864"/>
        <v>E2_1_1_14 : E2_1_1_14</v>
      </c>
      <c r="I426" s="44" t="str">
        <f t="shared" ref="I426:J426" si="865">CONCATENATE(C426," : ","0")</f>
        <v>E2_1_1_14_mRNA : 0</v>
      </c>
      <c r="J426" s="68" t="str">
        <f t="shared" si="865"/>
        <v>E2_1_1_14 : 0</v>
      </c>
      <c r="K426" s="69" t="str">
        <f t="shared" si="524"/>
        <v>0.00292 - (0.0093 * E2_1_1_14_mRNA)</v>
      </c>
      <c r="L426" s="70" t="str">
        <f t="shared" si="525"/>
        <v>(0.278 * E2_1_1_14_mRNA) - (0.00000278 * E2_1_1_14)</v>
      </c>
      <c r="M426" s="71" t="str">
        <f t="shared" si="526"/>
        <v>mRNA425: -&gt; E2_1_1_14_mRNA | 0.00292 - (0.0093 * E2_1_1_14_mRNA)</v>
      </c>
      <c r="N426" s="72" t="str">
        <f t="shared" si="527"/>
        <v>Peptide425: E2_1_1_14_mRNA -&gt; E2_1_1_14 | (0.278 * E2_1_1_14_mRNA) - (0.000000278 * E2_1_1_14)</v>
      </c>
    </row>
    <row r="427" spans="1:14" ht="29" x14ac:dyDescent="0.35">
      <c r="A427" s="49">
        <v>426</v>
      </c>
      <c r="B427" s="49" t="s">
        <v>15010</v>
      </c>
      <c r="C427" s="49" t="str">
        <f t="shared" si="518"/>
        <v>E3_4_11_1_mRNA</v>
      </c>
      <c r="D427" s="49" t="str">
        <f t="shared" si="519"/>
        <v>E3_4_11_1</v>
      </c>
      <c r="E427" s="64" t="str">
        <f t="shared" si="520"/>
        <v>E3_4_11_1_kcat : 13.7</v>
      </c>
      <c r="F427" s="65" t="str">
        <f t="shared" si="521"/>
        <v>E3_4_11_1_km : 1</v>
      </c>
      <c r="G427" s="66" t="str">
        <f t="shared" ref="G427:H427" si="866">CONCATENATE(C427," : ",C427)</f>
        <v>E3_4_11_1_mRNA : E3_4_11_1_mRNA</v>
      </c>
      <c r="H427" s="67" t="str">
        <f t="shared" si="866"/>
        <v>E3_4_11_1 : E3_4_11_1</v>
      </c>
      <c r="I427" s="44" t="str">
        <f t="shared" ref="I427:J427" si="867">CONCATENATE(C427," : ","0")</f>
        <v>E3_4_11_1_mRNA : 0</v>
      </c>
      <c r="J427" s="68" t="str">
        <f t="shared" si="867"/>
        <v>E3_4_11_1 : 0</v>
      </c>
      <c r="K427" s="69" t="str">
        <f t="shared" si="524"/>
        <v>0.00292 - (0.0093 * E3_4_11_1_mRNA)</v>
      </c>
      <c r="L427" s="70" t="str">
        <f t="shared" si="525"/>
        <v>(0.278 * E3_4_11_1_mRNA) - (0.00000278 * E3_4_11_1)</v>
      </c>
      <c r="M427" s="71" t="str">
        <f t="shared" si="526"/>
        <v>mRNA426: -&gt; E3_4_11_1_mRNA | 0.00292 - (0.0093 * E3_4_11_1_mRNA)</v>
      </c>
      <c r="N427" s="72" t="str">
        <f t="shared" si="527"/>
        <v>Peptide426: E3_4_11_1_mRNA -&gt; E3_4_11_1 | (0.278 * E3_4_11_1_mRNA) - (0.000000278 * E3_4_11_1)</v>
      </c>
    </row>
    <row r="428" spans="1:14" ht="29" x14ac:dyDescent="0.35">
      <c r="A428" s="49">
        <v>427</v>
      </c>
      <c r="B428" s="49" t="s">
        <v>14913</v>
      </c>
      <c r="C428" s="49" t="str">
        <f t="shared" si="518"/>
        <v>E2_7_1_199_mRNA</v>
      </c>
      <c r="D428" s="49" t="str">
        <f t="shared" si="519"/>
        <v>E2_7_1_199</v>
      </c>
      <c r="E428" s="64" t="str">
        <f t="shared" si="520"/>
        <v>E2_7_1_199_kcat : 13.7</v>
      </c>
      <c r="F428" s="65" t="str">
        <f t="shared" si="521"/>
        <v>E2_7_1_199_km : 1</v>
      </c>
      <c r="G428" s="66" t="str">
        <f t="shared" ref="G428:H428" si="868">CONCATENATE(C428," : ",C428)</f>
        <v>E2_7_1_199_mRNA : E2_7_1_199_mRNA</v>
      </c>
      <c r="H428" s="67" t="str">
        <f t="shared" si="868"/>
        <v>E2_7_1_199 : E2_7_1_199</v>
      </c>
      <c r="I428" s="44" t="str">
        <f t="shared" ref="I428:J428" si="869">CONCATENATE(C428," : ","0")</f>
        <v>E2_7_1_199_mRNA : 0</v>
      </c>
      <c r="J428" s="68" t="str">
        <f t="shared" si="869"/>
        <v>E2_7_1_199 : 0</v>
      </c>
      <c r="K428" s="69" t="str">
        <f t="shared" si="524"/>
        <v>0.00292 - (0.0093 * E2_7_1_199_mRNA)</v>
      </c>
      <c r="L428" s="70" t="str">
        <f t="shared" si="525"/>
        <v>(0.278 * E2_7_1_199_mRNA) - (0.00000278 * E2_7_1_199)</v>
      </c>
      <c r="M428" s="71" t="str">
        <f t="shared" si="526"/>
        <v>mRNA427: -&gt; E2_7_1_199_mRNA | 0.00292 - (0.0093 * E2_7_1_199_mRNA)</v>
      </c>
      <c r="N428" s="72" t="str">
        <f t="shared" si="527"/>
        <v>Peptide427: E2_7_1_199_mRNA -&gt; E2_7_1_199 | (0.278 * E2_7_1_199_mRNA) - (0.000000278 * E2_7_1_199)</v>
      </c>
    </row>
    <row r="429" spans="1:14" ht="29" x14ac:dyDescent="0.35">
      <c r="A429" s="49">
        <v>428</v>
      </c>
      <c r="B429" s="49" t="s">
        <v>14914</v>
      </c>
      <c r="C429" s="49" t="str">
        <f t="shared" si="518"/>
        <v>E2_7_3_9_mRNA</v>
      </c>
      <c r="D429" s="49" t="str">
        <f t="shared" si="519"/>
        <v>E2_7_3_9</v>
      </c>
      <c r="E429" s="64" t="str">
        <f t="shared" si="520"/>
        <v>E2_7_3_9_kcat : 13.7</v>
      </c>
      <c r="F429" s="65" t="str">
        <f t="shared" si="521"/>
        <v>E2_7_3_9_km : 1</v>
      </c>
      <c r="G429" s="66" t="str">
        <f t="shared" ref="G429:H429" si="870">CONCATENATE(C429," : ",C429)</f>
        <v>E2_7_3_9_mRNA : E2_7_3_9_mRNA</v>
      </c>
      <c r="H429" s="67" t="str">
        <f t="shared" si="870"/>
        <v>E2_7_3_9 : E2_7_3_9</v>
      </c>
      <c r="I429" s="44" t="str">
        <f t="shared" ref="I429:J429" si="871">CONCATENATE(C429," : ","0")</f>
        <v>E2_7_3_9_mRNA : 0</v>
      </c>
      <c r="J429" s="68" t="str">
        <f t="shared" si="871"/>
        <v>E2_7_3_9 : 0</v>
      </c>
      <c r="K429" s="69" t="str">
        <f t="shared" si="524"/>
        <v>0.00292 - (0.0093 * E2_7_3_9_mRNA)</v>
      </c>
      <c r="L429" s="70" t="str">
        <f t="shared" si="525"/>
        <v>(0.278 * E2_7_3_9_mRNA) - (0.00000278 * E2_7_3_9)</v>
      </c>
      <c r="M429" s="71" t="str">
        <f t="shared" si="526"/>
        <v>mRNA428: -&gt; E2_7_3_9_mRNA | 0.00292 - (0.0093 * E2_7_3_9_mRNA)</v>
      </c>
      <c r="N429" s="72" t="str">
        <f t="shared" si="527"/>
        <v>Peptide428: E2_7_3_9_mRNA -&gt; E2_7_3_9 | (0.278 * E2_7_3_9_mRNA) - (0.000000278 * E2_7_3_9)</v>
      </c>
    </row>
    <row r="430" spans="1:14" ht="29" x14ac:dyDescent="0.35">
      <c r="A430" s="49">
        <v>429</v>
      </c>
      <c r="B430" s="49" t="s">
        <v>15011</v>
      </c>
      <c r="C430" s="49" t="str">
        <f t="shared" si="518"/>
        <v>E3_4_11_18_mRNA</v>
      </c>
      <c r="D430" s="49" t="str">
        <f t="shared" si="519"/>
        <v>E3_4_11_18</v>
      </c>
      <c r="E430" s="64" t="str">
        <f t="shared" si="520"/>
        <v>E3_4_11_18_kcat : 13.7</v>
      </c>
      <c r="F430" s="65" t="str">
        <f t="shared" si="521"/>
        <v>E3_4_11_18_km : 1</v>
      </c>
      <c r="G430" s="66" t="str">
        <f t="shared" ref="G430:H430" si="872">CONCATENATE(C430," : ",C430)</f>
        <v>E3_4_11_18_mRNA : E3_4_11_18_mRNA</v>
      </c>
      <c r="H430" s="67" t="str">
        <f t="shared" si="872"/>
        <v>E3_4_11_18 : E3_4_11_18</v>
      </c>
      <c r="I430" s="44" t="str">
        <f t="shared" ref="I430:J430" si="873">CONCATENATE(C430," : ","0")</f>
        <v>E3_4_11_18_mRNA : 0</v>
      </c>
      <c r="J430" s="68" t="str">
        <f t="shared" si="873"/>
        <v>E3_4_11_18 : 0</v>
      </c>
      <c r="K430" s="69" t="str">
        <f t="shared" si="524"/>
        <v>0.00292 - (0.0093 * E3_4_11_18_mRNA)</v>
      </c>
      <c r="L430" s="70" t="str">
        <f t="shared" si="525"/>
        <v>(0.278 * E3_4_11_18_mRNA) - (0.00000278 * E3_4_11_18)</v>
      </c>
      <c r="M430" s="71" t="str">
        <f t="shared" si="526"/>
        <v>mRNA429: -&gt; E3_4_11_18_mRNA | 0.00292 - (0.0093 * E3_4_11_18_mRNA)</v>
      </c>
      <c r="N430" s="72" t="str">
        <f t="shared" si="527"/>
        <v>Peptide429: E3_4_11_18_mRNA -&gt; E3_4_11_18 | (0.278 * E3_4_11_18_mRNA) - (0.000000278 * E3_4_11_18)</v>
      </c>
    </row>
    <row r="431" spans="1:14" ht="29" x14ac:dyDescent="0.35">
      <c r="A431" s="49">
        <v>430</v>
      </c>
      <c r="B431" s="49" t="s">
        <v>14915</v>
      </c>
      <c r="C431" s="49" t="str">
        <f t="shared" si="518"/>
        <v>E6_3_2_6_mRNA</v>
      </c>
      <c r="D431" s="49" t="str">
        <f t="shared" si="519"/>
        <v>E6_3_2_6</v>
      </c>
      <c r="E431" s="64" t="str">
        <f t="shared" si="520"/>
        <v>E6_3_2_6_kcat : 13.7</v>
      </c>
      <c r="F431" s="65" t="str">
        <f t="shared" si="521"/>
        <v>E6_3_2_6_km : 1</v>
      </c>
      <c r="G431" s="66" t="str">
        <f t="shared" ref="G431:H431" si="874">CONCATENATE(C431," : ",C431)</f>
        <v>E6_3_2_6_mRNA : E6_3_2_6_mRNA</v>
      </c>
      <c r="H431" s="67" t="str">
        <f t="shared" si="874"/>
        <v>E6_3_2_6 : E6_3_2_6</v>
      </c>
      <c r="I431" s="44" t="str">
        <f t="shared" ref="I431:J431" si="875">CONCATENATE(C431," : ","0")</f>
        <v>E6_3_2_6_mRNA : 0</v>
      </c>
      <c r="J431" s="68" t="str">
        <f t="shared" si="875"/>
        <v>E6_3_2_6 : 0</v>
      </c>
      <c r="K431" s="69" t="str">
        <f t="shared" si="524"/>
        <v>0.00292 - (0.0093 * E6_3_2_6_mRNA)</v>
      </c>
      <c r="L431" s="70" t="str">
        <f t="shared" si="525"/>
        <v>(0.278 * E6_3_2_6_mRNA) - (0.00000278 * E6_3_2_6)</v>
      </c>
      <c r="M431" s="71" t="str">
        <f t="shared" si="526"/>
        <v>mRNA430: -&gt; E6_3_2_6_mRNA | 0.00292 - (0.0093 * E6_3_2_6_mRNA)</v>
      </c>
      <c r="N431" s="72" t="str">
        <f t="shared" si="527"/>
        <v>Peptide430: E6_3_2_6_mRNA -&gt; E6_3_2_6 | (0.278 * E6_3_2_6_mRNA) - (0.000000278 * E6_3_2_6)</v>
      </c>
    </row>
    <row r="432" spans="1:14" ht="29" x14ac:dyDescent="0.35">
      <c r="A432" s="49">
        <v>431</v>
      </c>
      <c r="B432" s="49" t="s">
        <v>14916</v>
      </c>
      <c r="C432" s="49" t="str">
        <f t="shared" si="518"/>
        <v>E6_3_4_5_mRNA</v>
      </c>
      <c r="D432" s="49" t="str">
        <f t="shared" si="519"/>
        <v>E6_3_4_5</v>
      </c>
      <c r="E432" s="64" t="str">
        <f t="shared" si="520"/>
        <v>E6_3_4_5_kcat : 13.7</v>
      </c>
      <c r="F432" s="65" t="str">
        <f t="shared" si="521"/>
        <v>E6_3_4_5_km : 1</v>
      </c>
      <c r="G432" s="66" t="str">
        <f t="shared" ref="G432:H432" si="876">CONCATENATE(C432," : ",C432)</f>
        <v>E6_3_4_5_mRNA : E6_3_4_5_mRNA</v>
      </c>
      <c r="H432" s="67" t="str">
        <f t="shared" si="876"/>
        <v>E6_3_4_5 : E6_3_4_5</v>
      </c>
      <c r="I432" s="44" t="str">
        <f t="shared" ref="I432:J432" si="877">CONCATENATE(C432," : ","0")</f>
        <v>E6_3_4_5_mRNA : 0</v>
      </c>
      <c r="J432" s="68" t="str">
        <f t="shared" si="877"/>
        <v>E6_3_4_5 : 0</v>
      </c>
      <c r="K432" s="69" t="str">
        <f t="shared" si="524"/>
        <v>0.00292 - (0.0093 * E6_3_4_5_mRNA)</v>
      </c>
      <c r="L432" s="70" t="str">
        <f t="shared" si="525"/>
        <v>(0.278 * E6_3_4_5_mRNA) - (0.00000278 * E6_3_4_5)</v>
      </c>
      <c r="M432" s="71" t="str">
        <f t="shared" si="526"/>
        <v>mRNA431: -&gt; E6_3_4_5_mRNA | 0.00292 - (0.0093 * E6_3_4_5_mRNA)</v>
      </c>
      <c r="N432" s="72" t="str">
        <f t="shared" si="527"/>
        <v>Peptide431: E6_3_4_5_mRNA -&gt; E6_3_4_5 | (0.278 * E6_3_4_5_mRNA) - (0.000000278 * E6_3_4_5)</v>
      </c>
    </row>
    <row r="433" spans="1:14" ht="29" x14ac:dyDescent="0.35">
      <c r="A433" s="49">
        <v>432</v>
      </c>
      <c r="B433" s="49" t="s">
        <v>14917</v>
      </c>
      <c r="C433" s="49" t="str">
        <f t="shared" si="518"/>
        <v>E3_5_2_9_mRNA</v>
      </c>
      <c r="D433" s="49" t="str">
        <f t="shared" si="519"/>
        <v>E3_5_2_9</v>
      </c>
      <c r="E433" s="64" t="str">
        <f t="shared" si="520"/>
        <v>E3_5_2_9_kcat : 13.7</v>
      </c>
      <c r="F433" s="65" t="str">
        <f t="shared" si="521"/>
        <v>E3_5_2_9_km : 1</v>
      </c>
      <c r="G433" s="66" t="str">
        <f t="shared" ref="G433:H433" si="878">CONCATENATE(C433," : ",C433)</f>
        <v>E3_5_2_9_mRNA : E3_5_2_9_mRNA</v>
      </c>
      <c r="H433" s="67" t="str">
        <f t="shared" si="878"/>
        <v>E3_5_2_9 : E3_5_2_9</v>
      </c>
      <c r="I433" s="44" t="str">
        <f t="shared" ref="I433:J433" si="879">CONCATENATE(C433," : ","0")</f>
        <v>E3_5_2_9_mRNA : 0</v>
      </c>
      <c r="J433" s="68" t="str">
        <f t="shared" si="879"/>
        <v>E3_5_2_9 : 0</v>
      </c>
      <c r="K433" s="69" t="str">
        <f t="shared" si="524"/>
        <v>0.00292 - (0.0093 * E3_5_2_9_mRNA)</v>
      </c>
      <c r="L433" s="70" t="str">
        <f t="shared" si="525"/>
        <v>(0.278 * E3_5_2_9_mRNA) - (0.00000278 * E3_5_2_9)</v>
      </c>
      <c r="M433" s="71" t="str">
        <f t="shared" si="526"/>
        <v>mRNA432: -&gt; E3_5_2_9_mRNA | 0.00292 - (0.0093 * E3_5_2_9_mRNA)</v>
      </c>
      <c r="N433" s="72" t="str">
        <f t="shared" si="527"/>
        <v>Peptide432: E3_5_2_9_mRNA -&gt; E3_5_2_9 | (0.278 * E3_5_2_9_mRNA) - (0.000000278 * E3_5_2_9)</v>
      </c>
    </row>
    <row r="434" spans="1:14" ht="29" x14ac:dyDescent="0.35">
      <c r="A434" s="49">
        <v>433</v>
      </c>
      <c r="B434" s="49" t="s">
        <v>14918</v>
      </c>
      <c r="C434" s="49" t="str">
        <f t="shared" si="518"/>
        <v>E5_1_1_3_mRNA</v>
      </c>
      <c r="D434" s="49" t="str">
        <f t="shared" si="519"/>
        <v>E5_1_1_3</v>
      </c>
      <c r="E434" s="64" t="str">
        <f t="shared" si="520"/>
        <v>E5_1_1_3_kcat : 13.7</v>
      </c>
      <c r="F434" s="65" t="str">
        <f t="shared" si="521"/>
        <v>E5_1_1_3_km : 1</v>
      </c>
      <c r="G434" s="66" t="str">
        <f t="shared" ref="G434:H434" si="880">CONCATENATE(C434," : ",C434)</f>
        <v>E5_1_1_3_mRNA : E5_1_1_3_mRNA</v>
      </c>
      <c r="H434" s="67" t="str">
        <f t="shared" si="880"/>
        <v>E5_1_1_3 : E5_1_1_3</v>
      </c>
      <c r="I434" s="44" t="str">
        <f t="shared" ref="I434:J434" si="881">CONCATENATE(C434," : ","0")</f>
        <v>E5_1_1_3_mRNA : 0</v>
      </c>
      <c r="J434" s="68" t="str">
        <f t="shared" si="881"/>
        <v>E5_1_1_3 : 0</v>
      </c>
      <c r="K434" s="69" t="str">
        <f t="shared" si="524"/>
        <v>0.00292 - (0.0093 * E5_1_1_3_mRNA)</v>
      </c>
      <c r="L434" s="70" t="str">
        <f t="shared" si="525"/>
        <v>(0.278 * E5_1_1_3_mRNA) - (0.00000278 * E5_1_1_3)</v>
      </c>
      <c r="M434" s="71" t="str">
        <f t="shared" si="526"/>
        <v>mRNA433: -&gt; E5_1_1_3_mRNA | 0.00292 - (0.0093 * E5_1_1_3_mRNA)</v>
      </c>
      <c r="N434" s="72" t="str">
        <f t="shared" si="527"/>
        <v>Peptide433: E5_1_1_3_mRNA -&gt; E5_1_1_3 | (0.278 * E5_1_1_3_mRNA) - (0.000000278 * E5_1_1_3)</v>
      </c>
    </row>
    <row r="435" spans="1:14" ht="29" x14ac:dyDescent="0.35">
      <c r="A435" s="49">
        <v>434</v>
      </c>
      <c r="B435" s="49" t="s">
        <v>14919</v>
      </c>
      <c r="C435" s="49" t="str">
        <f t="shared" si="518"/>
        <v>E3_1_7_2_mRNA</v>
      </c>
      <c r="D435" s="49" t="str">
        <f t="shared" si="519"/>
        <v>E3_1_7_2</v>
      </c>
      <c r="E435" s="64" t="str">
        <f t="shared" si="520"/>
        <v>E3_1_7_2_kcat : 13.7</v>
      </c>
      <c r="F435" s="65" t="str">
        <f t="shared" si="521"/>
        <v>E3_1_7_2_km : 1</v>
      </c>
      <c r="G435" s="66" t="str">
        <f t="shared" ref="G435:H435" si="882">CONCATENATE(C435," : ",C435)</f>
        <v>E3_1_7_2_mRNA : E3_1_7_2_mRNA</v>
      </c>
      <c r="H435" s="67" t="str">
        <f t="shared" si="882"/>
        <v>E3_1_7_2 : E3_1_7_2</v>
      </c>
      <c r="I435" s="44" t="str">
        <f t="shared" ref="I435:J435" si="883">CONCATENATE(C435," : ","0")</f>
        <v>E3_1_7_2_mRNA : 0</v>
      </c>
      <c r="J435" s="68" t="str">
        <f t="shared" si="883"/>
        <v>E3_1_7_2 : 0</v>
      </c>
      <c r="K435" s="69" t="str">
        <f t="shared" si="524"/>
        <v>0.00292 - (0.0093 * E3_1_7_2_mRNA)</v>
      </c>
      <c r="L435" s="70" t="str">
        <f t="shared" si="525"/>
        <v>(0.278 * E3_1_7_2_mRNA) - (0.00000278 * E3_1_7_2)</v>
      </c>
      <c r="M435" s="71" t="str">
        <f t="shared" si="526"/>
        <v>mRNA434: -&gt; E3_1_7_2_mRNA | 0.00292 - (0.0093 * E3_1_7_2_mRNA)</v>
      </c>
      <c r="N435" s="72" t="str">
        <f t="shared" si="527"/>
        <v>Peptide434: E3_1_7_2_mRNA -&gt; E3_1_7_2 | (0.278 * E3_1_7_2_mRNA) - (0.000000278 * E3_1_7_2)</v>
      </c>
    </row>
    <row r="436" spans="1:14" ht="29" x14ac:dyDescent="0.35">
      <c r="A436" s="49">
        <v>435</v>
      </c>
      <c r="B436" s="49" t="s">
        <v>14920</v>
      </c>
      <c r="C436" s="49" t="str">
        <f t="shared" si="518"/>
        <v>E1_17_5_3_mRNA</v>
      </c>
      <c r="D436" s="49" t="str">
        <f t="shared" si="519"/>
        <v>E1_17_5_3</v>
      </c>
      <c r="E436" s="64" t="str">
        <f t="shared" si="520"/>
        <v>E1_17_5_3_kcat : 13.7</v>
      </c>
      <c r="F436" s="65" t="str">
        <f t="shared" si="521"/>
        <v>E1_17_5_3_km : 1</v>
      </c>
      <c r="G436" s="66" t="str">
        <f t="shared" ref="G436:H436" si="884">CONCATENATE(C436," : ",C436)</f>
        <v>E1_17_5_3_mRNA : E1_17_5_3_mRNA</v>
      </c>
      <c r="H436" s="67" t="str">
        <f t="shared" si="884"/>
        <v>E1_17_5_3 : E1_17_5_3</v>
      </c>
      <c r="I436" s="44" t="str">
        <f t="shared" ref="I436:J436" si="885">CONCATENATE(C436," : ","0")</f>
        <v>E1_17_5_3_mRNA : 0</v>
      </c>
      <c r="J436" s="68" t="str">
        <f t="shared" si="885"/>
        <v>E1_17_5_3 : 0</v>
      </c>
      <c r="K436" s="69" t="str">
        <f t="shared" si="524"/>
        <v>0.00292 - (0.0093 * E1_17_5_3_mRNA)</v>
      </c>
      <c r="L436" s="70" t="str">
        <f t="shared" si="525"/>
        <v>(0.278 * E1_17_5_3_mRNA) - (0.00000278 * E1_17_5_3)</v>
      </c>
      <c r="M436" s="71" t="str">
        <f t="shared" si="526"/>
        <v>mRNA435: -&gt; E1_17_5_3_mRNA | 0.00292 - (0.0093 * E1_17_5_3_mRNA)</v>
      </c>
      <c r="N436" s="72" t="str">
        <f t="shared" si="527"/>
        <v>Peptide435: E1_17_5_3_mRNA -&gt; E1_17_5_3 | (0.278 * E1_17_5_3_mRNA) - (0.000000278 * E1_17_5_3)</v>
      </c>
    </row>
    <row r="437" spans="1:14" ht="29" x14ac:dyDescent="0.35">
      <c r="A437" s="49">
        <v>436</v>
      </c>
      <c r="B437" s="49" t="s">
        <v>14921</v>
      </c>
      <c r="C437" s="49" t="str">
        <f t="shared" si="518"/>
        <v>E1_17_1_9_mRNA</v>
      </c>
      <c r="D437" s="49" t="str">
        <f t="shared" si="519"/>
        <v>E1_17_1_9</v>
      </c>
      <c r="E437" s="64" t="str">
        <f t="shared" si="520"/>
        <v>E1_17_1_9_kcat : 13.7</v>
      </c>
      <c r="F437" s="65" t="str">
        <f t="shared" si="521"/>
        <v>E1_17_1_9_km : 1</v>
      </c>
      <c r="G437" s="66" t="str">
        <f t="shared" ref="G437:H437" si="886">CONCATENATE(C437," : ",C437)</f>
        <v>E1_17_1_9_mRNA : E1_17_1_9_mRNA</v>
      </c>
      <c r="H437" s="67" t="str">
        <f t="shared" si="886"/>
        <v>E1_17_1_9 : E1_17_1_9</v>
      </c>
      <c r="I437" s="44" t="str">
        <f t="shared" ref="I437:J437" si="887">CONCATENATE(C437," : ","0")</f>
        <v>E1_17_1_9_mRNA : 0</v>
      </c>
      <c r="J437" s="68" t="str">
        <f t="shared" si="887"/>
        <v>E1_17_1_9 : 0</v>
      </c>
      <c r="K437" s="69" t="str">
        <f t="shared" si="524"/>
        <v>0.00292 - (0.0093 * E1_17_1_9_mRNA)</v>
      </c>
      <c r="L437" s="70" t="str">
        <f t="shared" si="525"/>
        <v>(0.278 * E1_17_1_9_mRNA) - (0.00000278 * E1_17_1_9)</v>
      </c>
      <c r="M437" s="71" t="str">
        <f t="shared" si="526"/>
        <v>mRNA436: -&gt; E1_17_1_9_mRNA | 0.00292 - (0.0093 * E1_17_1_9_mRNA)</v>
      </c>
      <c r="N437" s="72" t="str">
        <f t="shared" si="527"/>
        <v>Peptide436: E1_17_1_9_mRNA -&gt; E1_17_1_9 | (0.278 * E1_17_1_9_mRNA) - (0.000000278 * E1_17_1_9)</v>
      </c>
    </row>
    <row r="438" spans="1:14" ht="29" x14ac:dyDescent="0.35">
      <c r="A438" s="49">
        <v>437</v>
      </c>
      <c r="B438" s="49" t="s">
        <v>14922</v>
      </c>
      <c r="C438" s="49" t="str">
        <f t="shared" si="518"/>
        <v>E2_3_1_266_mRNA</v>
      </c>
      <c r="D438" s="49" t="str">
        <f t="shared" si="519"/>
        <v>E2_3_1_266</v>
      </c>
      <c r="E438" s="64" t="str">
        <f t="shared" si="520"/>
        <v>E2_3_1_266_kcat : 13.7</v>
      </c>
      <c r="F438" s="65" t="str">
        <f t="shared" si="521"/>
        <v>E2_3_1_266_km : 1</v>
      </c>
      <c r="G438" s="66" t="str">
        <f t="shared" ref="G438:H438" si="888">CONCATENATE(C438," : ",C438)</f>
        <v>E2_3_1_266_mRNA : E2_3_1_266_mRNA</v>
      </c>
      <c r="H438" s="67" t="str">
        <f t="shared" si="888"/>
        <v>E2_3_1_266 : E2_3_1_266</v>
      </c>
      <c r="I438" s="44" t="str">
        <f t="shared" ref="I438:J438" si="889">CONCATENATE(C438," : ","0")</f>
        <v>E2_3_1_266_mRNA : 0</v>
      </c>
      <c r="J438" s="68" t="str">
        <f t="shared" si="889"/>
        <v>E2_3_1_266 : 0</v>
      </c>
      <c r="K438" s="69" t="str">
        <f t="shared" si="524"/>
        <v>0.00292 - (0.0093 * E2_3_1_266_mRNA)</v>
      </c>
      <c r="L438" s="70" t="str">
        <f t="shared" si="525"/>
        <v>(0.278 * E2_3_1_266_mRNA) - (0.00000278 * E2_3_1_266)</v>
      </c>
      <c r="M438" s="71" t="str">
        <f t="shared" si="526"/>
        <v>mRNA437: -&gt; E2_3_1_266_mRNA | 0.00292 - (0.0093 * E2_3_1_266_mRNA)</v>
      </c>
      <c r="N438" s="72" t="str">
        <f t="shared" si="527"/>
        <v>Peptide437: E2_3_1_266_mRNA -&gt; E2_3_1_266 | (0.278 * E2_3_1_266_mRNA) - (0.000000278 * E2_3_1_266)</v>
      </c>
    </row>
    <row r="439" spans="1:14" ht="29" x14ac:dyDescent="0.35">
      <c r="A439" s="49">
        <v>438</v>
      </c>
      <c r="B439" s="49" t="s">
        <v>15012</v>
      </c>
      <c r="C439" s="49" t="str">
        <f t="shared" si="518"/>
        <v>E2_1_1_172_mRNA</v>
      </c>
      <c r="D439" s="49" t="str">
        <f t="shared" si="519"/>
        <v>E2_1_1_172</v>
      </c>
      <c r="E439" s="64" t="str">
        <f t="shared" si="520"/>
        <v>E2_1_1_172_kcat : 13.7</v>
      </c>
      <c r="F439" s="65" t="str">
        <f t="shared" si="521"/>
        <v>E2_1_1_172_km : 1</v>
      </c>
      <c r="G439" s="66" t="str">
        <f t="shared" ref="G439:H439" si="890">CONCATENATE(C439," : ",C439)</f>
        <v>E2_1_1_172_mRNA : E2_1_1_172_mRNA</v>
      </c>
      <c r="H439" s="67" t="str">
        <f t="shared" si="890"/>
        <v>E2_1_1_172 : E2_1_1_172</v>
      </c>
      <c r="I439" s="44" t="str">
        <f t="shared" ref="I439:J439" si="891">CONCATENATE(C439," : ","0")</f>
        <v>E2_1_1_172_mRNA : 0</v>
      </c>
      <c r="J439" s="68" t="str">
        <f t="shared" si="891"/>
        <v>E2_1_1_172 : 0</v>
      </c>
      <c r="K439" s="69" t="str">
        <f t="shared" si="524"/>
        <v>0.00292 - (0.0093 * E2_1_1_172_mRNA)</v>
      </c>
      <c r="L439" s="70" t="str">
        <f t="shared" si="525"/>
        <v>(0.278 * E2_1_1_172_mRNA) - (0.00000278 * E2_1_1_172)</v>
      </c>
      <c r="M439" s="71" t="str">
        <f t="shared" si="526"/>
        <v>mRNA438: -&gt; E2_1_1_172_mRNA | 0.00292 - (0.0093 * E2_1_1_172_mRNA)</v>
      </c>
      <c r="N439" s="72" t="str">
        <f t="shared" si="527"/>
        <v>Peptide438: E2_1_1_172_mRNA -&gt; E2_1_1_172 | (0.278 * E2_1_1_172_mRNA) - (0.000000278 * E2_1_1_172)</v>
      </c>
    </row>
    <row r="440" spans="1:14" ht="29" x14ac:dyDescent="0.35">
      <c r="A440" s="49">
        <v>439</v>
      </c>
      <c r="B440" s="49" t="s">
        <v>15013</v>
      </c>
      <c r="C440" s="49" t="str">
        <f t="shared" si="518"/>
        <v>E3_1_26_3_mRNA</v>
      </c>
      <c r="D440" s="49" t="str">
        <f t="shared" si="519"/>
        <v>E3_1_26_3</v>
      </c>
      <c r="E440" s="64" t="str">
        <f t="shared" si="520"/>
        <v>E3_1_26_3_kcat : 13.7</v>
      </c>
      <c r="F440" s="65" t="str">
        <f t="shared" si="521"/>
        <v>E3_1_26_3_km : 1</v>
      </c>
      <c r="G440" s="66" t="str">
        <f t="shared" ref="G440:H440" si="892">CONCATENATE(C440," : ",C440)</f>
        <v>E3_1_26_3_mRNA : E3_1_26_3_mRNA</v>
      </c>
      <c r="H440" s="67" t="str">
        <f t="shared" si="892"/>
        <v>E3_1_26_3 : E3_1_26_3</v>
      </c>
      <c r="I440" s="44" t="str">
        <f t="shared" ref="I440:J440" si="893">CONCATENATE(C440," : ","0")</f>
        <v>E3_1_26_3_mRNA : 0</v>
      </c>
      <c r="J440" s="68" t="str">
        <f t="shared" si="893"/>
        <v>E3_1_26_3 : 0</v>
      </c>
      <c r="K440" s="69" t="str">
        <f t="shared" si="524"/>
        <v>0.00292 - (0.0093 * E3_1_26_3_mRNA)</v>
      </c>
      <c r="L440" s="70" t="str">
        <f t="shared" si="525"/>
        <v>(0.278 * E3_1_26_3_mRNA) - (0.00000278 * E3_1_26_3)</v>
      </c>
      <c r="M440" s="71" t="str">
        <f t="shared" si="526"/>
        <v>mRNA439: -&gt; E3_1_26_3_mRNA | 0.00292 - (0.0093 * E3_1_26_3_mRNA)</v>
      </c>
      <c r="N440" s="72" t="str">
        <f t="shared" si="527"/>
        <v>Peptide439: E3_1_26_3_mRNA -&gt; E3_1_26_3 | (0.278 * E3_1_26_3_mRNA) - (0.000000278 * E3_1_26_3)</v>
      </c>
    </row>
    <row r="441" spans="1:14" ht="29" x14ac:dyDescent="0.35">
      <c r="A441" s="49">
        <v>440</v>
      </c>
      <c r="B441" s="49" t="s">
        <v>15014</v>
      </c>
      <c r="C441" s="49" t="str">
        <f t="shared" si="518"/>
        <v>E3_4_21_89_mRNA</v>
      </c>
      <c r="D441" s="49" t="str">
        <f t="shared" si="519"/>
        <v>E3_4_21_89</v>
      </c>
      <c r="E441" s="64" t="str">
        <f t="shared" si="520"/>
        <v>E3_4_21_89_kcat : 13.7</v>
      </c>
      <c r="F441" s="65" t="str">
        <f t="shared" si="521"/>
        <v>E3_4_21_89_km : 1</v>
      </c>
      <c r="G441" s="66" t="str">
        <f t="shared" ref="G441:H441" si="894">CONCATENATE(C441," : ",C441)</f>
        <v>E3_4_21_89_mRNA : E3_4_21_89_mRNA</v>
      </c>
      <c r="H441" s="67" t="str">
        <f t="shared" si="894"/>
        <v>E3_4_21_89 : E3_4_21_89</v>
      </c>
      <c r="I441" s="44" t="str">
        <f t="shared" ref="I441:J441" si="895">CONCATENATE(C441," : ","0")</f>
        <v>E3_4_21_89_mRNA : 0</v>
      </c>
      <c r="J441" s="68" t="str">
        <f t="shared" si="895"/>
        <v>E3_4_21_89 : 0</v>
      </c>
      <c r="K441" s="69" t="str">
        <f t="shared" si="524"/>
        <v>0.00292 - (0.0093 * E3_4_21_89_mRNA)</v>
      </c>
      <c r="L441" s="70" t="str">
        <f t="shared" si="525"/>
        <v>(0.278 * E3_4_21_89_mRNA) - (0.00000278 * E3_4_21_89)</v>
      </c>
      <c r="M441" s="71" t="str">
        <f t="shared" si="526"/>
        <v>mRNA440: -&gt; E3_4_21_89_mRNA | 0.00292 - (0.0093 * E3_4_21_89_mRNA)</v>
      </c>
      <c r="N441" s="72" t="str">
        <f t="shared" si="527"/>
        <v>Peptide440: E3_4_21_89_mRNA -&gt; E3_4_21_89 | (0.278 * E3_4_21_89_mRNA) - (0.000000278 * E3_4_21_89)</v>
      </c>
    </row>
    <row r="442" spans="1:14" ht="29" x14ac:dyDescent="0.35">
      <c r="A442" s="49">
        <v>441</v>
      </c>
      <c r="B442" s="49" t="s">
        <v>15015</v>
      </c>
      <c r="C442" s="49" t="str">
        <f t="shared" si="518"/>
        <v>E3_2_2_27_mRNA</v>
      </c>
      <c r="D442" s="49" t="str">
        <f t="shared" si="519"/>
        <v>E3_2_2_27</v>
      </c>
      <c r="E442" s="64" t="str">
        <f t="shared" si="520"/>
        <v>E3_2_2_27_kcat : 13.7</v>
      </c>
      <c r="F442" s="65" t="str">
        <f t="shared" si="521"/>
        <v>E3_2_2_27_km : 1</v>
      </c>
      <c r="G442" s="66" t="str">
        <f t="shared" ref="G442:H442" si="896">CONCATENATE(C442," : ",C442)</f>
        <v>E3_2_2_27_mRNA : E3_2_2_27_mRNA</v>
      </c>
      <c r="H442" s="67" t="str">
        <f t="shared" si="896"/>
        <v>E3_2_2_27 : E3_2_2_27</v>
      </c>
      <c r="I442" s="44" t="str">
        <f t="shared" ref="I442:J442" si="897">CONCATENATE(C442," : ","0")</f>
        <v>E3_2_2_27_mRNA : 0</v>
      </c>
      <c r="J442" s="68" t="str">
        <f t="shared" si="897"/>
        <v>E3_2_2_27 : 0</v>
      </c>
      <c r="K442" s="69" t="str">
        <f t="shared" si="524"/>
        <v>0.00292 - (0.0093 * E3_2_2_27_mRNA)</v>
      </c>
      <c r="L442" s="70" t="str">
        <f t="shared" si="525"/>
        <v>(0.278 * E3_2_2_27_mRNA) - (0.00000278 * E3_2_2_27)</v>
      </c>
      <c r="M442" s="71" t="str">
        <f t="shared" si="526"/>
        <v>mRNA441: -&gt; E3_2_2_27_mRNA | 0.00292 - (0.0093 * E3_2_2_27_mRNA)</v>
      </c>
      <c r="N442" s="72" t="str">
        <f t="shared" si="527"/>
        <v>Peptide441: E3_2_2_27_mRNA -&gt; E3_2_2_27 | (0.278 * E3_2_2_27_mRNA) - (0.000000278 * E3_2_2_27)</v>
      </c>
    </row>
    <row r="443" spans="1:14" ht="29" x14ac:dyDescent="0.35">
      <c r="A443" s="49">
        <v>442</v>
      </c>
      <c r="B443" s="49" t="s">
        <v>15016</v>
      </c>
      <c r="C443" s="49" t="str">
        <f t="shared" si="518"/>
        <v>E2_8_4_3_mRNA</v>
      </c>
      <c r="D443" s="49" t="str">
        <f t="shared" si="519"/>
        <v>E2_8_4_3</v>
      </c>
      <c r="E443" s="64" t="str">
        <f t="shared" si="520"/>
        <v>E2_8_4_3_kcat : 13.7</v>
      </c>
      <c r="F443" s="65" t="str">
        <f t="shared" si="521"/>
        <v>E2_8_4_3_km : 1</v>
      </c>
      <c r="G443" s="66" t="str">
        <f t="shared" ref="G443:H443" si="898">CONCATENATE(C443," : ",C443)</f>
        <v>E2_8_4_3_mRNA : E2_8_4_3_mRNA</v>
      </c>
      <c r="H443" s="67" t="str">
        <f t="shared" si="898"/>
        <v>E2_8_4_3 : E2_8_4_3</v>
      </c>
      <c r="I443" s="44" t="str">
        <f t="shared" ref="I443:J443" si="899">CONCATENATE(C443," : ","0")</f>
        <v>E2_8_4_3_mRNA : 0</v>
      </c>
      <c r="J443" s="68" t="str">
        <f t="shared" si="899"/>
        <v>E2_8_4_3 : 0</v>
      </c>
      <c r="K443" s="69" t="str">
        <f t="shared" si="524"/>
        <v>0.00292 - (0.0093 * E2_8_4_3_mRNA)</v>
      </c>
      <c r="L443" s="70" t="str">
        <f t="shared" si="525"/>
        <v>(0.278 * E2_8_4_3_mRNA) - (0.00000278 * E2_8_4_3)</v>
      </c>
      <c r="M443" s="71" t="str">
        <f t="shared" si="526"/>
        <v>mRNA442: -&gt; E2_8_4_3_mRNA | 0.00292 - (0.0093 * E2_8_4_3_mRNA)</v>
      </c>
      <c r="N443" s="72" t="str">
        <f t="shared" si="527"/>
        <v>Peptide442: E2_8_4_3_mRNA -&gt; E2_8_4_3 | (0.278 * E2_8_4_3_mRNA) - (0.000000278 * E2_8_4_3)</v>
      </c>
    </row>
    <row r="444" spans="1:14" ht="29" x14ac:dyDescent="0.35">
      <c r="A444" s="49">
        <v>443</v>
      </c>
      <c r="B444" s="49" t="s">
        <v>14923</v>
      </c>
      <c r="C444" s="49" t="str">
        <f t="shared" si="518"/>
        <v>E2_4_2_52_mRNA</v>
      </c>
      <c r="D444" s="49" t="str">
        <f t="shared" si="519"/>
        <v>E2_4_2_52</v>
      </c>
      <c r="E444" s="64" t="str">
        <f t="shared" si="520"/>
        <v>E2_4_2_52_kcat : 13.7</v>
      </c>
      <c r="F444" s="65" t="str">
        <f t="shared" si="521"/>
        <v>E2_4_2_52_km : 1</v>
      </c>
      <c r="G444" s="66" t="str">
        <f t="shared" ref="G444:H444" si="900">CONCATENATE(C444," : ",C444)</f>
        <v>E2_4_2_52_mRNA : E2_4_2_52_mRNA</v>
      </c>
      <c r="H444" s="67" t="str">
        <f t="shared" si="900"/>
        <v>E2_4_2_52 : E2_4_2_52</v>
      </c>
      <c r="I444" s="44" t="str">
        <f t="shared" ref="I444:J444" si="901">CONCATENATE(C444," : ","0")</f>
        <v>E2_4_2_52_mRNA : 0</v>
      </c>
      <c r="J444" s="68" t="str">
        <f t="shared" si="901"/>
        <v>E2_4_2_52 : 0</v>
      </c>
      <c r="K444" s="69" t="str">
        <f t="shared" si="524"/>
        <v>0.00292 - (0.0093 * E2_4_2_52_mRNA)</v>
      </c>
      <c r="L444" s="70" t="str">
        <f t="shared" si="525"/>
        <v>(0.278 * E2_4_2_52_mRNA) - (0.00000278 * E2_4_2_52)</v>
      </c>
      <c r="M444" s="71" t="str">
        <f t="shared" si="526"/>
        <v>mRNA443: -&gt; E2_4_2_52_mRNA | 0.00292 - (0.0093 * E2_4_2_52_mRNA)</v>
      </c>
      <c r="N444" s="72" t="str">
        <f t="shared" si="527"/>
        <v>Peptide443: E2_4_2_52_mRNA -&gt; E2_4_2_52 | (0.278 * E2_4_2_52_mRNA) - (0.000000278 * E2_4_2_52)</v>
      </c>
    </row>
    <row r="445" spans="1:14" ht="29" x14ac:dyDescent="0.35">
      <c r="A445" s="49">
        <v>444</v>
      </c>
      <c r="B445" s="49" t="s">
        <v>14924</v>
      </c>
      <c r="C445" s="49" t="str">
        <f t="shared" si="518"/>
        <v>E2_8_3_10_mRNA</v>
      </c>
      <c r="D445" s="49" t="str">
        <f t="shared" si="519"/>
        <v>E2_8_3_10</v>
      </c>
      <c r="E445" s="64" t="str">
        <f t="shared" si="520"/>
        <v>E2_8_3_10_kcat : 13.7</v>
      </c>
      <c r="F445" s="65" t="str">
        <f t="shared" si="521"/>
        <v>E2_8_3_10_km : 1</v>
      </c>
      <c r="G445" s="66" t="str">
        <f t="shared" ref="G445:H445" si="902">CONCATENATE(C445," : ",C445)</f>
        <v>E2_8_3_10_mRNA : E2_8_3_10_mRNA</v>
      </c>
      <c r="H445" s="67" t="str">
        <f t="shared" si="902"/>
        <v>E2_8_3_10 : E2_8_3_10</v>
      </c>
      <c r="I445" s="44" t="str">
        <f t="shared" ref="I445:J445" si="903">CONCATENATE(C445," : ","0")</f>
        <v>E2_8_3_10_mRNA : 0</v>
      </c>
      <c r="J445" s="68" t="str">
        <f t="shared" si="903"/>
        <v>E2_8_3_10 : 0</v>
      </c>
      <c r="K445" s="69" t="str">
        <f t="shared" si="524"/>
        <v>0.00292 - (0.0093 * E2_8_3_10_mRNA)</v>
      </c>
      <c r="L445" s="70" t="str">
        <f t="shared" si="525"/>
        <v>(0.278 * E2_8_3_10_mRNA) - (0.00000278 * E2_8_3_10)</v>
      </c>
      <c r="M445" s="71" t="str">
        <f t="shared" si="526"/>
        <v>mRNA444: -&gt; E2_8_3_10_mRNA | 0.00292 - (0.0093 * E2_8_3_10_mRNA)</v>
      </c>
      <c r="N445" s="72" t="str">
        <f t="shared" si="527"/>
        <v>Peptide444: E2_8_3_10_mRNA -&gt; E2_8_3_10 | (0.278 * E2_8_3_10_mRNA) - (0.000000278 * E2_8_3_10)</v>
      </c>
    </row>
    <row r="446" spans="1:14" ht="29" x14ac:dyDescent="0.35">
      <c r="A446" s="49">
        <v>445</v>
      </c>
      <c r="B446" s="49" t="s">
        <v>14926</v>
      </c>
      <c r="C446" s="49" t="str">
        <f t="shared" si="518"/>
        <v>E4_1_3_6_mRNA</v>
      </c>
      <c r="D446" s="49" t="str">
        <f t="shared" si="519"/>
        <v>E4_1_3_6</v>
      </c>
      <c r="E446" s="64" t="str">
        <f t="shared" si="520"/>
        <v>E4_1_3_6_kcat : 13.7</v>
      </c>
      <c r="F446" s="65" t="str">
        <f t="shared" si="521"/>
        <v>E4_1_3_6_km : 1</v>
      </c>
      <c r="G446" s="66" t="str">
        <f t="shared" ref="G446:H446" si="904">CONCATENATE(C446," : ",C446)</f>
        <v>E4_1_3_6_mRNA : E4_1_3_6_mRNA</v>
      </c>
      <c r="H446" s="67" t="str">
        <f t="shared" si="904"/>
        <v>E4_1_3_6 : E4_1_3_6</v>
      </c>
      <c r="I446" s="44" t="str">
        <f t="shared" ref="I446:J446" si="905">CONCATENATE(C446," : ","0")</f>
        <v>E4_1_3_6_mRNA : 0</v>
      </c>
      <c r="J446" s="68" t="str">
        <f t="shared" si="905"/>
        <v>E4_1_3_6 : 0</v>
      </c>
      <c r="K446" s="69" t="str">
        <f t="shared" si="524"/>
        <v>0.00292 - (0.0093 * E4_1_3_6_mRNA)</v>
      </c>
      <c r="L446" s="70" t="str">
        <f t="shared" si="525"/>
        <v>(0.278 * E4_1_3_6_mRNA) - (0.00000278 * E4_1_3_6)</v>
      </c>
      <c r="M446" s="71" t="str">
        <f t="shared" si="526"/>
        <v>mRNA445: -&gt; E4_1_3_6_mRNA | 0.00292 - (0.0093 * E4_1_3_6_mRNA)</v>
      </c>
      <c r="N446" s="72" t="str">
        <f t="shared" si="527"/>
        <v>Peptide445: E4_1_3_6_mRNA -&gt; E4_1_3_6 | (0.278 * E4_1_3_6_mRNA) - (0.000000278 * E4_1_3_6)</v>
      </c>
    </row>
    <row r="447" spans="1:14" ht="29" x14ac:dyDescent="0.35">
      <c r="A447" s="49">
        <v>446</v>
      </c>
      <c r="B447" s="49" t="s">
        <v>14925</v>
      </c>
      <c r="C447" s="49" t="str">
        <f t="shared" si="518"/>
        <v>E4_1_3_34_mRNA</v>
      </c>
      <c r="D447" s="49" t="str">
        <f t="shared" si="519"/>
        <v>E4_1_3_34</v>
      </c>
      <c r="E447" s="64" t="str">
        <f t="shared" si="520"/>
        <v>E4_1_3_34_kcat : 13.7</v>
      </c>
      <c r="F447" s="65" t="str">
        <f t="shared" si="521"/>
        <v>E4_1_3_34_km : 1</v>
      </c>
      <c r="G447" s="66" t="str">
        <f t="shared" ref="G447:H447" si="906">CONCATENATE(C447," : ",C447)</f>
        <v>E4_1_3_34_mRNA : E4_1_3_34_mRNA</v>
      </c>
      <c r="H447" s="67" t="str">
        <f t="shared" si="906"/>
        <v>E4_1_3_34 : E4_1_3_34</v>
      </c>
      <c r="I447" s="44" t="str">
        <f t="shared" ref="I447:J447" si="907">CONCATENATE(C447," : ","0")</f>
        <v>E4_1_3_34_mRNA : 0</v>
      </c>
      <c r="J447" s="68" t="str">
        <f t="shared" si="907"/>
        <v>E4_1_3_34 : 0</v>
      </c>
      <c r="K447" s="69" t="str">
        <f t="shared" si="524"/>
        <v>0.00292 - (0.0093 * E4_1_3_34_mRNA)</v>
      </c>
      <c r="L447" s="70" t="str">
        <f t="shared" si="525"/>
        <v>(0.278 * E4_1_3_34_mRNA) - (0.00000278 * E4_1_3_34)</v>
      </c>
      <c r="M447" s="71" t="str">
        <f t="shared" si="526"/>
        <v>mRNA446: -&gt; E4_1_3_34_mRNA | 0.00292 - (0.0093 * E4_1_3_34_mRNA)</v>
      </c>
      <c r="N447" s="72" t="str">
        <f t="shared" si="527"/>
        <v>Peptide446: E4_1_3_34_mRNA -&gt; E4_1_3_34 | (0.278 * E4_1_3_34_mRNA) - (0.000000278 * E4_1_3_34)</v>
      </c>
    </row>
    <row r="448" spans="1:14" ht="29" x14ac:dyDescent="0.35">
      <c r="A448" s="49">
        <v>447</v>
      </c>
      <c r="B448" s="49" t="s">
        <v>14927</v>
      </c>
      <c r="C448" s="49" t="str">
        <f t="shared" si="518"/>
        <v>E6_2_1_22_mRNA</v>
      </c>
      <c r="D448" s="49" t="str">
        <f t="shared" si="519"/>
        <v>E6_2_1_22</v>
      </c>
      <c r="E448" s="64" t="str">
        <f t="shared" si="520"/>
        <v>E6_2_1_22_kcat : 13.7</v>
      </c>
      <c r="F448" s="65" t="str">
        <f t="shared" si="521"/>
        <v>E6_2_1_22_km : 1</v>
      </c>
      <c r="G448" s="66" t="str">
        <f t="shared" ref="G448:H448" si="908">CONCATENATE(C448," : ",C448)</f>
        <v>E6_2_1_22_mRNA : E6_2_1_22_mRNA</v>
      </c>
      <c r="H448" s="67" t="str">
        <f t="shared" si="908"/>
        <v>E6_2_1_22 : E6_2_1_22</v>
      </c>
      <c r="I448" s="44" t="str">
        <f t="shared" ref="I448:J448" si="909">CONCATENATE(C448," : ","0")</f>
        <v>E6_2_1_22_mRNA : 0</v>
      </c>
      <c r="J448" s="68" t="str">
        <f t="shared" si="909"/>
        <v>E6_2_1_22 : 0</v>
      </c>
      <c r="K448" s="69" t="str">
        <f t="shared" si="524"/>
        <v>0.00292 - (0.0093 * E6_2_1_22_mRNA)</v>
      </c>
      <c r="L448" s="70" t="str">
        <f t="shared" si="525"/>
        <v>(0.278 * E6_2_1_22_mRNA) - (0.00000278 * E6_2_1_22)</v>
      </c>
      <c r="M448" s="71" t="str">
        <f t="shared" si="526"/>
        <v>mRNA447: -&gt; E6_2_1_22_mRNA | 0.00292 - (0.0093 * E6_2_1_22_mRNA)</v>
      </c>
      <c r="N448" s="72" t="str">
        <f t="shared" si="527"/>
        <v>Peptide447: E6_2_1_22_mRNA -&gt; E6_2_1_22 | (0.278 * E6_2_1_22_mRNA) - (0.000000278 * E6_2_1_22)</v>
      </c>
    </row>
    <row r="449" spans="1:14" ht="29" x14ac:dyDescent="0.35">
      <c r="A449" s="49">
        <v>448</v>
      </c>
      <c r="B449" s="49" t="s">
        <v>14928</v>
      </c>
      <c r="C449" s="49" t="str">
        <f t="shared" si="518"/>
        <v>E2_8_1_8_mRNA</v>
      </c>
      <c r="D449" s="49" t="str">
        <f t="shared" si="519"/>
        <v>E2_8_1_8</v>
      </c>
      <c r="E449" s="64" t="str">
        <f t="shared" si="520"/>
        <v>E2_8_1_8_kcat : 13.7</v>
      </c>
      <c r="F449" s="65" t="str">
        <f t="shared" si="521"/>
        <v>E2_8_1_8_km : 1</v>
      </c>
      <c r="G449" s="66" t="str">
        <f t="shared" ref="G449:H449" si="910">CONCATENATE(C449," : ",C449)</f>
        <v>E2_8_1_8_mRNA : E2_8_1_8_mRNA</v>
      </c>
      <c r="H449" s="67" t="str">
        <f t="shared" si="910"/>
        <v>E2_8_1_8 : E2_8_1_8</v>
      </c>
      <c r="I449" s="44" t="str">
        <f t="shared" ref="I449:J449" si="911">CONCATENATE(C449," : ","0")</f>
        <v>E2_8_1_8_mRNA : 0</v>
      </c>
      <c r="J449" s="68" t="str">
        <f t="shared" si="911"/>
        <v>E2_8_1_8 : 0</v>
      </c>
      <c r="K449" s="69" t="str">
        <f t="shared" si="524"/>
        <v>0.00292 - (0.0093 * E2_8_1_8_mRNA)</v>
      </c>
      <c r="L449" s="70" t="str">
        <f t="shared" si="525"/>
        <v>(0.278 * E2_8_1_8_mRNA) - (0.00000278 * E2_8_1_8)</v>
      </c>
      <c r="M449" s="71" t="str">
        <f t="shared" si="526"/>
        <v>mRNA448: -&gt; E2_8_1_8_mRNA | 0.00292 - (0.0093 * E2_8_1_8_mRNA)</v>
      </c>
      <c r="N449" s="72" t="str">
        <f t="shared" si="527"/>
        <v>Peptide448: E2_8_1_8_mRNA -&gt; E2_8_1_8 | (0.278 * E2_8_1_8_mRNA) - (0.000000278 * E2_8_1_8)</v>
      </c>
    </row>
    <row r="450" spans="1:14" ht="29" x14ac:dyDescent="0.35">
      <c r="A450" s="49">
        <v>449</v>
      </c>
      <c r="B450" s="49" t="s">
        <v>14929</v>
      </c>
      <c r="C450" s="49" t="str">
        <f t="shared" si="518"/>
        <v>E2_3_1_181_mRNA</v>
      </c>
      <c r="D450" s="49" t="str">
        <f t="shared" si="519"/>
        <v>E2_3_1_181</v>
      </c>
      <c r="E450" s="64" t="str">
        <f t="shared" si="520"/>
        <v>E2_3_1_181_kcat : 13.7</v>
      </c>
      <c r="F450" s="65" t="str">
        <f t="shared" si="521"/>
        <v>E2_3_1_181_km : 1</v>
      </c>
      <c r="G450" s="66" t="str">
        <f t="shared" ref="G450:H450" si="912">CONCATENATE(C450," : ",C450)</f>
        <v>E2_3_1_181_mRNA : E2_3_1_181_mRNA</v>
      </c>
      <c r="H450" s="67" t="str">
        <f t="shared" si="912"/>
        <v>E2_3_1_181 : E2_3_1_181</v>
      </c>
      <c r="I450" s="44" t="str">
        <f t="shared" ref="I450:J450" si="913">CONCATENATE(C450," : ","0")</f>
        <v>E2_3_1_181_mRNA : 0</v>
      </c>
      <c r="J450" s="68" t="str">
        <f t="shared" si="913"/>
        <v>E2_3_1_181 : 0</v>
      </c>
      <c r="K450" s="69" t="str">
        <f t="shared" si="524"/>
        <v>0.00292 - (0.0093 * E2_3_1_181_mRNA)</v>
      </c>
      <c r="L450" s="70" t="str">
        <f t="shared" si="525"/>
        <v>(0.278 * E2_3_1_181_mRNA) - (0.00000278 * E2_3_1_181)</v>
      </c>
      <c r="M450" s="71" t="str">
        <f t="shared" si="526"/>
        <v>mRNA449: -&gt; E2_3_1_181_mRNA | 0.00292 - (0.0093 * E2_3_1_181_mRNA)</v>
      </c>
      <c r="N450" s="72" t="str">
        <f t="shared" si="527"/>
        <v>Peptide449: E2_3_1_181_mRNA -&gt; E2_3_1_181 | (0.278 * E2_3_1_181_mRNA) - (0.000000278 * E2_3_1_181)</v>
      </c>
    </row>
    <row r="451" spans="1:14" ht="29" x14ac:dyDescent="0.35">
      <c r="A451" s="49">
        <v>450</v>
      </c>
      <c r="B451" s="49" t="s">
        <v>15017</v>
      </c>
      <c r="C451" s="49" t="str">
        <f t="shared" si="518"/>
        <v>E2_1_1_177_mRNA</v>
      </c>
      <c r="D451" s="49" t="str">
        <f t="shared" si="519"/>
        <v>E2_1_1_177</v>
      </c>
      <c r="E451" s="64" t="str">
        <f t="shared" si="520"/>
        <v>E2_1_1_177_kcat : 13.7</v>
      </c>
      <c r="F451" s="65" t="str">
        <f t="shared" si="521"/>
        <v>E2_1_1_177_km : 1</v>
      </c>
      <c r="G451" s="66" t="str">
        <f t="shared" ref="G451:H451" si="914">CONCATENATE(C451," : ",C451)</f>
        <v>E2_1_1_177_mRNA : E2_1_1_177_mRNA</v>
      </c>
      <c r="H451" s="67" t="str">
        <f t="shared" si="914"/>
        <v>E2_1_1_177 : E2_1_1_177</v>
      </c>
      <c r="I451" s="44" t="str">
        <f t="shared" ref="I451:J451" si="915">CONCATENATE(C451," : ","0")</f>
        <v>E2_1_1_177_mRNA : 0</v>
      </c>
      <c r="J451" s="68" t="str">
        <f t="shared" si="915"/>
        <v>E2_1_1_177 : 0</v>
      </c>
      <c r="K451" s="69" t="str">
        <f t="shared" si="524"/>
        <v>0.00292 - (0.0093 * E2_1_1_177_mRNA)</v>
      </c>
      <c r="L451" s="70" t="str">
        <f t="shared" si="525"/>
        <v>(0.278 * E2_1_1_177_mRNA) - (0.00000278 * E2_1_1_177)</v>
      </c>
      <c r="M451" s="71" t="str">
        <f t="shared" si="526"/>
        <v>mRNA450: -&gt; E2_1_1_177_mRNA | 0.00292 - (0.0093 * E2_1_1_177_mRNA)</v>
      </c>
      <c r="N451" s="72" t="str">
        <f t="shared" si="527"/>
        <v>Peptide450: E2_1_1_177_mRNA -&gt; E2_1_1_177 | (0.278 * E2_1_1_177_mRNA) - (0.000000278 * E2_1_1_177)</v>
      </c>
    </row>
    <row r="452" spans="1:14" ht="29" x14ac:dyDescent="0.35">
      <c r="A452" s="49">
        <v>451</v>
      </c>
      <c r="B452" s="49" t="s">
        <v>15018</v>
      </c>
      <c r="C452" s="49" t="str">
        <f t="shared" si="518"/>
        <v>E3_1_11_2_mRNA</v>
      </c>
      <c r="D452" s="49" t="str">
        <f t="shared" si="519"/>
        <v>E3_1_11_2</v>
      </c>
      <c r="E452" s="64" t="str">
        <f t="shared" si="520"/>
        <v>E3_1_11_2_kcat : 13.7</v>
      </c>
      <c r="F452" s="65" t="str">
        <f t="shared" si="521"/>
        <v>E3_1_11_2_km : 1</v>
      </c>
      <c r="G452" s="66" t="str">
        <f t="shared" ref="G452:H452" si="916">CONCATENATE(C452," : ",C452)</f>
        <v>E3_1_11_2_mRNA : E3_1_11_2_mRNA</v>
      </c>
      <c r="H452" s="67" t="str">
        <f t="shared" si="916"/>
        <v>E3_1_11_2 : E3_1_11_2</v>
      </c>
      <c r="I452" s="44" t="str">
        <f t="shared" ref="I452:J452" si="917">CONCATENATE(C452," : ","0")</f>
        <v>E3_1_11_2_mRNA : 0</v>
      </c>
      <c r="J452" s="68" t="str">
        <f t="shared" si="917"/>
        <v>E3_1_11_2 : 0</v>
      </c>
      <c r="K452" s="69" t="str">
        <f t="shared" si="524"/>
        <v>0.00292 - (0.0093 * E3_1_11_2_mRNA)</v>
      </c>
      <c r="L452" s="70" t="str">
        <f t="shared" si="525"/>
        <v>(0.278 * E3_1_11_2_mRNA) - (0.00000278 * E3_1_11_2)</v>
      </c>
      <c r="M452" s="71" t="str">
        <f t="shared" si="526"/>
        <v>mRNA451: -&gt; E3_1_11_2_mRNA | 0.00292 - (0.0093 * E3_1_11_2_mRNA)</v>
      </c>
      <c r="N452" s="72" t="str">
        <f t="shared" si="527"/>
        <v>Peptide451: E3_1_11_2_mRNA -&gt; E3_1_11_2 | (0.278 * E3_1_11_2_mRNA) - (0.000000278 * E3_1_11_2)</v>
      </c>
    </row>
    <row r="453" spans="1:14" ht="29" x14ac:dyDescent="0.35">
      <c r="A453" s="49">
        <v>452</v>
      </c>
      <c r="B453" s="49" t="s">
        <v>14930</v>
      </c>
      <c r="C453" s="49" t="str">
        <f t="shared" si="518"/>
        <v>E5_3_1_12_mRNA</v>
      </c>
      <c r="D453" s="49" t="str">
        <f t="shared" si="519"/>
        <v>E5_3_1_12</v>
      </c>
      <c r="E453" s="64" t="str">
        <f t="shared" si="520"/>
        <v>E5_3_1_12_kcat : 13.7</v>
      </c>
      <c r="F453" s="65" t="str">
        <f t="shared" si="521"/>
        <v>E5_3_1_12_km : 1</v>
      </c>
      <c r="G453" s="66" t="str">
        <f t="shared" ref="G453:H453" si="918">CONCATENATE(C453," : ",C453)</f>
        <v>E5_3_1_12_mRNA : E5_3_1_12_mRNA</v>
      </c>
      <c r="H453" s="67" t="str">
        <f t="shared" si="918"/>
        <v>E5_3_1_12 : E5_3_1_12</v>
      </c>
      <c r="I453" s="44" t="str">
        <f t="shared" ref="I453:J453" si="919">CONCATENATE(C453," : ","0")</f>
        <v>E5_3_1_12_mRNA : 0</v>
      </c>
      <c r="J453" s="68" t="str">
        <f t="shared" si="919"/>
        <v>E5_3_1_12 : 0</v>
      </c>
      <c r="K453" s="69" t="str">
        <f t="shared" si="524"/>
        <v>0.00292 - (0.0093 * E5_3_1_12_mRNA)</v>
      </c>
      <c r="L453" s="70" t="str">
        <f t="shared" si="525"/>
        <v>(0.278 * E5_3_1_12_mRNA) - (0.00000278 * E5_3_1_12)</v>
      </c>
      <c r="M453" s="71" t="str">
        <f t="shared" si="526"/>
        <v>mRNA452: -&gt; E5_3_1_12_mRNA | 0.00292 - (0.0093 * E5_3_1_12_mRNA)</v>
      </c>
      <c r="N453" s="72" t="str">
        <f t="shared" si="527"/>
        <v>Peptide452: E5_3_1_12_mRNA -&gt; E5_3_1_12 | (0.278 * E5_3_1_12_mRNA) - (0.000000278 * E5_3_1_12)</v>
      </c>
    </row>
    <row r="454" spans="1:14" ht="14.5" x14ac:dyDescent="0.35">
      <c r="A454" s="27"/>
      <c r="B454" s="27"/>
      <c r="C454" s="27"/>
      <c r="D454" s="27"/>
      <c r="E454" s="75"/>
      <c r="F454" s="27"/>
      <c r="G454" s="27"/>
      <c r="H454" s="27"/>
      <c r="I454" s="27"/>
      <c r="J454" s="27"/>
      <c r="K454" s="27"/>
      <c r="L454" s="27"/>
      <c r="M454" s="27"/>
      <c r="N454" s="27"/>
    </row>
    <row r="455" spans="1:14" ht="14.5" x14ac:dyDescent="0.35">
      <c r="A455" s="27"/>
      <c r="B455" s="27"/>
      <c r="C455" s="27"/>
      <c r="D455" s="27"/>
      <c r="E455" s="75"/>
      <c r="F455" s="27"/>
      <c r="G455" s="27"/>
      <c r="H455" s="27"/>
      <c r="I455" s="27"/>
      <c r="J455" s="27"/>
      <c r="K455" s="27"/>
      <c r="L455" s="27"/>
      <c r="M455" s="27"/>
      <c r="N455" s="27"/>
    </row>
    <row r="456" spans="1:14" ht="14.5" x14ac:dyDescent="0.35">
      <c r="A456" s="27"/>
      <c r="B456" s="27"/>
      <c r="C456" s="27"/>
      <c r="D456" s="27"/>
      <c r="E456" s="75"/>
      <c r="F456" s="27"/>
      <c r="G456" s="27"/>
      <c r="H456" s="27"/>
      <c r="I456" s="27"/>
      <c r="J456" s="27"/>
      <c r="K456" s="27"/>
      <c r="L456" s="27"/>
      <c r="M456" s="27"/>
      <c r="N456" s="27"/>
    </row>
    <row r="457" spans="1:14" ht="14.5" x14ac:dyDescent="0.35">
      <c r="A457" s="27"/>
      <c r="B457" s="27"/>
      <c r="C457" s="27"/>
      <c r="D457" s="27"/>
      <c r="E457" s="75"/>
      <c r="F457" s="27"/>
      <c r="G457" s="27"/>
      <c r="H457" s="27"/>
      <c r="I457" s="27"/>
      <c r="J457" s="27"/>
      <c r="K457" s="27"/>
      <c r="L457" s="27"/>
      <c r="M457" s="27"/>
      <c r="N457" s="27"/>
    </row>
    <row r="458" spans="1:14" ht="14.5" x14ac:dyDescent="0.35">
      <c r="A458" s="27"/>
      <c r="B458" s="27"/>
      <c r="C458" s="27"/>
      <c r="D458" s="27"/>
      <c r="E458" s="75"/>
      <c r="F458" s="27"/>
      <c r="G458" s="27"/>
      <c r="H458" s="27"/>
      <c r="I458" s="27"/>
      <c r="J458" s="27"/>
      <c r="K458" s="27"/>
      <c r="L458" s="27"/>
      <c r="M458" s="27"/>
      <c r="N458" s="27"/>
    </row>
    <row r="459" spans="1:14" ht="14.5" x14ac:dyDescent="0.35">
      <c r="A459" s="27"/>
      <c r="B459" s="27"/>
      <c r="C459" s="27"/>
      <c r="D459" s="27"/>
      <c r="E459" s="75"/>
      <c r="F459" s="27"/>
      <c r="G459" s="27"/>
      <c r="H459" s="27"/>
      <c r="I459" s="27"/>
      <c r="J459" s="27"/>
      <c r="K459" s="27"/>
      <c r="L459" s="27"/>
      <c r="M459" s="27"/>
      <c r="N459" s="27"/>
    </row>
    <row r="460" spans="1:14" ht="14.5" x14ac:dyDescent="0.35">
      <c r="A460" s="27"/>
      <c r="B460" s="27"/>
      <c r="C460" s="27"/>
      <c r="D460" s="27"/>
      <c r="E460" s="75"/>
      <c r="F460" s="27"/>
      <c r="G460" s="27"/>
      <c r="H460" s="27"/>
      <c r="I460" s="27"/>
      <c r="J460" s="27"/>
      <c r="K460" s="27"/>
      <c r="L460" s="27"/>
      <c r="M460" s="27"/>
      <c r="N460" s="27"/>
    </row>
    <row r="461" spans="1:14" ht="14.5" x14ac:dyDescent="0.35">
      <c r="A461" s="27"/>
      <c r="B461" s="27"/>
      <c r="C461" s="27"/>
      <c r="D461" s="27"/>
      <c r="E461" s="75"/>
      <c r="F461" s="27"/>
      <c r="G461" s="27"/>
      <c r="H461" s="27"/>
      <c r="I461" s="27"/>
      <c r="J461" s="27"/>
      <c r="K461" s="27"/>
      <c r="L461" s="27"/>
      <c r="M461" s="27"/>
      <c r="N461" s="27"/>
    </row>
    <row r="462" spans="1:14" ht="14.5" x14ac:dyDescent="0.35">
      <c r="A462" s="27"/>
      <c r="B462" s="27"/>
      <c r="C462" s="27"/>
      <c r="D462" s="27"/>
      <c r="E462" s="75"/>
      <c r="F462" s="27"/>
      <c r="G462" s="27"/>
      <c r="H462" s="27"/>
      <c r="I462" s="27"/>
      <c r="J462" s="27"/>
      <c r="K462" s="27"/>
      <c r="L462" s="27"/>
      <c r="M462" s="27"/>
      <c r="N462" s="27"/>
    </row>
    <row r="463" spans="1:14" ht="14.5" x14ac:dyDescent="0.35">
      <c r="A463" s="27"/>
      <c r="B463" s="27"/>
      <c r="C463" s="27"/>
      <c r="D463" s="27"/>
      <c r="E463" s="75"/>
      <c r="F463" s="27"/>
      <c r="G463" s="27"/>
      <c r="H463" s="27"/>
      <c r="I463" s="27"/>
      <c r="J463" s="27"/>
      <c r="K463" s="27"/>
      <c r="L463" s="27"/>
      <c r="M463" s="27"/>
      <c r="N463" s="27"/>
    </row>
    <row r="464" spans="1:14" ht="14.5" x14ac:dyDescent="0.35">
      <c r="A464" s="27"/>
      <c r="B464" s="27"/>
      <c r="C464" s="27"/>
      <c r="D464" s="27"/>
      <c r="E464" s="75"/>
      <c r="F464" s="27"/>
      <c r="G464" s="27"/>
      <c r="H464" s="27"/>
      <c r="I464" s="27"/>
      <c r="J464" s="27"/>
      <c r="K464" s="27"/>
      <c r="L464" s="27"/>
      <c r="M464" s="27"/>
      <c r="N464" s="27"/>
    </row>
    <row r="465" spans="1:14" ht="14.5" x14ac:dyDescent="0.35">
      <c r="A465" s="27"/>
      <c r="B465" s="27"/>
      <c r="C465" s="27"/>
      <c r="D465" s="27"/>
      <c r="E465" s="75"/>
      <c r="F465" s="27"/>
      <c r="G465" s="27"/>
      <c r="H465" s="27"/>
      <c r="I465" s="27"/>
      <c r="J465" s="27"/>
      <c r="K465" s="27"/>
      <c r="L465" s="27"/>
      <c r="M465" s="27"/>
      <c r="N465" s="27"/>
    </row>
    <row r="466" spans="1:14" ht="14.5" x14ac:dyDescent="0.35">
      <c r="A466" s="27"/>
      <c r="B466" s="27"/>
      <c r="C466" s="27"/>
      <c r="D466" s="27"/>
      <c r="E466" s="75"/>
      <c r="F466" s="27"/>
      <c r="G466" s="27"/>
      <c r="H466" s="27"/>
      <c r="I466" s="27"/>
      <c r="J466" s="27"/>
      <c r="K466" s="27"/>
      <c r="L466" s="27"/>
      <c r="M466" s="27"/>
      <c r="N466" s="27"/>
    </row>
    <row r="467" spans="1:14" ht="14.5" x14ac:dyDescent="0.35">
      <c r="A467" s="27"/>
      <c r="B467" s="27"/>
      <c r="C467" s="27"/>
      <c r="D467" s="27"/>
      <c r="E467" s="75"/>
      <c r="F467" s="27"/>
      <c r="G467" s="27"/>
      <c r="H467" s="27"/>
      <c r="I467" s="27"/>
      <c r="J467" s="27"/>
      <c r="K467" s="27"/>
      <c r="L467" s="27"/>
      <c r="M467" s="27"/>
      <c r="N467" s="27"/>
    </row>
    <row r="468" spans="1:14" ht="14.5" x14ac:dyDescent="0.35">
      <c r="A468" s="27"/>
      <c r="B468" s="27"/>
      <c r="C468" s="27"/>
      <c r="D468" s="27"/>
      <c r="E468" s="75"/>
      <c r="F468" s="27"/>
      <c r="G468" s="27"/>
      <c r="H468" s="27"/>
      <c r="I468" s="27"/>
      <c r="J468" s="27"/>
      <c r="K468" s="27"/>
      <c r="L468" s="27"/>
      <c r="M468" s="27"/>
      <c r="N468" s="27"/>
    </row>
    <row r="469" spans="1:14" ht="14.5" x14ac:dyDescent="0.35">
      <c r="A469" s="27"/>
      <c r="B469" s="27"/>
      <c r="C469" s="27"/>
      <c r="D469" s="27"/>
      <c r="E469" s="75"/>
      <c r="F469" s="27"/>
      <c r="G469" s="27"/>
      <c r="H469" s="27"/>
      <c r="I469" s="27"/>
      <c r="J469" s="27"/>
      <c r="K469" s="27"/>
      <c r="L469" s="27"/>
      <c r="M469" s="27"/>
      <c r="N469" s="27"/>
    </row>
    <row r="470" spans="1:14" ht="14.5" x14ac:dyDescent="0.35">
      <c r="A470" s="27"/>
      <c r="B470" s="27"/>
      <c r="C470" s="27"/>
      <c r="D470" s="27"/>
      <c r="E470" s="75"/>
      <c r="F470" s="27"/>
      <c r="G470" s="27"/>
      <c r="H470" s="27"/>
      <c r="I470" s="27"/>
      <c r="J470" s="27"/>
      <c r="K470" s="27"/>
      <c r="L470" s="27"/>
      <c r="M470" s="27"/>
      <c r="N470" s="27"/>
    </row>
    <row r="471" spans="1:14" ht="14.5" x14ac:dyDescent="0.35">
      <c r="A471" s="27"/>
      <c r="B471" s="27"/>
      <c r="C471" s="27"/>
      <c r="D471" s="27"/>
      <c r="E471" s="75"/>
      <c r="F471" s="27"/>
      <c r="G471" s="27"/>
      <c r="H471" s="27"/>
      <c r="I471" s="27"/>
      <c r="J471" s="27"/>
      <c r="K471" s="27"/>
      <c r="L471" s="27"/>
      <c r="M471" s="27"/>
      <c r="N471" s="27"/>
    </row>
    <row r="472" spans="1:14" ht="14.5" x14ac:dyDescent="0.35">
      <c r="A472" s="27"/>
      <c r="B472" s="27"/>
      <c r="C472" s="27"/>
      <c r="D472" s="27"/>
      <c r="E472" s="75"/>
      <c r="F472" s="27"/>
      <c r="G472" s="27"/>
      <c r="H472" s="27"/>
      <c r="I472" s="27"/>
      <c r="J472" s="27"/>
      <c r="K472" s="27"/>
      <c r="L472" s="27"/>
      <c r="M472" s="27"/>
      <c r="N472" s="27"/>
    </row>
    <row r="473" spans="1:14" ht="14.5" x14ac:dyDescent="0.35">
      <c r="A473" s="27"/>
      <c r="B473" s="27"/>
      <c r="C473" s="27"/>
      <c r="D473" s="27"/>
      <c r="E473" s="75"/>
      <c r="F473" s="27"/>
      <c r="G473" s="27"/>
      <c r="H473" s="27"/>
      <c r="I473" s="27"/>
      <c r="J473" s="27"/>
      <c r="K473" s="27"/>
      <c r="L473" s="27"/>
      <c r="M473" s="27"/>
      <c r="N473" s="27"/>
    </row>
    <row r="474" spans="1:14" ht="14.5" x14ac:dyDescent="0.35">
      <c r="A474" s="27"/>
      <c r="B474" s="27"/>
      <c r="C474" s="27"/>
      <c r="D474" s="27"/>
      <c r="E474" s="75"/>
      <c r="F474" s="27"/>
      <c r="G474" s="27"/>
      <c r="H474" s="27"/>
      <c r="I474" s="27"/>
      <c r="J474" s="27"/>
      <c r="K474" s="27"/>
      <c r="L474" s="27"/>
      <c r="M474" s="27"/>
      <c r="N474" s="27"/>
    </row>
    <row r="475" spans="1:14" ht="14.5" x14ac:dyDescent="0.35">
      <c r="A475" s="27"/>
      <c r="B475" s="27"/>
      <c r="C475" s="27"/>
      <c r="D475" s="27"/>
      <c r="E475" s="75"/>
      <c r="F475" s="27"/>
      <c r="G475" s="27"/>
      <c r="H475" s="27"/>
      <c r="I475" s="27"/>
      <c r="J475" s="27"/>
      <c r="K475" s="27"/>
      <c r="L475" s="27"/>
      <c r="M475" s="27"/>
      <c r="N475" s="27"/>
    </row>
    <row r="476" spans="1:14" ht="14.5" x14ac:dyDescent="0.35">
      <c r="A476" s="27"/>
      <c r="B476" s="27"/>
      <c r="C476" s="27"/>
      <c r="D476" s="27"/>
      <c r="E476" s="75"/>
      <c r="F476" s="27"/>
      <c r="G476" s="27"/>
      <c r="H476" s="27"/>
      <c r="I476" s="27"/>
      <c r="J476" s="26"/>
      <c r="K476" s="27"/>
      <c r="L476" s="27"/>
      <c r="M476" s="27"/>
      <c r="N476" s="27"/>
    </row>
    <row r="477" spans="1:14" ht="14.5" x14ac:dyDescent="0.35">
      <c r="A477" s="27"/>
      <c r="B477" s="27"/>
      <c r="C477" s="27"/>
      <c r="D477" s="27"/>
      <c r="E477" s="75"/>
      <c r="F477" s="27"/>
      <c r="G477" s="27"/>
      <c r="H477" s="27"/>
      <c r="I477" s="27"/>
      <c r="J477" s="26"/>
      <c r="K477" s="27"/>
      <c r="L477" s="27"/>
      <c r="M477" s="27"/>
      <c r="N477" s="27"/>
    </row>
    <row r="478" spans="1:14" ht="14.5" x14ac:dyDescent="0.35">
      <c r="A478" s="27"/>
      <c r="B478" s="27"/>
      <c r="C478" s="27"/>
      <c r="D478" s="27"/>
      <c r="E478" s="75"/>
      <c r="F478" s="27"/>
      <c r="G478" s="27"/>
      <c r="H478" s="27"/>
      <c r="I478" s="27"/>
      <c r="J478" s="26"/>
      <c r="K478" s="27"/>
      <c r="L478" s="27"/>
      <c r="M478" s="27"/>
      <c r="N478" s="27"/>
    </row>
    <row r="479" spans="1:14" ht="14.5" x14ac:dyDescent="0.35">
      <c r="A479" s="27"/>
      <c r="B479" s="27"/>
      <c r="C479" s="27"/>
      <c r="D479" s="27"/>
      <c r="E479" s="75"/>
      <c r="F479" s="27"/>
      <c r="G479" s="27"/>
      <c r="H479" s="27"/>
      <c r="I479" s="27"/>
      <c r="J479" s="26"/>
      <c r="K479" s="27"/>
      <c r="L479" s="27"/>
      <c r="M479" s="27"/>
      <c r="N479" s="27"/>
    </row>
    <row r="480" spans="1:14" ht="14.5" x14ac:dyDescent="0.35">
      <c r="A480" s="27"/>
      <c r="B480" s="27"/>
      <c r="C480" s="27"/>
      <c r="D480" s="27"/>
      <c r="E480" s="75"/>
      <c r="F480" s="27"/>
      <c r="G480" s="27"/>
      <c r="H480" s="27"/>
      <c r="I480" s="27"/>
      <c r="J480" s="26"/>
      <c r="K480" s="27"/>
      <c r="L480" s="27"/>
      <c r="M480" s="27"/>
      <c r="N480" s="27"/>
    </row>
    <row r="481" spans="1:14" ht="14.5" x14ac:dyDescent="0.35">
      <c r="A481" s="27"/>
      <c r="B481" s="27"/>
      <c r="C481" s="27"/>
      <c r="D481" s="27"/>
      <c r="E481" s="75"/>
      <c r="F481" s="27"/>
      <c r="G481" s="27"/>
      <c r="H481" s="27"/>
      <c r="I481" s="27"/>
      <c r="J481" s="26"/>
      <c r="K481" s="27"/>
      <c r="L481" s="27"/>
      <c r="M481" s="27"/>
      <c r="N481" s="27"/>
    </row>
    <row r="482" spans="1:14" ht="14.5" x14ac:dyDescent="0.35">
      <c r="A482" s="27"/>
      <c r="B482" s="27"/>
      <c r="C482" s="27"/>
      <c r="D482" s="27"/>
      <c r="E482" s="75"/>
      <c r="F482" s="27"/>
      <c r="G482" s="27"/>
      <c r="H482" s="27"/>
      <c r="I482" s="27"/>
      <c r="J482" s="26"/>
      <c r="K482" s="27"/>
      <c r="L482" s="27"/>
      <c r="M482" s="27"/>
      <c r="N482" s="27"/>
    </row>
    <row r="483" spans="1:14" ht="14.5" x14ac:dyDescent="0.35">
      <c r="A483" s="27"/>
      <c r="B483" s="27"/>
      <c r="C483" s="27"/>
      <c r="D483" s="27"/>
      <c r="E483" s="75"/>
      <c r="F483" s="27"/>
      <c r="G483" s="27"/>
      <c r="H483" s="27"/>
      <c r="I483" s="27"/>
      <c r="J483" s="26"/>
      <c r="K483" s="27"/>
      <c r="L483" s="27"/>
      <c r="M483" s="27"/>
      <c r="N483" s="27"/>
    </row>
    <row r="484" spans="1:14" ht="14.5" x14ac:dyDescent="0.35">
      <c r="A484" s="27"/>
      <c r="B484" s="27"/>
      <c r="C484" s="27"/>
      <c r="D484" s="27"/>
      <c r="E484" s="75"/>
      <c r="F484" s="27"/>
      <c r="G484" s="27"/>
      <c r="H484" s="27"/>
      <c r="I484" s="27"/>
      <c r="J484" s="26"/>
      <c r="K484" s="27"/>
      <c r="L484" s="27"/>
      <c r="M484" s="27"/>
      <c r="N484" s="27"/>
    </row>
    <row r="485" spans="1:14" ht="14.5" x14ac:dyDescent="0.35">
      <c r="A485" s="27"/>
      <c r="B485" s="27"/>
      <c r="C485" s="27"/>
      <c r="D485" s="27"/>
      <c r="E485" s="75"/>
      <c r="F485" s="27"/>
      <c r="G485" s="27"/>
      <c r="H485" s="27"/>
      <c r="I485" s="27"/>
      <c r="J485" s="26"/>
      <c r="K485" s="27"/>
      <c r="L485" s="27"/>
      <c r="M485" s="27"/>
      <c r="N485" s="27"/>
    </row>
    <row r="486" spans="1:14" ht="14.5" x14ac:dyDescent="0.35">
      <c r="A486" s="27"/>
      <c r="B486" s="27"/>
      <c r="C486" s="27"/>
      <c r="D486" s="27"/>
      <c r="E486" s="75"/>
      <c r="F486" s="27"/>
      <c r="G486" s="27"/>
      <c r="H486" s="27"/>
      <c r="I486" s="27"/>
      <c r="J486" s="26"/>
      <c r="K486" s="27"/>
      <c r="L486" s="27"/>
      <c r="M486" s="27"/>
      <c r="N486" s="27"/>
    </row>
    <row r="487" spans="1:14" ht="14.5" x14ac:dyDescent="0.35">
      <c r="A487" s="27"/>
      <c r="B487" s="27"/>
      <c r="C487" s="27"/>
      <c r="D487" s="27"/>
      <c r="E487" s="75"/>
      <c r="F487" s="27"/>
      <c r="G487" s="27"/>
      <c r="H487" s="27"/>
      <c r="I487" s="27"/>
      <c r="J487" s="26"/>
      <c r="K487" s="27"/>
      <c r="L487" s="27"/>
      <c r="M487" s="27"/>
      <c r="N487" s="27"/>
    </row>
    <row r="488" spans="1:14" ht="14.5" x14ac:dyDescent="0.35">
      <c r="A488" s="27"/>
      <c r="B488" s="27"/>
      <c r="C488" s="27"/>
      <c r="D488" s="27"/>
      <c r="E488" s="75"/>
      <c r="F488" s="27"/>
      <c r="G488" s="27"/>
      <c r="H488" s="27"/>
      <c r="I488" s="27"/>
      <c r="J488" s="26"/>
      <c r="K488" s="27"/>
      <c r="L488" s="27"/>
      <c r="M488" s="27"/>
      <c r="N488" s="27"/>
    </row>
    <row r="489" spans="1:14" ht="14.5" x14ac:dyDescent="0.35">
      <c r="A489" s="27"/>
      <c r="B489" s="27"/>
      <c r="C489" s="27"/>
      <c r="D489" s="27"/>
      <c r="E489" s="75"/>
      <c r="F489" s="27"/>
      <c r="G489" s="27"/>
      <c r="H489" s="27"/>
      <c r="I489" s="27"/>
      <c r="J489" s="26"/>
      <c r="K489" s="27"/>
      <c r="L489" s="27"/>
      <c r="M489" s="27"/>
      <c r="N489" s="27"/>
    </row>
    <row r="490" spans="1:14" ht="14.5" x14ac:dyDescent="0.35">
      <c r="A490" s="27"/>
      <c r="B490" s="27"/>
      <c r="C490" s="27"/>
      <c r="D490" s="27"/>
      <c r="E490" s="75"/>
      <c r="F490" s="27"/>
      <c r="G490" s="27"/>
      <c r="H490" s="27"/>
      <c r="I490" s="27"/>
      <c r="J490" s="26"/>
      <c r="K490" s="27"/>
      <c r="L490" s="27"/>
      <c r="M490" s="27"/>
      <c r="N490" s="27"/>
    </row>
    <row r="491" spans="1:14" ht="14.5" x14ac:dyDescent="0.35">
      <c r="A491" s="27"/>
      <c r="B491" s="27"/>
      <c r="C491" s="27"/>
      <c r="D491" s="27"/>
      <c r="E491" s="75"/>
      <c r="F491" s="27"/>
      <c r="G491" s="27"/>
      <c r="H491" s="27"/>
      <c r="I491" s="27"/>
      <c r="J491" s="26"/>
      <c r="K491" s="27"/>
      <c r="L491" s="27"/>
      <c r="M491" s="27"/>
      <c r="N491" s="27"/>
    </row>
    <row r="492" spans="1:14" ht="14.5" x14ac:dyDescent="0.35">
      <c r="A492" s="27"/>
      <c r="B492" s="27"/>
      <c r="C492" s="27"/>
      <c r="D492" s="27"/>
      <c r="E492" s="75"/>
      <c r="F492" s="27"/>
      <c r="G492" s="27"/>
      <c r="H492" s="27"/>
      <c r="I492" s="27"/>
      <c r="J492" s="26"/>
      <c r="K492" s="27"/>
      <c r="L492" s="27"/>
      <c r="M492" s="27"/>
      <c r="N492" s="27"/>
    </row>
    <row r="493" spans="1:14" ht="14.5" x14ac:dyDescent="0.35">
      <c r="A493" s="27"/>
      <c r="B493" s="27"/>
      <c r="C493" s="27"/>
      <c r="D493" s="27"/>
      <c r="E493" s="75"/>
      <c r="F493" s="27"/>
      <c r="G493" s="27"/>
      <c r="H493" s="27"/>
      <c r="I493" s="27"/>
      <c r="J493" s="26"/>
      <c r="K493" s="27"/>
      <c r="L493" s="27"/>
      <c r="M493" s="27"/>
      <c r="N493" s="27"/>
    </row>
    <row r="494" spans="1:14" ht="14.5" x14ac:dyDescent="0.35">
      <c r="A494" s="27"/>
      <c r="B494" s="27"/>
      <c r="C494" s="27"/>
      <c r="D494" s="27"/>
      <c r="E494" s="75"/>
      <c r="F494" s="27"/>
      <c r="G494" s="27"/>
      <c r="H494" s="27"/>
      <c r="I494" s="27"/>
      <c r="J494" s="26"/>
      <c r="K494" s="27"/>
      <c r="L494" s="27"/>
      <c r="M494" s="27"/>
      <c r="N494" s="27"/>
    </row>
    <row r="495" spans="1:14" ht="14.5" x14ac:dyDescent="0.35">
      <c r="A495" s="27"/>
      <c r="B495" s="27"/>
      <c r="C495" s="27"/>
      <c r="D495" s="27"/>
      <c r="E495" s="75"/>
      <c r="F495" s="27"/>
      <c r="G495" s="27"/>
      <c r="H495" s="27"/>
      <c r="I495" s="27"/>
      <c r="J495" s="26"/>
      <c r="K495" s="27"/>
      <c r="L495" s="27"/>
      <c r="M495" s="27"/>
      <c r="N495" s="27"/>
    </row>
    <row r="496" spans="1:14" ht="14.5" x14ac:dyDescent="0.35">
      <c r="A496" s="27"/>
      <c r="B496" s="27"/>
      <c r="C496" s="27"/>
      <c r="D496" s="27"/>
      <c r="E496" s="75"/>
      <c r="F496" s="27"/>
      <c r="G496" s="27"/>
      <c r="H496" s="27"/>
      <c r="I496" s="27"/>
      <c r="J496" s="26"/>
      <c r="K496" s="27"/>
      <c r="L496" s="27"/>
      <c r="M496" s="27"/>
      <c r="N496" s="27"/>
    </row>
    <row r="497" spans="1:14" ht="14.5" x14ac:dyDescent="0.35">
      <c r="A497" s="27"/>
      <c r="B497" s="27"/>
      <c r="C497" s="27"/>
      <c r="D497" s="27"/>
      <c r="E497" s="75"/>
      <c r="F497" s="27"/>
      <c r="G497" s="27"/>
      <c r="H497" s="27"/>
      <c r="I497" s="27"/>
      <c r="J497" s="26"/>
      <c r="K497" s="27"/>
      <c r="L497" s="27"/>
      <c r="M497" s="27"/>
      <c r="N497" s="27"/>
    </row>
    <row r="498" spans="1:14" ht="14.5" x14ac:dyDescent="0.35">
      <c r="A498" s="27"/>
      <c r="B498" s="27"/>
      <c r="C498" s="27"/>
      <c r="D498" s="27"/>
      <c r="E498" s="75"/>
      <c r="F498" s="27"/>
      <c r="G498" s="27"/>
      <c r="H498" s="27"/>
      <c r="I498" s="27"/>
      <c r="J498" s="26"/>
      <c r="K498" s="26"/>
      <c r="L498" s="27"/>
      <c r="M498" s="27"/>
      <c r="N498" s="27"/>
    </row>
    <row r="499" spans="1:14" ht="14.5" x14ac:dyDescent="0.35">
      <c r="A499" s="27"/>
      <c r="B499" s="27"/>
      <c r="C499" s="27"/>
      <c r="D499" s="27"/>
      <c r="E499" s="75"/>
      <c r="F499" s="27"/>
      <c r="G499" s="27"/>
      <c r="H499" s="27"/>
      <c r="I499" s="27"/>
      <c r="J499" s="26"/>
      <c r="K499" s="26"/>
      <c r="L499" s="27"/>
      <c r="M499" s="27"/>
      <c r="N499" s="27"/>
    </row>
    <row r="500" spans="1:14" ht="14.5" x14ac:dyDescent="0.35">
      <c r="A500" s="27"/>
      <c r="B500" s="27"/>
      <c r="C500" s="27"/>
      <c r="D500" s="27"/>
      <c r="E500" s="75"/>
      <c r="F500" s="27"/>
      <c r="G500" s="27"/>
      <c r="H500" s="27"/>
      <c r="I500" s="27"/>
      <c r="J500" s="26"/>
      <c r="K500" s="26"/>
      <c r="L500" s="27"/>
      <c r="M500" s="27"/>
      <c r="N500" s="27"/>
    </row>
    <row r="501" spans="1:14" ht="14.5" x14ac:dyDescent="0.35">
      <c r="A501" s="27"/>
      <c r="B501" s="27"/>
      <c r="C501" s="27"/>
      <c r="D501" s="27"/>
      <c r="E501" s="75"/>
      <c r="F501" s="27"/>
      <c r="G501" s="27"/>
      <c r="H501" s="27"/>
      <c r="I501" s="27"/>
      <c r="J501" s="26"/>
      <c r="K501" s="26"/>
      <c r="L501" s="27"/>
      <c r="M501" s="27"/>
      <c r="N501" s="27"/>
    </row>
    <row r="502" spans="1:14" ht="14.5" x14ac:dyDescent="0.35">
      <c r="A502" s="27"/>
      <c r="B502" s="27"/>
      <c r="C502" s="27"/>
      <c r="D502" s="27"/>
      <c r="E502" s="75"/>
      <c r="F502" s="27"/>
      <c r="G502" s="27"/>
      <c r="H502" s="27"/>
      <c r="I502" s="27"/>
      <c r="J502" s="26"/>
      <c r="K502" s="26"/>
      <c r="L502" s="27"/>
      <c r="M502" s="27"/>
      <c r="N502" s="27"/>
    </row>
    <row r="503" spans="1:14" ht="14.5" x14ac:dyDescent="0.35">
      <c r="A503" s="27"/>
      <c r="B503" s="27"/>
      <c r="C503" s="27"/>
      <c r="D503" s="27"/>
      <c r="E503" s="75"/>
      <c r="F503" s="27"/>
      <c r="G503" s="27"/>
      <c r="H503" s="27"/>
      <c r="I503" s="27"/>
      <c r="J503" s="26"/>
      <c r="K503" s="26"/>
      <c r="L503" s="27"/>
      <c r="M503" s="27"/>
      <c r="N503" s="27"/>
    </row>
    <row r="504" spans="1:14" ht="14.5" x14ac:dyDescent="0.35">
      <c r="A504" s="27"/>
      <c r="B504" s="27"/>
      <c r="C504" s="27"/>
      <c r="D504" s="27"/>
      <c r="E504" s="75"/>
      <c r="F504" s="27"/>
      <c r="G504" s="27"/>
      <c r="H504" s="27"/>
      <c r="I504" s="27"/>
      <c r="J504" s="26"/>
      <c r="K504" s="26"/>
      <c r="L504" s="27"/>
      <c r="M504" s="27"/>
      <c r="N504" s="27"/>
    </row>
    <row r="505" spans="1:14" ht="14.5" x14ac:dyDescent="0.35">
      <c r="A505" s="27"/>
      <c r="B505" s="27"/>
      <c r="C505" s="27"/>
      <c r="D505" s="27"/>
      <c r="E505" s="75"/>
      <c r="F505" s="27"/>
      <c r="G505" s="27"/>
      <c r="H505" s="27"/>
      <c r="I505" s="27"/>
      <c r="J505" s="26"/>
      <c r="K505" s="26"/>
      <c r="L505" s="27"/>
      <c r="M505" s="27"/>
      <c r="N505" s="27"/>
    </row>
    <row r="506" spans="1:14" ht="14.5" x14ac:dyDescent="0.35">
      <c r="A506" s="27"/>
      <c r="B506" s="27"/>
      <c r="C506" s="27"/>
      <c r="D506" s="27"/>
      <c r="E506" s="75"/>
      <c r="F506" s="27"/>
      <c r="G506" s="27"/>
      <c r="H506" s="27"/>
      <c r="I506" s="27"/>
      <c r="J506" s="26"/>
      <c r="K506" s="26"/>
      <c r="L506" s="27"/>
      <c r="M506" s="27"/>
      <c r="N506" s="27"/>
    </row>
    <row r="507" spans="1:14" ht="14.5" x14ac:dyDescent="0.35">
      <c r="A507" s="27"/>
      <c r="B507" s="27"/>
      <c r="C507" s="27"/>
      <c r="D507" s="27"/>
      <c r="E507" s="75"/>
      <c r="F507" s="27"/>
      <c r="G507" s="27"/>
      <c r="H507" s="27"/>
      <c r="I507" s="27"/>
      <c r="J507" s="26"/>
      <c r="K507" s="26"/>
      <c r="L507" s="27"/>
      <c r="M507" s="27"/>
      <c r="N507" s="27"/>
    </row>
    <row r="508" spans="1:14" ht="14.5" x14ac:dyDescent="0.35">
      <c r="A508" s="27"/>
      <c r="B508" s="27"/>
      <c r="C508" s="27"/>
      <c r="D508" s="27"/>
      <c r="E508" s="75"/>
      <c r="F508" s="27"/>
      <c r="G508" s="27"/>
      <c r="H508" s="27"/>
      <c r="I508" s="27"/>
      <c r="J508" s="26"/>
      <c r="K508" s="26"/>
      <c r="L508" s="27"/>
      <c r="M508" s="27"/>
      <c r="N508" s="27"/>
    </row>
    <row r="509" spans="1:14" ht="14.5" x14ac:dyDescent="0.35">
      <c r="A509" s="27"/>
      <c r="B509" s="27"/>
      <c r="C509" s="27"/>
      <c r="D509" s="27"/>
      <c r="E509" s="75"/>
      <c r="F509" s="27"/>
      <c r="G509" s="27"/>
      <c r="H509" s="27"/>
      <c r="I509" s="27"/>
      <c r="J509" s="26"/>
      <c r="K509" s="26"/>
      <c r="L509" s="27"/>
      <c r="M509" s="27"/>
      <c r="N509" s="27"/>
    </row>
    <row r="510" spans="1:14" ht="14.5" x14ac:dyDescent="0.35">
      <c r="A510" s="27"/>
      <c r="B510" s="27"/>
      <c r="C510" s="27"/>
      <c r="D510" s="27"/>
      <c r="E510" s="75"/>
      <c r="F510" s="27"/>
      <c r="G510" s="27"/>
      <c r="H510" s="27"/>
      <c r="I510" s="27"/>
      <c r="J510" s="26"/>
      <c r="K510" s="26"/>
      <c r="L510" s="27"/>
      <c r="M510" s="27"/>
      <c r="N510" s="27"/>
    </row>
    <row r="511" spans="1:14" ht="14.5" x14ac:dyDescent="0.35">
      <c r="A511" s="27"/>
      <c r="B511" s="27"/>
      <c r="C511" s="27"/>
      <c r="D511" s="27"/>
      <c r="E511" s="75"/>
      <c r="F511" s="27"/>
      <c r="G511" s="27"/>
      <c r="H511" s="27"/>
      <c r="I511" s="27"/>
      <c r="J511" s="26"/>
      <c r="K511" s="26"/>
      <c r="L511" s="27"/>
      <c r="M511" s="27"/>
      <c r="N511" s="27"/>
    </row>
    <row r="512" spans="1:14" ht="14.5" x14ac:dyDescent="0.35">
      <c r="A512" s="27"/>
      <c r="B512" s="27"/>
      <c r="C512" s="27"/>
      <c r="D512" s="27"/>
      <c r="E512" s="75"/>
      <c r="F512" s="27"/>
      <c r="G512" s="27"/>
      <c r="H512" s="27"/>
      <c r="I512" s="27"/>
      <c r="J512" s="26"/>
      <c r="K512" s="26"/>
      <c r="L512" s="27"/>
      <c r="M512" s="27"/>
      <c r="N512" s="27"/>
    </row>
    <row r="513" spans="1:14" ht="14.5" x14ac:dyDescent="0.35">
      <c r="A513" s="27"/>
      <c r="B513" s="27"/>
      <c r="C513" s="27"/>
      <c r="D513" s="27"/>
      <c r="E513" s="75"/>
      <c r="F513" s="27"/>
      <c r="G513" s="27"/>
      <c r="H513" s="27"/>
      <c r="I513" s="27"/>
      <c r="J513" s="26"/>
      <c r="K513" s="26"/>
      <c r="L513" s="27"/>
      <c r="M513" s="27"/>
      <c r="N513" s="27"/>
    </row>
    <row r="514" spans="1:14" ht="14.5" x14ac:dyDescent="0.35">
      <c r="A514" s="27"/>
      <c r="B514" s="27"/>
      <c r="C514" s="27"/>
      <c r="D514" s="27"/>
      <c r="E514" s="75"/>
      <c r="F514" s="27"/>
      <c r="G514" s="27"/>
      <c r="H514" s="27"/>
      <c r="I514" s="27"/>
      <c r="J514" s="26"/>
      <c r="K514" s="26"/>
      <c r="L514" s="27"/>
      <c r="M514" s="27"/>
      <c r="N514" s="27"/>
    </row>
    <row r="515" spans="1:14" ht="14.5" x14ac:dyDescent="0.35">
      <c r="A515" s="27"/>
      <c r="B515" s="27"/>
      <c r="C515" s="27"/>
      <c r="D515" s="27"/>
      <c r="E515" s="75"/>
      <c r="F515" s="27"/>
      <c r="G515" s="27"/>
      <c r="H515" s="27"/>
      <c r="I515" s="27"/>
      <c r="J515" s="26"/>
      <c r="K515" s="26"/>
      <c r="L515" s="27"/>
      <c r="M515" s="27"/>
      <c r="N515" s="27"/>
    </row>
    <row r="516" spans="1:14" ht="14.5" x14ac:dyDescent="0.35">
      <c r="A516" s="27"/>
      <c r="B516" s="27"/>
      <c r="C516" s="27"/>
      <c r="D516" s="27"/>
      <c r="E516" s="75"/>
      <c r="F516" s="27"/>
      <c r="G516" s="27"/>
      <c r="H516" s="27"/>
      <c r="I516" s="27"/>
      <c r="J516" s="26"/>
      <c r="K516" s="26"/>
      <c r="L516" s="27"/>
      <c r="M516" s="27"/>
      <c r="N516" s="27"/>
    </row>
    <row r="517" spans="1:14" ht="14.5" x14ac:dyDescent="0.35">
      <c r="A517" s="27"/>
      <c r="B517" s="27"/>
      <c r="C517" s="27"/>
      <c r="D517" s="27"/>
      <c r="E517" s="75"/>
      <c r="F517" s="27"/>
      <c r="G517" s="27"/>
      <c r="H517" s="27"/>
      <c r="I517" s="27"/>
      <c r="J517" s="26"/>
      <c r="K517" s="26"/>
      <c r="L517" s="27"/>
      <c r="M517" s="27"/>
      <c r="N517" s="27"/>
    </row>
    <row r="518" spans="1:14" ht="14.5" x14ac:dyDescent="0.35">
      <c r="A518" s="27"/>
      <c r="B518" s="27"/>
      <c r="C518" s="27"/>
      <c r="D518" s="27"/>
      <c r="E518" s="75"/>
      <c r="F518" s="27"/>
      <c r="G518" s="27"/>
      <c r="H518" s="27"/>
      <c r="I518" s="27"/>
      <c r="J518" s="26"/>
      <c r="K518" s="26"/>
      <c r="L518" s="27"/>
      <c r="M518" s="27"/>
      <c r="N518" s="27"/>
    </row>
    <row r="519" spans="1:14" ht="14.5" x14ac:dyDescent="0.35">
      <c r="A519" s="27"/>
      <c r="B519" s="27"/>
      <c r="C519" s="27"/>
      <c r="D519" s="27"/>
      <c r="E519" s="75"/>
      <c r="F519" s="27"/>
      <c r="G519" s="27"/>
      <c r="H519" s="27"/>
      <c r="I519" s="27"/>
      <c r="J519" s="26"/>
      <c r="K519" s="26"/>
      <c r="L519" s="27"/>
      <c r="M519" s="27"/>
      <c r="N519" s="27"/>
    </row>
    <row r="520" spans="1:14" ht="14.5" x14ac:dyDescent="0.35">
      <c r="A520" s="27"/>
      <c r="B520" s="27"/>
      <c r="C520" s="27"/>
      <c r="D520" s="27"/>
      <c r="E520" s="75"/>
      <c r="F520" s="27"/>
      <c r="G520" s="27"/>
      <c r="H520" s="27"/>
      <c r="I520" s="27"/>
      <c r="J520" s="26"/>
      <c r="K520" s="26"/>
      <c r="L520" s="27"/>
      <c r="M520" s="27"/>
      <c r="N520" s="27"/>
    </row>
    <row r="521" spans="1:14" ht="14.5" x14ac:dyDescent="0.35">
      <c r="A521" s="27"/>
      <c r="B521" s="27"/>
      <c r="C521" s="27"/>
      <c r="D521" s="27"/>
      <c r="E521" s="75"/>
      <c r="F521" s="27"/>
      <c r="G521" s="27"/>
      <c r="H521" s="27"/>
      <c r="I521" s="27"/>
      <c r="J521" s="26"/>
      <c r="K521" s="26"/>
      <c r="L521" s="27"/>
      <c r="M521" s="27"/>
      <c r="N521" s="27"/>
    </row>
    <row r="522" spans="1:14" ht="14.5" x14ac:dyDescent="0.35">
      <c r="A522" s="27"/>
      <c r="B522" s="27"/>
      <c r="C522" s="27"/>
      <c r="D522" s="27"/>
      <c r="E522" s="75"/>
      <c r="F522" s="27"/>
      <c r="G522" s="27"/>
      <c r="H522" s="27"/>
      <c r="I522" s="27"/>
      <c r="J522" s="26"/>
      <c r="K522" s="26"/>
      <c r="L522" s="27"/>
      <c r="M522" s="27"/>
      <c r="N522" s="27"/>
    </row>
    <row r="523" spans="1:14" ht="14.5" x14ac:dyDescent="0.35">
      <c r="A523" s="27"/>
      <c r="B523" s="27"/>
      <c r="C523" s="27"/>
      <c r="D523" s="27"/>
      <c r="E523" s="75"/>
      <c r="F523" s="27"/>
      <c r="G523" s="27"/>
      <c r="H523" s="27"/>
      <c r="I523" s="27"/>
      <c r="J523" s="26"/>
      <c r="K523" s="26"/>
      <c r="L523" s="27"/>
      <c r="M523" s="27"/>
      <c r="N523" s="27"/>
    </row>
    <row r="524" spans="1:14" ht="14.5" x14ac:dyDescent="0.35">
      <c r="A524" s="27"/>
      <c r="B524" s="27"/>
      <c r="C524" s="27"/>
      <c r="D524" s="27"/>
      <c r="E524" s="75"/>
      <c r="F524" s="27"/>
      <c r="G524" s="27"/>
      <c r="H524" s="27"/>
      <c r="I524" s="27"/>
      <c r="J524" s="26"/>
      <c r="K524" s="26"/>
      <c r="L524" s="27"/>
      <c r="M524" s="27"/>
      <c r="N524" s="27"/>
    </row>
    <row r="525" spans="1:14" ht="14.5" x14ac:dyDescent="0.35">
      <c r="A525" s="27"/>
      <c r="B525" s="27"/>
      <c r="C525" s="27"/>
      <c r="D525" s="27"/>
      <c r="E525" s="75"/>
      <c r="F525" s="27"/>
      <c r="G525" s="27"/>
      <c r="H525" s="27"/>
      <c r="I525" s="27"/>
      <c r="J525" s="26"/>
      <c r="K525" s="26"/>
      <c r="L525" s="27"/>
      <c r="M525" s="27"/>
      <c r="N525" s="27"/>
    </row>
    <row r="526" spans="1:14" ht="14.5" x14ac:dyDescent="0.35">
      <c r="A526" s="27"/>
      <c r="B526" s="27"/>
      <c r="C526" s="27"/>
      <c r="D526" s="27"/>
      <c r="E526" s="75"/>
      <c r="F526" s="27"/>
      <c r="G526" s="27"/>
      <c r="H526" s="27"/>
      <c r="I526" s="27"/>
      <c r="J526" s="26"/>
      <c r="K526" s="26"/>
      <c r="L526" s="27"/>
      <c r="M526" s="27"/>
      <c r="N526" s="27"/>
    </row>
    <row r="527" spans="1:14" ht="14.5" x14ac:dyDescent="0.35">
      <c r="A527" s="27"/>
      <c r="B527" s="27"/>
      <c r="C527" s="27"/>
      <c r="D527" s="27"/>
      <c r="E527" s="75"/>
      <c r="F527" s="27"/>
      <c r="G527" s="27"/>
      <c r="H527" s="27"/>
      <c r="I527" s="27"/>
      <c r="J527" s="26"/>
      <c r="K527" s="26"/>
      <c r="L527" s="27"/>
      <c r="M527" s="27"/>
      <c r="N527" s="27"/>
    </row>
    <row r="528" spans="1:14" ht="14.5" x14ac:dyDescent="0.35">
      <c r="A528" s="27"/>
      <c r="B528" s="27"/>
      <c r="C528" s="27"/>
      <c r="D528" s="27"/>
      <c r="E528" s="75"/>
      <c r="F528" s="27"/>
      <c r="G528" s="27"/>
      <c r="H528" s="27"/>
      <c r="I528" s="27"/>
      <c r="J528" s="26"/>
      <c r="K528" s="26"/>
      <c r="L528" s="27"/>
      <c r="M528" s="27"/>
      <c r="N528" s="27"/>
    </row>
    <row r="529" spans="1:14" ht="14.5" x14ac:dyDescent="0.35">
      <c r="A529" s="27"/>
      <c r="B529" s="27"/>
      <c r="C529" s="27"/>
      <c r="D529" s="27"/>
      <c r="E529" s="75"/>
      <c r="F529" s="27"/>
      <c r="G529" s="27"/>
      <c r="H529" s="27"/>
      <c r="I529" s="27"/>
      <c r="J529" s="26"/>
      <c r="K529" s="26"/>
      <c r="L529" s="27"/>
      <c r="M529" s="27"/>
      <c r="N529" s="27"/>
    </row>
    <row r="530" spans="1:14" ht="14.5" x14ac:dyDescent="0.35">
      <c r="A530" s="27"/>
      <c r="B530" s="27"/>
      <c r="C530" s="27"/>
      <c r="D530" s="27"/>
      <c r="E530" s="75"/>
      <c r="F530" s="27"/>
      <c r="G530" s="27"/>
      <c r="H530" s="27"/>
      <c r="I530" s="27"/>
      <c r="J530" s="26"/>
      <c r="K530" s="26"/>
      <c r="L530" s="27"/>
      <c r="M530" s="27"/>
      <c r="N530" s="27"/>
    </row>
    <row r="531" spans="1:14" ht="14.5" x14ac:dyDescent="0.35">
      <c r="A531" s="27"/>
      <c r="B531" s="27"/>
      <c r="C531" s="27"/>
      <c r="D531" s="27"/>
      <c r="E531" s="75"/>
      <c r="F531" s="27"/>
      <c r="G531" s="27"/>
      <c r="H531" s="27"/>
      <c r="I531" s="27"/>
      <c r="J531" s="26"/>
      <c r="K531" s="26"/>
      <c r="L531" s="27"/>
      <c r="M531" s="27"/>
      <c r="N531" s="27"/>
    </row>
    <row r="532" spans="1:14" ht="14.5" x14ac:dyDescent="0.35">
      <c r="A532" s="27"/>
      <c r="B532" s="27"/>
      <c r="C532" s="27"/>
      <c r="D532" s="27"/>
      <c r="E532" s="75"/>
      <c r="F532" s="27"/>
      <c r="G532" s="27"/>
      <c r="H532" s="27"/>
      <c r="I532" s="27"/>
      <c r="J532" s="26"/>
      <c r="K532" s="26"/>
      <c r="L532" s="27"/>
      <c r="M532" s="27"/>
      <c r="N532" s="27"/>
    </row>
    <row r="533" spans="1:14" ht="14.5" x14ac:dyDescent="0.35">
      <c r="A533" s="27"/>
      <c r="B533" s="27"/>
      <c r="C533" s="27"/>
      <c r="D533" s="27"/>
      <c r="E533" s="75"/>
      <c r="F533" s="27"/>
      <c r="G533" s="27"/>
      <c r="H533" s="27"/>
      <c r="I533" s="27"/>
      <c r="J533" s="26"/>
      <c r="K533" s="26"/>
      <c r="L533" s="27"/>
      <c r="M533" s="27"/>
      <c r="N533" s="27"/>
    </row>
    <row r="534" spans="1:14" ht="14.5" x14ac:dyDescent="0.35">
      <c r="A534" s="27"/>
      <c r="B534" s="27"/>
      <c r="C534" s="27"/>
      <c r="D534" s="27"/>
      <c r="E534" s="75"/>
      <c r="F534" s="27"/>
      <c r="G534" s="27"/>
      <c r="H534" s="27"/>
      <c r="I534" s="27"/>
      <c r="J534" s="26"/>
      <c r="K534" s="26"/>
      <c r="L534" s="27"/>
      <c r="M534" s="27"/>
      <c r="N534" s="27"/>
    </row>
    <row r="535" spans="1:14" ht="14.5" x14ac:dyDescent="0.35">
      <c r="A535" s="27"/>
      <c r="B535" s="27"/>
      <c r="C535" s="27"/>
      <c r="D535" s="27"/>
      <c r="E535" s="75"/>
      <c r="F535" s="27"/>
      <c r="G535" s="27"/>
      <c r="H535" s="27"/>
      <c r="I535" s="27"/>
      <c r="J535" s="26"/>
      <c r="K535" s="26"/>
      <c r="L535" s="27"/>
      <c r="M535" s="27"/>
      <c r="N535" s="27"/>
    </row>
    <row r="536" spans="1:14" ht="14.5" x14ac:dyDescent="0.35">
      <c r="A536" s="27"/>
      <c r="B536" s="27"/>
      <c r="C536" s="27"/>
      <c r="D536" s="27"/>
      <c r="E536" s="75"/>
      <c r="F536" s="27"/>
      <c r="G536" s="27"/>
      <c r="H536" s="27"/>
      <c r="I536" s="27"/>
      <c r="J536" s="26"/>
      <c r="K536" s="26"/>
      <c r="L536" s="27"/>
      <c r="M536" s="27"/>
      <c r="N536" s="27"/>
    </row>
    <row r="537" spans="1:14" ht="14.5" x14ac:dyDescent="0.35">
      <c r="A537" s="27"/>
      <c r="B537" s="27"/>
      <c r="C537" s="27"/>
      <c r="D537" s="27"/>
      <c r="E537" s="75"/>
      <c r="F537" s="27"/>
      <c r="G537" s="27"/>
      <c r="H537" s="27"/>
      <c r="I537" s="27"/>
      <c r="J537" s="26"/>
      <c r="K537" s="26"/>
      <c r="L537" s="27"/>
      <c r="M537" s="27"/>
      <c r="N537" s="27"/>
    </row>
    <row r="538" spans="1:14" ht="14.5" x14ac:dyDescent="0.35">
      <c r="A538" s="27"/>
      <c r="B538" s="27"/>
      <c r="C538" s="27"/>
      <c r="D538" s="27"/>
      <c r="E538" s="75"/>
      <c r="F538" s="27"/>
      <c r="G538" s="27"/>
      <c r="H538" s="27"/>
      <c r="I538" s="27"/>
      <c r="J538" s="26"/>
      <c r="K538" s="26"/>
      <c r="L538" s="27"/>
      <c r="M538" s="27"/>
      <c r="N538" s="27"/>
    </row>
    <row r="539" spans="1:14" ht="14.5" x14ac:dyDescent="0.35">
      <c r="A539" s="27"/>
      <c r="B539" s="27"/>
      <c r="C539" s="27"/>
      <c r="D539" s="27"/>
      <c r="E539" s="75"/>
      <c r="F539" s="27"/>
      <c r="G539" s="27"/>
      <c r="H539" s="27"/>
      <c r="I539" s="27"/>
      <c r="J539" s="26"/>
      <c r="K539" s="26"/>
      <c r="L539" s="27"/>
      <c r="M539" s="27"/>
      <c r="N539" s="27"/>
    </row>
    <row r="540" spans="1:14" ht="14.5" x14ac:dyDescent="0.35">
      <c r="A540" s="27"/>
      <c r="B540" s="27"/>
      <c r="C540" s="27"/>
      <c r="D540" s="27"/>
      <c r="E540" s="75"/>
      <c r="F540" s="27"/>
      <c r="G540" s="27"/>
      <c r="H540" s="27"/>
      <c r="I540" s="27"/>
      <c r="J540" s="26"/>
      <c r="K540" s="26"/>
      <c r="L540" s="27"/>
      <c r="M540" s="27"/>
      <c r="N540" s="27"/>
    </row>
    <row r="541" spans="1:14" ht="14.5" x14ac:dyDescent="0.35">
      <c r="A541" s="27"/>
      <c r="B541" s="27"/>
      <c r="C541" s="27"/>
      <c r="D541" s="27"/>
      <c r="E541" s="75"/>
      <c r="F541" s="27"/>
      <c r="G541" s="27"/>
      <c r="H541" s="27"/>
      <c r="I541" s="27"/>
      <c r="J541" s="26"/>
      <c r="K541" s="26"/>
      <c r="L541" s="27"/>
      <c r="M541" s="27"/>
      <c r="N541" s="27"/>
    </row>
    <row r="542" spans="1:14" ht="14.5" x14ac:dyDescent="0.35">
      <c r="A542" s="27"/>
      <c r="B542" s="27"/>
      <c r="C542" s="27"/>
      <c r="D542" s="27"/>
      <c r="E542" s="75"/>
      <c r="F542" s="27"/>
      <c r="G542" s="27"/>
      <c r="H542" s="27"/>
      <c r="I542" s="27"/>
      <c r="J542" s="26"/>
      <c r="K542" s="26"/>
      <c r="L542" s="27"/>
      <c r="M542" s="27"/>
      <c r="N542" s="27"/>
    </row>
    <row r="543" spans="1:14" ht="14.5" x14ac:dyDescent="0.35">
      <c r="A543" s="27"/>
      <c r="B543" s="27"/>
      <c r="C543" s="27"/>
      <c r="D543" s="27"/>
      <c r="E543" s="75"/>
      <c r="F543" s="27"/>
      <c r="G543" s="27"/>
      <c r="H543" s="27"/>
      <c r="I543" s="27"/>
      <c r="J543" s="26"/>
      <c r="K543" s="26"/>
      <c r="L543" s="27"/>
      <c r="M543" s="27"/>
      <c r="N543" s="27"/>
    </row>
    <row r="544" spans="1:14" ht="14.5" x14ac:dyDescent="0.35">
      <c r="A544" s="27"/>
      <c r="B544" s="27"/>
      <c r="C544" s="27"/>
      <c r="D544" s="27"/>
      <c r="E544" s="75"/>
      <c r="F544" s="27"/>
      <c r="G544" s="27"/>
      <c r="H544" s="27"/>
      <c r="I544" s="27"/>
      <c r="J544" s="26"/>
      <c r="K544" s="26"/>
      <c r="L544" s="27"/>
      <c r="M544" s="27"/>
      <c r="N544" s="27"/>
    </row>
    <row r="545" spans="1:14" ht="14.5" x14ac:dyDescent="0.35">
      <c r="A545" s="27"/>
      <c r="B545" s="27"/>
      <c r="C545" s="27"/>
      <c r="D545" s="27"/>
      <c r="E545" s="75"/>
      <c r="F545" s="27"/>
      <c r="G545" s="27"/>
      <c r="H545" s="27"/>
      <c r="I545" s="27"/>
      <c r="J545" s="26"/>
      <c r="K545" s="26"/>
      <c r="L545" s="27"/>
      <c r="M545" s="27"/>
      <c r="N545" s="27"/>
    </row>
    <row r="546" spans="1:14" ht="14.5" x14ac:dyDescent="0.35">
      <c r="A546" s="27"/>
      <c r="B546" s="27"/>
      <c r="C546" s="27"/>
      <c r="D546" s="27"/>
      <c r="E546" s="75"/>
      <c r="F546" s="27"/>
      <c r="G546" s="27"/>
      <c r="H546" s="27"/>
      <c r="I546" s="27"/>
      <c r="J546" s="26"/>
      <c r="K546" s="26"/>
      <c r="L546" s="27"/>
      <c r="M546" s="27"/>
      <c r="N546" s="27"/>
    </row>
    <row r="547" spans="1:14" ht="14.5" x14ac:dyDescent="0.35">
      <c r="A547" s="27"/>
      <c r="B547" s="27"/>
      <c r="C547" s="27"/>
      <c r="D547" s="27"/>
      <c r="E547" s="75"/>
      <c r="F547" s="27"/>
      <c r="G547" s="27"/>
      <c r="H547" s="27"/>
      <c r="I547" s="27"/>
      <c r="J547" s="26"/>
      <c r="K547" s="26"/>
      <c r="L547" s="27"/>
      <c r="M547" s="27"/>
      <c r="N547" s="27"/>
    </row>
    <row r="548" spans="1:14" ht="14.5" x14ac:dyDescent="0.35">
      <c r="A548" s="27"/>
      <c r="B548" s="27"/>
      <c r="C548" s="27"/>
      <c r="D548" s="27"/>
      <c r="E548" s="75"/>
      <c r="F548" s="27"/>
      <c r="G548" s="27"/>
      <c r="H548" s="27"/>
      <c r="I548" s="27"/>
      <c r="J548" s="26"/>
      <c r="K548" s="26"/>
      <c r="L548" s="27"/>
      <c r="M548" s="27"/>
      <c r="N548" s="27"/>
    </row>
    <row r="549" spans="1:14" ht="14.5" x14ac:dyDescent="0.35">
      <c r="A549" s="27"/>
      <c r="B549" s="27"/>
      <c r="C549" s="27"/>
      <c r="D549" s="27"/>
      <c r="E549" s="75"/>
      <c r="F549" s="27"/>
      <c r="G549" s="27"/>
      <c r="H549" s="27"/>
      <c r="I549" s="27"/>
      <c r="J549" s="26"/>
      <c r="K549" s="26"/>
      <c r="L549" s="27"/>
      <c r="M549" s="27"/>
      <c r="N549" s="27"/>
    </row>
    <row r="550" spans="1:14" ht="14.5" x14ac:dyDescent="0.35">
      <c r="A550" s="27"/>
      <c r="B550" s="27"/>
      <c r="C550" s="27"/>
      <c r="D550" s="27"/>
      <c r="E550" s="75"/>
      <c r="F550" s="27"/>
      <c r="G550" s="27"/>
      <c r="H550" s="27"/>
      <c r="I550" s="27"/>
      <c r="J550" s="26"/>
      <c r="K550" s="26"/>
      <c r="L550" s="27"/>
      <c r="M550" s="27"/>
      <c r="N550" s="27"/>
    </row>
    <row r="551" spans="1:14" ht="14.5" x14ac:dyDescent="0.35">
      <c r="A551" s="27"/>
      <c r="B551" s="27"/>
      <c r="C551" s="27"/>
      <c r="D551" s="27"/>
      <c r="E551" s="75"/>
      <c r="F551" s="27"/>
      <c r="G551" s="27"/>
      <c r="H551" s="27"/>
      <c r="I551" s="27"/>
      <c r="J551" s="26"/>
      <c r="K551" s="26"/>
      <c r="L551" s="27"/>
      <c r="M551" s="27"/>
      <c r="N551" s="27"/>
    </row>
    <row r="552" spans="1:14" ht="14.5" x14ac:dyDescent="0.35">
      <c r="A552" s="27"/>
      <c r="B552" s="27"/>
      <c r="C552" s="27"/>
      <c r="D552" s="27"/>
      <c r="E552" s="75"/>
      <c r="F552" s="27"/>
      <c r="G552" s="27"/>
      <c r="H552" s="27"/>
      <c r="I552" s="27"/>
      <c r="J552" s="26"/>
      <c r="K552" s="26"/>
      <c r="L552" s="27"/>
      <c r="M552" s="27"/>
      <c r="N552" s="27"/>
    </row>
    <row r="553" spans="1:14" ht="14.5" x14ac:dyDescent="0.35">
      <c r="A553" s="27"/>
      <c r="B553" s="27"/>
      <c r="C553" s="27"/>
      <c r="D553" s="27"/>
      <c r="E553" s="75"/>
      <c r="F553" s="27"/>
      <c r="G553" s="27"/>
      <c r="H553" s="27"/>
      <c r="I553" s="27"/>
      <c r="J553" s="26"/>
      <c r="K553" s="26"/>
      <c r="L553" s="27"/>
      <c r="M553" s="27"/>
      <c r="N553" s="27"/>
    </row>
    <row r="554" spans="1:14" ht="14.5" x14ac:dyDescent="0.35">
      <c r="A554" s="27"/>
      <c r="B554" s="27"/>
      <c r="C554" s="27"/>
      <c r="D554" s="27"/>
      <c r="E554" s="75"/>
      <c r="F554" s="27"/>
      <c r="G554" s="27"/>
      <c r="H554" s="27"/>
      <c r="I554" s="27"/>
      <c r="J554" s="26"/>
      <c r="K554" s="26"/>
      <c r="L554" s="27"/>
      <c r="M554" s="27"/>
      <c r="N554" s="27"/>
    </row>
    <row r="555" spans="1:14" ht="14.5" x14ac:dyDescent="0.35">
      <c r="A555" s="27"/>
      <c r="B555" s="27"/>
      <c r="C555" s="27"/>
      <c r="D555" s="27"/>
      <c r="E555" s="75"/>
      <c r="F555" s="27"/>
      <c r="G555" s="27"/>
      <c r="H555" s="27"/>
      <c r="I555" s="27"/>
      <c r="J555" s="26"/>
      <c r="K555" s="26"/>
      <c r="L555" s="27"/>
      <c r="M555" s="27"/>
      <c r="N555" s="27"/>
    </row>
    <row r="556" spans="1:14" ht="14.5" x14ac:dyDescent="0.35">
      <c r="A556" s="27"/>
      <c r="B556" s="27"/>
      <c r="C556" s="27"/>
      <c r="D556" s="27"/>
      <c r="E556" s="75"/>
      <c r="F556" s="27"/>
      <c r="G556" s="27"/>
      <c r="H556" s="27"/>
      <c r="I556" s="27"/>
      <c r="J556" s="26"/>
      <c r="K556" s="26"/>
      <c r="L556" s="27"/>
      <c r="M556" s="27"/>
      <c r="N556" s="27"/>
    </row>
    <row r="557" spans="1:14" ht="14.5" x14ac:dyDescent="0.35">
      <c r="A557" s="27"/>
      <c r="B557" s="27"/>
      <c r="C557" s="27"/>
      <c r="D557" s="27"/>
      <c r="E557" s="75"/>
      <c r="F557" s="27"/>
      <c r="G557" s="27"/>
      <c r="H557" s="27"/>
      <c r="I557" s="27"/>
      <c r="J557" s="26"/>
      <c r="K557" s="26"/>
      <c r="L557" s="27"/>
      <c r="M557" s="27"/>
      <c r="N557" s="27"/>
    </row>
    <row r="558" spans="1:14" ht="14.5" x14ac:dyDescent="0.35">
      <c r="A558" s="27"/>
      <c r="B558" s="27"/>
      <c r="C558" s="27"/>
      <c r="D558" s="27"/>
      <c r="E558" s="75"/>
      <c r="F558" s="27"/>
      <c r="G558" s="27"/>
      <c r="H558" s="27"/>
      <c r="I558" s="27"/>
      <c r="J558" s="26"/>
      <c r="K558" s="26"/>
      <c r="L558" s="27"/>
      <c r="M558" s="27"/>
      <c r="N558" s="27"/>
    </row>
    <row r="559" spans="1:14" ht="14.5" x14ac:dyDescent="0.35">
      <c r="A559" s="27"/>
      <c r="B559" s="27"/>
      <c r="C559" s="27"/>
      <c r="D559" s="27"/>
      <c r="E559" s="75"/>
      <c r="F559" s="27"/>
      <c r="G559" s="27"/>
      <c r="H559" s="27"/>
      <c r="I559" s="27"/>
      <c r="J559" s="26"/>
      <c r="K559" s="26"/>
      <c r="L559" s="27"/>
      <c r="M559" s="27"/>
      <c r="N559" s="27"/>
    </row>
    <row r="560" spans="1:14" ht="14.5" x14ac:dyDescent="0.35">
      <c r="A560" s="27"/>
      <c r="B560" s="27"/>
      <c r="C560" s="27"/>
      <c r="D560" s="27"/>
      <c r="E560" s="75"/>
      <c r="F560" s="27"/>
      <c r="G560" s="27"/>
      <c r="H560" s="27"/>
      <c r="I560" s="27"/>
      <c r="J560" s="26"/>
      <c r="K560" s="26"/>
      <c r="L560" s="27"/>
      <c r="M560" s="27"/>
      <c r="N560" s="27"/>
    </row>
    <row r="561" spans="1:14" ht="14.5" x14ac:dyDescent="0.35">
      <c r="A561" s="27"/>
      <c r="B561" s="27"/>
      <c r="C561" s="27"/>
      <c r="D561" s="27"/>
      <c r="E561" s="75"/>
      <c r="F561" s="27"/>
      <c r="G561" s="27"/>
      <c r="H561" s="27"/>
      <c r="I561" s="27"/>
      <c r="J561" s="26"/>
      <c r="K561" s="26"/>
      <c r="L561" s="27"/>
      <c r="M561" s="27"/>
      <c r="N561" s="27"/>
    </row>
    <row r="562" spans="1:14" ht="14.5" x14ac:dyDescent="0.35">
      <c r="A562" s="27"/>
      <c r="B562" s="27"/>
      <c r="C562" s="27"/>
      <c r="D562" s="27"/>
      <c r="E562" s="75"/>
      <c r="F562" s="27"/>
      <c r="G562" s="27"/>
      <c r="H562" s="27"/>
      <c r="I562" s="27"/>
      <c r="J562" s="26"/>
      <c r="K562" s="26"/>
      <c r="L562" s="27"/>
      <c r="M562" s="27"/>
      <c r="N562" s="27"/>
    </row>
    <row r="563" spans="1:14" ht="14.5" x14ac:dyDescent="0.35">
      <c r="A563" s="27"/>
      <c r="B563" s="27"/>
      <c r="C563" s="27"/>
      <c r="D563" s="27"/>
      <c r="E563" s="75"/>
      <c r="F563" s="27"/>
      <c r="G563" s="27"/>
      <c r="H563" s="27"/>
      <c r="I563" s="27"/>
      <c r="J563" s="26"/>
      <c r="K563" s="26"/>
      <c r="L563" s="27"/>
      <c r="M563" s="27"/>
      <c r="N563" s="27"/>
    </row>
    <row r="564" spans="1:14" ht="14.5" x14ac:dyDescent="0.35">
      <c r="A564" s="27"/>
      <c r="B564" s="27"/>
      <c r="C564" s="27"/>
      <c r="D564" s="27"/>
      <c r="E564" s="75"/>
      <c r="F564" s="27"/>
      <c r="G564" s="27"/>
      <c r="H564" s="27"/>
      <c r="I564" s="27"/>
      <c r="J564" s="26"/>
      <c r="K564" s="26"/>
      <c r="L564" s="27"/>
      <c r="M564" s="27"/>
      <c r="N564" s="27"/>
    </row>
    <row r="565" spans="1:14" ht="14.5" x14ac:dyDescent="0.35">
      <c r="A565" s="27"/>
      <c r="B565" s="27"/>
      <c r="C565" s="27"/>
      <c r="D565" s="27"/>
      <c r="E565" s="75"/>
      <c r="F565" s="27"/>
      <c r="G565" s="27"/>
      <c r="H565" s="27"/>
      <c r="I565" s="27"/>
      <c r="J565" s="26"/>
      <c r="K565" s="26"/>
      <c r="L565" s="27"/>
      <c r="M565" s="27"/>
      <c r="N565" s="27"/>
    </row>
    <row r="566" spans="1:14" ht="14.5" x14ac:dyDescent="0.35">
      <c r="A566" s="27"/>
      <c r="B566" s="27"/>
      <c r="C566" s="27"/>
      <c r="D566" s="27"/>
      <c r="E566" s="75"/>
      <c r="F566" s="27"/>
      <c r="G566" s="27"/>
      <c r="H566" s="27"/>
      <c r="I566" s="27"/>
      <c r="J566" s="26"/>
      <c r="K566" s="26"/>
      <c r="L566" s="27"/>
      <c r="M566" s="27"/>
      <c r="N566" s="27"/>
    </row>
    <row r="567" spans="1:14" ht="14.5" x14ac:dyDescent="0.35">
      <c r="A567" s="27"/>
      <c r="B567" s="27"/>
      <c r="C567" s="27"/>
      <c r="D567" s="27"/>
      <c r="E567" s="75"/>
      <c r="F567" s="27"/>
      <c r="G567" s="27"/>
      <c r="H567" s="27"/>
      <c r="I567" s="27"/>
      <c r="J567" s="26"/>
      <c r="K567" s="26"/>
      <c r="L567" s="27"/>
      <c r="M567" s="27"/>
      <c r="N567" s="27"/>
    </row>
    <row r="568" spans="1:14" ht="14.5" x14ac:dyDescent="0.35">
      <c r="A568" s="27"/>
      <c r="B568" s="27"/>
      <c r="C568" s="27"/>
      <c r="D568" s="27"/>
      <c r="E568" s="75"/>
      <c r="F568" s="27"/>
      <c r="G568" s="27"/>
      <c r="H568" s="27"/>
      <c r="I568" s="27"/>
      <c r="J568" s="26"/>
      <c r="K568" s="26"/>
      <c r="L568" s="27"/>
      <c r="M568" s="27"/>
      <c r="N568" s="27"/>
    </row>
    <row r="569" spans="1:14" ht="14.5" x14ac:dyDescent="0.35">
      <c r="A569" s="27"/>
      <c r="B569" s="27"/>
      <c r="C569" s="27"/>
      <c r="D569" s="27"/>
      <c r="E569" s="75"/>
      <c r="F569" s="27"/>
      <c r="G569" s="27"/>
      <c r="H569" s="27"/>
      <c r="I569" s="27"/>
      <c r="J569" s="26"/>
      <c r="K569" s="26"/>
      <c r="L569" s="27"/>
      <c r="M569" s="27"/>
      <c r="N569" s="27"/>
    </row>
    <row r="570" spans="1:14" ht="14.5" x14ac:dyDescent="0.35">
      <c r="A570" s="27"/>
      <c r="B570" s="27"/>
      <c r="C570" s="27"/>
      <c r="D570" s="27"/>
      <c r="E570" s="75"/>
      <c r="F570" s="27"/>
      <c r="G570" s="27"/>
      <c r="H570" s="27"/>
      <c r="I570" s="27"/>
      <c r="J570" s="26"/>
      <c r="K570" s="26"/>
      <c r="L570" s="27"/>
      <c r="M570" s="27"/>
      <c r="N570" s="27"/>
    </row>
    <row r="571" spans="1:14" ht="14.5" x14ac:dyDescent="0.35">
      <c r="A571" s="27"/>
      <c r="B571" s="27"/>
      <c r="C571" s="27"/>
      <c r="D571" s="27"/>
      <c r="E571" s="75"/>
      <c r="F571" s="27"/>
      <c r="G571" s="27"/>
      <c r="H571" s="27"/>
      <c r="I571" s="27"/>
      <c r="J571" s="26"/>
      <c r="K571" s="26"/>
      <c r="L571" s="27"/>
      <c r="M571" s="27"/>
      <c r="N571" s="27"/>
    </row>
    <row r="572" spans="1:14" ht="14.5" x14ac:dyDescent="0.35">
      <c r="A572" s="27"/>
      <c r="B572" s="27"/>
      <c r="C572" s="27"/>
      <c r="D572" s="27"/>
      <c r="E572" s="75"/>
      <c r="F572" s="27"/>
      <c r="G572" s="27"/>
      <c r="H572" s="27"/>
      <c r="I572" s="27"/>
      <c r="J572" s="26"/>
      <c r="K572" s="26"/>
      <c r="L572" s="27"/>
      <c r="M572" s="27"/>
      <c r="N572" s="27"/>
    </row>
    <row r="573" spans="1:14" ht="14.5" x14ac:dyDescent="0.35">
      <c r="A573" s="27"/>
      <c r="B573" s="27"/>
      <c r="C573" s="27"/>
      <c r="D573" s="27"/>
      <c r="E573" s="75"/>
      <c r="F573" s="27"/>
      <c r="G573" s="27"/>
      <c r="H573" s="27"/>
      <c r="I573" s="27"/>
      <c r="J573" s="26"/>
      <c r="K573" s="26"/>
      <c r="L573" s="27"/>
      <c r="M573" s="27"/>
      <c r="N573" s="27"/>
    </row>
    <row r="574" spans="1:14" ht="14.5" x14ac:dyDescent="0.35">
      <c r="A574" s="27"/>
      <c r="B574" s="27"/>
      <c r="C574" s="27"/>
      <c r="D574" s="27"/>
      <c r="E574" s="75"/>
      <c r="F574" s="27"/>
      <c r="G574" s="27"/>
      <c r="H574" s="27"/>
      <c r="I574" s="27"/>
      <c r="J574" s="26"/>
      <c r="K574" s="26"/>
      <c r="L574" s="27"/>
      <c r="M574" s="27"/>
      <c r="N574" s="27"/>
    </row>
    <row r="575" spans="1:14" ht="14.5" x14ac:dyDescent="0.35">
      <c r="A575" s="27"/>
      <c r="B575" s="27"/>
      <c r="C575" s="27"/>
      <c r="D575" s="27"/>
      <c r="E575" s="75"/>
      <c r="F575" s="27"/>
      <c r="G575" s="27"/>
      <c r="H575" s="27"/>
      <c r="I575" s="27"/>
      <c r="J575" s="26"/>
      <c r="K575" s="26"/>
      <c r="L575" s="27"/>
      <c r="M575" s="27"/>
      <c r="N575" s="27"/>
    </row>
    <row r="576" spans="1:14" ht="14.5" x14ac:dyDescent="0.35">
      <c r="A576" s="27"/>
      <c r="B576" s="27"/>
      <c r="C576" s="27"/>
      <c r="D576" s="27"/>
      <c r="E576" s="75"/>
      <c r="F576" s="27"/>
      <c r="G576" s="27"/>
      <c r="H576" s="27"/>
      <c r="I576" s="27"/>
      <c r="J576" s="26"/>
      <c r="K576" s="26"/>
      <c r="L576" s="27"/>
      <c r="M576" s="27"/>
      <c r="N576" s="27"/>
    </row>
    <row r="577" spans="1:14" ht="14.5" x14ac:dyDescent="0.35">
      <c r="A577" s="27"/>
      <c r="B577" s="27"/>
      <c r="C577" s="27"/>
      <c r="D577" s="27"/>
      <c r="E577" s="75"/>
      <c r="F577" s="27"/>
      <c r="G577" s="27"/>
      <c r="H577" s="27"/>
      <c r="I577" s="27"/>
      <c r="J577" s="26"/>
      <c r="K577" s="26"/>
      <c r="L577" s="27"/>
      <c r="M577" s="27"/>
      <c r="N577" s="27"/>
    </row>
    <row r="578" spans="1:14" ht="14.5" x14ac:dyDescent="0.35">
      <c r="A578" s="27"/>
      <c r="B578" s="27"/>
      <c r="C578" s="27"/>
      <c r="D578" s="27"/>
      <c r="E578" s="75"/>
      <c r="F578" s="27"/>
      <c r="G578" s="27"/>
      <c r="H578" s="27"/>
      <c r="I578" s="27"/>
      <c r="J578" s="26"/>
      <c r="K578" s="26"/>
      <c r="L578" s="27"/>
      <c r="M578" s="27"/>
      <c r="N578" s="27"/>
    </row>
    <row r="579" spans="1:14" ht="14.5" x14ac:dyDescent="0.35">
      <c r="A579" s="27"/>
      <c r="B579" s="27"/>
      <c r="C579" s="27"/>
      <c r="D579" s="27"/>
      <c r="E579" s="75"/>
      <c r="F579" s="27"/>
      <c r="G579" s="27"/>
      <c r="H579" s="27"/>
      <c r="I579" s="27"/>
      <c r="J579" s="26"/>
      <c r="K579" s="26"/>
      <c r="L579" s="27"/>
      <c r="M579" s="27"/>
      <c r="N579" s="27"/>
    </row>
    <row r="580" spans="1:14" ht="14.5" x14ac:dyDescent="0.35">
      <c r="A580" s="27"/>
      <c r="B580" s="27"/>
      <c r="C580" s="27"/>
      <c r="D580" s="27"/>
      <c r="E580" s="75"/>
      <c r="F580" s="27"/>
      <c r="G580" s="27"/>
      <c r="H580" s="27"/>
      <c r="I580" s="27"/>
      <c r="J580" s="26"/>
      <c r="K580" s="26"/>
      <c r="L580" s="27"/>
      <c r="M580" s="27"/>
      <c r="N580" s="27"/>
    </row>
    <row r="581" spans="1:14" ht="14.5" x14ac:dyDescent="0.35">
      <c r="A581" s="27"/>
      <c r="B581" s="27"/>
      <c r="C581" s="27"/>
      <c r="D581" s="27"/>
      <c r="E581" s="75"/>
      <c r="F581" s="27"/>
      <c r="G581" s="27"/>
      <c r="H581" s="27"/>
      <c r="I581" s="27"/>
      <c r="J581" s="26"/>
      <c r="K581" s="26"/>
      <c r="L581" s="27"/>
      <c r="M581" s="27"/>
      <c r="N581" s="27"/>
    </row>
    <row r="582" spans="1:14" ht="14.5" x14ac:dyDescent="0.35">
      <c r="A582" s="27"/>
      <c r="B582" s="27"/>
      <c r="C582" s="27"/>
      <c r="D582" s="27"/>
      <c r="E582" s="75"/>
      <c r="F582" s="27"/>
      <c r="G582" s="27"/>
      <c r="H582" s="27"/>
      <c r="I582" s="27"/>
      <c r="J582" s="26"/>
      <c r="K582" s="26"/>
      <c r="L582" s="27"/>
      <c r="M582" s="27"/>
      <c r="N582" s="27"/>
    </row>
    <row r="583" spans="1:14" ht="14.5" x14ac:dyDescent="0.35">
      <c r="A583" s="27"/>
      <c r="B583" s="27"/>
      <c r="C583" s="27"/>
      <c r="D583" s="27"/>
      <c r="E583" s="75"/>
      <c r="F583" s="27"/>
      <c r="G583" s="27"/>
      <c r="H583" s="27"/>
      <c r="I583" s="27"/>
      <c r="J583" s="26"/>
      <c r="K583" s="26"/>
      <c r="L583" s="27"/>
      <c r="M583" s="27"/>
      <c r="N583" s="27"/>
    </row>
    <row r="584" spans="1:14" ht="14.5" x14ac:dyDescent="0.35">
      <c r="A584" s="27"/>
      <c r="B584" s="27"/>
      <c r="C584" s="27"/>
      <c r="D584" s="27"/>
      <c r="E584" s="75"/>
      <c r="F584" s="27"/>
      <c r="G584" s="27"/>
      <c r="H584" s="27"/>
      <c r="I584" s="27"/>
      <c r="J584" s="26"/>
      <c r="K584" s="26"/>
      <c r="L584" s="27"/>
      <c r="M584" s="27"/>
      <c r="N584" s="27"/>
    </row>
    <row r="585" spans="1:14" ht="14.5" x14ac:dyDescent="0.35">
      <c r="A585" s="27"/>
      <c r="B585" s="27"/>
      <c r="C585" s="27"/>
      <c r="D585" s="27"/>
      <c r="E585" s="75"/>
      <c r="F585" s="27"/>
      <c r="G585" s="27"/>
      <c r="H585" s="27"/>
      <c r="I585" s="27"/>
      <c r="J585" s="26"/>
      <c r="K585" s="26"/>
      <c r="L585" s="27"/>
      <c r="M585" s="27"/>
      <c r="N585" s="27"/>
    </row>
    <row r="586" spans="1:14" ht="14.5" x14ac:dyDescent="0.35">
      <c r="A586" s="27"/>
      <c r="B586" s="27"/>
      <c r="C586" s="27"/>
      <c r="D586" s="27"/>
      <c r="E586" s="75"/>
      <c r="F586" s="27"/>
      <c r="G586" s="27"/>
      <c r="H586" s="27"/>
      <c r="I586" s="27"/>
      <c r="J586" s="26"/>
      <c r="K586" s="26"/>
      <c r="L586" s="27"/>
      <c r="M586" s="27"/>
      <c r="N586" s="27"/>
    </row>
    <row r="587" spans="1:14" ht="14.5" x14ac:dyDescent="0.35">
      <c r="A587" s="27"/>
      <c r="B587" s="27"/>
      <c r="C587" s="27"/>
      <c r="D587" s="27"/>
      <c r="E587" s="75"/>
      <c r="F587" s="27"/>
      <c r="G587" s="27"/>
      <c r="H587" s="27"/>
      <c r="I587" s="27"/>
      <c r="J587" s="26"/>
      <c r="K587" s="26"/>
      <c r="L587" s="27"/>
      <c r="M587" s="27"/>
      <c r="N587" s="27"/>
    </row>
    <row r="588" spans="1:14" ht="14.5" x14ac:dyDescent="0.35">
      <c r="A588" s="27"/>
      <c r="B588" s="27"/>
      <c r="C588" s="27"/>
      <c r="D588" s="27"/>
      <c r="E588" s="75"/>
      <c r="F588" s="27"/>
      <c r="G588" s="27"/>
      <c r="H588" s="27"/>
      <c r="I588" s="27"/>
      <c r="J588" s="26"/>
      <c r="K588" s="26"/>
      <c r="L588" s="27"/>
      <c r="M588" s="27"/>
      <c r="N588" s="27"/>
    </row>
    <row r="589" spans="1:14" ht="14.5" x14ac:dyDescent="0.35">
      <c r="A589" s="27"/>
      <c r="B589" s="27"/>
      <c r="C589" s="27"/>
      <c r="D589" s="27"/>
      <c r="E589" s="75"/>
      <c r="F589" s="27"/>
      <c r="G589" s="27"/>
      <c r="H589" s="27"/>
      <c r="I589" s="27"/>
      <c r="J589" s="26"/>
      <c r="K589" s="26"/>
      <c r="L589" s="27"/>
      <c r="M589" s="27"/>
      <c r="N589" s="27"/>
    </row>
    <row r="590" spans="1:14" ht="14.5" x14ac:dyDescent="0.35">
      <c r="A590" s="27"/>
      <c r="B590" s="27"/>
      <c r="C590" s="27"/>
      <c r="D590" s="27"/>
      <c r="E590" s="75"/>
      <c r="F590" s="27"/>
      <c r="G590" s="27"/>
      <c r="H590" s="27"/>
      <c r="I590" s="27"/>
      <c r="J590" s="26"/>
      <c r="K590" s="26"/>
      <c r="L590" s="27"/>
      <c r="M590" s="27"/>
      <c r="N590" s="27"/>
    </row>
    <row r="591" spans="1:14" ht="14.5" x14ac:dyDescent="0.35">
      <c r="A591" s="27"/>
      <c r="B591" s="27"/>
      <c r="C591" s="27"/>
      <c r="D591" s="27"/>
      <c r="E591" s="75"/>
      <c r="F591" s="27"/>
      <c r="G591" s="27"/>
      <c r="H591" s="27"/>
      <c r="I591" s="27"/>
      <c r="J591" s="26"/>
      <c r="K591" s="26"/>
      <c r="L591" s="27"/>
      <c r="M591" s="27"/>
      <c r="N591" s="27"/>
    </row>
    <row r="592" spans="1:14" ht="14.5" x14ac:dyDescent="0.35">
      <c r="A592" s="27"/>
      <c r="B592" s="27"/>
      <c r="C592" s="27"/>
      <c r="D592" s="27"/>
      <c r="E592" s="75"/>
      <c r="F592" s="27"/>
      <c r="G592" s="27"/>
      <c r="H592" s="27"/>
      <c r="I592" s="27"/>
      <c r="J592" s="26"/>
      <c r="K592" s="26"/>
      <c r="L592" s="27"/>
      <c r="M592" s="27"/>
      <c r="N592" s="27"/>
    </row>
    <row r="593" spans="1:14" ht="14.5" x14ac:dyDescent="0.35">
      <c r="A593" s="27"/>
      <c r="B593" s="27"/>
      <c r="C593" s="27"/>
      <c r="D593" s="27"/>
      <c r="E593" s="75"/>
      <c r="F593" s="27"/>
      <c r="G593" s="27"/>
      <c r="H593" s="27"/>
      <c r="I593" s="27"/>
      <c r="J593" s="26"/>
      <c r="K593" s="26"/>
      <c r="L593" s="27"/>
      <c r="M593" s="27"/>
      <c r="N593" s="27"/>
    </row>
    <row r="594" spans="1:14" ht="14.5" x14ac:dyDescent="0.35">
      <c r="A594" s="27"/>
      <c r="B594" s="27"/>
      <c r="C594" s="27"/>
      <c r="D594" s="27"/>
      <c r="E594" s="75"/>
      <c r="F594" s="27"/>
      <c r="G594" s="27"/>
      <c r="H594" s="27"/>
      <c r="I594" s="27"/>
      <c r="J594" s="26"/>
      <c r="K594" s="26"/>
      <c r="L594" s="27"/>
      <c r="M594" s="27"/>
      <c r="N594" s="27"/>
    </row>
    <row r="595" spans="1:14" ht="14.5" x14ac:dyDescent="0.35">
      <c r="A595" s="27"/>
      <c r="B595" s="27"/>
      <c r="C595" s="27"/>
      <c r="D595" s="27"/>
      <c r="E595" s="75"/>
      <c r="F595" s="27"/>
      <c r="G595" s="27"/>
      <c r="H595" s="27"/>
      <c r="I595" s="27"/>
      <c r="J595" s="26"/>
      <c r="K595" s="26"/>
      <c r="L595" s="27"/>
      <c r="M595" s="27"/>
      <c r="N595" s="27"/>
    </row>
    <row r="596" spans="1:14" ht="14.5" x14ac:dyDescent="0.35">
      <c r="A596" s="27"/>
      <c r="B596" s="27"/>
      <c r="C596" s="27"/>
      <c r="D596" s="27"/>
      <c r="E596" s="75"/>
      <c r="F596" s="27"/>
      <c r="G596" s="27"/>
      <c r="H596" s="27"/>
      <c r="I596" s="27"/>
      <c r="J596" s="26"/>
      <c r="K596" s="26"/>
      <c r="L596" s="27"/>
      <c r="M596" s="27"/>
      <c r="N596" s="27"/>
    </row>
    <row r="597" spans="1:14" ht="14.5" x14ac:dyDescent="0.35">
      <c r="A597" s="27"/>
      <c r="B597" s="27"/>
      <c r="C597" s="27"/>
      <c r="D597" s="27"/>
      <c r="E597" s="75"/>
      <c r="F597" s="27"/>
      <c r="G597" s="27"/>
      <c r="H597" s="27"/>
      <c r="I597" s="27"/>
      <c r="J597" s="26"/>
      <c r="K597" s="26"/>
      <c r="L597" s="27"/>
      <c r="M597" s="27"/>
      <c r="N597" s="27"/>
    </row>
    <row r="598" spans="1:14" ht="14.5" x14ac:dyDescent="0.35">
      <c r="A598" s="27"/>
      <c r="B598" s="27"/>
      <c r="C598" s="27"/>
      <c r="D598" s="27"/>
      <c r="E598" s="75"/>
      <c r="F598" s="27"/>
      <c r="G598" s="27"/>
      <c r="H598" s="27"/>
      <c r="I598" s="27"/>
      <c r="J598" s="26"/>
      <c r="K598" s="26"/>
      <c r="L598" s="27"/>
      <c r="M598" s="27"/>
      <c r="N598" s="27"/>
    </row>
    <row r="599" spans="1:14" ht="14.5" x14ac:dyDescent="0.35">
      <c r="A599" s="27"/>
      <c r="B599" s="27"/>
      <c r="C599" s="27"/>
      <c r="D599" s="27"/>
      <c r="E599" s="75"/>
      <c r="F599" s="27"/>
      <c r="G599" s="27"/>
      <c r="H599" s="27"/>
      <c r="I599" s="27"/>
      <c r="J599" s="26"/>
      <c r="K599" s="26"/>
      <c r="L599" s="27"/>
      <c r="M599" s="27"/>
      <c r="N599" s="27"/>
    </row>
    <row r="600" spans="1:14" ht="14.5" x14ac:dyDescent="0.35">
      <c r="A600" s="27"/>
      <c r="B600" s="27"/>
      <c r="C600" s="27"/>
      <c r="D600" s="27"/>
      <c r="E600" s="75"/>
      <c r="F600" s="27"/>
      <c r="G600" s="27"/>
      <c r="H600" s="27"/>
      <c r="I600" s="27"/>
      <c r="J600" s="26"/>
      <c r="K600" s="26"/>
      <c r="L600" s="27"/>
      <c r="M600" s="27"/>
      <c r="N600" s="27"/>
    </row>
    <row r="601" spans="1:14" ht="14.5" x14ac:dyDescent="0.35">
      <c r="A601" s="27"/>
      <c r="B601" s="27"/>
      <c r="C601" s="27"/>
      <c r="D601" s="27"/>
      <c r="E601" s="75"/>
      <c r="F601" s="27"/>
      <c r="G601" s="27"/>
      <c r="H601" s="27"/>
      <c r="I601" s="27"/>
      <c r="J601" s="26"/>
      <c r="K601" s="26"/>
      <c r="L601" s="27"/>
      <c r="M601" s="27"/>
      <c r="N601" s="27"/>
    </row>
    <row r="602" spans="1:14" ht="14.5" x14ac:dyDescent="0.35">
      <c r="A602" s="27"/>
      <c r="B602" s="27"/>
      <c r="C602" s="27"/>
      <c r="D602" s="27"/>
      <c r="E602" s="75"/>
      <c r="F602" s="27"/>
      <c r="G602" s="27"/>
      <c r="H602" s="27"/>
      <c r="I602" s="27"/>
      <c r="J602" s="26"/>
      <c r="K602" s="26"/>
      <c r="L602" s="27"/>
      <c r="M602" s="27"/>
      <c r="N602" s="27"/>
    </row>
    <row r="603" spans="1:14" ht="14.5" x14ac:dyDescent="0.35">
      <c r="A603" s="27"/>
      <c r="B603" s="27"/>
      <c r="C603" s="27"/>
      <c r="D603" s="27"/>
      <c r="E603" s="75"/>
      <c r="F603" s="27"/>
      <c r="G603" s="27"/>
      <c r="H603" s="27"/>
      <c r="I603" s="27"/>
      <c r="J603" s="26"/>
      <c r="K603" s="26"/>
      <c r="L603" s="27"/>
      <c r="M603" s="27"/>
      <c r="N603" s="27"/>
    </row>
    <row r="604" spans="1:14" ht="14.5" x14ac:dyDescent="0.35">
      <c r="A604" s="27"/>
      <c r="B604" s="27"/>
      <c r="C604" s="27"/>
      <c r="D604" s="27"/>
      <c r="E604" s="75"/>
      <c r="F604" s="27"/>
      <c r="G604" s="27"/>
      <c r="H604" s="27"/>
      <c r="I604" s="27"/>
      <c r="J604" s="26"/>
      <c r="K604" s="26"/>
      <c r="L604" s="27"/>
      <c r="M604" s="27"/>
      <c r="N604" s="27"/>
    </row>
    <row r="605" spans="1:14" ht="14.5" x14ac:dyDescent="0.35">
      <c r="A605" s="27"/>
      <c r="B605" s="27"/>
      <c r="C605" s="27"/>
      <c r="D605" s="27"/>
      <c r="E605" s="75"/>
      <c r="F605" s="27"/>
      <c r="G605" s="27"/>
      <c r="H605" s="27"/>
      <c r="I605" s="27"/>
      <c r="J605" s="26"/>
      <c r="K605" s="26"/>
      <c r="L605" s="27"/>
      <c r="M605" s="27"/>
      <c r="N605" s="27"/>
    </row>
    <row r="606" spans="1:14" ht="14.5" x14ac:dyDescent="0.35">
      <c r="A606" s="27"/>
      <c r="B606" s="27"/>
      <c r="C606" s="27"/>
      <c r="D606" s="27"/>
      <c r="E606" s="75"/>
      <c r="F606" s="27"/>
      <c r="G606" s="27"/>
      <c r="H606" s="27"/>
      <c r="I606" s="27"/>
      <c r="J606" s="26"/>
      <c r="K606" s="26"/>
      <c r="L606" s="27"/>
      <c r="M606" s="27"/>
      <c r="N606" s="27"/>
    </row>
    <row r="607" spans="1:14" ht="14.5" x14ac:dyDescent="0.35">
      <c r="A607" s="27"/>
      <c r="B607" s="27"/>
      <c r="C607" s="27"/>
      <c r="D607" s="27"/>
      <c r="E607" s="75"/>
      <c r="F607" s="27"/>
      <c r="G607" s="27"/>
      <c r="H607" s="27"/>
      <c r="I607" s="27"/>
      <c r="J607" s="26"/>
      <c r="K607" s="26"/>
      <c r="L607" s="27"/>
      <c r="M607" s="27"/>
      <c r="N607" s="27"/>
    </row>
    <row r="608" spans="1:14" ht="14.5" x14ac:dyDescent="0.35">
      <c r="A608" s="27"/>
      <c r="B608" s="27"/>
      <c r="C608" s="27"/>
      <c r="D608" s="27"/>
      <c r="E608" s="75"/>
      <c r="F608" s="27"/>
      <c r="G608" s="27"/>
      <c r="H608" s="27"/>
      <c r="I608" s="27"/>
      <c r="J608" s="26"/>
      <c r="K608" s="26"/>
      <c r="L608" s="27"/>
      <c r="M608" s="27"/>
      <c r="N608" s="27"/>
    </row>
    <row r="609" spans="1:14" ht="14.5" x14ac:dyDescent="0.35">
      <c r="A609" s="27"/>
      <c r="B609" s="27"/>
      <c r="C609" s="27"/>
      <c r="D609" s="27"/>
      <c r="E609" s="75"/>
      <c r="F609" s="27"/>
      <c r="G609" s="27"/>
      <c r="H609" s="27"/>
      <c r="I609" s="27"/>
      <c r="J609" s="26"/>
      <c r="K609" s="26"/>
      <c r="L609" s="27"/>
      <c r="M609" s="27"/>
      <c r="N609" s="27"/>
    </row>
    <row r="610" spans="1:14" ht="14.5" x14ac:dyDescent="0.35">
      <c r="A610" s="27"/>
      <c r="B610" s="27"/>
      <c r="C610" s="27"/>
      <c r="D610" s="27"/>
      <c r="E610" s="75"/>
      <c r="F610" s="27"/>
      <c r="G610" s="27"/>
      <c r="H610" s="27"/>
      <c r="I610" s="27"/>
      <c r="J610" s="26"/>
      <c r="K610" s="26"/>
      <c r="L610" s="27"/>
      <c r="M610" s="27"/>
      <c r="N610" s="27"/>
    </row>
    <row r="611" spans="1:14" ht="14.5" x14ac:dyDescent="0.35">
      <c r="A611" s="27"/>
      <c r="B611" s="27"/>
      <c r="C611" s="27"/>
      <c r="D611" s="27"/>
      <c r="E611" s="75"/>
      <c r="F611" s="27"/>
      <c r="G611" s="27"/>
      <c r="H611" s="27"/>
      <c r="I611" s="27"/>
      <c r="J611" s="26"/>
      <c r="K611" s="26"/>
      <c r="L611" s="27"/>
      <c r="M611" s="27"/>
      <c r="N611" s="27"/>
    </row>
    <row r="612" spans="1:14" ht="14.5" x14ac:dyDescent="0.35">
      <c r="A612" s="27"/>
      <c r="B612" s="27"/>
      <c r="C612" s="27"/>
      <c r="D612" s="27"/>
      <c r="E612" s="75"/>
      <c r="F612" s="27"/>
      <c r="G612" s="27"/>
      <c r="H612" s="27"/>
      <c r="I612" s="27"/>
      <c r="J612" s="26"/>
      <c r="K612" s="26"/>
      <c r="L612" s="27"/>
      <c r="M612" s="27"/>
      <c r="N612" s="27"/>
    </row>
    <row r="613" spans="1:14" ht="14.5" x14ac:dyDescent="0.35">
      <c r="A613" s="27"/>
      <c r="B613" s="27"/>
      <c r="C613" s="27"/>
      <c r="D613" s="27"/>
      <c r="E613" s="75"/>
      <c r="F613" s="27"/>
      <c r="G613" s="27"/>
      <c r="H613" s="27"/>
      <c r="I613" s="27"/>
      <c r="J613" s="26"/>
      <c r="K613" s="26"/>
      <c r="L613" s="27"/>
      <c r="M613" s="27"/>
      <c r="N613" s="27"/>
    </row>
    <row r="614" spans="1:14" ht="14.5" x14ac:dyDescent="0.35">
      <c r="A614" s="27"/>
      <c r="B614" s="27"/>
      <c r="C614" s="27"/>
      <c r="D614" s="27"/>
      <c r="E614" s="75"/>
      <c r="F614" s="27"/>
      <c r="G614" s="27"/>
      <c r="H614" s="27"/>
      <c r="I614" s="27"/>
      <c r="J614" s="26"/>
      <c r="K614" s="26"/>
      <c r="L614" s="27"/>
      <c r="M614" s="27"/>
      <c r="N614" s="27"/>
    </row>
    <row r="615" spans="1:14" ht="14.5" x14ac:dyDescent="0.35">
      <c r="A615" s="27"/>
      <c r="B615" s="27"/>
      <c r="C615" s="27"/>
      <c r="D615" s="27"/>
      <c r="E615" s="75"/>
      <c r="F615" s="27"/>
      <c r="G615" s="27"/>
      <c r="H615" s="27"/>
      <c r="I615" s="27"/>
      <c r="J615" s="26"/>
      <c r="K615" s="26"/>
      <c r="L615" s="27"/>
      <c r="M615" s="27"/>
      <c r="N615" s="27"/>
    </row>
    <row r="616" spans="1:14" ht="14.5" x14ac:dyDescent="0.35">
      <c r="A616" s="27"/>
      <c r="B616" s="27"/>
      <c r="C616" s="27"/>
      <c r="D616" s="27"/>
      <c r="E616" s="75"/>
      <c r="F616" s="27"/>
      <c r="G616" s="27"/>
      <c r="H616" s="27"/>
      <c r="I616" s="27"/>
      <c r="J616" s="26"/>
      <c r="K616" s="26"/>
      <c r="L616" s="27"/>
      <c r="M616" s="27"/>
      <c r="N616" s="27"/>
    </row>
    <row r="617" spans="1:14" ht="14.5" x14ac:dyDescent="0.35">
      <c r="A617" s="27"/>
      <c r="B617" s="27"/>
      <c r="C617" s="27"/>
      <c r="D617" s="27"/>
      <c r="E617" s="75"/>
      <c r="F617" s="27"/>
      <c r="G617" s="27"/>
      <c r="H617" s="27"/>
      <c r="I617" s="27"/>
      <c r="J617" s="26"/>
      <c r="K617" s="26"/>
      <c r="L617" s="27"/>
      <c r="M617" s="27"/>
      <c r="N617" s="27"/>
    </row>
    <row r="618" spans="1:14" ht="14.5" x14ac:dyDescent="0.35">
      <c r="A618" s="27"/>
      <c r="B618" s="27"/>
      <c r="C618" s="27"/>
      <c r="D618" s="27"/>
      <c r="E618" s="75"/>
      <c r="F618" s="27"/>
      <c r="G618" s="27"/>
      <c r="H618" s="27"/>
      <c r="I618" s="27"/>
      <c r="J618" s="26"/>
      <c r="K618" s="26"/>
      <c r="L618" s="27"/>
      <c r="M618" s="27"/>
      <c r="N618" s="27"/>
    </row>
    <row r="619" spans="1:14" ht="14.5" x14ac:dyDescent="0.35">
      <c r="A619" s="27"/>
      <c r="B619" s="27"/>
      <c r="C619" s="27"/>
      <c r="D619" s="27"/>
      <c r="E619" s="75"/>
      <c r="F619" s="27"/>
      <c r="G619" s="27"/>
      <c r="H619" s="27"/>
      <c r="I619" s="27"/>
      <c r="J619" s="26"/>
      <c r="K619" s="26"/>
      <c r="L619" s="27"/>
      <c r="M619" s="27"/>
      <c r="N619" s="27"/>
    </row>
    <row r="620" spans="1:14" ht="14.5" x14ac:dyDescent="0.35">
      <c r="A620" s="27"/>
      <c r="B620" s="27"/>
      <c r="C620" s="27"/>
      <c r="D620" s="27"/>
      <c r="E620" s="75"/>
      <c r="F620" s="27"/>
      <c r="G620" s="27"/>
      <c r="H620" s="27"/>
      <c r="I620" s="27"/>
      <c r="J620" s="26"/>
      <c r="K620" s="26"/>
      <c r="L620" s="27"/>
      <c r="M620" s="27"/>
      <c r="N620" s="27"/>
    </row>
    <row r="621" spans="1:14" ht="14.5" x14ac:dyDescent="0.35">
      <c r="A621" s="27"/>
      <c r="B621" s="27"/>
      <c r="C621" s="27"/>
      <c r="D621" s="27"/>
      <c r="E621" s="75"/>
      <c r="F621" s="27"/>
      <c r="G621" s="27"/>
      <c r="H621" s="27"/>
      <c r="I621" s="27"/>
      <c r="J621" s="26"/>
      <c r="K621" s="26"/>
      <c r="L621" s="27"/>
      <c r="M621" s="27"/>
      <c r="N621" s="27"/>
    </row>
    <row r="622" spans="1:14" ht="14.5" x14ac:dyDescent="0.35">
      <c r="A622" s="27"/>
      <c r="B622" s="27"/>
      <c r="C622" s="27"/>
      <c r="D622" s="27"/>
      <c r="E622" s="75"/>
      <c r="F622" s="27"/>
      <c r="G622" s="27"/>
      <c r="H622" s="27"/>
      <c r="I622" s="27"/>
      <c r="J622" s="26"/>
      <c r="K622" s="26"/>
      <c r="L622" s="27"/>
      <c r="M622" s="27"/>
      <c r="N622" s="27"/>
    </row>
    <row r="623" spans="1:14" ht="14.5" x14ac:dyDescent="0.35">
      <c r="A623" s="27"/>
      <c r="B623" s="27"/>
      <c r="C623" s="27"/>
      <c r="D623" s="27"/>
      <c r="E623" s="75"/>
      <c r="F623" s="27"/>
      <c r="G623" s="27"/>
      <c r="H623" s="27"/>
      <c r="I623" s="27"/>
      <c r="J623" s="26"/>
      <c r="K623" s="26"/>
      <c r="L623" s="27"/>
      <c r="M623" s="27"/>
      <c r="N623" s="27"/>
    </row>
    <row r="624" spans="1:14" ht="14.5" x14ac:dyDescent="0.35">
      <c r="A624" s="27"/>
      <c r="B624" s="27"/>
      <c r="C624" s="27"/>
      <c r="D624" s="27"/>
      <c r="E624" s="75"/>
      <c r="F624" s="27"/>
      <c r="G624" s="27"/>
      <c r="H624" s="27"/>
      <c r="I624" s="27"/>
      <c r="J624" s="26"/>
      <c r="K624" s="26"/>
      <c r="L624" s="27"/>
      <c r="M624" s="27"/>
      <c r="N624" s="27"/>
    </row>
    <row r="625" spans="1:14" ht="14.5" x14ac:dyDescent="0.35">
      <c r="A625" s="27"/>
      <c r="B625" s="27"/>
      <c r="C625" s="27"/>
      <c r="D625" s="27"/>
      <c r="E625" s="75"/>
      <c r="F625" s="27"/>
      <c r="G625" s="27"/>
      <c r="H625" s="27"/>
      <c r="I625" s="27"/>
      <c r="J625" s="26"/>
      <c r="K625" s="26"/>
      <c r="L625" s="27"/>
      <c r="M625" s="27"/>
      <c r="N625" s="27"/>
    </row>
    <row r="626" spans="1:14" ht="14.5" x14ac:dyDescent="0.35">
      <c r="A626" s="27"/>
      <c r="B626" s="27"/>
      <c r="C626" s="27"/>
      <c r="D626" s="27"/>
      <c r="E626" s="75"/>
      <c r="F626" s="27"/>
      <c r="G626" s="27"/>
      <c r="H626" s="27"/>
      <c r="I626" s="27"/>
      <c r="J626" s="26"/>
      <c r="K626" s="26"/>
      <c r="L626" s="27"/>
      <c r="M626" s="27"/>
      <c r="N626" s="27"/>
    </row>
    <row r="627" spans="1:14" ht="14.5" x14ac:dyDescent="0.35">
      <c r="A627" s="27"/>
      <c r="B627" s="27"/>
      <c r="C627" s="27"/>
      <c r="D627" s="27"/>
      <c r="E627" s="75"/>
      <c r="F627" s="27"/>
      <c r="G627" s="27"/>
      <c r="H627" s="27"/>
      <c r="I627" s="27"/>
      <c r="J627" s="26"/>
      <c r="K627" s="26"/>
      <c r="L627" s="27"/>
      <c r="M627" s="27"/>
      <c r="N627" s="27"/>
    </row>
    <row r="628" spans="1:14" ht="14.5" x14ac:dyDescent="0.35">
      <c r="A628" s="27"/>
      <c r="B628" s="27"/>
      <c r="C628" s="27"/>
      <c r="D628" s="27"/>
      <c r="E628" s="75"/>
      <c r="F628" s="27"/>
      <c r="G628" s="27"/>
      <c r="H628" s="27"/>
      <c r="I628" s="27"/>
      <c r="J628" s="26"/>
      <c r="K628" s="26"/>
      <c r="L628" s="27"/>
      <c r="M628" s="27"/>
      <c r="N628" s="27"/>
    </row>
    <row r="629" spans="1:14" ht="14.5" x14ac:dyDescent="0.35">
      <c r="A629" s="27"/>
      <c r="B629" s="27"/>
      <c r="C629" s="27"/>
      <c r="D629" s="27"/>
      <c r="E629" s="75"/>
      <c r="F629" s="27"/>
      <c r="G629" s="27"/>
      <c r="H629" s="27"/>
      <c r="I629" s="27"/>
      <c r="J629" s="26"/>
      <c r="K629" s="26"/>
      <c r="L629" s="27"/>
      <c r="M629" s="27"/>
      <c r="N629" s="27"/>
    </row>
    <row r="630" spans="1:14" ht="14.5" x14ac:dyDescent="0.35">
      <c r="A630" s="27"/>
      <c r="B630" s="27"/>
      <c r="C630" s="27"/>
      <c r="D630" s="27"/>
      <c r="E630" s="75"/>
      <c r="F630" s="27"/>
      <c r="G630" s="27"/>
      <c r="H630" s="27"/>
      <c r="I630" s="27"/>
      <c r="J630" s="26"/>
      <c r="K630" s="26"/>
      <c r="L630" s="27"/>
      <c r="M630" s="27"/>
      <c r="N630" s="27"/>
    </row>
    <row r="631" spans="1:14" ht="14.5" x14ac:dyDescent="0.35">
      <c r="A631" s="27"/>
      <c r="B631" s="27"/>
      <c r="C631" s="27"/>
      <c r="D631" s="27"/>
      <c r="E631" s="75"/>
      <c r="F631" s="27"/>
      <c r="G631" s="27"/>
      <c r="H631" s="27"/>
      <c r="I631" s="27"/>
      <c r="J631" s="26"/>
      <c r="K631" s="26"/>
      <c r="L631" s="27"/>
      <c r="M631" s="27"/>
      <c r="N631" s="27"/>
    </row>
    <row r="632" spans="1:14" ht="14.5" x14ac:dyDescent="0.35">
      <c r="A632" s="27"/>
      <c r="B632" s="27"/>
      <c r="C632" s="27"/>
      <c r="D632" s="27"/>
      <c r="E632" s="75"/>
      <c r="F632" s="27"/>
      <c r="G632" s="27"/>
      <c r="H632" s="27"/>
      <c r="I632" s="27"/>
      <c r="J632" s="26"/>
      <c r="K632" s="26"/>
      <c r="L632" s="27"/>
      <c r="M632" s="27"/>
      <c r="N632" s="27"/>
    </row>
    <row r="633" spans="1:14" ht="14.5" x14ac:dyDescent="0.35">
      <c r="A633" s="27"/>
      <c r="B633" s="27"/>
      <c r="C633" s="27"/>
      <c r="D633" s="27"/>
      <c r="E633" s="75"/>
      <c r="F633" s="27"/>
      <c r="G633" s="27"/>
      <c r="H633" s="27"/>
      <c r="I633" s="27"/>
      <c r="J633" s="26"/>
      <c r="K633" s="26"/>
      <c r="L633" s="27"/>
      <c r="M633" s="27"/>
      <c r="N633" s="27"/>
    </row>
    <row r="634" spans="1:14" ht="14.5" x14ac:dyDescent="0.35">
      <c r="A634" s="27"/>
      <c r="B634" s="27"/>
      <c r="C634" s="27"/>
      <c r="D634" s="27"/>
      <c r="E634" s="75"/>
      <c r="F634" s="27"/>
      <c r="G634" s="27"/>
      <c r="H634" s="27"/>
      <c r="I634" s="27"/>
      <c r="J634" s="26"/>
      <c r="K634" s="26"/>
      <c r="L634" s="27"/>
      <c r="M634" s="27"/>
      <c r="N634" s="27"/>
    </row>
    <row r="635" spans="1:14" ht="14.5" x14ac:dyDescent="0.35">
      <c r="A635" s="27"/>
      <c r="B635" s="27"/>
      <c r="C635" s="27"/>
      <c r="D635" s="27"/>
      <c r="E635" s="75"/>
      <c r="F635" s="27"/>
      <c r="G635" s="27"/>
      <c r="H635" s="27"/>
      <c r="I635" s="27"/>
      <c r="J635" s="26"/>
      <c r="K635" s="26"/>
      <c r="L635" s="27"/>
      <c r="M635" s="27"/>
      <c r="N635" s="27"/>
    </row>
    <row r="636" spans="1:14" ht="14.5" x14ac:dyDescent="0.35">
      <c r="A636" s="27"/>
      <c r="B636" s="27"/>
      <c r="C636" s="27"/>
      <c r="D636" s="27"/>
      <c r="E636" s="75"/>
      <c r="F636" s="27"/>
      <c r="G636" s="27"/>
      <c r="H636" s="27"/>
      <c r="I636" s="27"/>
      <c r="J636" s="26"/>
      <c r="K636" s="26"/>
      <c r="L636" s="27"/>
      <c r="M636" s="27"/>
      <c r="N636" s="27"/>
    </row>
    <row r="637" spans="1:14" ht="14.5" x14ac:dyDescent="0.35">
      <c r="A637" s="27"/>
      <c r="B637" s="27"/>
      <c r="C637" s="27"/>
      <c r="D637" s="27"/>
      <c r="E637" s="75"/>
      <c r="F637" s="27"/>
      <c r="G637" s="27"/>
      <c r="H637" s="27"/>
      <c r="I637" s="27"/>
      <c r="J637" s="26"/>
      <c r="K637" s="26"/>
      <c r="L637" s="27"/>
      <c r="M637" s="27"/>
      <c r="N637" s="27"/>
    </row>
    <row r="638" spans="1:14" ht="14.5" x14ac:dyDescent="0.35">
      <c r="A638" s="27"/>
      <c r="B638" s="27"/>
      <c r="C638" s="27"/>
      <c r="D638" s="27"/>
      <c r="E638" s="75"/>
      <c r="F638" s="27"/>
      <c r="G638" s="27"/>
      <c r="H638" s="27"/>
      <c r="I638" s="27"/>
      <c r="J638" s="26"/>
      <c r="K638" s="26"/>
      <c r="L638" s="27"/>
      <c r="M638" s="27"/>
      <c r="N638" s="27"/>
    </row>
    <row r="639" spans="1:14" ht="14.5" x14ac:dyDescent="0.35">
      <c r="A639" s="27"/>
      <c r="B639" s="27"/>
      <c r="C639" s="27"/>
      <c r="D639" s="27"/>
      <c r="E639" s="75"/>
      <c r="F639" s="27"/>
      <c r="G639" s="27"/>
      <c r="H639" s="27"/>
      <c r="I639" s="27"/>
      <c r="J639" s="26"/>
      <c r="K639" s="26"/>
      <c r="L639" s="27"/>
      <c r="M639" s="27"/>
      <c r="N639" s="27"/>
    </row>
    <row r="640" spans="1:14" ht="14.5" x14ac:dyDescent="0.35">
      <c r="A640" s="27"/>
      <c r="B640" s="27"/>
      <c r="C640" s="27"/>
      <c r="D640" s="27"/>
      <c r="E640" s="75"/>
      <c r="F640" s="27"/>
      <c r="G640" s="27"/>
      <c r="H640" s="27"/>
      <c r="I640" s="27"/>
      <c r="J640" s="26"/>
      <c r="K640" s="26"/>
      <c r="L640" s="27"/>
      <c r="M640" s="27"/>
      <c r="N640" s="27"/>
    </row>
    <row r="641" spans="1:14" ht="14.5" x14ac:dyDescent="0.35">
      <c r="A641" s="27"/>
      <c r="B641" s="27"/>
      <c r="C641" s="27"/>
      <c r="D641" s="27"/>
      <c r="E641" s="75"/>
      <c r="F641" s="27"/>
      <c r="G641" s="27"/>
      <c r="H641" s="27"/>
      <c r="I641" s="27"/>
      <c r="J641" s="26"/>
      <c r="K641" s="26"/>
      <c r="L641" s="27"/>
      <c r="M641" s="27"/>
      <c r="N641" s="27"/>
    </row>
    <row r="642" spans="1:14" ht="14.5" x14ac:dyDescent="0.35">
      <c r="A642" s="27"/>
      <c r="B642" s="27"/>
      <c r="C642" s="27"/>
      <c r="D642" s="27"/>
      <c r="E642" s="75"/>
      <c r="F642" s="27"/>
      <c r="G642" s="27"/>
      <c r="H642" s="27"/>
      <c r="I642" s="27"/>
      <c r="J642" s="26"/>
      <c r="K642" s="26"/>
      <c r="L642" s="27"/>
      <c r="M642" s="27"/>
      <c r="N642" s="27"/>
    </row>
    <row r="643" spans="1:14" ht="14.5" x14ac:dyDescent="0.35">
      <c r="A643" s="27"/>
      <c r="B643" s="27"/>
      <c r="C643" s="27"/>
      <c r="D643" s="27"/>
      <c r="E643" s="75"/>
      <c r="F643" s="27"/>
      <c r="G643" s="27"/>
      <c r="H643" s="27"/>
      <c r="I643" s="27"/>
      <c r="J643" s="26"/>
      <c r="K643" s="26"/>
      <c r="L643" s="27"/>
      <c r="M643" s="27"/>
      <c r="N643" s="27"/>
    </row>
    <row r="644" spans="1:14" ht="14.5" x14ac:dyDescent="0.35">
      <c r="A644" s="27"/>
      <c r="B644" s="27"/>
      <c r="C644" s="27"/>
      <c r="D644" s="27"/>
      <c r="E644" s="75"/>
      <c r="F644" s="27"/>
      <c r="G644" s="27"/>
      <c r="H644" s="27"/>
      <c r="I644" s="27"/>
      <c r="J644" s="26"/>
      <c r="K644" s="26"/>
      <c r="L644" s="27"/>
      <c r="M644" s="27"/>
      <c r="N644" s="27"/>
    </row>
    <row r="645" spans="1:14" ht="14.5" x14ac:dyDescent="0.35">
      <c r="A645" s="27"/>
      <c r="B645" s="27"/>
      <c r="C645" s="27"/>
      <c r="D645" s="27"/>
      <c r="E645" s="75"/>
      <c r="F645" s="27"/>
      <c r="G645" s="27"/>
      <c r="H645" s="27"/>
      <c r="I645" s="27"/>
      <c r="J645" s="26"/>
      <c r="K645" s="26"/>
      <c r="L645" s="27"/>
      <c r="M645" s="27"/>
      <c r="N645" s="27"/>
    </row>
    <row r="646" spans="1:14" ht="14.5" x14ac:dyDescent="0.35">
      <c r="A646" s="27"/>
      <c r="B646" s="27"/>
      <c r="C646" s="27"/>
      <c r="D646" s="27"/>
      <c r="E646" s="75"/>
      <c r="F646" s="27"/>
      <c r="G646" s="27"/>
      <c r="H646" s="27"/>
      <c r="I646" s="27"/>
      <c r="J646" s="26"/>
      <c r="K646" s="26"/>
      <c r="L646" s="27"/>
      <c r="M646" s="27"/>
      <c r="N646" s="27"/>
    </row>
    <row r="647" spans="1:14" ht="14.5" x14ac:dyDescent="0.35">
      <c r="A647" s="27"/>
      <c r="B647" s="27"/>
      <c r="C647" s="27"/>
      <c r="D647" s="27"/>
      <c r="E647" s="75"/>
      <c r="F647" s="27"/>
      <c r="G647" s="27"/>
      <c r="H647" s="27"/>
      <c r="I647" s="27"/>
      <c r="J647" s="26"/>
      <c r="K647" s="26"/>
      <c r="L647" s="27"/>
      <c r="M647" s="27"/>
      <c r="N647" s="27"/>
    </row>
    <row r="648" spans="1:14" ht="14.5" x14ac:dyDescent="0.35">
      <c r="A648" s="27"/>
      <c r="B648" s="27"/>
      <c r="C648" s="27"/>
      <c r="D648" s="27"/>
      <c r="E648" s="75"/>
      <c r="F648" s="27"/>
      <c r="G648" s="27"/>
      <c r="H648" s="27"/>
      <c r="I648" s="27"/>
      <c r="J648" s="26"/>
      <c r="K648" s="26"/>
      <c r="L648" s="27"/>
      <c r="M648" s="27"/>
      <c r="N648" s="27"/>
    </row>
    <row r="649" spans="1:14" ht="14.5" x14ac:dyDescent="0.35">
      <c r="A649" s="27"/>
      <c r="B649" s="27"/>
      <c r="C649" s="27"/>
      <c r="D649" s="27"/>
      <c r="E649" s="75"/>
      <c r="F649" s="27"/>
      <c r="G649" s="27"/>
      <c r="H649" s="27"/>
      <c r="I649" s="27"/>
      <c r="J649" s="26"/>
      <c r="K649" s="26"/>
      <c r="L649" s="27"/>
      <c r="M649" s="27"/>
      <c r="N649" s="27"/>
    </row>
    <row r="650" spans="1:14" ht="14.5" x14ac:dyDescent="0.35">
      <c r="A650" s="27"/>
      <c r="B650" s="27"/>
      <c r="C650" s="27"/>
      <c r="D650" s="27"/>
      <c r="E650" s="75"/>
      <c r="F650" s="27"/>
      <c r="G650" s="27"/>
      <c r="H650" s="27"/>
      <c r="I650" s="27"/>
      <c r="J650" s="26"/>
      <c r="K650" s="26"/>
      <c r="L650" s="27"/>
      <c r="M650" s="27"/>
      <c r="N650" s="27"/>
    </row>
    <row r="651" spans="1:14" ht="14.5" x14ac:dyDescent="0.35">
      <c r="A651" s="27"/>
      <c r="B651" s="27"/>
      <c r="C651" s="27"/>
      <c r="D651" s="27"/>
      <c r="E651" s="75"/>
      <c r="F651" s="27"/>
      <c r="G651" s="27"/>
      <c r="H651" s="27"/>
      <c r="I651" s="27"/>
      <c r="J651" s="26"/>
      <c r="K651" s="26"/>
      <c r="L651" s="27"/>
      <c r="M651" s="27"/>
      <c r="N651" s="27"/>
    </row>
    <row r="652" spans="1:14" ht="14.5" x14ac:dyDescent="0.35">
      <c r="A652" s="27"/>
      <c r="B652" s="27"/>
      <c r="C652" s="27"/>
      <c r="D652" s="27"/>
      <c r="E652" s="75"/>
      <c r="F652" s="27"/>
      <c r="G652" s="27"/>
      <c r="H652" s="27"/>
      <c r="I652" s="27"/>
      <c r="J652" s="26"/>
      <c r="K652" s="26"/>
      <c r="L652" s="27"/>
      <c r="M652" s="27"/>
      <c r="N652" s="27"/>
    </row>
    <row r="653" spans="1:14" ht="14.5" x14ac:dyDescent="0.35">
      <c r="A653" s="27"/>
      <c r="B653" s="27"/>
      <c r="C653" s="27"/>
      <c r="D653" s="27"/>
      <c r="E653" s="75"/>
      <c r="F653" s="27"/>
      <c r="G653" s="27"/>
      <c r="H653" s="27"/>
      <c r="I653" s="27"/>
      <c r="J653" s="26"/>
      <c r="K653" s="26"/>
      <c r="L653" s="27"/>
      <c r="M653" s="27"/>
      <c r="N653" s="27"/>
    </row>
    <row r="654" spans="1:14" ht="14.5" x14ac:dyDescent="0.35">
      <c r="A654" s="27"/>
      <c r="B654" s="27"/>
      <c r="C654" s="27"/>
      <c r="D654" s="27"/>
      <c r="E654" s="76"/>
      <c r="F654" s="27"/>
      <c r="G654" s="27"/>
      <c r="H654" s="27"/>
      <c r="I654" s="27"/>
      <c r="J654" s="27"/>
      <c r="K654" s="27"/>
      <c r="L654" s="27"/>
      <c r="M654" s="27"/>
      <c r="N654" s="27"/>
    </row>
    <row r="655" spans="1:14" ht="14.5" x14ac:dyDescent="0.35">
      <c r="A655" s="27"/>
      <c r="B655" s="27"/>
      <c r="C655" s="27"/>
      <c r="D655" s="27"/>
      <c r="E655" s="76"/>
      <c r="F655" s="27"/>
      <c r="G655" s="27"/>
      <c r="H655" s="27"/>
      <c r="I655" s="27"/>
      <c r="J655" s="27"/>
      <c r="K655" s="27"/>
      <c r="L655" s="27"/>
      <c r="M655" s="27"/>
      <c r="N655" s="27"/>
    </row>
    <row r="656" spans="1:14" ht="14.5" x14ac:dyDescent="0.35">
      <c r="A656" s="27"/>
      <c r="B656" s="27"/>
      <c r="C656" s="27"/>
      <c r="D656" s="27"/>
      <c r="E656" s="76"/>
      <c r="F656" s="27"/>
      <c r="G656" s="27"/>
      <c r="H656" s="27"/>
      <c r="I656" s="27"/>
      <c r="J656" s="27"/>
      <c r="K656" s="27"/>
      <c r="L656" s="27"/>
      <c r="M656" s="27"/>
      <c r="N656" s="27"/>
    </row>
    <row r="657" spans="1:14" ht="14.5" x14ac:dyDescent="0.35">
      <c r="A657" s="27"/>
      <c r="B657" s="27"/>
      <c r="C657" s="27"/>
      <c r="D657" s="27"/>
      <c r="E657" s="76"/>
      <c r="F657" s="27"/>
      <c r="G657" s="27"/>
      <c r="H657" s="27"/>
      <c r="I657" s="27"/>
      <c r="J657" s="27"/>
      <c r="K657" s="27"/>
      <c r="L657" s="27"/>
      <c r="M657" s="27"/>
      <c r="N657" s="27"/>
    </row>
    <row r="658" spans="1:14" ht="14.5" x14ac:dyDescent="0.35">
      <c r="A658" s="27"/>
      <c r="B658" s="27"/>
      <c r="C658" s="27"/>
      <c r="D658" s="27"/>
      <c r="E658" s="76"/>
      <c r="F658" s="27"/>
      <c r="G658" s="27"/>
      <c r="H658" s="27"/>
      <c r="I658" s="27"/>
      <c r="J658" s="27"/>
      <c r="K658" s="27"/>
      <c r="L658" s="27"/>
      <c r="M658" s="27"/>
      <c r="N658" s="27"/>
    </row>
    <row r="659" spans="1:14" ht="14.5" x14ac:dyDescent="0.35">
      <c r="A659" s="27"/>
      <c r="B659" s="27"/>
      <c r="C659" s="27"/>
      <c r="D659" s="27"/>
      <c r="E659" s="76"/>
      <c r="F659" s="27"/>
      <c r="G659" s="27"/>
      <c r="H659" s="27"/>
      <c r="I659" s="27"/>
      <c r="J659" s="27"/>
      <c r="K659" s="27"/>
      <c r="L659" s="27"/>
      <c r="M659" s="27"/>
      <c r="N659" s="27"/>
    </row>
    <row r="660" spans="1:14" ht="14.5" x14ac:dyDescent="0.35">
      <c r="A660" s="27"/>
      <c r="B660" s="27"/>
      <c r="C660" s="27"/>
      <c r="D660" s="27"/>
      <c r="E660" s="76"/>
      <c r="F660" s="27"/>
      <c r="G660" s="27"/>
      <c r="H660" s="27"/>
      <c r="I660" s="27"/>
      <c r="J660" s="27"/>
      <c r="K660" s="27"/>
      <c r="L660" s="27"/>
      <c r="M660" s="27"/>
      <c r="N660" s="27"/>
    </row>
    <row r="661" spans="1:14" ht="14.5" x14ac:dyDescent="0.35">
      <c r="A661" s="27"/>
      <c r="B661" s="27"/>
      <c r="C661" s="27"/>
      <c r="D661" s="27"/>
      <c r="E661" s="76"/>
      <c r="F661" s="27"/>
      <c r="G661" s="27"/>
      <c r="H661" s="27"/>
      <c r="I661" s="27"/>
      <c r="J661" s="27"/>
      <c r="K661" s="27"/>
      <c r="L661" s="27"/>
      <c r="M661" s="27"/>
      <c r="N661" s="27"/>
    </row>
    <row r="662" spans="1:14" ht="14.5" x14ac:dyDescent="0.35">
      <c r="A662" s="27"/>
      <c r="B662" s="27"/>
      <c r="C662" s="27"/>
      <c r="D662" s="27"/>
      <c r="E662" s="76"/>
      <c r="F662" s="27"/>
      <c r="G662" s="27"/>
      <c r="H662" s="27"/>
      <c r="I662" s="27"/>
      <c r="J662" s="27"/>
      <c r="K662" s="27"/>
      <c r="L662" s="27"/>
      <c r="M662" s="27"/>
      <c r="N662" s="27"/>
    </row>
    <row r="663" spans="1:14" ht="14.5" x14ac:dyDescent="0.35">
      <c r="A663" s="27"/>
      <c r="B663" s="27"/>
      <c r="C663" s="27"/>
      <c r="D663" s="27"/>
      <c r="E663" s="76"/>
      <c r="F663" s="27"/>
      <c r="G663" s="27"/>
      <c r="H663" s="27"/>
      <c r="I663" s="27"/>
      <c r="J663" s="27"/>
      <c r="K663" s="27"/>
      <c r="L663" s="27"/>
      <c r="M663" s="27"/>
      <c r="N663" s="27"/>
    </row>
    <row r="664" spans="1:14" ht="14.5" x14ac:dyDescent="0.35">
      <c r="A664" s="27"/>
      <c r="B664" s="27"/>
      <c r="C664" s="27"/>
      <c r="D664" s="27"/>
      <c r="E664" s="76"/>
      <c r="F664" s="27"/>
      <c r="G664" s="27"/>
      <c r="H664" s="27"/>
      <c r="I664" s="27"/>
      <c r="J664" s="27"/>
      <c r="K664" s="27"/>
      <c r="L664" s="27"/>
      <c r="M664" s="27"/>
      <c r="N664" s="27"/>
    </row>
    <row r="665" spans="1:14" ht="14.5" x14ac:dyDescent="0.35">
      <c r="A665" s="27"/>
      <c r="B665" s="27"/>
      <c r="C665" s="27"/>
      <c r="D665" s="27"/>
      <c r="E665" s="76"/>
      <c r="F665" s="27"/>
      <c r="G665" s="27"/>
      <c r="H665" s="27"/>
      <c r="I665" s="27"/>
      <c r="J665" s="27"/>
      <c r="K665" s="27"/>
      <c r="L665" s="27"/>
      <c r="M665" s="27"/>
      <c r="N665" s="27"/>
    </row>
    <row r="666" spans="1:14" ht="14.5" x14ac:dyDescent="0.35">
      <c r="A666" s="27"/>
      <c r="B666" s="27"/>
      <c r="C666" s="27"/>
      <c r="D666" s="27"/>
      <c r="E666" s="76"/>
      <c r="F666" s="27"/>
      <c r="G666" s="27"/>
      <c r="H666" s="27"/>
      <c r="I666" s="27"/>
      <c r="J666" s="27"/>
      <c r="K666" s="27"/>
      <c r="L666" s="27"/>
      <c r="M666" s="27"/>
      <c r="N666" s="27"/>
    </row>
    <row r="667" spans="1:14" ht="14.5" x14ac:dyDescent="0.35">
      <c r="A667" s="27"/>
      <c r="B667" s="27"/>
      <c r="C667" s="27"/>
      <c r="D667" s="27"/>
      <c r="E667" s="76"/>
      <c r="F667" s="27"/>
      <c r="G667" s="27"/>
      <c r="H667" s="27"/>
      <c r="I667" s="27"/>
      <c r="J667" s="27"/>
      <c r="K667" s="27"/>
      <c r="L667" s="27"/>
      <c r="M667" s="27"/>
      <c r="N667" s="27"/>
    </row>
    <row r="668" spans="1:14" ht="14.5" x14ac:dyDescent="0.35">
      <c r="A668" s="27"/>
      <c r="B668" s="27"/>
      <c r="C668" s="27"/>
      <c r="D668" s="27"/>
      <c r="E668" s="76"/>
      <c r="F668" s="27"/>
      <c r="G668" s="27"/>
      <c r="H668" s="27"/>
      <c r="I668" s="27"/>
      <c r="J668" s="27"/>
      <c r="K668" s="27"/>
      <c r="L668" s="27"/>
      <c r="M668" s="27"/>
      <c r="N668" s="27"/>
    </row>
    <row r="669" spans="1:14" ht="14.5" x14ac:dyDescent="0.35">
      <c r="A669" s="27"/>
      <c r="B669" s="27"/>
      <c r="C669" s="27"/>
      <c r="D669" s="27"/>
      <c r="E669" s="76"/>
      <c r="F669" s="27"/>
      <c r="G669" s="27"/>
      <c r="H669" s="27"/>
      <c r="I669" s="27"/>
      <c r="J669" s="27"/>
      <c r="K669" s="27"/>
      <c r="L669" s="27"/>
      <c r="M669" s="27"/>
      <c r="N669" s="27"/>
    </row>
    <row r="670" spans="1:14" ht="14.5" x14ac:dyDescent="0.35">
      <c r="A670" s="27"/>
      <c r="B670" s="27"/>
      <c r="C670" s="27"/>
      <c r="D670" s="27"/>
      <c r="E670" s="76"/>
      <c r="F670" s="27"/>
      <c r="G670" s="27"/>
      <c r="H670" s="27"/>
      <c r="I670" s="27"/>
      <c r="J670" s="27"/>
      <c r="K670" s="27"/>
      <c r="L670" s="27"/>
      <c r="M670" s="27"/>
      <c r="N670" s="27"/>
    </row>
    <row r="671" spans="1:14" ht="14.5" x14ac:dyDescent="0.35">
      <c r="A671" s="27"/>
      <c r="B671" s="27"/>
      <c r="C671" s="27"/>
      <c r="D671" s="27"/>
      <c r="E671" s="76"/>
      <c r="F671" s="27"/>
      <c r="G671" s="27"/>
      <c r="H671" s="27"/>
      <c r="I671" s="27"/>
      <c r="J671" s="27"/>
      <c r="K671" s="27"/>
      <c r="L671" s="27"/>
      <c r="M671" s="27"/>
      <c r="N671" s="27"/>
    </row>
    <row r="672" spans="1:14" ht="14.5" x14ac:dyDescent="0.35">
      <c r="A672" s="27"/>
      <c r="B672" s="27"/>
      <c r="C672" s="27"/>
      <c r="D672" s="27"/>
      <c r="E672" s="76"/>
      <c r="F672" s="27"/>
      <c r="G672" s="27"/>
      <c r="H672" s="27"/>
      <c r="I672" s="27"/>
      <c r="J672" s="27"/>
      <c r="K672" s="27"/>
      <c r="L672" s="27"/>
      <c r="M672" s="27"/>
      <c r="N672" s="27"/>
    </row>
    <row r="673" spans="1:14" ht="14.5" x14ac:dyDescent="0.35">
      <c r="A673" s="27"/>
      <c r="B673" s="27"/>
      <c r="C673" s="27"/>
      <c r="D673" s="27"/>
      <c r="E673" s="76"/>
      <c r="F673" s="27"/>
      <c r="G673" s="27"/>
      <c r="H673" s="27"/>
      <c r="I673" s="27"/>
      <c r="J673" s="27"/>
      <c r="K673" s="27"/>
      <c r="L673" s="27"/>
      <c r="M673" s="27"/>
      <c r="N673" s="27"/>
    </row>
    <row r="674" spans="1:14" ht="14.5" x14ac:dyDescent="0.35">
      <c r="A674" s="27"/>
      <c r="B674" s="27"/>
      <c r="C674" s="27"/>
      <c r="D674" s="27"/>
      <c r="E674" s="76"/>
      <c r="F674" s="27"/>
      <c r="G674" s="27"/>
      <c r="H674" s="27"/>
      <c r="I674" s="27"/>
      <c r="J674" s="27"/>
      <c r="K674" s="27"/>
      <c r="L674" s="27"/>
      <c r="M674" s="27"/>
      <c r="N674" s="27"/>
    </row>
    <row r="675" spans="1:14" ht="14.5" x14ac:dyDescent="0.35">
      <c r="A675" s="27"/>
      <c r="B675" s="27"/>
      <c r="C675" s="27"/>
      <c r="D675" s="27"/>
      <c r="E675" s="76"/>
      <c r="F675" s="27"/>
      <c r="G675" s="27"/>
      <c r="H675" s="27"/>
      <c r="I675" s="27"/>
      <c r="J675" s="27"/>
      <c r="K675" s="27"/>
      <c r="L675" s="27"/>
      <c r="M675" s="27"/>
      <c r="N675" s="27"/>
    </row>
    <row r="676" spans="1:14" ht="14.5" x14ac:dyDescent="0.35">
      <c r="A676" s="27"/>
      <c r="B676" s="27"/>
      <c r="C676" s="27"/>
      <c r="D676" s="27"/>
      <c r="E676" s="76"/>
      <c r="F676" s="27"/>
      <c r="G676" s="27"/>
      <c r="H676" s="27"/>
      <c r="I676" s="27"/>
      <c r="J676" s="27"/>
      <c r="K676" s="27"/>
      <c r="L676" s="27"/>
      <c r="M676" s="27"/>
      <c r="N676" s="27"/>
    </row>
    <row r="677" spans="1:14" ht="14.5" x14ac:dyDescent="0.35">
      <c r="A677" s="27"/>
      <c r="B677" s="27"/>
      <c r="C677" s="27"/>
      <c r="D677" s="27"/>
      <c r="E677" s="76"/>
      <c r="F677" s="27"/>
      <c r="G677" s="27"/>
      <c r="H677" s="27"/>
      <c r="I677" s="27"/>
      <c r="J677" s="27"/>
      <c r="K677" s="27"/>
      <c r="L677" s="27"/>
      <c r="M677" s="27"/>
      <c r="N677" s="27"/>
    </row>
    <row r="678" spans="1:14" ht="14.5" x14ac:dyDescent="0.35">
      <c r="A678" s="27"/>
      <c r="B678" s="27"/>
      <c r="C678" s="27"/>
      <c r="D678" s="27"/>
      <c r="E678" s="76"/>
      <c r="F678" s="27"/>
      <c r="G678" s="27"/>
      <c r="H678" s="27"/>
      <c r="I678" s="27"/>
      <c r="J678" s="27"/>
      <c r="K678" s="27"/>
      <c r="L678" s="27"/>
      <c r="M678" s="27"/>
      <c r="N678" s="27"/>
    </row>
    <row r="679" spans="1:14" ht="14.5" x14ac:dyDescent="0.35">
      <c r="A679" s="27"/>
      <c r="B679" s="27"/>
      <c r="C679" s="27"/>
      <c r="D679" s="27"/>
      <c r="E679" s="76"/>
      <c r="F679" s="27"/>
      <c r="G679" s="27"/>
      <c r="H679" s="27"/>
      <c r="I679" s="27"/>
      <c r="J679" s="27"/>
      <c r="K679" s="27"/>
      <c r="L679" s="27"/>
      <c r="M679" s="27"/>
      <c r="N679" s="27"/>
    </row>
    <row r="680" spans="1:14" ht="14.5" x14ac:dyDescent="0.35">
      <c r="A680" s="27"/>
      <c r="B680" s="27"/>
      <c r="C680" s="27"/>
      <c r="D680" s="27"/>
      <c r="E680" s="76"/>
      <c r="F680" s="27"/>
      <c r="G680" s="27"/>
      <c r="H680" s="27"/>
      <c r="I680" s="27"/>
      <c r="J680" s="27"/>
      <c r="K680" s="27"/>
      <c r="L680" s="27"/>
      <c r="M680" s="27"/>
      <c r="N680" s="27"/>
    </row>
    <row r="681" spans="1:14" ht="14.5" x14ac:dyDescent="0.35">
      <c r="A681" s="27"/>
      <c r="B681" s="27"/>
      <c r="C681" s="27"/>
      <c r="D681" s="27"/>
      <c r="E681" s="76"/>
      <c r="F681" s="27"/>
      <c r="G681" s="27"/>
      <c r="H681" s="27"/>
      <c r="I681" s="27"/>
      <c r="J681" s="27"/>
      <c r="K681" s="27"/>
      <c r="L681" s="27"/>
      <c r="M681" s="27"/>
      <c r="N681" s="27"/>
    </row>
    <row r="682" spans="1:14" ht="14.5" x14ac:dyDescent="0.35">
      <c r="A682" s="27"/>
      <c r="B682" s="27"/>
      <c r="C682" s="27"/>
      <c r="D682" s="27"/>
      <c r="E682" s="76"/>
      <c r="F682" s="27"/>
      <c r="G682" s="27"/>
      <c r="H682" s="27"/>
      <c r="I682" s="27"/>
      <c r="J682" s="27"/>
      <c r="K682" s="27"/>
      <c r="L682" s="27"/>
      <c r="M682" s="27"/>
      <c r="N682" s="27"/>
    </row>
    <row r="683" spans="1:14" ht="14.5" x14ac:dyDescent="0.35">
      <c r="A683" s="27"/>
      <c r="B683" s="27"/>
      <c r="C683" s="27"/>
      <c r="D683" s="27"/>
      <c r="E683" s="76"/>
      <c r="F683" s="27"/>
      <c r="G683" s="27"/>
      <c r="H683" s="27"/>
      <c r="I683" s="27"/>
      <c r="J683" s="27"/>
      <c r="K683" s="27"/>
      <c r="L683" s="27"/>
      <c r="M683" s="27"/>
      <c r="N683" s="27"/>
    </row>
    <row r="684" spans="1:14" ht="14.5" x14ac:dyDescent="0.35">
      <c r="A684" s="27"/>
      <c r="B684" s="27"/>
      <c r="C684" s="27"/>
      <c r="D684" s="27"/>
      <c r="E684" s="76"/>
      <c r="F684" s="27"/>
      <c r="G684" s="27"/>
      <c r="H684" s="27"/>
      <c r="I684" s="27"/>
      <c r="J684" s="27"/>
      <c r="K684" s="27"/>
      <c r="L684" s="27"/>
      <c r="M684" s="27"/>
      <c r="N684" s="27"/>
    </row>
    <row r="685" spans="1:14" ht="14.5" x14ac:dyDescent="0.35">
      <c r="A685" s="27"/>
      <c r="B685" s="27"/>
      <c r="C685" s="27"/>
      <c r="D685" s="27"/>
      <c r="E685" s="76"/>
      <c r="F685" s="27"/>
      <c r="G685" s="27"/>
      <c r="H685" s="27"/>
      <c r="I685" s="27"/>
      <c r="J685" s="27"/>
      <c r="K685" s="27"/>
      <c r="L685" s="27"/>
      <c r="M685" s="27"/>
      <c r="N685" s="27"/>
    </row>
    <row r="686" spans="1:14" ht="14.5" x14ac:dyDescent="0.35">
      <c r="A686" s="27"/>
      <c r="B686" s="27"/>
      <c r="C686" s="27"/>
      <c r="D686" s="27"/>
      <c r="E686" s="76"/>
      <c r="F686" s="27"/>
      <c r="G686" s="27"/>
      <c r="H686" s="27"/>
      <c r="I686" s="27"/>
      <c r="J686" s="27"/>
      <c r="K686" s="27"/>
      <c r="L686" s="27"/>
      <c r="M686" s="27"/>
      <c r="N686" s="27"/>
    </row>
    <row r="687" spans="1:14" ht="14.5" x14ac:dyDescent="0.35">
      <c r="A687" s="27"/>
      <c r="B687" s="27"/>
      <c r="C687" s="27"/>
      <c r="D687" s="27"/>
      <c r="E687" s="76"/>
      <c r="F687" s="27"/>
      <c r="G687" s="27"/>
      <c r="H687" s="27"/>
      <c r="I687" s="27"/>
      <c r="J687" s="27"/>
      <c r="K687" s="27"/>
      <c r="L687" s="27"/>
      <c r="M687" s="27"/>
      <c r="N687" s="27"/>
    </row>
    <row r="688" spans="1:14" ht="14.5" x14ac:dyDescent="0.35">
      <c r="A688" s="27"/>
      <c r="B688" s="27"/>
      <c r="C688" s="27"/>
      <c r="D688" s="27"/>
      <c r="E688" s="76"/>
      <c r="F688" s="27"/>
      <c r="G688" s="27"/>
      <c r="H688" s="27"/>
      <c r="I688" s="27"/>
      <c r="J688" s="27"/>
      <c r="K688" s="27"/>
      <c r="L688" s="27"/>
      <c r="M688" s="27"/>
      <c r="N688" s="27"/>
    </row>
    <row r="689" spans="1:14" ht="14.5" x14ac:dyDescent="0.35">
      <c r="A689" s="27"/>
      <c r="B689" s="27"/>
      <c r="C689" s="27"/>
      <c r="D689" s="27"/>
      <c r="E689" s="76"/>
      <c r="F689" s="27"/>
      <c r="G689" s="27"/>
      <c r="H689" s="27"/>
      <c r="I689" s="27"/>
      <c r="J689" s="27"/>
      <c r="K689" s="27"/>
      <c r="L689" s="27"/>
      <c r="M689" s="27"/>
      <c r="N689" s="27"/>
    </row>
    <row r="690" spans="1:14" ht="14.5" x14ac:dyDescent="0.35">
      <c r="A690" s="27"/>
      <c r="B690" s="27"/>
      <c r="C690" s="27"/>
      <c r="D690" s="27"/>
      <c r="E690" s="76"/>
      <c r="F690" s="27"/>
      <c r="G690" s="27"/>
      <c r="H690" s="27"/>
      <c r="I690" s="27"/>
      <c r="J690" s="27"/>
      <c r="K690" s="27"/>
      <c r="L690" s="27"/>
      <c r="M690" s="27"/>
      <c r="N690" s="27"/>
    </row>
    <row r="691" spans="1:14" ht="14.5" x14ac:dyDescent="0.35">
      <c r="A691" s="27"/>
      <c r="B691" s="27"/>
      <c r="C691" s="27"/>
      <c r="D691" s="27"/>
      <c r="E691" s="76"/>
      <c r="F691" s="27"/>
      <c r="G691" s="27"/>
      <c r="H691" s="27"/>
      <c r="I691" s="27"/>
      <c r="J691" s="27"/>
      <c r="K691" s="27"/>
      <c r="L691" s="27"/>
      <c r="M691" s="27"/>
      <c r="N691" s="27"/>
    </row>
    <row r="692" spans="1:14" ht="14.5" x14ac:dyDescent="0.35">
      <c r="A692" s="27"/>
      <c r="B692" s="27"/>
      <c r="C692" s="27"/>
      <c r="D692" s="27"/>
      <c r="E692" s="76"/>
      <c r="F692" s="27"/>
      <c r="G692" s="27"/>
      <c r="H692" s="27"/>
      <c r="I692" s="27"/>
      <c r="J692" s="27"/>
      <c r="K692" s="27"/>
      <c r="L692" s="27"/>
      <c r="M692" s="27"/>
      <c r="N692" s="27"/>
    </row>
    <row r="693" spans="1:14" ht="14.5" x14ac:dyDescent="0.35">
      <c r="A693" s="27"/>
      <c r="B693" s="27"/>
      <c r="C693" s="27"/>
      <c r="D693" s="27"/>
      <c r="E693" s="76"/>
      <c r="F693" s="27"/>
      <c r="G693" s="27"/>
      <c r="H693" s="27"/>
      <c r="I693" s="27"/>
      <c r="J693" s="27"/>
      <c r="K693" s="27"/>
      <c r="L693" s="27"/>
      <c r="M693" s="27"/>
      <c r="N693" s="27"/>
    </row>
    <row r="694" spans="1:14" ht="14.5" x14ac:dyDescent="0.35">
      <c r="A694" s="27"/>
      <c r="B694" s="27"/>
      <c r="C694" s="27"/>
      <c r="D694" s="27"/>
      <c r="E694" s="76"/>
      <c r="F694" s="27"/>
      <c r="G694" s="27"/>
      <c r="H694" s="27"/>
      <c r="I694" s="27"/>
      <c r="J694" s="27"/>
      <c r="K694" s="27"/>
      <c r="L694" s="27"/>
      <c r="M694" s="27"/>
      <c r="N694" s="27"/>
    </row>
    <row r="695" spans="1:14" ht="14.5" x14ac:dyDescent="0.35">
      <c r="A695" s="27"/>
      <c r="B695" s="27"/>
      <c r="C695" s="27"/>
      <c r="D695" s="27"/>
      <c r="E695" s="76"/>
      <c r="F695" s="27"/>
      <c r="G695" s="27"/>
      <c r="H695" s="27"/>
      <c r="I695" s="27"/>
      <c r="J695" s="27"/>
      <c r="K695" s="27"/>
      <c r="L695" s="27"/>
      <c r="M695" s="27"/>
      <c r="N695" s="27"/>
    </row>
    <row r="696" spans="1:14" ht="14.5" x14ac:dyDescent="0.35">
      <c r="A696" s="27"/>
      <c r="B696" s="27"/>
      <c r="C696" s="27"/>
      <c r="D696" s="27"/>
      <c r="E696" s="76"/>
      <c r="F696" s="27"/>
      <c r="G696" s="27"/>
      <c r="H696" s="27"/>
      <c r="I696" s="27"/>
      <c r="J696" s="27"/>
      <c r="K696" s="27"/>
      <c r="L696" s="27"/>
      <c r="M696" s="27"/>
      <c r="N696" s="27"/>
    </row>
    <row r="697" spans="1:14" ht="14.5" x14ac:dyDescent="0.35">
      <c r="A697" s="27"/>
      <c r="B697" s="27"/>
      <c r="C697" s="27"/>
      <c r="D697" s="27"/>
      <c r="E697" s="76"/>
      <c r="F697" s="27"/>
      <c r="G697" s="27"/>
      <c r="H697" s="27"/>
      <c r="I697" s="27"/>
      <c r="J697" s="27"/>
      <c r="K697" s="27"/>
      <c r="L697" s="27"/>
      <c r="M697" s="27"/>
      <c r="N697" s="27"/>
    </row>
    <row r="698" spans="1:14" ht="14.5" x14ac:dyDescent="0.35">
      <c r="A698" s="27"/>
      <c r="B698" s="27"/>
      <c r="C698" s="27"/>
      <c r="D698" s="27"/>
      <c r="E698" s="76"/>
      <c r="F698" s="27"/>
      <c r="G698" s="27"/>
      <c r="H698" s="27"/>
      <c r="I698" s="27"/>
      <c r="J698" s="27"/>
      <c r="K698" s="27"/>
      <c r="L698" s="27"/>
      <c r="M698" s="27"/>
      <c r="N698" s="27"/>
    </row>
    <row r="699" spans="1:14" ht="14.5" x14ac:dyDescent="0.35">
      <c r="A699" s="27"/>
      <c r="B699" s="27"/>
      <c r="C699" s="27"/>
      <c r="D699" s="27"/>
      <c r="E699" s="76"/>
      <c r="F699" s="27"/>
      <c r="G699" s="27"/>
      <c r="H699" s="27"/>
      <c r="I699" s="27"/>
      <c r="J699" s="27"/>
      <c r="K699" s="27"/>
      <c r="L699" s="27"/>
      <c r="M699" s="27"/>
      <c r="N699" s="27"/>
    </row>
    <row r="700" spans="1:14" ht="14.5" x14ac:dyDescent="0.35">
      <c r="A700" s="27"/>
      <c r="B700" s="27"/>
      <c r="C700" s="27"/>
      <c r="D700" s="27"/>
      <c r="E700" s="76"/>
      <c r="F700" s="27"/>
      <c r="G700" s="27"/>
      <c r="H700" s="27"/>
      <c r="I700" s="27"/>
      <c r="J700" s="27"/>
      <c r="K700" s="27"/>
      <c r="L700" s="27"/>
      <c r="M700" s="27"/>
      <c r="N700" s="27"/>
    </row>
    <row r="701" spans="1:14" ht="14.5" x14ac:dyDescent="0.35">
      <c r="A701" s="27"/>
      <c r="B701" s="27"/>
      <c r="C701" s="27"/>
      <c r="D701" s="27"/>
      <c r="E701" s="76"/>
      <c r="F701" s="27"/>
      <c r="G701" s="27"/>
      <c r="H701" s="27"/>
      <c r="I701" s="27"/>
      <c r="J701" s="27"/>
      <c r="K701" s="27"/>
      <c r="L701" s="27"/>
      <c r="M701" s="27"/>
      <c r="N701" s="27"/>
    </row>
    <row r="702" spans="1:14" ht="14.5" x14ac:dyDescent="0.35">
      <c r="A702" s="27"/>
      <c r="B702" s="27"/>
      <c r="C702" s="27"/>
      <c r="D702" s="27"/>
      <c r="E702" s="76"/>
      <c r="F702" s="27"/>
      <c r="G702" s="27"/>
      <c r="H702" s="27"/>
      <c r="I702" s="27"/>
      <c r="J702" s="27"/>
      <c r="K702" s="27"/>
      <c r="L702" s="27"/>
      <c r="M702" s="27"/>
      <c r="N702" s="27"/>
    </row>
    <row r="703" spans="1:14" ht="14.5" x14ac:dyDescent="0.35">
      <c r="A703" s="27"/>
      <c r="B703" s="27"/>
      <c r="C703" s="27"/>
      <c r="D703" s="27"/>
      <c r="E703" s="76"/>
      <c r="F703" s="27"/>
      <c r="G703" s="27"/>
      <c r="H703" s="27"/>
      <c r="I703" s="27"/>
      <c r="J703" s="27"/>
      <c r="K703" s="27"/>
      <c r="L703" s="27"/>
      <c r="M703" s="27"/>
      <c r="N703" s="27"/>
    </row>
    <row r="704" spans="1:14" ht="14.5" x14ac:dyDescent="0.35">
      <c r="A704" s="27"/>
      <c r="B704" s="27"/>
      <c r="C704" s="27"/>
      <c r="D704" s="27"/>
      <c r="E704" s="76"/>
      <c r="F704" s="27"/>
      <c r="G704" s="27"/>
      <c r="H704" s="27"/>
      <c r="I704" s="27"/>
      <c r="J704" s="27"/>
      <c r="K704" s="27"/>
      <c r="L704" s="27"/>
      <c r="M704" s="27"/>
      <c r="N704" s="27"/>
    </row>
    <row r="705" spans="1:14" ht="14.5" x14ac:dyDescent="0.35">
      <c r="A705" s="27"/>
      <c r="B705" s="27"/>
      <c r="C705" s="27"/>
      <c r="D705" s="27"/>
      <c r="E705" s="76"/>
      <c r="F705" s="27"/>
      <c r="G705" s="27"/>
      <c r="H705" s="27"/>
      <c r="I705" s="27"/>
      <c r="J705" s="27"/>
      <c r="K705" s="27"/>
      <c r="L705" s="27"/>
      <c r="M705" s="27"/>
      <c r="N705" s="27"/>
    </row>
    <row r="706" spans="1:14" ht="14.5" x14ac:dyDescent="0.35">
      <c r="A706" s="27"/>
      <c r="B706" s="27"/>
      <c r="C706" s="27"/>
      <c r="D706" s="27"/>
      <c r="E706" s="76"/>
      <c r="F706" s="27"/>
      <c r="G706" s="27"/>
      <c r="H706" s="27"/>
      <c r="I706" s="27"/>
      <c r="J706" s="27"/>
      <c r="K706" s="27"/>
      <c r="L706" s="27"/>
      <c r="M706" s="27"/>
      <c r="N706" s="27"/>
    </row>
    <row r="707" spans="1:14" ht="14.5" x14ac:dyDescent="0.35">
      <c r="A707" s="27"/>
      <c r="B707" s="27"/>
      <c r="C707" s="27"/>
      <c r="D707" s="27"/>
      <c r="E707" s="76"/>
      <c r="F707" s="27"/>
      <c r="G707" s="27"/>
      <c r="H707" s="27"/>
      <c r="I707" s="27"/>
      <c r="J707" s="27"/>
      <c r="K707" s="27"/>
      <c r="L707" s="27"/>
      <c r="M707" s="27"/>
      <c r="N707" s="27"/>
    </row>
    <row r="708" spans="1:14" ht="14.5" x14ac:dyDescent="0.35">
      <c r="A708" s="27"/>
      <c r="B708" s="27"/>
      <c r="C708" s="27"/>
      <c r="D708" s="27"/>
      <c r="E708" s="76"/>
      <c r="F708" s="27"/>
      <c r="G708" s="27"/>
      <c r="H708" s="27"/>
      <c r="I708" s="27"/>
      <c r="J708" s="27"/>
      <c r="K708" s="27"/>
      <c r="L708" s="27"/>
      <c r="M708" s="27"/>
      <c r="N708" s="27"/>
    </row>
    <row r="709" spans="1:14" ht="14.5" x14ac:dyDescent="0.35">
      <c r="A709" s="27"/>
      <c r="B709" s="27"/>
      <c r="C709" s="27"/>
      <c r="D709" s="27"/>
      <c r="E709" s="76"/>
      <c r="F709" s="27"/>
      <c r="G709" s="27"/>
      <c r="H709" s="27"/>
      <c r="I709" s="27"/>
      <c r="J709" s="27"/>
      <c r="K709" s="27"/>
      <c r="L709" s="27"/>
      <c r="M709" s="27"/>
      <c r="N709" s="27"/>
    </row>
    <row r="710" spans="1:14" ht="14.5" x14ac:dyDescent="0.35">
      <c r="A710" s="27"/>
      <c r="B710" s="27"/>
      <c r="C710" s="27"/>
      <c r="D710" s="27"/>
      <c r="E710" s="76"/>
      <c r="F710" s="27"/>
      <c r="G710" s="27"/>
      <c r="H710" s="27"/>
      <c r="I710" s="27"/>
      <c r="J710" s="27"/>
      <c r="K710" s="27"/>
      <c r="L710" s="27"/>
      <c r="M710" s="27"/>
      <c r="N710" s="27"/>
    </row>
    <row r="711" spans="1:14" ht="14.5" x14ac:dyDescent="0.35">
      <c r="A711" s="27"/>
      <c r="B711" s="27"/>
      <c r="C711" s="27"/>
      <c r="D711" s="27"/>
      <c r="E711" s="76"/>
      <c r="F711" s="27"/>
      <c r="G711" s="27"/>
      <c r="H711" s="27"/>
      <c r="I711" s="27"/>
      <c r="J711" s="27"/>
      <c r="K711" s="27"/>
      <c r="L711" s="27"/>
      <c r="M711" s="27"/>
      <c r="N711" s="27"/>
    </row>
    <row r="712" spans="1:14" ht="14.5" x14ac:dyDescent="0.35">
      <c r="A712" s="27"/>
      <c r="B712" s="27"/>
      <c r="C712" s="27"/>
      <c r="D712" s="27"/>
      <c r="E712" s="76"/>
      <c r="F712" s="27"/>
      <c r="G712" s="27"/>
      <c r="H712" s="27"/>
      <c r="I712" s="27"/>
      <c r="J712" s="27"/>
      <c r="K712" s="27"/>
      <c r="L712" s="27"/>
      <c r="M712" s="27"/>
      <c r="N712" s="27"/>
    </row>
    <row r="713" spans="1:14" ht="14.5" x14ac:dyDescent="0.35">
      <c r="A713" s="27"/>
      <c r="B713" s="27"/>
      <c r="C713" s="27"/>
      <c r="D713" s="27"/>
      <c r="E713" s="76"/>
      <c r="F713" s="27"/>
      <c r="G713" s="27"/>
      <c r="H713" s="27"/>
      <c r="I713" s="27"/>
      <c r="J713" s="27"/>
      <c r="K713" s="27"/>
      <c r="L713" s="27"/>
      <c r="M713" s="27"/>
      <c r="N713" s="27"/>
    </row>
    <row r="714" spans="1:14" ht="14.5" x14ac:dyDescent="0.35">
      <c r="A714" s="27"/>
      <c r="B714" s="27"/>
      <c r="C714" s="27"/>
      <c r="D714" s="27"/>
      <c r="E714" s="76"/>
      <c r="F714" s="27"/>
      <c r="G714" s="27"/>
      <c r="H714" s="27"/>
      <c r="I714" s="27"/>
      <c r="J714" s="27"/>
      <c r="K714" s="27"/>
      <c r="L714" s="27"/>
      <c r="M714" s="27"/>
      <c r="N714" s="27"/>
    </row>
    <row r="715" spans="1:14" ht="14.5" x14ac:dyDescent="0.35">
      <c r="A715" s="27"/>
      <c r="B715" s="27"/>
      <c r="C715" s="27"/>
      <c r="D715" s="27"/>
      <c r="E715" s="76"/>
      <c r="F715" s="27"/>
      <c r="G715" s="27"/>
      <c r="H715" s="27"/>
      <c r="I715" s="27"/>
      <c r="J715" s="27"/>
      <c r="K715" s="27"/>
      <c r="L715" s="27"/>
      <c r="M715" s="27"/>
      <c r="N715" s="27"/>
    </row>
    <row r="716" spans="1:14" ht="14.5" x14ac:dyDescent="0.35">
      <c r="A716" s="27"/>
      <c r="B716" s="27"/>
      <c r="C716" s="27"/>
      <c r="D716" s="27"/>
      <c r="E716" s="76"/>
      <c r="F716" s="27"/>
      <c r="G716" s="27"/>
      <c r="H716" s="27"/>
      <c r="I716" s="27"/>
      <c r="J716" s="27"/>
      <c r="K716" s="27"/>
      <c r="L716" s="27"/>
      <c r="M716" s="27"/>
      <c r="N716" s="27"/>
    </row>
    <row r="717" spans="1:14" ht="14.5" x14ac:dyDescent="0.35">
      <c r="A717" s="27"/>
      <c r="B717" s="27"/>
      <c r="C717" s="27"/>
      <c r="D717" s="27"/>
      <c r="E717" s="76"/>
      <c r="F717" s="27"/>
      <c r="G717" s="27"/>
      <c r="H717" s="27"/>
      <c r="I717" s="27"/>
      <c r="J717" s="27"/>
      <c r="K717" s="27"/>
      <c r="L717" s="27"/>
      <c r="M717" s="27"/>
      <c r="N717" s="27"/>
    </row>
    <row r="718" spans="1:14" ht="14.5" x14ac:dyDescent="0.35">
      <c r="A718" s="27"/>
      <c r="B718" s="27"/>
      <c r="C718" s="27"/>
      <c r="D718" s="27"/>
      <c r="E718" s="76"/>
      <c r="F718" s="27"/>
      <c r="G718" s="27"/>
      <c r="H718" s="27"/>
      <c r="I718" s="27"/>
      <c r="J718" s="27"/>
      <c r="K718" s="27"/>
      <c r="L718" s="27"/>
      <c r="M718" s="27"/>
      <c r="N718" s="27"/>
    </row>
    <row r="719" spans="1:14" ht="14.5" x14ac:dyDescent="0.35">
      <c r="A719" s="27"/>
      <c r="B719" s="27"/>
      <c r="C719" s="27"/>
      <c r="D719" s="27"/>
      <c r="E719" s="76"/>
      <c r="F719" s="27"/>
      <c r="G719" s="27"/>
      <c r="H719" s="27"/>
      <c r="I719" s="27"/>
      <c r="J719" s="27"/>
      <c r="K719" s="27"/>
      <c r="L719" s="27"/>
      <c r="M719" s="27"/>
      <c r="N719" s="27"/>
    </row>
    <row r="720" spans="1:14" ht="14.5" x14ac:dyDescent="0.35">
      <c r="A720" s="27"/>
      <c r="B720" s="27"/>
      <c r="C720" s="27"/>
      <c r="D720" s="27"/>
      <c r="E720" s="76"/>
      <c r="F720" s="27"/>
      <c r="G720" s="27"/>
      <c r="H720" s="27"/>
      <c r="I720" s="27"/>
      <c r="J720" s="27"/>
      <c r="K720" s="27"/>
      <c r="L720" s="27"/>
      <c r="M720" s="27"/>
      <c r="N720" s="27"/>
    </row>
    <row r="721" spans="1:14" ht="14.5" x14ac:dyDescent="0.35">
      <c r="A721" s="27"/>
      <c r="B721" s="27"/>
      <c r="C721" s="27"/>
      <c r="D721" s="27"/>
      <c r="E721" s="76"/>
      <c r="F721" s="27"/>
      <c r="G721" s="27"/>
      <c r="H721" s="27"/>
      <c r="I721" s="27"/>
      <c r="J721" s="27"/>
      <c r="K721" s="27"/>
      <c r="L721" s="27"/>
      <c r="M721" s="27"/>
      <c r="N721" s="27"/>
    </row>
    <row r="722" spans="1:14" ht="14.5" x14ac:dyDescent="0.35">
      <c r="A722" s="27"/>
      <c r="B722" s="27"/>
      <c r="C722" s="27"/>
      <c r="D722" s="27"/>
      <c r="E722" s="76"/>
      <c r="F722" s="27"/>
      <c r="G722" s="27"/>
      <c r="H722" s="27"/>
      <c r="I722" s="27"/>
      <c r="J722" s="27"/>
      <c r="K722" s="27"/>
      <c r="L722" s="27"/>
      <c r="M722" s="27"/>
      <c r="N722" s="27"/>
    </row>
    <row r="723" spans="1:14" ht="14.5" x14ac:dyDescent="0.35">
      <c r="A723" s="27"/>
      <c r="B723" s="27"/>
      <c r="C723" s="27"/>
      <c r="D723" s="27"/>
      <c r="E723" s="76"/>
      <c r="F723" s="27"/>
      <c r="G723" s="27"/>
      <c r="H723" s="27"/>
      <c r="I723" s="27"/>
      <c r="J723" s="27"/>
      <c r="K723" s="27"/>
      <c r="L723" s="27"/>
      <c r="M723" s="27"/>
      <c r="N723" s="27"/>
    </row>
    <row r="724" spans="1:14" ht="14.5" x14ac:dyDescent="0.35">
      <c r="A724" s="27"/>
      <c r="B724" s="27"/>
      <c r="C724" s="27"/>
      <c r="D724" s="27"/>
      <c r="E724" s="76"/>
      <c r="F724" s="27"/>
      <c r="G724" s="27"/>
      <c r="H724" s="27"/>
      <c r="I724" s="27"/>
      <c r="J724" s="27"/>
      <c r="K724" s="27"/>
      <c r="L724" s="27"/>
      <c r="M724" s="27"/>
      <c r="N724" s="27"/>
    </row>
    <row r="725" spans="1:14" ht="14.5" x14ac:dyDescent="0.35">
      <c r="A725" s="27"/>
      <c r="B725" s="27"/>
      <c r="C725" s="27"/>
      <c r="D725" s="27"/>
      <c r="E725" s="76"/>
      <c r="F725" s="27"/>
      <c r="G725" s="27"/>
      <c r="H725" s="27"/>
      <c r="I725" s="27"/>
      <c r="J725" s="27"/>
      <c r="K725" s="27"/>
      <c r="L725" s="27"/>
      <c r="M725" s="27"/>
      <c r="N725" s="27"/>
    </row>
    <row r="726" spans="1:14" ht="14.5" x14ac:dyDescent="0.35">
      <c r="A726" s="27"/>
      <c r="B726" s="27"/>
      <c r="C726" s="27"/>
      <c r="D726" s="27"/>
      <c r="E726" s="76"/>
      <c r="F726" s="27"/>
      <c r="G726" s="27"/>
      <c r="H726" s="27"/>
      <c r="I726" s="27"/>
      <c r="J726" s="27"/>
      <c r="K726" s="27"/>
      <c r="L726" s="27"/>
      <c r="M726" s="27"/>
      <c r="N726" s="27"/>
    </row>
    <row r="727" spans="1:14" ht="14.5" x14ac:dyDescent="0.35">
      <c r="A727" s="27"/>
      <c r="B727" s="27"/>
      <c r="C727" s="27"/>
      <c r="D727" s="27"/>
      <c r="E727" s="76"/>
      <c r="F727" s="27"/>
      <c r="G727" s="27"/>
      <c r="H727" s="27"/>
      <c r="I727" s="27"/>
      <c r="J727" s="27"/>
      <c r="K727" s="27"/>
      <c r="L727" s="27"/>
      <c r="M727" s="27"/>
      <c r="N727" s="27"/>
    </row>
    <row r="728" spans="1:14" ht="14.5" x14ac:dyDescent="0.35">
      <c r="A728" s="27"/>
      <c r="B728" s="27"/>
      <c r="C728" s="27"/>
      <c r="D728" s="27"/>
      <c r="E728" s="76"/>
      <c r="F728" s="27"/>
      <c r="G728" s="27"/>
      <c r="H728" s="27"/>
      <c r="I728" s="27"/>
      <c r="J728" s="27"/>
      <c r="K728" s="27"/>
      <c r="L728" s="27"/>
      <c r="M728" s="27"/>
      <c r="N728" s="27"/>
    </row>
    <row r="729" spans="1:14" ht="14.5" x14ac:dyDescent="0.35">
      <c r="A729" s="27"/>
      <c r="B729" s="27"/>
      <c r="C729" s="27"/>
      <c r="D729" s="27"/>
      <c r="E729" s="76"/>
      <c r="F729" s="27"/>
      <c r="G729" s="27"/>
      <c r="H729" s="27"/>
      <c r="I729" s="27"/>
      <c r="J729" s="27"/>
      <c r="K729" s="27"/>
      <c r="L729" s="27"/>
      <c r="M729" s="27"/>
      <c r="N729" s="27"/>
    </row>
    <row r="730" spans="1:14" ht="14.5" x14ac:dyDescent="0.35">
      <c r="A730" s="27"/>
      <c r="B730" s="27"/>
      <c r="C730" s="27"/>
      <c r="D730" s="27"/>
      <c r="E730" s="76"/>
      <c r="F730" s="27"/>
      <c r="G730" s="27"/>
      <c r="H730" s="27"/>
      <c r="I730" s="27"/>
      <c r="J730" s="27"/>
      <c r="K730" s="27"/>
      <c r="L730" s="27"/>
      <c r="M730" s="27"/>
      <c r="N730" s="27"/>
    </row>
    <row r="731" spans="1:14" ht="14.5" x14ac:dyDescent="0.35">
      <c r="A731" s="27"/>
      <c r="B731" s="27"/>
      <c r="C731" s="27"/>
      <c r="D731" s="27"/>
      <c r="E731" s="76"/>
      <c r="F731" s="27"/>
      <c r="G731" s="27"/>
      <c r="H731" s="27"/>
      <c r="I731" s="27"/>
      <c r="J731" s="27"/>
      <c r="K731" s="27"/>
      <c r="L731" s="27"/>
      <c r="M731" s="27"/>
      <c r="N731" s="27"/>
    </row>
    <row r="732" spans="1:14" ht="14.5" x14ac:dyDescent="0.35">
      <c r="A732" s="27"/>
      <c r="B732" s="27"/>
      <c r="C732" s="27"/>
      <c r="D732" s="27"/>
      <c r="E732" s="76"/>
      <c r="F732" s="27"/>
      <c r="G732" s="27"/>
      <c r="H732" s="27"/>
      <c r="I732" s="27"/>
      <c r="J732" s="27"/>
      <c r="K732" s="27"/>
      <c r="L732" s="27"/>
      <c r="M732" s="27"/>
      <c r="N732" s="27"/>
    </row>
    <row r="733" spans="1:14" ht="14.5" x14ac:dyDescent="0.35">
      <c r="A733" s="27"/>
      <c r="B733" s="27"/>
      <c r="C733" s="27"/>
      <c r="D733" s="27"/>
      <c r="E733" s="76"/>
      <c r="F733" s="27"/>
      <c r="G733" s="27"/>
      <c r="H733" s="27"/>
      <c r="I733" s="27"/>
      <c r="J733" s="27"/>
      <c r="K733" s="27"/>
      <c r="L733" s="27"/>
      <c r="M733" s="27"/>
      <c r="N733" s="27"/>
    </row>
    <row r="734" spans="1:14" ht="14.5" x14ac:dyDescent="0.35">
      <c r="A734" s="27"/>
      <c r="B734" s="27"/>
      <c r="C734" s="27"/>
      <c r="D734" s="27"/>
      <c r="E734" s="76"/>
      <c r="F734" s="27"/>
      <c r="G734" s="27"/>
      <c r="H734" s="27"/>
      <c r="I734" s="27"/>
      <c r="J734" s="27"/>
      <c r="K734" s="27"/>
      <c r="L734" s="27"/>
      <c r="M734" s="27"/>
      <c r="N734" s="27"/>
    </row>
    <row r="735" spans="1:14" ht="14.5" x14ac:dyDescent="0.35">
      <c r="A735" s="27"/>
      <c r="B735" s="27"/>
      <c r="C735" s="27"/>
      <c r="D735" s="27"/>
      <c r="E735" s="76"/>
      <c r="F735" s="27"/>
      <c r="G735" s="27"/>
      <c r="H735" s="27"/>
      <c r="I735" s="27"/>
      <c r="J735" s="27"/>
      <c r="K735" s="27"/>
      <c r="L735" s="27"/>
      <c r="M735" s="27"/>
      <c r="N735" s="27"/>
    </row>
    <row r="736" spans="1:14" ht="14.5" x14ac:dyDescent="0.35">
      <c r="A736" s="27"/>
      <c r="B736" s="27"/>
      <c r="C736" s="27"/>
      <c r="D736" s="27"/>
      <c r="E736" s="76"/>
      <c r="F736" s="27"/>
      <c r="G736" s="27"/>
      <c r="H736" s="27"/>
      <c r="I736" s="27"/>
      <c r="J736" s="27"/>
      <c r="K736" s="27"/>
      <c r="L736" s="27"/>
      <c r="M736" s="27"/>
      <c r="N736" s="27"/>
    </row>
    <row r="737" spans="1:14" ht="14.5" x14ac:dyDescent="0.35">
      <c r="A737" s="27"/>
      <c r="B737" s="27"/>
      <c r="C737" s="27"/>
      <c r="D737" s="27"/>
      <c r="E737" s="76"/>
      <c r="F737" s="27"/>
      <c r="G737" s="27"/>
      <c r="H737" s="27"/>
      <c r="I737" s="27"/>
      <c r="J737" s="27"/>
      <c r="K737" s="27"/>
      <c r="L737" s="27"/>
      <c r="M737" s="27"/>
      <c r="N737" s="27"/>
    </row>
    <row r="738" spans="1:14" ht="14.5" x14ac:dyDescent="0.35">
      <c r="A738" s="27"/>
      <c r="B738" s="27"/>
      <c r="C738" s="27"/>
      <c r="D738" s="27"/>
      <c r="E738" s="76"/>
      <c r="F738" s="27"/>
      <c r="G738" s="27"/>
      <c r="H738" s="27"/>
      <c r="I738" s="27"/>
      <c r="J738" s="27"/>
      <c r="K738" s="27"/>
      <c r="L738" s="27"/>
      <c r="M738" s="27"/>
      <c r="N738" s="27"/>
    </row>
    <row r="739" spans="1:14" ht="14.5" x14ac:dyDescent="0.35">
      <c r="A739" s="27"/>
      <c r="B739" s="27"/>
      <c r="C739" s="27"/>
      <c r="D739" s="27"/>
      <c r="E739" s="76"/>
      <c r="F739" s="27"/>
      <c r="G739" s="27"/>
      <c r="H739" s="27"/>
      <c r="I739" s="27"/>
      <c r="J739" s="27"/>
      <c r="K739" s="27"/>
      <c r="L739" s="27"/>
      <c r="M739" s="27"/>
      <c r="N739" s="27"/>
    </row>
    <row r="740" spans="1:14" ht="14.5" x14ac:dyDescent="0.35">
      <c r="A740" s="27"/>
      <c r="B740" s="27"/>
      <c r="C740" s="27"/>
      <c r="D740" s="27"/>
      <c r="E740" s="76"/>
      <c r="F740" s="27"/>
      <c r="G740" s="27"/>
      <c r="H740" s="27"/>
      <c r="I740" s="27"/>
      <c r="J740" s="27"/>
      <c r="K740" s="27"/>
      <c r="L740" s="27"/>
      <c r="M740" s="27"/>
      <c r="N740" s="27"/>
    </row>
    <row r="741" spans="1:14" ht="14.5" x14ac:dyDescent="0.35">
      <c r="A741" s="27"/>
      <c r="B741" s="27"/>
      <c r="C741" s="27"/>
      <c r="D741" s="27"/>
      <c r="E741" s="76"/>
      <c r="F741" s="27"/>
      <c r="G741" s="27"/>
      <c r="H741" s="27"/>
      <c r="I741" s="27"/>
      <c r="J741" s="27"/>
      <c r="K741" s="27"/>
      <c r="L741" s="27"/>
      <c r="M741" s="27"/>
      <c r="N741" s="27"/>
    </row>
    <row r="742" spans="1:14" ht="14.5" x14ac:dyDescent="0.35">
      <c r="A742" s="27"/>
      <c r="B742" s="27"/>
      <c r="C742" s="27"/>
      <c r="D742" s="27"/>
      <c r="E742" s="76"/>
      <c r="F742" s="27"/>
      <c r="G742" s="27"/>
      <c r="H742" s="27"/>
      <c r="I742" s="27"/>
      <c r="J742" s="27"/>
      <c r="K742" s="27"/>
      <c r="L742" s="27"/>
      <c r="M742" s="27"/>
      <c r="N742" s="27"/>
    </row>
    <row r="743" spans="1:14" ht="14.5" x14ac:dyDescent="0.35">
      <c r="A743" s="27"/>
      <c r="B743" s="27"/>
      <c r="C743" s="27"/>
      <c r="D743" s="27"/>
      <c r="E743" s="76"/>
      <c r="F743" s="27"/>
      <c r="G743" s="27"/>
      <c r="H743" s="27"/>
      <c r="I743" s="27"/>
      <c r="J743" s="27"/>
      <c r="K743" s="27"/>
      <c r="L743" s="27"/>
      <c r="M743" s="27"/>
      <c r="N743" s="27"/>
    </row>
    <row r="744" spans="1:14" ht="14.5" x14ac:dyDescent="0.35">
      <c r="A744" s="27"/>
      <c r="B744" s="27"/>
      <c r="C744" s="27"/>
      <c r="D744" s="27"/>
      <c r="E744" s="76"/>
      <c r="F744" s="27"/>
      <c r="G744" s="27"/>
      <c r="H744" s="27"/>
      <c r="I744" s="27"/>
      <c r="J744" s="27"/>
      <c r="K744" s="27"/>
      <c r="L744" s="27"/>
      <c r="M744" s="27"/>
      <c r="N744" s="27"/>
    </row>
    <row r="745" spans="1:14" ht="14.5" x14ac:dyDescent="0.35">
      <c r="A745" s="27"/>
      <c r="B745" s="27"/>
      <c r="C745" s="27"/>
      <c r="D745" s="27"/>
      <c r="E745" s="76"/>
      <c r="F745" s="27"/>
      <c r="G745" s="27"/>
      <c r="H745" s="27"/>
      <c r="I745" s="27"/>
      <c r="J745" s="27"/>
      <c r="K745" s="27"/>
      <c r="L745" s="27"/>
      <c r="M745" s="27"/>
      <c r="N745" s="27"/>
    </row>
    <row r="746" spans="1:14" ht="14.5" x14ac:dyDescent="0.35">
      <c r="A746" s="27"/>
      <c r="B746" s="27"/>
      <c r="C746" s="27"/>
      <c r="D746" s="27"/>
      <c r="E746" s="76"/>
      <c r="F746" s="27"/>
      <c r="G746" s="27"/>
      <c r="H746" s="27"/>
      <c r="I746" s="27"/>
      <c r="J746" s="27"/>
      <c r="K746" s="27"/>
      <c r="L746" s="27"/>
      <c r="M746" s="27"/>
      <c r="N746" s="27"/>
    </row>
    <row r="747" spans="1:14" ht="14.5" x14ac:dyDescent="0.35">
      <c r="A747" s="27"/>
      <c r="B747" s="27"/>
      <c r="C747" s="27"/>
      <c r="D747" s="27"/>
      <c r="E747" s="76"/>
      <c r="F747" s="27"/>
      <c r="G747" s="27"/>
      <c r="H747" s="27"/>
      <c r="I747" s="27"/>
      <c r="J747" s="27"/>
      <c r="K747" s="27"/>
      <c r="L747" s="27"/>
      <c r="M747" s="27"/>
      <c r="N747" s="27"/>
    </row>
    <row r="748" spans="1:14" ht="14.5" x14ac:dyDescent="0.35">
      <c r="A748" s="27"/>
      <c r="B748" s="27"/>
      <c r="C748" s="27"/>
      <c r="D748" s="27"/>
      <c r="E748" s="76"/>
      <c r="F748" s="27"/>
      <c r="G748" s="27"/>
      <c r="H748" s="27"/>
      <c r="I748" s="27"/>
      <c r="J748" s="27"/>
      <c r="K748" s="27"/>
      <c r="L748" s="27"/>
      <c r="M748" s="27"/>
      <c r="N748" s="27"/>
    </row>
    <row r="749" spans="1:14" ht="14.5" x14ac:dyDescent="0.35">
      <c r="A749" s="27"/>
      <c r="B749" s="27"/>
      <c r="C749" s="27"/>
      <c r="D749" s="27"/>
      <c r="E749" s="76"/>
      <c r="F749" s="27"/>
      <c r="G749" s="27"/>
      <c r="H749" s="27"/>
      <c r="I749" s="27"/>
      <c r="J749" s="27"/>
      <c r="K749" s="27"/>
      <c r="L749" s="27"/>
      <c r="M749" s="27"/>
      <c r="N749" s="27"/>
    </row>
    <row r="750" spans="1:14" ht="14.5" x14ac:dyDescent="0.35">
      <c r="A750" s="27"/>
      <c r="B750" s="27"/>
      <c r="C750" s="27"/>
      <c r="D750" s="27"/>
      <c r="E750" s="76"/>
      <c r="F750" s="27"/>
      <c r="G750" s="27"/>
      <c r="H750" s="27"/>
      <c r="I750" s="27"/>
      <c r="J750" s="27"/>
      <c r="K750" s="27"/>
      <c r="L750" s="27"/>
      <c r="M750" s="27"/>
      <c r="N750" s="27"/>
    </row>
    <row r="751" spans="1:14" ht="14.5" x14ac:dyDescent="0.35">
      <c r="A751" s="27"/>
      <c r="B751" s="27"/>
      <c r="C751" s="27"/>
      <c r="D751" s="27"/>
      <c r="E751" s="76"/>
      <c r="F751" s="27"/>
      <c r="G751" s="27"/>
      <c r="H751" s="27"/>
      <c r="I751" s="27"/>
      <c r="J751" s="27"/>
      <c r="K751" s="27"/>
      <c r="L751" s="27"/>
      <c r="M751" s="27"/>
      <c r="N751" s="27"/>
    </row>
    <row r="752" spans="1:14" ht="14.5" x14ac:dyDescent="0.35">
      <c r="A752" s="27"/>
      <c r="B752" s="27"/>
      <c r="C752" s="27"/>
      <c r="D752" s="27"/>
      <c r="E752" s="76"/>
      <c r="F752" s="27"/>
      <c r="G752" s="27"/>
      <c r="H752" s="27"/>
      <c r="I752" s="27"/>
      <c r="J752" s="27"/>
      <c r="K752" s="27"/>
      <c r="L752" s="27"/>
      <c r="M752" s="27"/>
      <c r="N752" s="27"/>
    </row>
    <row r="753" spans="1:14" ht="14.5" x14ac:dyDescent="0.35">
      <c r="A753" s="27"/>
      <c r="B753" s="27"/>
      <c r="C753" s="27"/>
      <c r="D753" s="27"/>
      <c r="E753" s="76"/>
      <c r="F753" s="27"/>
      <c r="G753" s="27"/>
      <c r="H753" s="27"/>
      <c r="I753" s="27"/>
      <c r="J753" s="27"/>
      <c r="K753" s="27"/>
      <c r="L753" s="27"/>
      <c r="M753" s="27"/>
      <c r="N753" s="27"/>
    </row>
    <row r="754" spans="1:14" ht="14.5" x14ac:dyDescent="0.35">
      <c r="A754" s="27"/>
      <c r="B754" s="27"/>
      <c r="C754" s="27"/>
      <c r="D754" s="27"/>
      <c r="E754" s="76"/>
      <c r="F754" s="27"/>
      <c r="G754" s="27"/>
      <c r="H754" s="27"/>
      <c r="I754" s="27"/>
      <c r="J754" s="27"/>
      <c r="K754" s="27"/>
      <c r="L754" s="27"/>
      <c r="M754" s="27"/>
      <c r="N754" s="27"/>
    </row>
    <row r="755" spans="1:14" ht="14.5" x14ac:dyDescent="0.35">
      <c r="A755" s="27"/>
      <c r="B755" s="27"/>
      <c r="C755" s="27"/>
      <c r="D755" s="27"/>
      <c r="E755" s="76"/>
      <c r="F755" s="27"/>
      <c r="G755" s="27"/>
      <c r="H755" s="27"/>
      <c r="I755" s="27"/>
      <c r="J755" s="27"/>
      <c r="K755" s="27"/>
      <c r="L755" s="27"/>
      <c r="M755" s="27"/>
      <c r="N755" s="27"/>
    </row>
    <row r="756" spans="1:14" ht="14.5" x14ac:dyDescent="0.35">
      <c r="A756" s="27"/>
      <c r="B756" s="27"/>
      <c r="C756" s="27"/>
      <c r="D756" s="27"/>
      <c r="E756" s="76"/>
      <c r="F756" s="27"/>
      <c r="G756" s="27"/>
      <c r="H756" s="27"/>
      <c r="I756" s="27"/>
      <c r="J756" s="27"/>
      <c r="K756" s="27"/>
      <c r="L756" s="27"/>
      <c r="M756" s="27"/>
      <c r="N756" s="27"/>
    </row>
    <row r="757" spans="1:14" ht="14.5" x14ac:dyDescent="0.35">
      <c r="A757" s="27"/>
      <c r="B757" s="27"/>
      <c r="C757" s="27"/>
      <c r="D757" s="27"/>
      <c r="E757" s="76"/>
      <c r="F757" s="27"/>
      <c r="G757" s="27"/>
      <c r="H757" s="27"/>
      <c r="I757" s="27"/>
      <c r="J757" s="27"/>
      <c r="K757" s="27"/>
      <c r="L757" s="27"/>
      <c r="M757" s="27"/>
      <c r="N757" s="27"/>
    </row>
    <row r="758" spans="1:14" ht="14.5" x14ac:dyDescent="0.35">
      <c r="A758" s="27"/>
      <c r="B758" s="27"/>
      <c r="C758" s="27"/>
      <c r="D758" s="27"/>
      <c r="E758" s="76"/>
      <c r="F758" s="27"/>
      <c r="G758" s="27"/>
      <c r="H758" s="27"/>
      <c r="I758" s="27"/>
      <c r="J758" s="27"/>
      <c r="K758" s="27"/>
      <c r="L758" s="27"/>
      <c r="M758" s="27"/>
      <c r="N758" s="27"/>
    </row>
    <row r="759" spans="1:14" ht="14.5" x14ac:dyDescent="0.35">
      <c r="A759" s="27"/>
      <c r="B759" s="27"/>
      <c r="C759" s="27"/>
      <c r="D759" s="27"/>
      <c r="E759" s="76"/>
      <c r="F759" s="27"/>
      <c r="G759" s="27"/>
      <c r="H759" s="27"/>
      <c r="I759" s="27"/>
      <c r="J759" s="27"/>
      <c r="K759" s="27"/>
      <c r="L759" s="27"/>
      <c r="M759" s="27"/>
      <c r="N759" s="27"/>
    </row>
    <row r="760" spans="1:14" ht="14.5" x14ac:dyDescent="0.35">
      <c r="A760" s="27"/>
      <c r="B760" s="27"/>
      <c r="C760" s="27"/>
      <c r="D760" s="27"/>
      <c r="E760" s="76"/>
      <c r="F760" s="27"/>
      <c r="G760" s="27"/>
      <c r="H760" s="27"/>
      <c r="I760" s="27"/>
      <c r="J760" s="27"/>
      <c r="K760" s="27"/>
      <c r="L760" s="27"/>
      <c r="M760" s="27"/>
      <c r="N760" s="27"/>
    </row>
    <row r="761" spans="1:14" ht="14.5" x14ac:dyDescent="0.35">
      <c r="A761" s="27"/>
      <c r="B761" s="27"/>
      <c r="C761" s="27"/>
      <c r="D761" s="27"/>
      <c r="E761" s="76"/>
      <c r="F761" s="27"/>
      <c r="G761" s="27"/>
      <c r="H761" s="27"/>
      <c r="I761" s="27"/>
      <c r="J761" s="27"/>
      <c r="K761" s="27"/>
      <c r="L761" s="27"/>
      <c r="M761" s="27"/>
      <c r="N761" s="27"/>
    </row>
    <row r="762" spans="1:14" ht="14.5" x14ac:dyDescent="0.35">
      <c r="A762" s="27"/>
      <c r="B762" s="27"/>
      <c r="C762" s="27"/>
      <c r="D762" s="27"/>
      <c r="E762" s="76"/>
      <c r="F762" s="27"/>
      <c r="G762" s="27"/>
      <c r="H762" s="27"/>
      <c r="I762" s="27"/>
      <c r="J762" s="27"/>
      <c r="K762" s="27"/>
      <c r="L762" s="27"/>
      <c r="M762" s="27"/>
      <c r="N762" s="27"/>
    </row>
    <row r="763" spans="1:14" ht="14.5" x14ac:dyDescent="0.35">
      <c r="A763" s="27"/>
      <c r="B763" s="27"/>
      <c r="C763" s="27"/>
      <c r="D763" s="27"/>
      <c r="E763" s="76"/>
      <c r="F763" s="27"/>
      <c r="G763" s="27"/>
      <c r="H763" s="27"/>
      <c r="I763" s="27"/>
      <c r="J763" s="27"/>
      <c r="K763" s="27"/>
      <c r="L763" s="27"/>
      <c r="M763" s="27"/>
      <c r="N763" s="27"/>
    </row>
    <row r="764" spans="1:14" ht="14.5" x14ac:dyDescent="0.35">
      <c r="A764" s="27"/>
      <c r="B764" s="27"/>
      <c r="C764" s="27"/>
      <c r="D764" s="27"/>
      <c r="E764" s="76"/>
      <c r="F764" s="27"/>
      <c r="G764" s="27"/>
      <c r="H764" s="27"/>
      <c r="I764" s="27"/>
      <c r="J764" s="27"/>
      <c r="K764" s="27"/>
      <c r="L764" s="27"/>
      <c r="M764" s="27"/>
      <c r="N764" s="27"/>
    </row>
    <row r="765" spans="1:14" ht="14.5" x14ac:dyDescent="0.35">
      <c r="A765" s="27"/>
      <c r="B765" s="27"/>
      <c r="C765" s="27"/>
      <c r="D765" s="27"/>
      <c r="E765" s="76"/>
      <c r="F765" s="27"/>
      <c r="G765" s="27"/>
      <c r="H765" s="27"/>
      <c r="I765" s="27"/>
      <c r="J765" s="27"/>
      <c r="K765" s="27"/>
      <c r="L765" s="27"/>
      <c r="M765" s="27"/>
      <c r="N765" s="27"/>
    </row>
    <row r="766" spans="1:14" ht="14.5" x14ac:dyDescent="0.35">
      <c r="A766" s="27"/>
      <c r="B766" s="27"/>
      <c r="C766" s="27"/>
      <c r="D766" s="27"/>
      <c r="E766" s="76"/>
      <c r="F766" s="27"/>
      <c r="G766" s="27"/>
      <c r="H766" s="27"/>
      <c r="I766" s="27"/>
      <c r="J766" s="27"/>
      <c r="K766" s="27"/>
      <c r="L766" s="27"/>
      <c r="M766" s="27"/>
      <c r="N766" s="27"/>
    </row>
    <row r="767" spans="1:14" ht="14.5" x14ac:dyDescent="0.35">
      <c r="A767" s="27"/>
      <c r="B767" s="27"/>
      <c r="C767" s="27"/>
      <c r="D767" s="27"/>
      <c r="E767" s="76"/>
      <c r="F767" s="27"/>
      <c r="G767" s="27"/>
      <c r="H767" s="27"/>
      <c r="I767" s="27"/>
      <c r="J767" s="27"/>
      <c r="K767" s="27"/>
      <c r="L767" s="27"/>
      <c r="M767" s="27"/>
      <c r="N767" s="27"/>
    </row>
    <row r="768" spans="1:14" ht="14.5" x14ac:dyDescent="0.35">
      <c r="A768" s="27"/>
      <c r="B768" s="27"/>
      <c r="C768" s="27"/>
      <c r="D768" s="27"/>
      <c r="E768" s="76"/>
      <c r="F768" s="27"/>
      <c r="G768" s="27"/>
      <c r="H768" s="27"/>
      <c r="I768" s="27"/>
      <c r="J768" s="27"/>
      <c r="K768" s="27"/>
      <c r="L768" s="27"/>
      <c r="M768" s="27"/>
      <c r="N768" s="27"/>
    </row>
    <row r="769" spans="1:14" ht="14.5" x14ac:dyDescent="0.35">
      <c r="A769" s="27"/>
      <c r="B769" s="27"/>
      <c r="C769" s="27"/>
      <c r="D769" s="27"/>
      <c r="E769" s="76"/>
      <c r="F769" s="27"/>
      <c r="G769" s="27"/>
      <c r="H769" s="27"/>
      <c r="I769" s="27"/>
      <c r="J769" s="27"/>
      <c r="K769" s="27"/>
      <c r="L769" s="27"/>
      <c r="M769" s="27"/>
      <c r="N769" s="27"/>
    </row>
    <row r="770" spans="1:14" ht="14.5" x14ac:dyDescent="0.35">
      <c r="A770" s="27"/>
      <c r="B770" s="27"/>
      <c r="C770" s="27"/>
      <c r="D770" s="27"/>
      <c r="E770" s="76"/>
      <c r="F770" s="27"/>
      <c r="G770" s="27"/>
      <c r="H770" s="27"/>
      <c r="I770" s="27"/>
      <c r="J770" s="27"/>
      <c r="K770" s="27"/>
      <c r="L770" s="27"/>
      <c r="M770" s="27"/>
      <c r="N770" s="27"/>
    </row>
    <row r="771" spans="1:14" ht="14.5" x14ac:dyDescent="0.35">
      <c r="A771" s="27"/>
      <c r="B771" s="27"/>
      <c r="C771" s="27"/>
      <c r="D771" s="27"/>
      <c r="E771" s="76"/>
      <c r="F771" s="27"/>
      <c r="G771" s="27"/>
      <c r="H771" s="27"/>
      <c r="I771" s="27"/>
      <c r="J771" s="27"/>
      <c r="K771" s="27"/>
      <c r="L771" s="27"/>
      <c r="M771" s="27"/>
      <c r="N771" s="27"/>
    </row>
    <row r="772" spans="1:14" ht="14.5" x14ac:dyDescent="0.35">
      <c r="A772" s="27"/>
      <c r="B772" s="27"/>
      <c r="C772" s="27"/>
      <c r="D772" s="27"/>
      <c r="E772" s="76"/>
      <c r="F772" s="27"/>
      <c r="G772" s="27"/>
      <c r="H772" s="27"/>
      <c r="I772" s="27"/>
      <c r="J772" s="27"/>
      <c r="K772" s="27"/>
      <c r="L772" s="27"/>
      <c r="M772" s="27"/>
      <c r="N772" s="27"/>
    </row>
    <row r="773" spans="1:14" ht="14.5" x14ac:dyDescent="0.35">
      <c r="A773" s="27"/>
      <c r="B773" s="27"/>
      <c r="C773" s="27"/>
      <c r="D773" s="27"/>
      <c r="E773" s="76"/>
      <c r="F773" s="27"/>
      <c r="G773" s="27"/>
      <c r="H773" s="27"/>
      <c r="I773" s="27"/>
      <c r="J773" s="27"/>
      <c r="K773" s="27"/>
      <c r="L773" s="27"/>
      <c r="M773" s="27"/>
      <c r="N773" s="27"/>
    </row>
    <row r="774" spans="1:14" ht="14.5" x14ac:dyDescent="0.35">
      <c r="A774" s="27"/>
      <c r="B774" s="27"/>
      <c r="C774" s="27"/>
      <c r="D774" s="27"/>
      <c r="E774" s="76"/>
      <c r="F774" s="27"/>
      <c r="G774" s="27"/>
      <c r="H774" s="27"/>
      <c r="I774" s="27"/>
      <c r="J774" s="27"/>
      <c r="K774" s="27"/>
      <c r="L774" s="27"/>
      <c r="M774" s="27"/>
      <c r="N774" s="27"/>
    </row>
    <row r="775" spans="1:14" ht="14.5" x14ac:dyDescent="0.35">
      <c r="A775" s="27"/>
      <c r="B775" s="27"/>
      <c r="C775" s="27"/>
      <c r="D775" s="27"/>
      <c r="E775" s="76"/>
      <c r="F775" s="27"/>
      <c r="G775" s="27"/>
      <c r="H775" s="27"/>
      <c r="I775" s="27"/>
      <c r="J775" s="27"/>
      <c r="K775" s="27"/>
      <c r="L775" s="27"/>
      <c r="M775" s="27"/>
      <c r="N775" s="27"/>
    </row>
    <row r="776" spans="1:14" ht="14.5" x14ac:dyDescent="0.35">
      <c r="A776" s="27"/>
      <c r="B776" s="27"/>
      <c r="C776" s="27"/>
      <c r="D776" s="27"/>
      <c r="E776" s="76"/>
      <c r="F776" s="27"/>
      <c r="G776" s="27"/>
      <c r="H776" s="27"/>
      <c r="I776" s="27"/>
      <c r="J776" s="27"/>
      <c r="K776" s="27"/>
      <c r="L776" s="27"/>
      <c r="M776" s="27"/>
      <c r="N776" s="27"/>
    </row>
    <row r="777" spans="1:14" ht="14.5" x14ac:dyDescent="0.35">
      <c r="A777" s="27"/>
      <c r="B777" s="27"/>
      <c r="C777" s="27"/>
      <c r="D777" s="27"/>
      <c r="E777" s="76"/>
      <c r="F777" s="27"/>
      <c r="G777" s="27"/>
      <c r="H777" s="27"/>
      <c r="I777" s="27"/>
      <c r="J777" s="27"/>
      <c r="K777" s="27"/>
      <c r="L777" s="27"/>
      <c r="M777" s="27"/>
      <c r="N777" s="27"/>
    </row>
    <row r="778" spans="1:14" ht="14.5" x14ac:dyDescent="0.35">
      <c r="A778" s="27"/>
      <c r="B778" s="27"/>
      <c r="C778" s="27"/>
      <c r="D778" s="27"/>
      <c r="E778" s="76"/>
      <c r="F778" s="27"/>
      <c r="G778" s="27"/>
      <c r="H778" s="27"/>
      <c r="I778" s="27"/>
      <c r="J778" s="27"/>
      <c r="K778" s="27"/>
      <c r="L778" s="27"/>
      <c r="M778" s="27"/>
      <c r="N778" s="27"/>
    </row>
    <row r="779" spans="1:14" ht="14.5" x14ac:dyDescent="0.35">
      <c r="A779" s="27"/>
      <c r="B779" s="27"/>
      <c r="C779" s="27"/>
      <c r="D779" s="27"/>
      <c r="E779" s="76"/>
      <c r="F779" s="27"/>
      <c r="G779" s="27"/>
      <c r="H779" s="27"/>
      <c r="I779" s="27"/>
      <c r="J779" s="27"/>
      <c r="K779" s="27"/>
      <c r="L779" s="27"/>
      <c r="M779" s="27"/>
      <c r="N779" s="27"/>
    </row>
    <row r="780" spans="1:14" ht="14.5" x14ac:dyDescent="0.35">
      <c r="A780" s="27"/>
      <c r="B780" s="27"/>
      <c r="C780" s="27"/>
      <c r="D780" s="27"/>
      <c r="E780" s="76"/>
      <c r="F780" s="27"/>
      <c r="G780" s="27"/>
      <c r="H780" s="27"/>
      <c r="I780" s="27"/>
      <c r="J780" s="27"/>
      <c r="K780" s="27"/>
      <c r="L780" s="27"/>
      <c r="M780" s="27"/>
      <c r="N780" s="27"/>
    </row>
    <row r="781" spans="1:14" ht="14.5" x14ac:dyDescent="0.35">
      <c r="A781" s="27"/>
      <c r="B781" s="27"/>
      <c r="C781" s="27"/>
      <c r="D781" s="27"/>
      <c r="E781" s="76"/>
      <c r="F781" s="27"/>
      <c r="G781" s="27"/>
      <c r="H781" s="27"/>
      <c r="I781" s="27"/>
      <c r="J781" s="27"/>
      <c r="K781" s="27"/>
      <c r="L781" s="27"/>
      <c r="M781" s="27"/>
      <c r="N781" s="27"/>
    </row>
    <row r="782" spans="1:14" ht="14.5" x14ac:dyDescent="0.35">
      <c r="A782" s="27"/>
      <c r="B782" s="27"/>
      <c r="C782" s="27"/>
      <c r="D782" s="27"/>
      <c r="E782" s="76"/>
      <c r="F782" s="27"/>
      <c r="G782" s="27"/>
      <c r="H782" s="27"/>
      <c r="I782" s="27"/>
      <c r="J782" s="27"/>
      <c r="K782" s="27"/>
      <c r="L782" s="27"/>
      <c r="M782" s="27"/>
      <c r="N782" s="27"/>
    </row>
    <row r="783" spans="1:14" ht="14.5" x14ac:dyDescent="0.35">
      <c r="A783" s="27"/>
      <c r="B783" s="27"/>
      <c r="C783" s="27"/>
      <c r="D783" s="27"/>
      <c r="E783" s="76"/>
      <c r="F783" s="27"/>
      <c r="G783" s="27"/>
      <c r="H783" s="27"/>
      <c r="I783" s="27"/>
      <c r="J783" s="27"/>
      <c r="K783" s="27"/>
      <c r="L783" s="27"/>
      <c r="M783" s="27"/>
      <c r="N783" s="27"/>
    </row>
    <row r="784" spans="1:14" ht="14.5" x14ac:dyDescent="0.35">
      <c r="A784" s="27"/>
      <c r="B784" s="27"/>
      <c r="C784" s="27"/>
      <c r="D784" s="27"/>
      <c r="E784" s="76"/>
      <c r="F784" s="27"/>
      <c r="G784" s="27"/>
      <c r="H784" s="27"/>
      <c r="I784" s="27"/>
      <c r="J784" s="27"/>
      <c r="K784" s="27"/>
      <c r="L784" s="27"/>
      <c r="M784" s="27"/>
      <c r="N784" s="27"/>
    </row>
    <row r="785" spans="1:14" ht="14.5" x14ac:dyDescent="0.35">
      <c r="A785" s="27"/>
      <c r="B785" s="27"/>
      <c r="C785" s="27"/>
      <c r="D785" s="27"/>
      <c r="E785" s="76"/>
      <c r="F785" s="27"/>
      <c r="G785" s="27"/>
      <c r="H785" s="27"/>
      <c r="I785" s="27"/>
      <c r="J785" s="27"/>
      <c r="K785" s="27"/>
      <c r="L785" s="27"/>
      <c r="M785" s="27"/>
      <c r="N785" s="27"/>
    </row>
    <row r="786" spans="1:14" ht="14.5" x14ac:dyDescent="0.35">
      <c r="A786" s="27"/>
      <c r="B786" s="27"/>
      <c r="C786" s="27"/>
      <c r="D786" s="27"/>
      <c r="E786" s="76"/>
      <c r="F786" s="27"/>
      <c r="G786" s="27"/>
      <c r="H786" s="27"/>
      <c r="I786" s="27"/>
      <c r="J786" s="27"/>
      <c r="K786" s="27"/>
      <c r="L786" s="27"/>
      <c r="M786" s="27"/>
      <c r="N786" s="27"/>
    </row>
    <row r="787" spans="1:14" ht="14.5" x14ac:dyDescent="0.35">
      <c r="A787" s="27"/>
      <c r="B787" s="27"/>
      <c r="C787" s="27"/>
      <c r="D787" s="27"/>
      <c r="E787" s="76"/>
      <c r="F787" s="27"/>
      <c r="G787" s="27"/>
      <c r="H787" s="27"/>
      <c r="I787" s="27"/>
      <c r="J787" s="27"/>
      <c r="K787" s="27"/>
      <c r="L787" s="27"/>
      <c r="M787" s="27"/>
      <c r="N787" s="27"/>
    </row>
    <row r="788" spans="1:14" ht="14.5" x14ac:dyDescent="0.35">
      <c r="A788" s="27"/>
      <c r="B788" s="27"/>
      <c r="C788" s="27"/>
      <c r="D788" s="27"/>
      <c r="E788" s="76"/>
      <c r="F788" s="27"/>
      <c r="G788" s="27"/>
      <c r="H788" s="27"/>
      <c r="I788" s="27"/>
      <c r="J788" s="27"/>
      <c r="K788" s="27"/>
      <c r="L788" s="27"/>
      <c r="M788" s="27"/>
      <c r="N788" s="27"/>
    </row>
    <row r="789" spans="1:14" ht="14.5" x14ac:dyDescent="0.35">
      <c r="A789" s="27"/>
      <c r="B789" s="27"/>
      <c r="C789" s="27"/>
      <c r="D789" s="27"/>
      <c r="E789" s="76"/>
      <c r="F789" s="27"/>
      <c r="G789" s="27"/>
      <c r="H789" s="27"/>
      <c r="I789" s="27"/>
      <c r="J789" s="27"/>
      <c r="K789" s="27"/>
      <c r="L789" s="27"/>
      <c r="M789" s="27"/>
      <c r="N789" s="27"/>
    </row>
    <row r="790" spans="1:14" ht="14.5" x14ac:dyDescent="0.35">
      <c r="A790" s="27"/>
      <c r="B790" s="27"/>
      <c r="C790" s="27"/>
      <c r="D790" s="27"/>
      <c r="E790" s="76"/>
      <c r="F790" s="27"/>
      <c r="G790" s="27"/>
      <c r="H790" s="27"/>
      <c r="I790" s="27"/>
      <c r="J790" s="27"/>
      <c r="K790" s="27"/>
      <c r="L790" s="27"/>
      <c r="M790" s="27"/>
      <c r="N790" s="27"/>
    </row>
    <row r="791" spans="1:14" ht="14.5" x14ac:dyDescent="0.35">
      <c r="A791" s="27"/>
      <c r="B791" s="27"/>
      <c r="C791" s="27"/>
      <c r="D791" s="27"/>
      <c r="E791" s="76"/>
      <c r="F791" s="27"/>
      <c r="G791" s="27"/>
      <c r="H791" s="27"/>
      <c r="I791" s="27"/>
      <c r="J791" s="27"/>
      <c r="K791" s="27"/>
      <c r="L791" s="27"/>
      <c r="M791" s="27"/>
      <c r="N791" s="27"/>
    </row>
    <row r="792" spans="1:14" ht="14.5" x14ac:dyDescent="0.35">
      <c r="A792" s="27"/>
      <c r="B792" s="27"/>
      <c r="C792" s="27"/>
      <c r="D792" s="27"/>
      <c r="E792" s="76"/>
      <c r="F792" s="27"/>
      <c r="G792" s="27"/>
      <c r="H792" s="27"/>
      <c r="I792" s="27"/>
      <c r="J792" s="27"/>
      <c r="K792" s="27"/>
      <c r="L792" s="27"/>
      <c r="M792" s="27"/>
      <c r="N792" s="27"/>
    </row>
    <row r="793" spans="1:14" ht="14.5" x14ac:dyDescent="0.35">
      <c r="A793" s="27"/>
      <c r="B793" s="27"/>
      <c r="C793" s="27"/>
      <c r="D793" s="27"/>
      <c r="E793" s="76"/>
      <c r="F793" s="27"/>
      <c r="G793" s="27"/>
      <c r="H793" s="27"/>
      <c r="I793" s="27"/>
      <c r="J793" s="27"/>
      <c r="K793" s="27"/>
      <c r="L793" s="27"/>
      <c r="M793" s="27"/>
      <c r="N793" s="27"/>
    </row>
    <row r="794" spans="1:14" ht="14.5" x14ac:dyDescent="0.35">
      <c r="A794" s="27"/>
      <c r="B794" s="27"/>
      <c r="C794" s="27"/>
      <c r="D794" s="27"/>
      <c r="E794" s="76"/>
      <c r="F794" s="27"/>
      <c r="G794" s="27"/>
      <c r="H794" s="27"/>
      <c r="I794" s="27"/>
      <c r="J794" s="27"/>
      <c r="K794" s="27"/>
      <c r="L794" s="27"/>
      <c r="M794" s="27"/>
      <c r="N794" s="27"/>
    </row>
    <row r="795" spans="1:14" ht="14.5" x14ac:dyDescent="0.35">
      <c r="A795" s="27"/>
      <c r="B795" s="27"/>
      <c r="C795" s="27"/>
      <c r="D795" s="27"/>
      <c r="E795" s="76"/>
      <c r="F795" s="27"/>
      <c r="G795" s="27"/>
      <c r="H795" s="27"/>
      <c r="I795" s="27"/>
      <c r="J795" s="27"/>
      <c r="K795" s="27"/>
      <c r="L795" s="27"/>
      <c r="M795" s="27"/>
      <c r="N795" s="27"/>
    </row>
    <row r="796" spans="1:14" ht="14.5" x14ac:dyDescent="0.35">
      <c r="A796" s="27"/>
      <c r="B796" s="27"/>
      <c r="C796" s="27"/>
      <c r="D796" s="27"/>
      <c r="E796" s="76"/>
      <c r="F796" s="27"/>
      <c r="G796" s="27"/>
      <c r="H796" s="27"/>
      <c r="I796" s="27"/>
      <c r="J796" s="27"/>
      <c r="K796" s="27"/>
      <c r="L796" s="27"/>
      <c r="M796" s="27"/>
      <c r="N796" s="27"/>
    </row>
    <row r="797" spans="1:14" ht="14.5" x14ac:dyDescent="0.35">
      <c r="A797" s="27"/>
      <c r="B797" s="27"/>
      <c r="C797" s="27"/>
      <c r="D797" s="27"/>
      <c r="E797" s="76"/>
      <c r="F797" s="27"/>
      <c r="G797" s="27"/>
      <c r="H797" s="27"/>
      <c r="I797" s="27"/>
      <c r="J797" s="27"/>
      <c r="K797" s="27"/>
      <c r="L797" s="27"/>
      <c r="M797" s="27"/>
      <c r="N797" s="27"/>
    </row>
    <row r="798" spans="1:14" ht="14.5" x14ac:dyDescent="0.35">
      <c r="A798" s="27"/>
      <c r="B798" s="27"/>
      <c r="C798" s="27"/>
      <c r="D798" s="27"/>
      <c r="E798" s="76"/>
      <c r="F798" s="27"/>
      <c r="G798" s="27"/>
      <c r="H798" s="27"/>
      <c r="I798" s="27"/>
      <c r="J798" s="27"/>
      <c r="K798" s="27"/>
      <c r="L798" s="27"/>
      <c r="M798" s="27"/>
      <c r="N798" s="27"/>
    </row>
    <row r="799" spans="1:14" ht="14.5" x14ac:dyDescent="0.35">
      <c r="A799" s="27"/>
      <c r="B799" s="27"/>
      <c r="C799" s="27"/>
      <c r="D799" s="27"/>
      <c r="E799" s="76"/>
      <c r="F799" s="27"/>
      <c r="G799" s="27"/>
      <c r="H799" s="27"/>
      <c r="I799" s="27"/>
      <c r="J799" s="27"/>
      <c r="K799" s="27"/>
      <c r="L799" s="27"/>
      <c r="M799" s="27"/>
      <c r="N799" s="27"/>
    </row>
    <row r="800" spans="1:14" ht="14.5" x14ac:dyDescent="0.35">
      <c r="A800" s="27"/>
      <c r="B800" s="27"/>
      <c r="C800" s="27"/>
      <c r="D800" s="27"/>
      <c r="E800" s="76"/>
      <c r="F800" s="27"/>
      <c r="G800" s="27"/>
      <c r="H800" s="27"/>
      <c r="I800" s="27"/>
      <c r="J800" s="27"/>
      <c r="K800" s="27"/>
      <c r="L800" s="27"/>
      <c r="M800" s="27"/>
      <c r="N800" s="27"/>
    </row>
    <row r="801" spans="1:14" ht="14.5" x14ac:dyDescent="0.35">
      <c r="A801" s="27"/>
      <c r="B801" s="27"/>
      <c r="C801" s="27"/>
      <c r="D801" s="27"/>
      <c r="E801" s="76"/>
      <c r="F801" s="27"/>
      <c r="G801" s="27"/>
      <c r="H801" s="27"/>
      <c r="I801" s="27"/>
      <c r="J801" s="27"/>
      <c r="K801" s="27"/>
      <c r="L801" s="27"/>
      <c r="M801" s="27"/>
      <c r="N801" s="27"/>
    </row>
    <row r="802" spans="1:14" ht="14.5" x14ac:dyDescent="0.35">
      <c r="A802" s="27"/>
      <c r="B802" s="27"/>
      <c r="C802" s="27"/>
      <c r="D802" s="27"/>
      <c r="E802" s="76"/>
      <c r="F802" s="27"/>
      <c r="G802" s="27"/>
      <c r="H802" s="27"/>
      <c r="I802" s="27"/>
      <c r="J802" s="27"/>
      <c r="K802" s="27"/>
      <c r="L802" s="27"/>
      <c r="M802" s="27"/>
      <c r="N802" s="27"/>
    </row>
    <row r="803" spans="1:14" ht="14.5" x14ac:dyDescent="0.35">
      <c r="A803" s="27"/>
      <c r="B803" s="27"/>
      <c r="C803" s="27"/>
      <c r="D803" s="27"/>
      <c r="E803" s="76"/>
      <c r="F803" s="27"/>
      <c r="G803" s="27"/>
      <c r="H803" s="27"/>
      <c r="I803" s="27"/>
      <c r="J803" s="27"/>
      <c r="K803" s="27"/>
      <c r="L803" s="27"/>
      <c r="M803" s="27"/>
      <c r="N803" s="27"/>
    </row>
    <row r="804" spans="1:14" ht="14.5" x14ac:dyDescent="0.35">
      <c r="A804" s="27"/>
      <c r="B804" s="27"/>
      <c r="C804" s="27"/>
      <c r="D804" s="27"/>
      <c r="E804" s="76"/>
      <c r="F804" s="27"/>
      <c r="G804" s="27"/>
      <c r="H804" s="27"/>
      <c r="I804" s="27"/>
      <c r="J804" s="27"/>
      <c r="K804" s="27"/>
      <c r="L804" s="27"/>
      <c r="M804" s="27"/>
      <c r="N804" s="27"/>
    </row>
    <row r="805" spans="1:14" ht="14.5" x14ac:dyDescent="0.35">
      <c r="A805" s="27"/>
      <c r="B805" s="27"/>
      <c r="C805" s="27"/>
      <c r="D805" s="27"/>
      <c r="E805" s="76"/>
      <c r="F805" s="27"/>
      <c r="G805" s="27"/>
      <c r="H805" s="27"/>
      <c r="I805" s="27"/>
      <c r="J805" s="27"/>
      <c r="K805" s="27"/>
      <c r="L805" s="27"/>
      <c r="M805" s="27"/>
      <c r="N805" s="27"/>
    </row>
    <row r="806" spans="1:14" ht="14.5" x14ac:dyDescent="0.35">
      <c r="A806" s="27"/>
      <c r="B806" s="27"/>
      <c r="C806" s="27"/>
      <c r="D806" s="27"/>
      <c r="E806" s="76"/>
      <c r="F806" s="27"/>
      <c r="G806" s="27"/>
      <c r="H806" s="27"/>
      <c r="I806" s="27"/>
      <c r="J806" s="27"/>
      <c r="K806" s="27"/>
      <c r="L806" s="27"/>
      <c r="M806" s="27"/>
      <c r="N806" s="27"/>
    </row>
    <row r="807" spans="1:14" ht="14.5" x14ac:dyDescent="0.35">
      <c r="A807" s="27"/>
      <c r="B807" s="27"/>
      <c r="C807" s="27"/>
      <c r="D807" s="27"/>
      <c r="E807" s="76"/>
      <c r="F807" s="27"/>
      <c r="G807" s="27"/>
      <c r="H807" s="27"/>
      <c r="I807" s="27"/>
      <c r="J807" s="27"/>
      <c r="K807" s="27"/>
      <c r="L807" s="27"/>
      <c r="M807" s="27"/>
      <c r="N807" s="27"/>
    </row>
    <row r="808" spans="1:14" ht="14.5" x14ac:dyDescent="0.35">
      <c r="A808" s="27"/>
      <c r="B808" s="27"/>
      <c r="C808" s="27"/>
      <c r="D808" s="27"/>
      <c r="E808" s="76"/>
      <c r="F808" s="27"/>
      <c r="G808" s="27"/>
      <c r="H808" s="27"/>
      <c r="I808" s="27"/>
      <c r="J808" s="27"/>
      <c r="K808" s="27"/>
      <c r="L808" s="27"/>
      <c r="M808" s="27"/>
      <c r="N808" s="27"/>
    </row>
    <row r="809" spans="1:14" ht="14.5" x14ac:dyDescent="0.35">
      <c r="A809" s="27"/>
      <c r="B809" s="27"/>
      <c r="C809" s="27"/>
      <c r="D809" s="27"/>
      <c r="E809" s="76"/>
      <c r="F809" s="27"/>
      <c r="G809" s="27"/>
      <c r="H809" s="27"/>
      <c r="I809" s="27"/>
      <c r="J809" s="27"/>
      <c r="K809" s="27"/>
      <c r="L809" s="27"/>
      <c r="M809" s="27"/>
      <c r="N809" s="27"/>
    </row>
    <row r="810" spans="1:14" ht="14.5" x14ac:dyDescent="0.35">
      <c r="A810" s="27"/>
      <c r="B810" s="27"/>
      <c r="C810" s="27"/>
      <c r="D810" s="27"/>
      <c r="E810" s="76"/>
      <c r="F810" s="27"/>
      <c r="G810" s="27"/>
      <c r="H810" s="27"/>
      <c r="I810" s="27"/>
      <c r="J810" s="27"/>
      <c r="K810" s="27"/>
      <c r="L810" s="27"/>
      <c r="M810" s="27"/>
      <c r="N810" s="27"/>
    </row>
    <row r="811" spans="1:14" ht="14.5" x14ac:dyDescent="0.35">
      <c r="A811" s="27"/>
      <c r="B811" s="27"/>
      <c r="C811" s="27"/>
      <c r="D811" s="27"/>
      <c r="E811" s="76"/>
      <c r="F811" s="27"/>
      <c r="G811" s="27"/>
      <c r="H811" s="27"/>
      <c r="I811" s="27"/>
      <c r="J811" s="27"/>
      <c r="K811" s="27"/>
      <c r="L811" s="27"/>
      <c r="M811" s="27"/>
      <c r="N811" s="27"/>
    </row>
    <row r="812" spans="1:14" ht="14.5" x14ac:dyDescent="0.35">
      <c r="A812" s="27"/>
      <c r="B812" s="27"/>
      <c r="C812" s="27"/>
      <c r="D812" s="27"/>
      <c r="E812" s="76"/>
      <c r="F812" s="27"/>
      <c r="G812" s="27"/>
      <c r="H812" s="27"/>
      <c r="I812" s="27"/>
      <c r="J812" s="27"/>
      <c r="K812" s="27"/>
      <c r="L812" s="27"/>
      <c r="M812" s="27"/>
      <c r="N812" s="27"/>
    </row>
    <row r="813" spans="1:14" ht="14.5" x14ac:dyDescent="0.35">
      <c r="A813" s="27"/>
      <c r="B813" s="27"/>
      <c r="C813" s="27"/>
      <c r="D813" s="27"/>
      <c r="E813" s="76"/>
      <c r="F813" s="27"/>
      <c r="G813" s="27"/>
      <c r="H813" s="27"/>
      <c r="I813" s="27"/>
      <c r="J813" s="27"/>
      <c r="K813" s="27"/>
      <c r="L813" s="27"/>
      <c r="M813" s="27"/>
      <c r="N813" s="27"/>
    </row>
    <row r="814" spans="1:14" ht="14.5" x14ac:dyDescent="0.35">
      <c r="A814" s="27"/>
      <c r="B814" s="27"/>
      <c r="C814" s="27"/>
      <c r="D814" s="27"/>
      <c r="E814" s="76"/>
      <c r="F814" s="27"/>
      <c r="G814" s="27"/>
      <c r="H814" s="27"/>
      <c r="I814" s="27"/>
      <c r="J814" s="27"/>
      <c r="K814" s="27"/>
      <c r="L814" s="27"/>
      <c r="M814" s="27"/>
      <c r="N814" s="27"/>
    </row>
    <row r="815" spans="1:14" ht="14.5" x14ac:dyDescent="0.35">
      <c r="A815" s="27"/>
      <c r="B815" s="27"/>
      <c r="C815" s="27"/>
      <c r="D815" s="27"/>
      <c r="E815" s="76"/>
      <c r="F815" s="27"/>
      <c r="G815" s="27"/>
      <c r="H815" s="27"/>
      <c r="I815" s="27"/>
      <c r="J815" s="27"/>
      <c r="K815" s="27"/>
      <c r="L815" s="27"/>
      <c r="M815" s="27"/>
      <c r="N815" s="27"/>
    </row>
    <row r="816" spans="1:14" ht="14.5" x14ac:dyDescent="0.35">
      <c r="A816" s="27"/>
      <c r="B816" s="27"/>
      <c r="C816" s="27"/>
      <c r="D816" s="27"/>
      <c r="E816" s="76"/>
      <c r="F816" s="27"/>
      <c r="G816" s="27"/>
      <c r="H816" s="27"/>
      <c r="I816" s="27"/>
      <c r="J816" s="27"/>
      <c r="K816" s="27"/>
      <c r="L816" s="27"/>
      <c r="M816" s="27"/>
      <c r="N816" s="27"/>
    </row>
    <row r="817" spans="1:14" ht="14.5" x14ac:dyDescent="0.35">
      <c r="A817" s="27"/>
      <c r="B817" s="27"/>
      <c r="C817" s="27"/>
      <c r="D817" s="27"/>
      <c r="E817" s="76"/>
      <c r="F817" s="27"/>
      <c r="G817" s="27"/>
      <c r="H817" s="27"/>
      <c r="I817" s="27"/>
      <c r="J817" s="27"/>
      <c r="K817" s="27"/>
      <c r="L817" s="27"/>
      <c r="M817" s="27"/>
      <c r="N817" s="27"/>
    </row>
    <row r="818" spans="1:14" ht="14.5" x14ac:dyDescent="0.35">
      <c r="A818" s="27"/>
      <c r="B818" s="27"/>
      <c r="C818" s="27"/>
      <c r="D818" s="27"/>
      <c r="E818" s="76"/>
      <c r="F818" s="27"/>
      <c r="G818" s="27"/>
      <c r="H818" s="27"/>
      <c r="I818" s="27"/>
      <c r="J818" s="27"/>
      <c r="K818" s="27"/>
      <c r="L818" s="27"/>
      <c r="M818" s="27"/>
      <c r="N818" s="27"/>
    </row>
    <row r="819" spans="1:14" ht="14.5" x14ac:dyDescent="0.35">
      <c r="A819" s="27"/>
      <c r="B819" s="27"/>
      <c r="C819" s="27"/>
      <c r="D819" s="27"/>
      <c r="E819" s="76"/>
      <c r="F819" s="27"/>
      <c r="G819" s="27"/>
      <c r="H819" s="27"/>
      <c r="I819" s="27"/>
      <c r="J819" s="27"/>
      <c r="K819" s="27"/>
      <c r="L819" s="27"/>
      <c r="M819" s="27"/>
      <c r="N819" s="27"/>
    </row>
    <row r="820" spans="1:14" ht="14.5" x14ac:dyDescent="0.35">
      <c r="A820" s="27"/>
      <c r="B820" s="27"/>
      <c r="C820" s="27"/>
      <c r="D820" s="27"/>
      <c r="E820" s="76"/>
      <c r="F820" s="27"/>
      <c r="G820" s="27"/>
      <c r="H820" s="27"/>
      <c r="I820" s="27"/>
      <c r="J820" s="27"/>
      <c r="K820" s="27"/>
      <c r="L820" s="27"/>
      <c r="M820" s="27"/>
      <c r="N820" s="27"/>
    </row>
    <row r="821" spans="1:14" ht="14.5" x14ac:dyDescent="0.35">
      <c r="A821" s="27"/>
      <c r="B821" s="27"/>
      <c r="C821" s="27"/>
      <c r="D821" s="27"/>
      <c r="E821" s="76"/>
      <c r="F821" s="27"/>
      <c r="G821" s="27"/>
      <c r="H821" s="27"/>
      <c r="I821" s="27"/>
      <c r="J821" s="27"/>
      <c r="K821" s="27"/>
      <c r="L821" s="27"/>
      <c r="M821" s="27"/>
      <c r="N821" s="27"/>
    </row>
    <row r="822" spans="1:14" ht="14.5" x14ac:dyDescent="0.35">
      <c r="A822" s="27"/>
      <c r="B822" s="27"/>
      <c r="C822" s="27"/>
      <c r="D822" s="27"/>
      <c r="E822" s="76"/>
      <c r="F822" s="27"/>
      <c r="G822" s="27"/>
      <c r="H822" s="27"/>
      <c r="I822" s="27"/>
      <c r="J822" s="27"/>
      <c r="K822" s="27"/>
      <c r="L822" s="27"/>
      <c r="M822" s="27"/>
      <c r="N822" s="27"/>
    </row>
    <row r="823" spans="1:14" ht="14.5" x14ac:dyDescent="0.35">
      <c r="A823" s="27"/>
      <c r="B823" s="27"/>
      <c r="C823" s="27"/>
      <c r="D823" s="27"/>
      <c r="E823" s="76"/>
      <c r="F823" s="27"/>
      <c r="G823" s="27"/>
      <c r="H823" s="27"/>
      <c r="I823" s="27"/>
      <c r="J823" s="27"/>
      <c r="K823" s="27"/>
      <c r="L823" s="27"/>
      <c r="M823" s="27"/>
      <c r="N823" s="27"/>
    </row>
    <row r="824" spans="1:14" ht="14.5" x14ac:dyDescent="0.35">
      <c r="A824" s="27"/>
      <c r="B824" s="27"/>
      <c r="C824" s="27"/>
      <c r="D824" s="27"/>
      <c r="E824" s="76"/>
      <c r="F824" s="27"/>
      <c r="G824" s="27"/>
      <c r="H824" s="27"/>
      <c r="I824" s="27"/>
      <c r="J824" s="27"/>
      <c r="K824" s="27"/>
      <c r="L824" s="27"/>
      <c r="M824" s="27"/>
      <c r="N824" s="27"/>
    </row>
    <row r="825" spans="1:14" ht="14.5" x14ac:dyDescent="0.35">
      <c r="A825" s="27"/>
      <c r="B825" s="27"/>
      <c r="C825" s="27"/>
      <c r="D825" s="27"/>
      <c r="E825" s="76"/>
      <c r="F825" s="27"/>
      <c r="G825" s="27"/>
      <c r="H825" s="27"/>
      <c r="I825" s="27"/>
      <c r="J825" s="27"/>
      <c r="K825" s="27"/>
      <c r="L825" s="27"/>
      <c r="M825" s="27"/>
      <c r="N825" s="27"/>
    </row>
    <row r="826" spans="1:14" ht="14.5" x14ac:dyDescent="0.35">
      <c r="A826" s="27"/>
      <c r="B826" s="27"/>
      <c r="C826" s="27"/>
      <c r="D826" s="27"/>
      <c r="E826" s="76"/>
      <c r="F826" s="27"/>
      <c r="G826" s="27"/>
      <c r="H826" s="27"/>
      <c r="I826" s="27"/>
      <c r="J826" s="27"/>
      <c r="K826" s="27"/>
      <c r="L826" s="27"/>
      <c r="M826" s="27"/>
      <c r="N826" s="27"/>
    </row>
    <row r="827" spans="1:14" ht="14.5" x14ac:dyDescent="0.35">
      <c r="A827" s="27"/>
      <c r="B827" s="27"/>
      <c r="C827" s="27"/>
      <c r="D827" s="27"/>
      <c r="E827" s="76"/>
      <c r="F827" s="27"/>
      <c r="G827" s="27"/>
      <c r="H827" s="27"/>
      <c r="I827" s="27"/>
      <c r="J827" s="27"/>
      <c r="K827" s="27"/>
      <c r="L827" s="27"/>
      <c r="M827" s="27"/>
      <c r="N827" s="27"/>
    </row>
    <row r="828" spans="1:14" ht="14.5" x14ac:dyDescent="0.35">
      <c r="A828" s="27"/>
      <c r="B828" s="27"/>
      <c r="C828" s="27"/>
      <c r="D828" s="27"/>
      <c r="E828" s="76"/>
      <c r="F828" s="27"/>
      <c r="G828" s="27"/>
      <c r="H828" s="27"/>
      <c r="I828" s="27"/>
      <c r="J828" s="27"/>
      <c r="K828" s="27"/>
      <c r="L828" s="27"/>
      <c r="M828" s="27"/>
      <c r="N828" s="27"/>
    </row>
    <row r="829" spans="1:14" ht="14.5" x14ac:dyDescent="0.35">
      <c r="A829" s="27"/>
      <c r="B829" s="27"/>
      <c r="C829" s="27"/>
      <c r="D829" s="27"/>
      <c r="E829" s="76"/>
      <c r="F829" s="27"/>
      <c r="G829" s="27"/>
      <c r="H829" s="27"/>
      <c r="I829" s="27"/>
      <c r="J829" s="27"/>
      <c r="K829" s="27"/>
      <c r="L829" s="27"/>
      <c r="M829" s="27"/>
      <c r="N829" s="27"/>
    </row>
    <row r="830" spans="1:14" ht="14.5" x14ac:dyDescent="0.35">
      <c r="A830" s="27"/>
      <c r="B830" s="27"/>
      <c r="C830" s="27"/>
      <c r="D830" s="27"/>
      <c r="E830" s="76"/>
      <c r="F830" s="27"/>
      <c r="G830" s="27"/>
      <c r="H830" s="27"/>
      <c r="I830" s="27"/>
      <c r="J830" s="27"/>
      <c r="K830" s="27"/>
      <c r="L830" s="27"/>
      <c r="M830" s="27"/>
      <c r="N830" s="27"/>
    </row>
    <row r="831" spans="1:14" ht="14.5" x14ac:dyDescent="0.35">
      <c r="A831" s="27"/>
      <c r="B831" s="27"/>
      <c r="C831" s="27"/>
      <c r="D831" s="27"/>
      <c r="E831" s="76"/>
      <c r="F831" s="27"/>
      <c r="G831" s="27"/>
      <c r="H831" s="27"/>
      <c r="I831" s="27"/>
      <c r="J831" s="27"/>
      <c r="K831" s="27"/>
      <c r="L831" s="27"/>
      <c r="M831" s="27"/>
      <c r="N831" s="27"/>
    </row>
    <row r="832" spans="1:14" ht="14.5" x14ac:dyDescent="0.35">
      <c r="A832" s="27"/>
      <c r="B832" s="27"/>
      <c r="C832" s="27"/>
      <c r="D832" s="27"/>
      <c r="E832" s="76"/>
      <c r="F832" s="27"/>
      <c r="G832" s="27"/>
      <c r="H832" s="27"/>
      <c r="I832" s="27"/>
      <c r="J832" s="27"/>
      <c r="K832" s="27"/>
      <c r="L832" s="27"/>
      <c r="M832" s="27"/>
      <c r="N832" s="27"/>
    </row>
    <row r="833" spans="1:14" ht="14.5" x14ac:dyDescent="0.35">
      <c r="A833" s="27"/>
      <c r="B833" s="27"/>
      <c r="C833" s="27"/>
      <c r="D833" s="27"/>
      <c r="E833" s="76"/>
      <c r="F833" s="27"/>
      <c r="G833" s="27"/>
      <c r="H833" s="27"/>
      <c r="I833" s="27"/>
      <c r="J833" s="27"/>
      <c r="K833" s="27"/>
      <c r="L833" s="27"/>
      <c r="M833" s="27"/>
      <c r="N833" s="27"/>
    </row>
    <row r="834" spans="1:14" ht="14.5" x14ac:dyDescent="0.35">
      <c r="A834" s="27"/>
      <c r="B834" s="27"/>
      <c r="C834" s="27"/>
      <c r="D834" s="27"/>
      <c r="E834" s="76"/>
      <c r="F834" s="27"/>
      <c r="G834" s="27"/>
      <c r="H834" s="27"/>
      <c r="I834" s="27"/>
      <c r="J834" s="27"/>
      <c r="K834" s="27"/>
      <c r="L834" s="27"/>
      <c r="M834" s="27"/>
      <c r="N834" s="27"/>
    </row>
    <row r="835" spans="1:14" ht="14.5" x14ac:dyDescent="0.35">
      <c r="A835" s="27"/>
      <c r="B835" s="27"/>
      <c r="C835" s="27"/>
      <c r="D835" s="27"/>
      <c r="E835" s="76"/>
      <c r="F835" s="27"/>
      <c r="G835" s="27"/>
      <c r="H835" s="27"/>
      <c r="I835" s="27"/>
      <c r="J835" s="27"/>
      <c r="K835" s="27"/>
      <c r="L835" s="27"/>
      <c r="M835" s="27"/>
      <c r="N835" s="27"/>
    </row>
    <row r="836" spans="1:14" ht="14.5" x14ac:dyDescent="0.35">
      <c r="A836" s="27"/>
      <c r="B836" s="27"/>
      <c r="C836" s="27"/>
      <c r="D836" s="27"/>
      <c r="E836" s="76"/>
      <c r="F836" s="27"/>
      <c r="G836" s="27"/>
      <c r="H836" s="27"/>
      <c r="I836" s="27"/>
      <c r="J836" s="27"/>
      <c r="K836" s="27"/>
      <c r="L836" s="27"/>
      <c r="M836" s="27"/>
      <c r="N836" s="27"/>
    </row>
    <row r="837" spans="1:14" ht="14.5" x14ac:dyDescent="0.35">
      <c r="A837" s="27"/>
      <c r="B837" s="27"/>
      <c r="C837" s="27"/>
      <c r="D837" s="27"/>
      <c r="E837" s="76"/>
      <c r="F837" s="27"/>
      <c r="G837" s="27"/>
      <c r="H837" s="27"/>
      <c r="I837" s="27"/>
      <c r="J837" s="27"/>
      <c r="K837" s="27"/>
      <c r="L837" s="27"/>
      <c r="M837" s="27"/>
      <c r="N837" s="27"/>
    </row>
    <row r="838" spans="1:14" ht="14.5" x14ac:dyDescent="0.35">
      <c r="A838" s="27"/>
      <c r="B838" s="27"/>
      <c r="C838" s="27"/>
      <c r="D838" s="27"/>
      <c r="E838" s="76"/>
      <c r="F838" s="27"/>
      <c r="G838" s="27"/>
      <c r="H838" s="27"/>
      <c r="I838" s="27"/>
      <c r="J838" s="27"/>
      <c r="K838" s="27"/>
      <c r="L838" s="27"/>
      <c r="M838" s="27"/>
      <c r="N838" s="27"/>
    </row>
    <row r="839" spans="1:14" ht="14.5" x14ac:dyDescent="0.35">
      <c r="A839" s="27"/>
      <c r="B839" s="27"/>
      <c r="C839" s="27"/>
      <c r="D839" s="27"/>
      <c r="E839" s="76"/>
      <c r="F839" s="27"/>
      <c r="G839" s="27"/>
      <c r="H839" s="27"/>
      <c r="I839" s="27"/>
      <c r="J839" s="27"/>
      <c r="K839" s="27"/>
      <c r="L839" s="27"/>
      <c r="M839" s="27"/>
      <c r="N839" s="27"/>
    </row>
    <row r="840" spans="1:14" ht="14.5" x14ac:dyDescent="0.35">
      <c r="A840" s="27"/>
      <c r="B840" s="27"/>
      <c r="C840" s="27"/>
      <c r="D840" s="27"/>
      <c r="E840" s="76"/>
      <c r="F840" s="27"/>
      <c r="G840" s="27"/>
      <c r="H840" s="27"/>
      <c r="I840" s="27"/>
      <c r="J840" s="27"/>
      <c r="K840" s="27"/>
      <c r="L840" s="27"/>
      <c r="M840" s="27"/>
      <c r="N840" s="27"/>
    </row>
    <row r="841" spans="1:14" ht="14.5" x14ac:dyDescent="0.35">
      <c r="A841" s="27"/>
      <c r="B841" s="27"/>
      <c r="C841" s="27"/>
      <c r="D841" s="27"/>
      <c r="E841" s="76"/>
      <c r="F841" s="27"/>
      <c r="G841" s="27"/>
      <c r="H841" s="27"/>
      <c r="I841" s="27"/>
      <c r="J841" s="27"/>
      <c r="K841" s="27"/>
      <c r="L841" s="27"/>
      <c r="M841" s="27"/>
      <c r="N841" s="27"/>
    </row>
    <row r="842" spans="1:14" ht="14.5" x14ac:dyDescent="0.35">
      <c r="A842" s="27"/>
      <c r="B842" s="27"/>
      <c r="C842" s="27"/>
      <c r="D842" s="27"/>
      <c r="E842" s="76"/>
      <c r="F842" s="27"/>
      <c r="G842" s="27"/>
      <c r="H842" s="27"/>
      <c r="I842" s="27"/>
      <c r="J842" s="27"/>
      <c r="K842" s="27"/>
      <c r="L842" s="27"/>
      <c r="M842" s="27"/>
      <c r="N842" s="27"/>
    </row>
    <row r="843" spans="1:14" ht="14.5" x14ac:dyDescent="0.35">
      <c r="A843" s="27"/>
      <c r="B843" s="27"/>
      <c r="C843" s="27"/>
      <c r="D843" s="27"/>
      <c r="E843" s="76"/>
      <c r="F843" s="27"/>
      <c r="G843" s="27"/>
      <c r="H843" s="27"/>
      <c r="I843" s="27"/>
      <c r="J843" s="27"/>
      <c r="K843" s="27"/>
      <c r="L843" s="27"/>
      <c r="M843" s="27"/>
      <c r="N843" s="27"/>
    </row>
    <row r="844" spans="1:14" ht="14.5" x14ac:dyDescent="0.35">
      <c r="A844" s="27"/>
      <c r="B844" s="27"/>
      <c r="C844" s="27"/>
      <c r="D844" s="27"/>
      <c r="E844" s="76"/>
      <c r="F844" s="27"/>
      <c r="G844" s="27"/>
      <c r="H844" s="27"/>
      <c r="I844" s="27"/>
      <c r="J844" s="27"/>
      <c r="K844" s="27"/>
      <c r="L844" s="27"/>
      <c r="M844" s="27"/>
      <c r="N844" s="27"/>
    </row>
    <row r="845" spans="1:14" ht="14.5" x14ac:dyDescent="0.35">
      <c r="A845" s="27"/>
      <c r="B845" s="27"/>
      <c r="C845" s="27"/>
      <c r="D845" s="27"/>
      <c r="E845" s="76"/>
      <c r="F845" s="27"/>
      <c r="G845" s="27"/>
      <c r="H845" s="27"/>
      <c r="I845" s="27"/>
      <c r="J845" s="27"/>
      <c r="K845" s="27"/>
      <c r="L845" s="27"/>
      <c r="M845" s="27"/>
      <c r="N845" s="27"/>
    </row>
    <row r="846" spans="1:14" ht="14.5" x14ac:dyDescent="0.35">
      <c r="A846" s="27"/>
      <c r="B846" s="27"/>
      <c r="C846" s="27"/>
      <c r="D846" s="27"/>
      <c r="E846" s="76"/>
      <c r="F846" s="27"/>
      <c r="G846" s="27"/>
      <c r="H846" s="27"/>
      <c r="I846" s="27"/>
      <c r="J846" s="27"/>
      <c r="K846" s="27"/>
      <c r="L846" s="27"/>
      <c r="M846" s="27"/>
      <c r="N846" s="27"/>
    </row>
    <row r="847" spans="1:14" ht="14.5" x14ac:dyDescent="0.35">
      <c r="A847" s="27"/>
      <c r="B847" s="27"/>
      <c r="C847" s="27"/>
      <c r="D847" s="27"/>
      <c r="E847" s="76"/>
      <c r="F847" s="27"/>
      <c r="G847" s="27"/>
      <c r="H847" s="27"/>
      <c r="I847" s="27"/>
      <c r="J847" s="27"/>
      <c r="K847" s="27"/>
      <c r="L847" s="27"/>
      <c r="M847" s="27"/>
      <c r="N847" s="27"/>
    </row>
    <row r="848" spans="1:14" ht="14.5" x14ac:dyDescent="0.35">
      <c r="A848" s="27"/>
      <c r="B848" s="27"/>
      <c r="C848" s="27"/>
      <c r="D848" s="27"/>
      <c r="E848" s="76"/>
      <c r="F848" s="27"/>
      <c r="G848" s="27"/>
      <c r="H848" s="27"/>
      <c r="I848" s="27"/>
      <c r="J848" s="27"/>
      <c r="K848" s="27"/>
      <c r="L848" s="27"/>
      <c r="M848" s="27"/>
      <c r="N848" s="27"/>
    </row>
    <row r="849" spans="1:14" ht="14.5" x14ac:dyDescent="0.35">
      <c r="A849" s="27"/>
      <c r="B849" s="27"/>
      <c r="C849" s="27"/>
      <c r="D849" s="27"/>
      <c r="E849" s="76"/>
      <c r="F849" s="27"/>
      <c r="G849" s="27"/>
      <c r="H849" s="27"/>
      <c r="I849" s="27"/>
      <c r="J849" s="27"/>
      <c r="K849" s="27"/>
      <c r="L849" s="27"/>
      <c r="M849" s="27"/>
      <c r="N849" s="27"/>
    </row>
    <row r="850" spans="1:14" ht="14.5" x14ac:dyDescent="0.35">
      <c r="A850" s="27"/>
      <c r="B850" s="27"/>
      <c r="C850" s="27"/>
      <c r="D850" s="27"/>
      <c r="E850" s="76"/>
      <c r="F850" s="27"/>
      <c r="G850" s="27"/>
      <c r="H850" s="27"/>
      <c r="I850" s="27"/>
      <c r="J850" s="27"/>
      <c r="K850" s="27"/>
      <c r="L850" s="27"/>
      <c r="M850" s="27"/>
      <c r="N850" s="27"/>
    </row>
    <row r="851" spans="1:14" ht="14.5" x14ac:dyDescent="0.35">
      <c r="A851" s="27"/>
      <c r="B851" s="27"/>
      <c r="C851" s="27"/>
      <c r="D851" s="27"/>
      <c r="E851" s="76"/>
      <c r="F851" s="27"/>
      <c r="G851" s="27"/>
      <c r="H851" s="27"/>
      <c r="I851" s="27"/>
      <c r="J851" s="27"/>
      <c r="K851" s="27"/>
      <c r="L851" s="27"/>
      <c r="M851" s="27"/>
      <c r="N851" s="27"/>
    </row>
    <row r="852" spans="1:14" ht="14.5" x14ac:dyDescent="0.35">
      <c r="A852" s="27"/>
      <c r="B852" s="27"/>
      <c r="C852" s="27"/>
      <c r="D852" s="27"/>
      <c r="E852" s="76"/>
      <c r="F852" s="27"/>
      <c r="G852" s="27"/>
      <c r="H852" s="27"/>
      <c r="I852" s="27"/>
      <c r="J852" s="27"/>
      <c r="K852" s="27"/>
      <c r="L852" s="27"/>
      <c r="M852" s="27"/>
      <c r="N852" s="27"/>
    </row>
    <row r="853" spans="1:14" ht="14.5" x14ac:dyDescent="0.35">
      <c r="A853" s="27"/>
      <c r="B853" s="27"/>
      <c r="C853" s="27"/>
      <c r="D853" s="27"/>
      <c r="E853" s="76"/>
      <c r="F853" s="27"/>
      <c r="G853" s="27"/>
      <c r="H853" s="27"/>
      <c r="I853" s="27"/>
      <c r="J853" s="27"/>
      <c r="K853" s="27"/>
      <c r="L853" s="27"/>
      <c r="M853" s="27"/>
      <c r="N853" s="27"/>
    </row>
    <row r="854" spans="1:14" ht="14.5" x14ac:dyDescent="0.35">
      <c r="A854" s="27"/>
      <c r="B854" s="27"/>
      <c r="C854" s="27"/>
      <c r="D854" s="27"/>
      <c r="E854" s="76"/>
      <c r="F854" s="27"/>
      <c r="G854" s="27"/>
      <c r="H854" s="27"/>
      <c r="I854" s="27"/>
      <c r="J854" s="27"/>
      <c r="K854" s="27"/>
      <c r="L854" s="27"/>
      <c r="M854" s="27"/>
      <c r="N854" s="27"/>
    </row>
    <row r="855" spans="1:14" ht="14.5" x14ac:dyDescent="0.35">
      <c r="A855" s="27"/>
      <c r="B855" s="27"/>
      <c r="C855" s="27"/>
      <c r="D855" s="27"/>
      <c r="E855" s="76"/>
      <c r="F855" s="27"/>
      <c r="G855" s="27"/>
      <c r="H855" s="27"/>
      <c r="I855" s="27"/>
      <c r="J855" s="27"/>
      <c r="K855" s="27"/>
      <c r="L855" s="27"/>
      <c r="M855" s="27"/>
      <c r="N855" s="27"/>
    </row>
    <row r="856" spans="1:14" ht="14.5" x14ac:dyDescent="0.35">
      <c r="A856" s="27"/>
      <c r="B856" s="27"/>
      <c r="C856" s="27"/>
      <c r="D856" s="27"/>
      <c r="E856" s="76"/>
      <c r="F856" s="27"/>
      <c r="G856" s="27"/>
      <c r="H856" s="27"/>
      <c r="I856" s="27"/>
      <c r="J856" s="27"/>
      <c r="K856" s="27"/>
      <c r="L856" s="27"/>
      <c r="M856" s="27"/>
      <c r="N856" s="27"/>
    </row>
    <row r="857" spans="1:14" ht="14.5" x14ac:dyDescent="0.35">
      <c r="A857" s="27"/>
      <c r="B857" s="27"/>
      <c r="C857" s="27"/>
      <c r="D857" s="27"/>
      <c r="E857" s="76"/>
      <c r="F857" s="27"/>
      <c r="G857" s="27"/>
      <c r="H857" s="27"/>
      <c r="I857" s="27"/>
      <c r="J857" s="27"/>
      <c r="K857" s="27"/>
      <c r="L857" s="27"/>
      <c r="M857" s="27"/>
      <c r="N857" s="27"/>
    </row>
    <row r="858" spans="1:14" ht="14.5" x14ac:dyDescent="0.35">
      <c r="A858" s="27"/>
      <c r="B858" s="27"/>
      <c r="C858" s="27"/>
      <c r="D858" s="27"/>
      <c r="E858" s="76"/>
      <c r="F858" s="27"/>
      <c r="G858" s="27"/>
      <c r="H858" s="27"/>
      <c r="I858" s="27"/>
      <c r="J858" s="27"/>
      <c r="K858" s="27"/>
      <c r="L858" s="27"/>
      <c r="M858" s="27"/>
      <c r="N858" s="27"/>
    </row>
    <row r="859" spans="1:14" ht="14.5" x14ac:dyDescent="0.35">
      <c r="A859" s="27"/>
      <c r="B859" s="27"/>
      <c r="C859" s="27"/>
      <c r="D859" s="27"/>
      <c r="E859" s="76"/>
      <c r="F859" s="27"/>
      <c r="G859" s="27"/>
      <c r="H859" s="27"/>
      <c r="I859" s="27"/>
      <c r="J859" s="27"/>
      <c r="K859" s="27"/>
      <c r="L859" s="27"/>
      <c r="M859" s="27"/>
      <c r="N859" s="27"/>
    </row>
    <row r="860" spans="1:14" ht="14.5" x14ac:dyDescent="0.35">
      <c r="A860" s="27"/>
      <c r="B860" s="27"/>
      <c r="C860" s="27"/>
      <c r="D860" s="27"/>
      <c r="E860" s="76"/>
      <c r="F860" s="27"/>
      <c r="G860" s="27"/>
      <c r="H860" s="27"/>
      <c r="I860" s="27"/>
      <c r="J860" s="27"/>
      <c r="K860" s="27"/>
      <c r="L860" s="27"/>
      <c r="M860" s="27"/>
      <c r="N860" s="27"/>
    </row>
    <row r="861" spans="1:14" ht="14.5" x14ac:dyDescent="0.35">
      <c r="A861" s="27"/>
      <c r="B861" s="27"/>
      <c r="C861" s="27"/>
      <c r="D861" s="27"/>
      <c r="E861" s="76"/>
      <c r="F861" s="27"/>
      <c r="G861" s="27"/>
      <c r="H861" s="27"/>
      <c r="I861" s="27"/>
      <c r="J861" s="27"/>
      <c r="K861" s="27"/>
      <c r="L861" s="27"/>
      <c r="M861" s="27"/>
      <c r="N861" s="27"/>
    </row>
    <row r="862" spans="1:14" ht="14.5" x14ac:dyDescent="0.35">
      <c r="A862" s="27"/>
      <c r="B862" s="27"/>
      <c r="C862" s="27"/>
      <c r="D862" s="27"/>
      <c r="E862" s="76"/>
      <c r="F862" s="27"/>
      <c r="G862" s="27"/>
      <c r="H862" s="27"/>
      <c r="I862" s="27"/>
      <c r="J862" s="27"/>
      <c r="K862" s="27"/>
      <c r="L862" s="27"/>
      <c r="M862" s="27"/>
      <c r="N862" s="27"/>
    </row>
    <row r="863" spans="1:14" ht="14.5" x14ac:dyDescent="0.35">
      <c r="A863" s="27"/>
      <c r="B863" s="27"/>
      <c r="C863" s="27"/>
      <c r="D863" s="27"/>
      <c r="E863" s="76"/>
      <c r="F863" s="27"/>
      <c r="G863" s="27"/>
      <c r="H863" s="27"/>
      <c r="I863" s="27"/>
      <c r="J863" s="27"/>
      <c r="K863" s="27"/>
      <c r="L863" s="27"/>
      <c r="M863" s="27"/>
      <c r="N863" s="27"/>
    </row>
    <row r="864" spans="1:14" ht="14.5" x14ac:dyDescent="0.35">
      <c r="A864" s="27"/>
      <c r="B864" s="27"/>
      <c r="C864" s="27"/>
      <c r="D864" s="27"/>
      <c r="E864" s="76"/>
      <c r="F864" s="27"/>
      <c r="G864" s="27"/>
      <c r="H864" s="27"/>
      <c r="I864" s="27"/>
      <c r="J864" s="27"/>
      <c r="K864" s="27"/>
      <c r="L864" s="27"/>
      <c r="M864" s="27"/>
      <c r="N864" s="27"/>
    </row>
    <row r="865" spans="1:14" ht="14.5" x14ac:dyDescent="0.35">
      <c r="A865" s="27"/>
      <c r="B865" s="27"/>
      <c r="C865" s="27"/>
      <c r="D865" s="27"/>
      <c r="E865" s="76"/>
      <c r="F865" s="27"/>
      <c r="G865" s="27"/>
      <c r="H865" s="27"/>
      <c r="I865" s="27"/>
      <c r="J865" s="27"/>
      <c r="K865" s="27"/>
      <c r="L865" s="27"/>
      <c r="M865" s="27"/>
      <c r="N865" s="27"/>
    </row>
    <row r="866" spans="1:14" ht="14.5" x14ac:dyDescent="0.35">
      <c r="A866" s="27"/>
      <c r="B866" s="27"/>
      <c r="C866" s="27"/>
      <c r="D866" s="27"/>
      <c r="E866" s="76"/>
      <c r="F866" s="27"/>
      <c r="G866" s="27"/>
      <c r="H866" s="27"/>
      <c r="I866" s="27"/>
      <c r="J866" s="27"/>
      <c r="K866" s="27"/>
      <c r="L866" s="27"/>
      <c r="M866" s="27"/>
      <c r="N866" s="27"/>
    </row>
    <row r="867" spans="1:14" ht="14.5" x14ac:dyDescent="0.35">
      <c r="A867" s="27"/>
      <c r="B867" s="27"/>
      <c r="C867" s="27"/>
      <c r="D867" s="27"/>
      <c r="E867" s="76"/>
      <c r="F867" s="27"/>
      <c r="G867" s="27"/>
      <c r="H867" s="27"/>
      <c r="I867" s="27"/>
      <c r="J867" s="27"/>
      <c r="K867" s="27"/>
      <c r="L867" s="27"/>
      <c r="M867" s="27"/>
      <c r="N867" s="27"/>
    </row>
    <row r="868" spans="1:14" ht="14.5" x14ac:dyDescent="0.35">
      <c r="A868" s="27"/>
      <c r="B868" s="27"/>
      <c r="C868" s="27"/>
      <c r="D868" s="27"/>
      <c r="E868" s="76"/>
      <c r="F868" s="27"/>
      <c r="G868" s="27"/>
      <c r="H868" s="27"/>
      <c r="I868" s="27"/>
      <c r="J868" s="27"/>
      <c r="K868" s="27"/>
      <c r="L868" s="27"/>
      <c r="M868" s="27"/>
      <c r="N868" s="27"/>
    </row>
    <row r="869" spans="1:14" ht="14.5" x14ac:dyDescent="0.35">
      <c r="A869" s="27"/>
      <c r="B869" s="27"/>
      <c r="C869" s="27"/>
      <c r="D869" s="27"/>
      <c r="E869" s="76"/>
      <c r="F869" s="27"/>
      <c r="G869" s="27"/>
      <c r="H869" s="27"/>
      <c r="I869" s="27"/>
      <c r="J869" s="27"/>
      <c r="K869" s="27"/>
      <c r="L869" s="27"/>
      <c r="M869" s="27"/>
      <c r="N869" s="27"/>
    </row>
    <row r="870" spans="1:14" ht="14.5" x14ac:dyDescent="0.35">
      <c r="A870" s="27"/>
      <c r="B870" s="27"/>
      <c r="C870" s="27"/>
      <c r="D870" s="27"/>
      <c r="E870" s="76"/>
      <c r="F870" s="27"/>
      <c r="G870" s="27"/>
      <c r="H870" s="27"/>
      <c r="I870" s="27"/>
      <c r="J870" s="27"/>
      <c r="K870" s="27"/>
      <c r="L870" s="27"/>
      <c r="M870" s="27"/>
      <c r="N870" s="27"/>
    </row>
    <row r="871" spans="1:14" ht="14.5" x14ac:dyDescent="0.35">
      <c r="A871" s="27"/>
      <c r="B871" s="27"/>
      <c r="C871" s="27"/>
      <c r="D871" s="27"/>
      <c r="E871" s="76"/>
      <c r="F871" s="27"/>
      <c r="G871" s="27"/>
      <c r="H871" s="27"/>
      <c r="I871" s="27"/>
      <c r="J871" s="27"/>
      <c r="K871" s="27"/>
      <c r="L871" s="27"/>
      <c r="M871" s="27"/>
      <c r="N871" s="27"/>
    </row>
    <row r="872" spans="1:14" ht="14.5" x14ac:dyDescent="0.35">
      <c r="A872" s="27"/>
      <c r="B872" s="27"/>
      <c r="C872" s="27"/>
      <c r="D872" s="27"/>
      <c r="E872" s="76"/>
      <c r="F872" s="27"/>
      <c r="G872" s="27"/>
      <c r="H872" s="27"/>
      <c r="I872" s="27"/>
      <c r="J872" s="27"/>
      <c r="K872" s="27"/>
      <c r="L872" s="27"/>
      <c r="M872" s="27"/>
      <c r="N872" s="27"/>
    </row>
    <row r="873" spans="1:14" ht="14.5" x14ac:dyDescent="0.35">
      <c r="A873" s="27"/>
      <c r="B873" s="27"/>
      <c r="C873" s="27"/>
      <c r="D873" s="27"/>
      <c r="E873" s="76"/>
      <c r="F873" s="27"/>
      <c r="G873" s="27"/>
      <c r="H873" s="27"/>
      <c r="I873" s="27"/>
      <c r="J873" s="27"/>
      <c r="K873" s="27"/>
      <c r="L873" s="27"/>
      <c r="M873" s="27"/>
      <c r="N873" s="27"/>
    </row>
    <row r="874" spans="1:14" ht="14.5" x14ac:dyDescent="0.35">
      <c r="A874" s="27"/>
      <c r="B874" s="27"/>
      <c r="C874" s="27"/>
      <c r="D874" s="27"/>
      <c r="E874" s="76"/>
      <c r="F874" s="27"/>
      <c r="G874" s="27"/>
      <c r="H874" s="27"/>
      <c r="I874" s="27"/>
      <c r="J874" s="27"/>
      <c r="K874" s="27"/>
      <c r="L874" s="27"/>
      <c r="M874" s="27"/>
      <c r="N874" s="27"/>
    </row>
    <row r="875" spans="1:14" ht="14.5" x14ac:dyDescent="0.35">
      <c r="A875" s="27"/>
      <c r="B875" s="27"/>
      <c r="C875" s="27"/>
      <c r="D875" s="27"/>
      <c r="E875" s="76"/>
      <c r="F875" s="27"/>
      <c r="G875" s="27"/>
      <c r="H875" s="27"/>
      <c r="I875" s="27"/>
      <c r="J875" s="27"/>
      <c r="K875" s="27"/>
      <c r="L875" s="27"/>
      <c r="M875" s="27"/>
      <c r="N875" s="27"/>
    </row>
    <row r="876" spans="1:14" ht="14.5" x14ac:dyDescent="0.35">
      <c r="A876" s="27"/>
      <c r="B876" s="27"/>
      <c r="C876" s="27"/>
      <c r="D876" s="27"/>
      <c r="E876" s="76"/>
      <c r="F876" s="27"/>
      <c r="G876" s="27"/>
      <c r="H876" s="27"/>
      <c r="I876" s="27"/>
      <c r="J876" s="27"/>
      <c r="K876" s="27"/>
      <c r="L876" s="27"/>
      <c r="M876" s="27"/>
      <c r="N876" s="27"/>
    </row>
    <row r="877" spans="1:14" ht="14.5" x14ac:dyDescent="0.35">
      <c r="A877" s="27"/>
      <c r="B877" s="27"/>
      <c r="C877" s="27"/>
      <c r="D877" s="27"/>
      <c r="E877" s="76"/>
      <c r="F877" s="27"/>
      <c r="G877" s="27"/>
      <c r="H877" s="27"/>
      <c r="I877" s="27"/>
      <c r="J877" s="27"/>
      <c r="K877" s="27"/>
      <c r="L877" s="27"/>
      <c r="M877" s="27"/>
      <c r="N877" s="27"/>
    </row>
    <row r="878" spans="1:14" ht="14.5" x14ac:dyDescent="0.35">
      <c r="A878" s="27"/>
      <c r="B878" s="27"/>
      <c r="C878" s="27"/>
      <c r="D878" s="27"/>
      <c r="E878" s="76"/>
      <c r="F878" s="27"/>
      <c r="G878" s="27"/>
      <c r="H878" s="27"/>
      <c r="I878" s="27"/>
      <c r="J878" s="27"/>
      <c r="K878" s="27"/>
      <c r="L878" s="27"/>
      <c r="M878" s="27"/>
      <c r="N878" s="27"/>
    </row>
    <row r="879" spans="1:14" ht="14.5" x14ac:dyDescent="0.35">
      <c r="A879" s="27"/>
      <c r="B879" s="27"/>
      <c r="C879" s="27"/>
      <c r="D879" s="27"/>
      <c r="E879" s="76"/>
      <c r="F879" s="27"/>
      <c r="G879" s="27"/>
      <c r="H879" s="27"/>
      <c r="I879" s="27"/>
      <c r="J879" s="27"/>
      <c r="K879" s="27"/>
      <c r="L879" s="27"/>
      <c r="M879" s="27"/>
      <c r="N879" s="27"/>
    </row>
    <row r="880" spans="1:14" ht="14.5" x14ac:dyDescent="0.35">
      <c r="A880" s="27"/>
      <c r="B880" s="27"/>
      <c r="C880" s="27"/>
      <c r="D880" s="27"/>
      <c r="E880" s="76"/>
      <c r="F880" s="27"/>
      <c r="G880" s="27"/>
      <c r="H880" s="27"/>
      <c r="I880" s="27"/>
      <c r="J880" s="27"/>
      <c r="K880" s="27"/>
      <c r="L880" s="27"/>
      <c r="M880" s="27"/>
      <c r="N880" s="27"/>
    </row>
    <row r="881" spans="1:14" ht="14.5" x14ac:dyDescent="0.35">
      <c r="A881" s="27"/>
      <c r="B881" s="27"/>
      <c r="C881" s="27"/>
      <c r="D881" s="27"/>
      <c r="E881" s="76"/>
      <c r="F881" s="27"/>
      <c r="G881" s="27"/>
      <c r="H881" s="27"/>
      <c r="I881" s="27"/>
      <c r="J881" s="27"/>
      <c r="K881" s="27"/>
      <c r="L881" s="27"/>
      <c r="M881" s="27"/>
      <c r="N881" s="27"/>
    </row>
    <row r="882" spans="1:14" ht="14.5" x14ac:dyDescent="0.35">
      <c r="A882" s="27"/>
      <c r="B882" s="27"/>
      <c r="C882" s="27"/>
      <c r="D882" s="27"/>
      <c r="E882" s="76"/>
      <c r="F882" s="27"/>
      <c r="G882" s="27"/>
      <c r="H882" s="27"/>
      <c r="I882" s="27"/>
      <c r="J882" s="27"/>
      <c r="K882" s="27"/>
      <c r="L882" s="27"/>
      <c r="M882" s="27"/>
      <c r="N882" s="27"/>
    </row>
    <row r="883" spans="1:14" ht="14.5" x14ac:dyDescent="0.35">
      <c r="A883" s="27"/>
      <c r="B883" s="27"/>
      <c r="C883" s="27"/>
      <c r="D883" s="27"/>
      <c r="E883" s="76"/>
      <c r="F883" s="27"/>
      <c r="G883" s="27"/>
      <c r="H883" s="27"/>
      <c r="I883" s="27"/>
      <c r="J883" s="27"/>
      <c r="K883" s="27"/>
      <c r="L883" s="27"/>
      <c r="M883" s="27"/>
      <c r="N883" s="27"/>
    </row>
    <row r="884" spans="1:14" ht="14.5" x14ac:dyDescent="0.35">
      <c r="A884" s="27"/>
      <c r="B884" s="27"/>
      <c r="C884" s="27"/>
      <c r="D884" s="27"/>
      <c r="E884" s="76"/>
      <c r="F884" s="27"/>
      <c r="G884" s="27"/>
      <c r="H884" s="27"/>
      <c r="I884" s="27"/>
      <c r="J884" s="27"/>
      <c r="K884" s="27"/>
      <c r="L884" s="27"/>
      <c r="M884" s="27"/>
      <c r="N884" s="27"/>
    </row>
    <row r="885" spans="1:14" ht="14.5" x14ac:dyDescent="0.35">
      <c r="A885" s="27"/>
      <c r="B885" s="27"/>
      <c r="C885" s="27"/>
      <c r="D885" s="27"/>
      <c r="E885" s="76"/>
      <c r="F885" s="27"/>
      <c r="G885" s="27"/>
      <c r="H885" s="27"/>
      <c r="I885" s="27"/>
      <c r="J885" s="27"/>
      <c r="K885" s="27"/>
      <c r="L885" s="27"/>
      <c r="M885" s="27"/>
      <c r="N885" s="27"/>
    </row>
    <row r="886" spans="1:14" ht="14.5" x14ac:dyDescent="0.35">
      <c r="A886" s="27"/>
      <c r="B886" s="27"/>
      <c r="C886" s="27"/>
      <c r="D886" s="27"/>
      <c r="E886" s="76"/>
      <c r="F886" s="27"/>
      <c r="G886" s="27"/>
      <c r="H886" s="27"/>
      <c r="I886" s="27"/>
      <c r="J886" s="27"/>
      <c r="K886" s="27"/>
      <c r="L886" s="27"/>
      <c r="M886" s="27"/>
      <c r="N886" s="27"/>
    </row>
    <row r="887" spans="1:14" ht="14.5" x14ac:dyDescent="0.35">
      <c r="A887" s="27"/>
      <c r="B887" s="27"/>
      <c r="C887" s="27"/>
      <c r="D887" s="27"/>
      <c r="E887" s="76"/>
      <c r="F887" s="27"/>
      <c r="G887" s="27"/>
      <c r="H887" s="27"/>
      <c r="I887" s="27"/>
      <c r="J887" s="27"/>
      <c r="K887" s="27"/>
      <c r="L887" s="27"/>
      <c r="M887" s="27"/>
      <c r="N887" s="27"/>
    </row>
    <row r="888" spans="1:14" ht="14.5" x14ac:dyDescent="0.35">
      <c r="A888" s="27"/>
      <c r="B888" s="27"/>
      <c r="C888" s="27"/>
      <c r="D888" s="27"/>
      <c r="E888" s="76"/>
      <c r="F888" s="27"/>
      <c r="G888" s="27"/>
      <c r="H888" s="27"/>
      <c r="I888" s="27"/>
      <c r="J888" s="27"/>
      <c r="K888" s="27"/>
      <c r="L888" s="27"/>
      <c r="M888" s="27"/>
      <c r="N888" s="27"/>
    </row>
    <row r="889" spans="1:14" ht="14.5" x14ac:dyDescent="0.35">
      <c r="A889" s="27"/>
      <c r="B889" s="27"/>
      <c r="C889" s="27"/>
      <c r="D889" s="27"/>
      <c r="E889" s="76"/>
      <c r="F889" s="27"/>
      <c r="G889" s="27"/>
      <c r="H889" s="27"/>
      <c r="I889" s="27"/>
      <c r="J889" s="27"/>
      <c r="K889" s="27"/>
      <c r="L889" s="27"/>
      <c r="M889" s="27"/>
      <c r="N889" s="27"/>
    </row>
    <row r="890" spans="1:14" ht="14.5" x14ac:dyDescent="0.35">
      <c r="A890" s="27"/>
      <c r="B890" s="27"/>
      <c r="C890" s="27"/>
      <c r="D890" s="27"/>
      <c r="E890" s="76"/>
      <c r="F890" s="27"/>
      <c r="G890" s="27"/>
      <c r="H890" s="27"/>
      <c r="I890" s="27"/>
      <c r="J890" s="27"/>
      <c r="K890" s="27"/>
      <c r="L890" s="27"/>
      <c r="M890" s="27"/>
      <c r="N890" s="27"/>
    </row>
    <row r="891" spans="1:14" ht="14.5" x14ac:dyDescent="0.35">
      <c r="A891" s="27"/>
      <c r="B891" s="27"/>
      <c r="C891" s="27"/>
      <c r="D891" s="27"/>
      <c r="E891" s="76"/>
      <c r="F891" s="27"/>
      <c r="G891" s="27"/>
      <c r="H891" s="27"/>
      <c r="I891" s="27"/>
      <c r="J891" s="27"/>
      <c r="K891" s="27"/>
      <c r="L891" s="27"/>
      <c r="M891" s="27"/>
      <c r="N891" s="27"/>
    </row>
    <row r="892" spans="1:14" ht="14.5" x14ac:dyDescent="0.35">
      <c r="A892" s="27"/>
      <c r="B892" s="27"/>
      <c r="C892" s="27"/>
      <c r="D892" s="27"/>
      <c r="E892" s="76"/>
      <c r="F892" s="27"/>
      <c r="G892" s="27"/>
      <c r="H892" s="27"/>
      <c r="I892" s="27"/>
      <c r="J892" s="27"/>
      <c r="K892" s="27"/>
      <c r="L892" s="27"/>
      <c r="M892" s="27"/>
      <c r="N892" s="27"/>
    </row>
    <row r="893" spans="1:14" ht="14.5" x14ac:dyDescent="0.35">
      <c r="A893" s="27"/>
      <c r="B893" s="27"/>
      <c r="C893" s="27"/>
      <c r="D893" s="27"/>
      <c r="E893" s="76"/>
      <c r="F893" s="27"/>
      <c r="G893" s="27"/>
      <c r="H893" s="27"/>
      <c r="I893" s="27"/>
      <c r="J893" s="27"/>
      <c r="K893" s="27"/>
      <c r="L893" s="27"/>
      <c r="M893" s="27"/>
      <c r="N893" s="27"/>
    </row>
    <row r="894" spans="1:14" ht="14.5" x14ac:dyDescent="0.35">
      <c r="A894" s="27"/>
      <c r="B894" s="27"/>
      <c r="C894" s="27"/>
      <c r="D894" s="27"/>
      <c r="E894" s="76"/>
      <c r="F894" s="27"/>
      <c r="G894" s="27"/>
      <c r="H894" s="27"/>
      <c r="I894" s="27"/>
      <c r="J894" s="27"/>
      <c r="K894" s="27"/>
      <c r="L894" s="27"/>
      <c r="M894" s="27"/>
      <c r="N894" s="27"/>
    </row>
    <row r="895" spans="1:14" ht="14.5" x14ac:dyDescent="0.35">
      <c r="A895" s="27"/>
      <c r="B895" s="27"/>
      <c r="C895" s="27"/>
      <c r="D895" s="27"/>
      <c r="E895" s="76"/>
      <c r="F895" s="27"/>
      <c r="G895" s="27"/>
      <c r="H895" s="27"/>
      <c r="I895" s="27"/>
      <c r="J895" s="27"/>
      <c r="K895" s="27"/>
      <c r="L895" s="27"/>
      <c r="M895" s="27"/>
      <c r="N895" s="27"/>
    </row>
    <row r="896" spans="1:14" ht="14.5" x14ac:dyDescent="0.35">
      <c r="A896" s="27"/>
      <c r="B896" s="27"/>
      <c r="C896" s="27"/>
      <c r="D896" s="27"/>
      <c r="E896" s="76"/>
      <c r="F896" s="27"/>
      <c r="G896" s="27"/>
      <c r="H896" s="27"/>
      <c r="I896" s="27"/>
      <c r="J896" s="27"/>
      <c r="K896" s="27"/>
      <c r="L896" s="27"/>
      <c r="M896" s="27"/>
      <c r="N896" s="27"/>
    </row>
    <row r="897" spans="1:14" ht="14.5" x14ac:dyDescent="0.35">
      <c r="A897" s="27"/>
      <c r="B897" s="27"/>
      <c r="C897" s="27"/>
      <c r="D897" s="27"/>
      <c r="E897" s="76"/>
      <c r="F897" s="27"/>
      <c r="G897" s="27"/>
      <c r="H897" s="27"/>
      <c r="I897" s="27"/>
      <c r="J897" s="27"/>
      <c r="K897" s="27"/>
      <c r="L897" s="27"/>
      <c r="M897" s="27"/>
      <c r="N897" s="27"/>
    </row>
    <row r="898" spans="1:14" ht="14.5" x14ac:dyDescent="0.35">
      <c r="A898" s="27"/>
      <c r="B898" s="27"/>
      <c r="C898" s="27"/>
      <c r="D898" s="27"/>
      <c r="E898" s="76"/>
      <c r="F898" s="27"/>
      <c r="G898" s="27"/>
      <c r="H898" s="27"/>
      <c r="I898" s="27"/>
      <c r="J898" s="27"/>
      <c r="K898" s="27"/>
      <c r="L898" s="27"/>
      <c r="M898" s="27"/>
      <c r="N898" s="27"/>
    </row>
    <row r="899" spans="1:14" ht="14.5" x14ac:dyDescent="0.35">
      <c r="A899" s="27"/>
      <c r="B899" s="27"/>
      <c r="C899" s="27"/>
      <c r="D899" s="27"/>
      <c r="E899" s="76"/>
      <c r="F899" s="27"/>
      <c r="G899" s="27"/>
      <c r="H899" s="27"/>
      <c r="I899" s="27"/>
      <c r="J899" s="27"/>
      <c r="K899" s="27"/>
      <c r="L899" s="27"/>
      <c r="M899" s="27"/>
      <c r="N899" s="27"/>
    </row>
    <row r="900" spans="1:14" ht="14.5" x14ac:dyDescent="0.35">
      <c r="A900" s="27"/>
      <c r="B900" s="27"/>
      <c r="C900" s="27"/>
      <c r="D900" s="27"/>
      <c r="E900" s="76"/>
      <c r="F900" s="27"/>
      <c r="G900" s="27"/>
      <c r="H900" s="27"/>
      <c r="I900" s="27"/>
      <c r="J900" s="27"/>
      <c r="K900" s="27"/>
      <c r="L900" s="27"/>
      <c r="M900" s="27"/>
      <c r="N900" s="27"/>
    </row>
    <row r="901" spans="1:14" ht="14.5" x14ac:dyDescent="0.35">
      <c r="A901" s="27"/>
      <c r="B901" s="27"/>
      <c r="C901" s="27"/>
      <c r="D901" s="27"/>
      <c r="E901" s="76"/>
      <c r="F901" s="27"/>
      <c r="G901" s="27"/>
      <c r="H901" s="27"/>
      <c r="I901" s="27"/>
      <c r="J901" s="27"/>
      <c r="K901" s="27"/>
      <c r="L901" s="27"/>
      <c r="M901" s="27"/>
      <c r="N901" s="27"/>
    </row>
    <row r="902" spans="1:14" ht="14.5" x14ac:dyDescent="0.35">
      <c r="A902" s="27"/>
      <c r="B902" s="27"/>
      <c r="C902" s="27"/>
      <c r="D902" s="27"/>
      <c r="E902" s="76"/>
      <c r="F902" s="27"/>
      <c r="G902" s="27"/>
      <c r="H902" s="27"/>
      <c r="I902" s="27"/>
      <c r="J902" s="27"/>
      <c r="K902" s="27"/>
      <c r="L902" s="27"/>
      <c r="M902" s="27"/>
      <c r="N902" s="27"/>
    </row>
    <row r="903" spans="1:14" ht="14.5" x14ac:dyDescent="0.35">
      <c r="A903" s="27"/>
      <c r="B903" s="27"/>
      <c r="C903" s="27"/>
      <c r="D903" s="27"/>
      <c r="E903" s="76"/>
      <c r="F903" s="27"/>
      <c r="G903" s="27"/>
      <c r="H903" s="27"/>
      <c r="I903" s="27"/>
      <c r="J903" s="27"/>
      <c r="K903" s="27"/>
      <c r="L903" s="27"/>
      <c r="M903" s="27"/>
      <c r="N903" s="27"/>
    </row>
    <row r="904" spans="1:14" ht="14.5" x14ac:dyDescent="0.35">
      <c r="A904" s="27"/>
      <c r="B904" s="27"/>
      <c r="C904" s="27"/>
      <c r="D904" s="27"/>
      <c r="E904" s="76"/>
      <c r="F904" s="27"/>
      <c r="G904" s="27"/>
      <c r="H904" s="27"/>
      <c r="I904" s="27"/>
      <c r="J904" s="27"/>
      <c r="K904" s="27"/>
      <c r="L904" s="27"/>
      <c r="M904" s="27"/>
      <c r="N904" s="27"/>
    </row>
    <row r="905" spans="1:14" ht="14.5" x14ac:dyDescent="0.35">
      <c r="A905" s="27"/>
      <c r="B905" s="27"/>
      <c r="C905" s="27"/>
      <c r="D905" s="27"/>
      <c r="E905" s="76"/>
      <c r="F905" s="27"/>
      <c r="G905" s="27"/>
      <c r="H905" s="27"/>
      <c r="I905" s="27"/>
      <c r="J905" s="27"/>
      <c r="K905" s="27"/>
      <c r="L905" s="27"/>
      <c r="M905" s="27"/>
      <c r="N905" s="27"/>
    </row>
    <row r="906" spans="1:14" ht="14.5" x14ac:dyDescent="0.35">
      <c r="A906" s="27"/>
      <c r="B906" s="27"/>
      <c r="C906" s="27"/>
      <c r="D906" s="27"/>
      <c r="E906" s="76"/>
      <c r="F906" s="27"/>
      <c r="G906" s="27"/>
      <c r="H906" s="27"/>
      <c r="I906" s="27"/>
      <c r="J906" s="27"/>
      <c r="K906" s="27"/>
      <c r="L906" s="27"/>
      <c r="M906" s="27"/>
      <c r="N906" s="27"/>
    </row>
    <row r="907" spans="1:14" ht="14.5" x14ac:dyDescent="0.35">
      <c r="A907" s="27"/>
      <c r="B907" s="27"/>
      <c r="C907" s="27"/>
      <c r="D907" s="27"/>
      <c r="E907" s="76"/>
      <c r="F907" s="27"/>
      <c r="G907" s="27"/>
      <c r="H907" s="27"/>
      <c r="I907" s="27"/>
      <c r="J907" s="27"/>
      <c r="K907" s="27"/>
      <c r="L907" s="27"/>
      <c r="M907" s="27"/>
      <c r="N907" s="27"/>
    </row>
    <row r="908" spans="1:14" ht="14.5" x14ac:dyDescent="0.35">
      <c r="A908" s="27"/>
      <c r="B908" s="27"/>
      <c r="C908" s="27"/>
      <c r="D908" s="27"/>
      <c r="E908" s="76"/>
      <c r="F908" s="27"/>
      <c r="G908" s="27"/>
      <c r="H908" s="27"/>
      <c r="I908" s="27"/>
      <c r="J908" s="27"/>
      <c r="K908" s="27"/>
      <c r="L908" s="27"/>
      <c r="M908" s="27"/>
      <c r="N908" s="27"/>
    </row>
    <row r="909" spans="1:14" ht="14.5" x14ac:dyDescent="0.35">
      <c r="A909" s="27"/>
      <c r="B909" s="27"/>
      <c r="C909" s="27"/>
      <c r="D909" s="27"/>
      <c r="E909" s="76"/>
      <c r="F909" s="27"/>
      <c r="G909" s="27"/>
      <c r="H909" s="27"/>
      <c r="I909" s="27"/>
      <c r="J909" s="27"/>
      <c r="K909" s="27"/>
      <c r="L909" s="27"/>
      <c r="M909" s="27"/>
      <c r="N909" s="27"/>
    </row>
    <row r="910" spans="1:14" ht="14.5" x14ac:dyDescent="0.35">
      <c r="A910" s="27"/>
      <c r="B910" s="27"/>
      <c r="C910" s="27"/>
      <c r="D910" s="27"/>
      <c r="E910" s="76"/>
      <c r="F910" s="27"/>
      <c r="G910" s="27"/>
      <c r="H910" s="27"/>
      <c r="I910" s="27"/>
      <c r="J910" s="27"/>
      <c r="K910" s="27"/>
      <c r="L910" s="27"/>
      <c r="M910" s="27"/>
      <c r="N910" s="27"/>
    </row>
    <row r="911" spans="1:14" ht="14.5" x14ac:dyDescent="0.35">
      <c r="A911" s="27"/>
      <c r="B911" s="27"/>
      <c r="C911" s="27"/>
      <c r="D911" s="27"/>
      <c r="E911" s="76"/>
      <c r="F911" s="27"/>
      <c r="G911" s="27"/>
      <c r="H911" s="27"/>
      <c r="I911" s="27"/>
      <c r="J911" s="27"/>
      <c r="K911" s="27"/>
      <c r="L911" s="27"/>
      <c r="M911" s="27"/>
      <c r="N911" s="27"/>
    </row>
    <row r="912" spans="1:14" ht="14.5" x14ac:dyDescent="0.35">
      <c r="A912" s="27"/>
      <c r="B912" s="27"/>
      <c r="C912" s="27"/>
      <c r="D912" s="27"/>
      <c r="E912" s="76"/>
      <c r="F912" s="27"/>
      <c r="G912" s="27"/>
      <c r="H912" s="27"/>
      <c r="I912" s="27"/>
      <c r="J912" s="27"/>
      <c r="K912" s="27"/>
      <c r="L912" s="27"/>
      <c r="M912" s="27"/>
      <c r="N912" s="27"/>
    </row>
    <row r="913" spans="1:14" ht="14.5" x14ac:dyDescent="0.35">
      <c r="A913" s="27"/>
      <c r="B913" s="27"/>
      <c r="C913" s="27"/>
      <c r="D913" s="27"/>
      <c r="E913" s="76"/>
      <c r="F913" s="27"/>
      <c r="G913" s="27"/>
      <c r="H913" s="27"/>
      <c r="I913" s="27"/>
      <c r="J913" s="27"/>
      <c r="K913" s="27"/>
      <c r="L913" s="27"/>
      <c r="M913" s="27"/>
      <c r="N913" s="27"/>
    </row>
    <row r="914" spans="1:14" ht="14.5" x14ac:dyDescent="0.35">
      <c r="A914" s="27"/>
      <c r="B914" s="27"/>
      <c r="C914" s="27"/>
      <c r="D914" s="27"/>
      <c r="E914" s="76"/>
      <c r="F914" s="27"/>
      <c r="G914" s="27"/>
      <c r="H914" s="27"/>
      <c r="I914" s="27"/>
      <c r="J914" s="27"/>
      <c r="K914" s="27"/>
      <c r="L914" s="27"/>
      <c r="M914" s="27"/>
      <c r="N914" s="27"/>
    </row>
    <row r="915" spans="1:14" ht="14.5" x14ac:dyDescent="0.35">
      <c r="A915" s="27"/>
      <c r="B915" s="27"/>
      <c r="C915" s="27"/>
      <c r="D915" s="27"/>
      <c r="E915" s="76"/>
      <c r="F915" s="27"/>
      <c r="G915" s="27"/>
      <c r="H915" s="27"/>
      <c r="I915" s="27"/>
      <c r="J915" s="27"/>
      <c r="K915" s="27"/>
      <c r="L915" s="27"/>
      <c r="M915" s="27"/>
      <c r="N915" s="27"/>
    </row>
    <row r="916" spans="1:14" ht="14.5" x14ac:dyDescent="0.35">
      <c r="A916" s="27"/>
      <c r="B916" s="27"/>
      <c r="C916" s="27"/>
      <c r="D916" s="27"/>
      <c r="E916" s="76"/>
      <c r="F916" s="27"/>
      <c r="G916" s="27"/>
      <c r="H916" s="27"/>
      <c r="I916" s="27"/>
      <c r="J916" s="27"/>
      <c r="K916" s="27"/>
      <c r="L916" s="27"/>
      <c r="M916" s="27"/>
      <c r="N916" s="27"/>
    </row>
    <row r="917" spans="1:14" ht="14.5" x14ac:dyDescent="0.35">
      <c r="A917" s="27"/>
      <c r="B917" s="27"/>
      <c r="C917" s="27"/>
      <c r="D917" s="27"/>
      <c r="E917" s="76"/>
      <c r="F917" s="27"/>
      <c r="G917" s="27"/>
      <c r="H917" s="27"/>
      <c r="I917" s="27"/>
      <c r="J917" s="27"/>
      <c r="K917" s="27"/>
      <c r="L917" s="27"/>
      <c r="M917" s="27"/>
      <c r="N917" s="27"/>
    </row>
    <row r="918" spans="1:14" ht="14.5" x14ac:dyDescent="0.35">
      <c r="A918" s="27"/>
      <c r="B918" s="27"/>
      <c r="C918" s="27"/>
      <c r="D918" s="27"/>
      <c r="E918" s="76"/>
      <c r="F918" s="27"/>
      <c r="G918" s="27"/>
      <c r="H918" s="27"/>
      <c r="I918" s="27"/>
      <c r="J918" s="27"/>
      <c r="K918" s="27"/>
      <c r="L918" s="27"/>
      <c r="M918" s="27"/>
      <c r="N918" s="27"/>
    </row>
    <row r="919" spans="1:14" ht="14.5" x14ac:dyDescent="0.35">
      <c r="A919" s="27"/>
      <c r="B919" s="27"/>
      <c r="C919" s="27"/>
      <c r="D919" s="27"/>
      <c r="E919" s="76"/>
      <c r="F919" s="27"/>
      <c r="G919" s="27"/>
      <c r="H919" s="27"/>
      <c r="I919" s="27"/>
      <c r="J919" s="27"/>
      <c r="K919" s="27"/>
      <c r="L919" s="27"/>
      <c r="M919" s="27"/>
      <c r="N919" s="27"/>
    </row>
    <row r="920" spans="1:14" ht="14.5" x14ac:dyDescent="0.35">
      <c r="A920" s="27"/>
      <c r="B920" s="27"/>
      <c r="C920" s="27"/>
      <c r="D920" s="27"/>
      <c r="E920" s="76"/>
      <c r="F920" s="27"/>
      <c r="G920" s="27"/>
      <c r="H920" s="27"/>
      <c r="I920" s="27"/>
      <c r="J920" s="27"/>
      <c r="K920" s="27"/>
      <c r="L920" s="27"/>
      <c r="M920" s="27"/>
      <c r="N920" s="27"/>
    </row>
    <row r="921" spans="1:14" ht="14.5" x14ac:dyDescent="0.35">
      <c r="A921" s="27"/>
      <c r="B921" s="27"/>
      <c r="C921" s="27"/>
      <c r="D921" s="27"/>
      <c r="E921" s="76"/>
      <c r="F921" s="27"/>
      <c r="G921" s="27"/>
      <c r="H921" s="27"/>
      <c r="I921" s="27"/>
      <c r="J921" s="27"/>
      <c r="K921" s="27"/>
      <c r="L921" s="27"/>
      <c r="M921" s="27"/>
      <c r="N921" s="27"/>
    </row>
    <row r="922" spans="1:14" ht="14.5" x14ac:dyDescent="0.35">
      <c r="A922" s="27"/>
      <c r="B922" s="27"/>
      <c r="C922" s="27"/>
      <c r="D922" s="27"/>
      <c r="E922" s="76"/>
      <c r="F922" s="27"/>
      <c r="G922" s="27"/>
      <c r="H922" s="27"/>
      <c r="I922" s="27"/>
      <c r="J922" s="27"/>
      <c r="K922" s="27"/>
      <c r="L922" s="27"/>
      <c r="M922" s="27"/>
      <c r="N922" s="27"/>
    </row>
    <row r="923" spans="1:14" ht="14.5" x14ac:dyDescent="0.35">
      <c r="A923" s="27"/>
      <c r="B923" s="27"/>
      <c r="C923" s="27"/>
      <c r="D923" s="27"/>
      <c r="E923" s="76"/>
      <c r="F923" s="27"/>
      <c r="G923" s="27"/>
      <c r="H923" s="27"/>
      <c r="I923" s="27"/>
      <c r="J923" s="27"/>
      <c r="K923" s="27"/>
      <c r="L923" s="27"/>
      <c r="M923" s="27"/>
      <c r="N923" s="27"/>
    </row>
    <row r="924" spans="1:14" ht="14.5" x14ac:dyDescent="0.35">
      <c r="A924" s="27"/>
      <c r="B924" s="27"/>
      <c r="C924" s="27"/>
      <c r="D924" s="27"/>
      <c r="E924" s="76"/>
      <c r="F924" s="27"/>
      <c r="G924" s="27"/>
      <c r="H924" s="27"/>
      <c r="I924" s="27"/>
      <c r="J924" s="27"/>
      <c r="K924" s="27"/>
      <c r="L924" s="27"/>
      <c r="M924" s="27"/>
      <c r="N924" s="27"/>
    </row>
    <row r="925" spans="1:14" ht="14.5" x14ac:dyDescent="0.35">
      <c r="A925" s="27"/>
      <c r="B925" s="27"/>
      <c r="C925" s="27"/>
      <c r="D925" s="27"/>
      <c r="E925" s="76"/>
      <c r="F925" s="27"/>
      <c r="G925" s="27"/>
      <c r="H925" s="27"/>
      <c r="I925" s="27"/>
      <c r="J925" s="27"/>
      <c r="K925" s="27"/>
      <c r="L925" s="27"/>
      <c r="M925" s="27"/>
      <c r="N925" s="27"/>
    </row>
    <row r="926" spans="1:14" ht="14.5" x14ac:dyDescent="0.35">
      <c r="A926" s="27"/>
      <c r="B926" s="27"/>
      <c r="C926" s="27"/>
      <c r="D926" s="27"/>
      <c r="E926" s="76"/>
      <c r="F926" s="27"/>
      <c r="G926" s="27"/>
      <c r="H926" s="27"/>
      <c r="I926" s="27"/>
      <c r="J926" s="27"/>
      <c r="K926" s="27"/>
      <c r="L926" s="27"/>
      <c r="M926" s="27"/>
      <c r="N926" s="27"/>
    </row>
    <row r="927" spans="1:14" ht="14.5" x14ac:dyDescent="0.35">
      <c r="A927" s="27"/>
      <c r="B927" s="27"/>
      <c r="C927" s="27"/>
      <c r="D927" s="27"/>
      <c r="E927" s="76"/>
      <c r="F927" s="27"/>
      <c r="G927" s="27"/>
      <c r="H927" s="27"/>
      <c r="I927" s="27"/>
      <c r="J927" s="27"/>
      <c r="K927" s="27"/>
      <c r="L927" s="27"/>
      <c r="M927" s="27"/>
      <c r="N927" s="27"/>
    </row>
    <row r="928" spans="1:14" ht="14.5" x14ac:dyDescent="0.35">
      <c r="A928" s="27"/>
      <c r="B928" s="27"/>
      <c r="C928" s="27"/>
      <c r="D928" s="27"/>
      <c r="E928" s="76"/>
      <c r="F928" s="27"/>
      <c r="G928" s="27"/>
      <c r="H928" s="27"/>
      <c r="I928" s="27"/>
      <c r="J928" s="27"/>
      <c r="K928" s="27"/>
      <c r="L928" s="27"/>
      <c r="M928" s="27"/>
      <c r="N928" s="27"/>
    </row>
    <row r="929" spans="1:14" ht="14.5" x14ac:dyDescent="0.35">
      <c r="A929" s="27"/>
      <c r="B929" s="27"/>
      <c r="C929" s="27"/>
      <c r="D929" s="27"/>
      <c r="E929" s="76"/>
      <c r="F929" s="27"/>
      <c r="G929" s="27"/>
      <c r="H929" s="27"/>
      <c r="I929" s="27"/>
      <c r="J929" s="27"/>
      <c r="K929" s="27"/>
      <c r="L929" s="27"/>
      <c r="M929" s="27"/>
      <c r="N929" s="27"/>
    </row>
    <row r="930" spans="1:14" ht="14.5" x14ac:dyDescent="0.35">
      <c r="A930" s="27"/>
      <c r="B930" s="27"/>
      <c r="C930" s="27"/>
      <c r="D930" s="27"/>
      <c r="E930" s="76"/>
      <c r="F930" s="27"/>
      <c r="G930" s="27"/>
      <c r="H930" s="27"/>
      <c r="I930" s="27"/>
      <c r="J930" s="27"/>
      <c r="K930" s="27"/>
      <c r="L930" s="27"/>
      <c r="M930" s="27"/>
      <c r="N930" s="27"/>
    </row>
    <row r="931" spans="1:14" ht="14.5" x14ac:dyDescent="0.35">
      <c r="A931" s="27"/>
      <c r="B931" s="27"/>
      <c r="C931" s="27"/>
      <c r="D931" s="27"/>
      <c r="E931" s="76"/>
      <c r="F931" s="27"/>
      <c r="G931" s="27"/>
      <c r="H931" s="27"/>
      <c r="I931" s="27"/>
      <c r="J931" s="27"/>
      <c r="K931" s="27"/>
      <c r="L931" s="27"/>
      <c r="M931" s="27"/>
      <c r="N931" s="27"/>
    </row>
    <row r="932" spans="1:14" ht="14.5" x14ac:dyDescent="0.35">
      <c r="A932" s="27"/>
      <c r="B932" s="27"/>
      <c r="C932" s="27"/>
      <c r="D932" s="27"/>
      <c r="E932" s="76"/>
      <c r="F932" s="27"/>
      <c r="G932" s="27"/>
      <c r="H932" s="27"/>
      <c r="I932" s="27"/>
      <c r="J932" s="27"/>
      <c r="K932" s="27"/>
      <c r="L932" s="27"/>
      <c r="M932" s="27"/>
      <c r="N932" s="27"/>
    </row>
    <row r="933" spans="1:14" ht="14.5" x14ac:dyDescent="0.35">
      <c r="A933" s="27"/>
      <c r="B933" s="27"/>
      <c r="C933" s="27"/>
      <c r="D933" s="27"/>
      <c r="E933" s="76"/>
      <c r="F933" s="27"/>
      <c r="G933" s="27"/>
      <c r="H933" s="27"/>
      <c r="I933" s="27"/>
      <c r="J933" s="27"/>
      <c r="K933" s="27"/>
      <c r="L933" s="27"/>
      <c r="M933" s="27"/>
      <c r="N933" s="27"/>
    </row>
    <row r="934" spans="1:14" ht="14.5" x14ac:dyDescent="0.35">
      <c r="A934" s="27"/>
      <c r="B934" s="27"/>
      <c r="C934" s="27"/>
      <c r="D934" s="27"/>
      <c r="E934" s="76"/>
      <c r="F934" s="27"/>
      <c r="G934" s="27"/>
      <c r="H934" s="27"/>
      <c r="I934" s="27"/>
      <c r="J934" s="27"/>
      <c r="K934" s="27"/>
      <c r="L934" s="27"/>
      <c r="M934" s="27"/>
      <c r="N934" s="27"/>
    </row>
    <row r="935" spans="1:14" ht="14.5" x14ac:dyDescent="0.35">
      <c r="A935" s="27"/>
      <c r="B935" s="27"/>
      <c r="C935" s="27"/>
      <c r="D935" s="27"/>
      <c r="E935" s="76"/>
      <c r="F935" s="27"/>
      <c r="G935" s="27"/>
      <c r="H935" s="27"/>
      <c r="I935" s="27"/>
      <c r="J935" s="27"/>
      <c r="K935" s="27"/>
      <c r="L935" s="27"/>
      <c r="M935" s="27"/>
      <c r="N935" s="27"/>
    </row>
    <row r="936" spans="1:14" ht="14.5" x14ac:dyDescent="0.35">
      <c r="A936" s="27"/>
      <c r="B936" s="27"/>
      <c r="C936" s="27"/>
      <c r="D936" s="27"/>
      <c r="E936" s="76"/>
      <c r="F936" s="27"/>
      <c r="G936" s="27"/>
      <c r="H936" s="27"/>
      <c r="I936" s="27"/>
      <c r="J936" s="27"/>
      <c r="K936" s="27"/>
      <c r="L936" s="27"/>
      <c r="M936" s="27"/>
      <c r="N936" s="27"/>
    </row>
    <row r="937" spans="1:14" ht="14.5" x14ac:dyDescent="0.35">
      <c r="A937" s="27"/>
      <c r="B937" s="27"/>
      <c r="C937" s="27"/>
      <c r="D937" s="27"/>
      <c r="E937" s="76"/>
      <c r="F937" s="27"/>
      <c r="G937" s="27"/>
      <c r="H937" s="27"/>
      <c r="I937" s="27"/>
      <c r="J937" s="27"/>
      <c r="K937" s="27"/>
      <c r="L937" s="27"/>
      <c r="M937" s="27"/>
      <c r="N937" s="27"/>
    </row>
    <row r="938" spans="1:14" ht="14.5" x14ac:dyDescent="0.35">
      <c r="A938" s="27"/>
      <c r="B938" s="27"/>
      <c r="C938" s="27"/>
      <c r="D938" s="27"/>
      <c r="E938" s="76"/>
      <c r="F938" s="27"/>
      <c r="G938" s="27"/>
      <c r="H938" s="27"/>
      <c r="I938" s="27"/>
      <c r="J938" s="27"/>
      <c r="K938" s="27"/>
      <c r="L938" s="27"/>
      <c r="M938" s="27"/>
      <c r="N938" s="27"/>
    </row>
    <row r="939" spans="1:14" ht="14.5" x14ac:dyDescent="0.35">
      <c r="A939" s="27"/>
      <c r="B939" s="27"/>
      <c r="C939" s="27"/>
      <c r="D939" s="27"/>
      <c r="E939" s="76"/>
      <c r="F939" s="27"/>
      <c r="G939" s="27"/>
      <c r="H939" s="27"/>
      <c r="I939" s="27"/>
      <c r="J939" s="27"/>
      <c r="K939" s="27"/>
      <c r="L939" s="27"/>
      <c r="M939" s="27"/>
      <c r="N939" s="27"/>
    </row>
    <row r="940" spans="1:14" ht="14.5" x14ac:dyDescent="0.35">
      <c r="A940" s="27"/>
      <c r="B940" s="27"/>
      <c r="C940" s="27"/>
      <c r="D940" s="27"/>
      <c r="E940" s="76"/>
      <c r="F940" s="27"/>
      <c r="G940" s="27"/>
      <c r="H940" s="27"/>
      <c r="I940" s="27"/>
      <c r="J940" s="27"/>
      <c r="K940" s="27"/>
      <c r="L940" s="27"/>
      <c r="M940" s="27"/>
      <c r="N940" s="27"/>
    </row>
    <row r="941" spans="1:14" ht="14.5" x14ac:dyDescent="0.35">
      <c r="A941" s="27"/>
      <c r="B941" s="27"/>
      <c r="C941" s="27"/>
      <c r="D941" s="27"/>
      <c r="E941" s="76"/>
      <c r="F941" s="27"/>
      <c r="G941" s="27"/>
      <c r="H941" s="27"/>
      <c r="I941" s="27"/>
      <c r="J941" s="27"/>
      <c r="K941" s="27"/>
      <c r="L941" s="27"/>
      <c r="M941" s="27"/>
      <c r="N941" s="27"/>
    </row>
    <row r="942" spans="1:14" ht="14.5" x14ac:dyDescent="0.35">
      <c r="A942" s="27"/>
      <c r="B942" s="27"/>
      <c r="C942" s="27"/>
      <c r="D942" s="27"/>
      <c r="E942" s="76"/>
      <c r="F942" s="27"/>
      <c r="G942" s="27"/>
      <c r="H942" s="27"/>
      <c r="I942" s="27"/>
      <c r="J942" s="27"/>
      <c r="K942" s="27"/>
      <c r="L942" s="27"/>
      <c r="M942" s="27"/>
      <c r="N942" s="27"/>
    </row>
    <row r="943" spans="1:14" ht="14.5" x14ac:dyDescent="0.35">
      <c r="A943" s="27"/>
      <c r="B943" s="27"/>
      <c r="C943" s="27"/>
      <c r="D943" s="27"/>
      <c r="E943" s="76"/>
      <c r="F943" s="27"/>
      <c r="G943" s="27"/>
      <c r="H943" s="27"/>
      <c r="I943" s="27"/>
      <c r="J943" s="27"/>
      <c r="K943" s="27"/>
      <c r="L943" s="27"/>
      <c r="M943" s="27"/>
      <c r="N943" s="27"/>
    </row>
    <row r="944" spans="1:14" ht="14.5" x14ac:dyDescent="0.35">
      <c r="A944" s="27"/>
      <c r="B944" s="27"/>
      <c r="C944" s="27"/>
      <c r="D944" s="27"/>
      <c r="E944" s="76"/>
      <c r="F944" s="27"/>
      <c r="G944" s="27"/>
      <c r="H944" s="27"/>
      <c r="I944" s="27"/>
      <c r="J944" s="27"/>
      <c r="K944" s="27"/>
      <c r="L944" s="27"/>
      <c r="M944" s="27"/>
      <c r="N944" s="27"/>
    </row>
    <row r="945" spans="1:14" ht="14.5" x14ac:dyDescent="0.35">
      <c r="A945" s="27"/>
      <c r="B945" s="27"/>
      <c r="C945" s="27"/>
      <c r="D945" s="27"/>
      <c r="E945" s="76"/>
      <c r="F945" s="27"/>
      <c r="G945" s="27"/>
      <c r="H945" s="27"/>
      <c r="I945" s="27"/>
      <c r="J945" s="27"/>
      <c r="K945" s="27"/>
      <c r="L945" s="27"/>
      <c r="M945" s="27"/>
      <c r="N945" s="27"/>
    </row>
    <row r="946" spans="1:14" ht="14.5" x14ac:dyDescent="0.35">
      <c r="A946" s="27"/>
      <c r="B946" s="27"/>
      <c r="C946" s="27"/>
      <c r="D946" s="27"/>
      <c r="E946" s="76"/>
      <c r="F946" s="27"/>
      <c r="G946" s="27"/>
      <c r="H946" s="27"/>
      <c r="I946" s="27"/>
      <c r="J946" s="27"/>
      <c r="K946" s="27"/>
      <c r="L946" s="27"/>
      <c r="M946" s="27"/>
      <c r="N946" s="27"/>
    </row>
    <row r="947" spans="1:14" ht="14.5" x14ac:dyDescent="0.35">
      <c r="A947" s="27"/>
      <c r="B947" s="27"/>
      <c r="C947" s="27"/>
      <c r="D947" s="27"/>
      <c r="E947" s="76"/>
      <c r="F947" s="27"/>
      <c r="G947" s="27"/>
      <c r="H947" s="27"/>
      <c r="I947" s="27"/>
      <c r="J947" s="27"/>
      <c r="K947" s="27"/>
      <c r="L947" s="27"/>
      <c r="M947" s="27"/>
      <c r="N947" s="27"/>
    </row>
    <row r="948" spans="1:14" ht="14.5" x14ac:dyDescent="0.35">
      <c r="A948" s="27"/>
      <c r="B948" s="27"/>
      <c r="C948" s="27"/>
      <c r="D948" s="27"/>
      <c r="E948" s="76"/>
      <c r="F948" s="27"/>
      <c r="G948" s="27"/>
      <c r="H948" s="27"/>
      <c r="I948" s="27"/>
      <c r="J948" s="27"/>
      <c r="K948" s="27"/>
      <c r="L948" s="27"/>
      <c r="M948" s="27"/>
      <c r="N948" s="27"/>
    </row>
    <row r="949" spans="1:14" ht="14.5" x14ac:dyDescent="0.35">
      <c r="A949" s="27"/>
      <c r="B949" s="27"/>
      <c r="C949" s="27"/>
      <c r="D949" s="27"/>
      <c r="E949" s="76"/>
      <c r="F949" s="27"/>
      <c r="G949" s="27"/>
      <c r="H949" s="27"/>
      <c r="I949" s="27"/>
      <c r="J949" s="27"/>
      <c r="K949" s="27"/>
      <c r="L949" s="27"/>
      <c r="M949" s="27"/>
      <c r="N949" s="27"/>
    </row>
    <row r="950" spans="1:14" ht="14.5" x14ac:dyDescent="0.35">
      <c r="A950" s="27"/>
      <c r="B950" s="27"/>
      <c r="C950" s="27"/>
      <c r="D950" s="27"/>
      <c r="E950" s="76"/>
      <c r="F950" s="27"/>
      <c r="G950" s="27"/>
      <c r="H950" s="27"/>
      <c r="I950" s="27"/>
      <c r="J950" s="27"/>
      <c r="K950" s="27"/>
      <c r="L950" s="27"/>
      <c r="M950" s="27"/>
      <c r="N950" s="27"/>
    </row>
    <row r="951" spans="1:14" ht="14.5" x14ac:dyDescent="0.35">
      <c r="A951" s="27"/>
      <c r="B951" s="27"/>
      <c r="C951" s="27"/>
      <c r="D951" s="27"/>
      <c r="E951" s="76"/>
      <c r="F951" s="27"/>
      <c r="G951" s="27"/>
      <c r="H951" s="27"/>
      <c r="I951" s="27"/>
      <c r="J951" s="27"/>
      <c r="K951" s="27"/>
      <c r="L951" s="27"/>
      <c r="M951" s="27"/>
      <c r="N951" s="27"/>
    </row>
    <row r="952" spans="1:14" ht="14.5" x14ac:dyDescent="0.35">
      <c r="A952" s="27"/>
      <c r="B952" s="27"/>
      <c r="C952" s="27"/>
      <c r="D952" s="27"/>
      <c r="E952" s="76"/>
      <c r="F952" s="27"/>
      <c r="G952" s="27"/>
      <c r="H952" s="27"/>
      <c r="I952" s="27"/>
      <c r="J952" s="27"/>
      <c r="K952" s="27"/>
      <c r="L952" s="27"/>
      <c r="M952" s="27"/>
      <c r="N952" s="27"/>
    </row>
    <row r="953" spans="1:14" ht="14.5" x14ac:dyDescent="0.35">
      <c r="A953" s="27"/>
      <c r="B953" s="27"/>
      <c r="C953" s="27"/>
      <c r="D953" s="27"/>
      <c r="E953" s="76"/>
      <c r="F953" s="27"/>
      <c r="G953" s="27"/>
      <c r="H953" s="27"/>
      <c r="I953" s="27"/>
      <c r="J953" s="27"/>
      <c r="K953" s="27"/>
      <c r="L953" s="27"/>
      <c r="M953" s="27"/>
      <c r="N953" s="27"/>
    </row>
    <row r="954" spans="1:14" ht="14.5" x14ac:dyDescent="0.35">
      <c r="A954" s="27"/>
      <c r="B954" s="27"/>
      <c r="C954" s="27"/>
      <c r="D954" s="27"/>
      <c r="E954" s="76"/>
      <c r="F954" s="27"/>
      <c r="G954" s="27"/>
      <c r="H954" s="27"/>
      <c r="I954" s="27"/>
      <c r="J954" s="27"/>
      <c r="K954" s="27"/>
      <c r="L954" s="27"/>
      <c r="M954" s="27"/>
      <c r="N954" s="27"/>
    </row>
    <row r="955" spans="1:14" ht="14.5" x14ac:dyDescent="0.35">
      <c r="A955" s="27"/>
      <c r="B955" s="27"/>
      <c r="C955" s="27"/>
      <c r="D955" s="27"/>
      <c r="E955" s="76"/>
      <c r="F955" s="27"/>
      <c r="G955" s="27"/>
      <c r="H955" s="27"/>
      <c r="I955" s="27"/>
      <c r="J955" s="27"/>
      <c r="K955" s="27"/>
      <c r="L955" s="27"/>
      <c r="M955" s="27"/>
      <c r="N955" s="27"/>
    </row>
    <row r="956" spans="1:14" ht="14.5" x14ac:dyDescent="0.35">
      <c r="A956" s="27"/>
      <c r="B956" s="27"/>
      <c r="C956" s="27"/>
      <c r="D956" s="27"/>
      <c r="E956" s="76"/>
      <c r="F956" s="27"/>
      <c r="G956" s="27"/>
      <c r="H956" s="27"/>
      <c r="I956" s="27"/>
      <c r="J956" s="27"/>
      <c r="K956" s="27"/>
      <c r="L956" s="27"/>
      <c r="M956" s="27"/>
      <c r="N956" s="27"/>
    </row>
    <row r="957" spans="1:14" ht="14.5" x14ac:dyDescent="0.35">
      <c r="A957" s="27"/>
      <c r="B957" s="27"/>
      <c r="C957" s="27"/>
      <c r="D957" s="27"/>
      <c r="E957" s="76"/>
      <c r="F957" s="27"/>
      <c r="G957" s="27"/>
      <c r="H957" s="27"/>
      <c r="I957" s="27"/>
      <c r="J957" s="27"/>
      <c r="K957" s="27"/>
      <c r="L957" s="27"/>
      <c r="M957" s="27"/>
      <c r="N957" s="27"/>
    </row>
    <row r="958" spans="1:14" ht="14.5" x14ac:dyDescent="0.35">
      <c r="A958" s="27"/>
      <c r="B958" s="27"/>
      <c r="C958" s="27"/>
      <c r="D958" s="27"/>
      <c r="E958" s="76"/>
      <c r="F958" s="27"/>
      <c r="G958" s="27"/>
      <c r="H958" s="27"/>
      <c r="I958" s="27"/>
      <c r="J958" s="27"/>
      <c r="K958" s="27"/>
      <c r="L958" s="27"/>
      <c r="M958" s="27"/>
      <c r="N958" s="27"/>
    </row>
    <row r="959" spans="1:14" ht="14.5" x14ac:dyDescent="0.35">
      <c r="A959" s="27"/>
      <c r="B959" s="27"/>
      <c r="C959" s="27"/>
      <c r="D959" s="27"/>
      <c r="E959" s="76"/>
      <c r="F959" s="27"/>
      <c r="G959" s="27"/>
      <c r="H959" s="27"/>
      <c r="I959" s="27"/>
      <c r="J959" s="27"/>
      <c r="K959" s="27"/>
      <c r="L959" s="27"/>
      <c r="M959" s="27"/>
      <c r="N959" s="27"/>
    </row>
    <row r="960" spans="1:14" ht="14.5" x14ac:dyDescent="0.35">
      <c r="A960" s="27"/>
      <c r="B960" s="27"/>
      <c r="C960" s="27"/>
      <c r="D960" s="27"/>
      <c r="E960" s="76"/>
      <c r="F960" s="27"/>
      <c r="G960" s="27"/>
      <c r="H960" s="27"/>
      <c r="I960" s="27"/>
      <c r="J960" s="27"/>
      <c r="K960" s="27"/>
      <c r="L960" s="27"/>
      <c r="M960" s="27"/>
      <c r="N960" s="27"/>
    </row>
    <row r="961" spans="1:14" ht="14.5" x14ac:dyDescent="0.35">
      <c r="A961" s="27"/>
      <c r="B961" s="27"/>
      <c r="C961" s="27"/>
      <c r="D961" s="27"/>
      <c r="E961" s="76"/>
      <c r="F961" s="27"/>
      <c r="G961" s="27"/>
      <c r="H961" s="27"/>
      <c r="I961" s="27"/>
      <c r="J961" s="27"/>
      <c r="K961" s="27"/>
      <c r="L961" s="27"/>
      <c r="M961" s="27"/>
      <c r="N961" s="27"/>
    </row>
    <row r="962" spans="1:14" ht="14.5" x14ac:dyDescent="0.35">
      <c r="A962" s="27"/>
      <c r="B962" s="27"/>
      <c r="C962" s="27"/>
      <c r="D962" s="27"/>
      <c r="E962" s="76"/>
      <c r="F962" s="27"/>
      <c r="G962" s="27"/>
      <c r="H962" s="27"/>
      <c r="I962" s="27"/>
      <c r="J962" s="27"/>
      <c r="K962" s="27"/>
      <c r="L962" s="27"/>
      <c r="M962" s="27"/>
      <c r="N962" s="27"/>
    </row>
    <row r="963" spans="1:14" ht="14.5" x14ac:dyDescent="0.35">
      <c r="A963" s="27"/>
      <c r="B963" s="27"/>
      <c r="C963" s="27"/>
      <c r="D963" s="27"/>
      <c r="E963" s="76"/>
      <c r="F963" s="27"/>
      <c r="G963" s="27"/>
      <c r="H963" s="27"/>
      <c r="I963" s="27"/>
      <c r="J963" s="27"/>
      <c r="K963" s="27"/>
      <c r="L963" s="27"/>
      <c r="M963" s="27"/>
      <c r="N963" s="27"/>
    </row>
    <row r="964" spans="1:14" ht="14.5" x14ac:dyDescent="0.35">
      <c r="A964" s="27"/>
      <c r="B964" s="27"/>
      <c r="C964" s="27"/>
      <c r="D964" s="27"/>
      <c r="E964" s="76"/>
      <c r="F964" s="27"/>
      <c r="G964" s="27"/>
      <c r="H964" s="27"/>
      <c r="I964" s="27"/>
      <c r="J964" s="27"/>
      <c r="K964" s="27"/>
      <c r="L964" s="27"/>
      <c r="M964" s="27"/>
      <c r="N964" s="27"/>
    </row>
    <row r="965" spans="1:14" ht="14.5" x14ac:dyDescent="0.35">
      <c r="A965" s="27"/>
      <c r="B965" s="27"/>
      <c r="C965" s="27"/>
      <c r="D965" s="27"/>
      <c r="E965" s="76"/>
      <c r="F965" s="27"/>
      <c r="G965" s="27"/>
      <c r="H965" s="27"/>
      <c r="I965" s="27"/>
      <c r="J965" s="27"/>
      <c r="K965" s="27"/>
      <c r="L965" s="27"/>
      <c r="M965" s="27"/>
      <c r="N965" s="27"/>
    </row>
    <row r="966" spans="1:14" ht="14.5" x14ac:dyDescent="0.35">
      <c r="A966" s="27"/>
      <c r="B966" s="27"/>
      <c r="C966" s="27"/>
      <c r="D966" s="27"/>
      <c r="E966" s="76"/>
      <c r="F966" s="27"/>
      <c r="G966" s="27"/>
      <c r="H966" s="27"/>
      <c r="I966" s="27"/>
      <c r="J966" s="27"/>
      <c r="K966" s="27"/>
      <c r="L966" s="27"/>
      <c r="M966" s="27"/>
      <c r="N966" s="27"/>
    </row>
    <row r="967" spans="1:14" ht="14.5" x14ac:dyDescent="0.35">
      <c r="A967" s="27"/>
      <c r="B967" s="27"/>
      <c r="C967" s="27"/>
      <c r="D967" s="27"/>
      <c r="E967" s="76"/>
      <c r="F967" s="27"/>
      <c r="G967" s="27"/>
      <c r="H967" s="27"/>
      <c r="I967" s="27"/>
      <c r="J967" s="27"/>
      <c r="K967" s="27"/>
      <c r="L967" s="27"/>
      <c r="M967" s="27"/>
      <c r="N967" s="27"/>
    </row>
    <row r="968" spans="1:14" ht="14.5" x14ac:dyDescent="0.35">
      <c r="A968" s="27"/>
      <c r="B968" s="27"/>
      <c r="C968" s="27"/>
      <c r="D968" s="27"/>
      <c r="E968" s="76"/>
      <c r="F968" s="27"/>
      <c r="G968" s="27"/>
      <c r="H968" s="27"/>
      <c r="I968" s="27"/>
      <c r="J968" s="27"/>
      <c r="K968" s="27"/>
      <c r="L968" s="27"/>
      <c r="M968" s="27"/>
      <c r="N968" s="27"/>
    </row>
    <row r="969" spans="1:14" ht="14.5" x14ac:dyDescent="0.35">
      <c r="A969" s="27"/>
      <c r="B969" s="27"/>
      <c r="C969" s="27"/>
      <c r="D969" s="27"/>
      <c r="E969" s="76"/>
      <c r="F969" s="27"/>
      <c r="G969" s="27"/>
      <c r="H969" s="27"/>
      <c r="I969" s="27"/>
      <c r="J969" s="27"/>
      <c r="K969" s="27"/>
      <c r="L969" s="27"/>
      <c r="M969" s="27"/>
      <c r="N969" s="27"/>
    </row>
    <row r="970" spans="1:14" ht="14.5" x14ac:dyDescent="0.35">
      <c r="A970" s="27"/>
      <c r="B970" s="27"/>
      <c r="C970" s="27"/>
      <c r="D970" s="27"/>
      <c r="E970" s="76"/>
      <c r="F970" s="27"/>
      <c r="G970" s="27"/>
      <c r="H970" s="27"/>
      <c r="I970" s="27"/>
      <c r="J970" s="27"/>
      <c r="K970" s="27"/>
      <c r="L970" s="27"/>
      <c r="M970" s="27"/>
      <c r="N970" s="27"/>
    </row>
    <row r="971" spans="1:14" ht="14.5" x14ac:dyDescent="0.35">
      <c r="A971" s="27"/>
      <c r="B971" s="27"/>
      <c r="C971" s="27"/>
      <c r="D971" s="27"/>
      <c r="E971" s="76"/>
      <c r="F971" s="27"/>
      <c r="G971" s="27"/>
      <c r="H971" s="27"/>
      <c r="I971" s="27"/>
      <c r="J971" s="27"/>
      <c r="K971" s="27"/>
      <c r="L971" s="27"/>
      <c r="M971" s="27"/>
      <c r="N971" s="27"/>
    </row>
    <row r="972" spans="1:14" ht="14.5" x14ac:dyDescent="0.35">
      <c r="A972" s="27"/>
      <c r="B972" s="27"/>
      <c r="C972" s="27"/>
      <c r="D972" s="27"/>
      <c r="E972" s="76"/>
      <c r="F972" s="27"/>
      <c r="G972" s="27"/>
      <c r="H972" s="27"/>
      <c r="I972" s="27"/>
      <c r="J972" s="27"/>
      <c r="K972" s="27"/>
      <c r="L972" s="27"/>
      <c r="M972" s="27"/>
      <c r="N972" s="27"/>
    </row>
    <row r="973" spans="1:14" ht="14.5" x14ac:dyDescent="0.35">
      <c r="A973" s="27"/>
      <c r="B973" s="27"/>
      <c r="C973" s="27"/>
      <c r="D973" s="27"/>
      <c r="E973" s="76"/>
      <c r="F973" s="27"/>
      <c r="G973" s="27"/>
      <c r="H973" s="27"/>
      <c r="I973" s="27"/>
      <c r="J973" s="27"/>
      <c r="K973" s="27"/>
      <c r="L973" s="27"/>
      <c r="M973" s="27"/>
      <c r="N973" s="27"/>
    </row>
    <row r="974" spans="1:14" ht="14.5" x14ac:dyDescent="0.35">
      <c r="A974" s="27"/>
      <c r="B974" s="27"/>
      <c r="C974" s="27"/>
      <c r="D974" s="27"/>
      <c r="E974" s="76"/>
      <c r="F974" s="27"/>
      <c r="G974" s="27"/>
      <c r="H974" s="27"/>
      <c r="I974" s="27"/>
      <c r="J974" s="27"/>
      <c r="K974" s="27"/>
      <c r="L974" s="27"/>
      <c r="M974" s="27"/>
      <c r="N974" s="27"/>
    </row>
    <row r="975" spans="1:14" ht="14.5" x14ac:dyDescent="0.35">
      <c r="A975" s="27"/>
      <c r="B975" s="27"/>
      <c r="C975" s="27"/>
      <c r="D975" s="27"/>
      <c r="E975" s="76"/>
      <c r="F975" s="27"/>
      <c r="G975" s="27"/>
      <c r="H975" s="27"/>
      <c r="I975" s="27"/>
      <c r="J975" s="27"/>
      <c r="K975" s="27"/>
      <c r="L975" s="27"/>
      <c r="M975" s="27"/>
      <c r="N975" s="27"/>
    </row>
    <row r="976" spans="1:14" ht="14.5" x14ac:dyDescent="0.35">
      <c r="A976" s="27"/>
      <c r="B976" s="27"/>
      <c r="C976" s="27"/>
      <c r="D976" s="27"/>
      <c r="E976" s="76"/>
      <c r="F976" s="27"/>
      <c r="G976" s="27"/>
      <c r="H976" s="27"/>
      <c r="I976" s="27"/>
      <c r="J976" s="27"/>
      <c r="K976" s="27"/>
      <c r="L976" s="27"/>
      <c r="M976" s="27"/>
      <c r="N976" s="27"/>
    </row>
    <row r="977" spans="1:14" ht="14.5" x14ac:dyDescent="0.35">
      <c r="A977" s="27"/>
      <c r="B977" s="27"/>
      <c r="C977" s="27"/>
      <c r="D977" s="27"/>
      <c r="E977" s="76"/>
      <c r="F977" s="27"/>
      <c r="G977" s="27"/>
      <c r="H977" s="27"/>
      <c r="I977" s="27"/>
      <c r="J977" s="27"/>
      <c r="K977" s="27"/>
      <c r="L977" s="27"/>
      <c r="M977" s="27"/>
      <c r="N977" s="27"/>
    </row>
    <row r="978" spans="1:14" ht="14.5" x14ac:dyDescent="0.35">
      <c r="A978" s="27"/>
      <c r="B978" s="27"/>
      <c r="C978" s="27"/>
      <c r="D978" s="27"/>
      <c r="E978" s="76"/>
      <c r="F978" s="27"/>
      <c r="G978" s="27"/>
      <c r="H978" s="27"/>
      <c r="I978" s="27"/>
      <c r="J978" s="27"/>
      <c r="K978" s="27"/>
      <c r="L978" s="27"/>
      <c r="M978" s="27"/>
      <c r="N978" s="27"/>
    </row>
    <row r="979" spans="1:14" ht="14.5" x14ac:dyDescent="0.35">
      <c r="A979" s="27"/>
      <c r="B979" s="27"/>
      <c r="C979" s="27"/>
      <c r="D979" s="27"/>
      <c r="E979" s="76"/>
      <c r="F979" s="27"/>
      <c r="G979" s="27"/>
      <c r="H979" s="27"/>
      <c r="I979" s="27"/>
      <c r="J979" s="27"/>
      <c r="K979" s="27"/>
      <c r="L979" s="27"/>
      <c r="M979" s="27"/>
      <c r="N979" s="27"/>
    </row>
    <row r="980" spans="1:14" ht="14.5" x14ac:dyDescent="0.35">
      <c r="A980" s="27"/>
      <c r="B980" s="27"/>
      <c r="C980" s="27"/>
      <c r="D980" s="27"/>
      <c r="E980" s="76"/>
      <c r="F980" s="27"/>
      <c r="G980" s="27"/>
      <c r="H980" s="27"/>
      <c r="I980" s="27"/>
      <c r="J980" s="27"/>
      <c r="K980" s="27"/>
      <c r="L980" s="27"/>
      <c r="M980" s="27"/>
      <c r="N980" s="27"/>
    </row>
    <row r="981" spans="1:14" ht="14.5" x14ac:dyDescent="0.35">
      <c r="A981" s="27"/>
      <c r="B981" s="27"/>
      <c r="C981" s="27"/>
      <c r="D981" s="27"/>
      <c r="E981" s="76"/>
      <c r="F981" s="27"/>
      <c r="G981" s="27"/>
      <c r="H981" s="27"/>
      <c r="I981" s="27"/>
      <c r="J981" s="27"/>
      <c r="K981" s="27"/>
      <c r="L981" s="27"/>
      <c r="M981" s="27"/>
      <c r="N981" s="27"/>
    </row>
    <row r="982" spans="1:14" ht="14.5" x14ac:dyDescent="0.35">
      <c r="A982" s="27"/>
      <c r="B982" s="27"/>
      <c r="C982" s="27"/>
      <c r="D982" s="27"/>
      <c r="E982" s="76"/>
      <c r="F982" s="27"/>
      <c r="G982" s="27"/>
      <c r="H982" s="27"/>
      <c r="I982" s="27"/>
      <c r="J982" s="27"/>
      <c r="K982" s="27"/>
      <c r="L982" s="27"/>
      <c r="M982" s="27"/>
      <c r="N982" s="27"/>
    </row>
    <row r="983" spans="1:14" ht="14.5" x14ac:dyDescent="0.35">
      <c r="A983" s="27"/>
      <c r="B983" s="27"/>
      <c r="C983" s="27"/>
      <c r="D983" s="27"/>
      <c r="E983" s="76"/>
      <c r="F983" s="27"/>
      <c r="G983" s="27"/>
      <c r="H983" s="27"/>
      <c r="I983" s="27"/>
      <c r="J983" s="27"/>
      <c r="K983" s="27"/>
      <c r="L983" s="27"/>
      <c r="M983" s="27"/>
      <c r="N983" s="27"/>
    </row>
    <row r="984" spans="1:14" ht="14.5" x14ac:dyDescent="0.35">
      <c r="A984" s="27"/>
      <c r="B984" s="27"/>
      <c r="C984" s="27"/>
      <c r="D984" s="27"/>
      <c r="E984" s="76"/>
      <c r="F984" s="27"/>
      <c r="G984" s="27"/>
      <c r="H984" s="27"/>
      <c r="I984" s="27"/>
      <c r="J984" s="27"/>
      <c r="K984" s="27"/>
      <c r="L984" s="27"/>
      <c r="M984" s="27"/>
      <c r="N984" s="27"/>
    </row>
    <row r="985" spans="1:14" ht="14.5" x14ac:dyDescent="0.35">
      <c r="A985" s="27"/>
      <c r="B985" s="27"/>
      <c r="C985" s="27"/>
      <c r="D985" s="27"/>
      <c r="E985" s="76"/>
      <c r="F985" s="27"/>
      <c r="G985" s="27"/>
      <c r="H985" s="27"/>
      <c r="I985" s="27"/>
      <c r="J985" s="27"/>
      <c r="K985" s="27"/>
      <c r="L985" s="27"/>
      <c r="M985" s="27"/>
      <c r="N985" s="27"/>
    </row>
    <row r="986" spans="1:14" ht="14.5" x14ac:dyDescent="0.35">
      <c r="A986" s="27"/>
      <c r="B986" s="27"/>
      <c r="C986" s="27"/>
      <c r="D986" s="27"/>
      <c r="E986" s="76"/>
      <c r="F986" s="27"/>
      <c r="G986" s="27"/>
      <c r="H986" s="27"/>
      <c r="I986" s="27"/>
      <c r="J986" s="27"/>
      <c r="K986" s="27"/>
      <c r="L986" s="27"/>
      <c r="M986" s="27"/>
      <c r="N986" s="27"/>
    </row>
    <row r="987" spans="1:14" ht="14.5" x14ac:dyDescent="0.35">
      <c r="A987" s="27"/>
      <c r="B987" s="27"/>
      <c r="C987" s="27"/>
      <c r="D987" s="27"/>
      <c r="E987" s="76"/>
      <c r="F987" s="27"/>
      <c r="G987" s="27"/>
      <c r="H987" s="27"/>
      <c r="I987" s="27"/>
      <c r="J987" s="27"/>
      <c r="K987" s="27"/>
      <c r="L987" s="27"/>
      <c r="M987" s="27"/>
      <c r="N987" s="27"/>
    </row>
    <row r="988" spans="1:14" ht="14.5" x14ac:dyDescent="0.35">
      <c r="A988" s="27"/>
      <c r="B988" s="27"/>
      <c r="C988" s="27"/>
      <c r="D988" s="27"/>
      <c r="E988" s="76"/>
      <c r="F988" s="27"/>
      <c r="G988" s="27"/>
      <c r="H988" s="27"/>
      <c r="I988" s="27"/>
      <c r="J988" s="27"/>
      <c r="K988" s="27"/>
      <c r="L988" s="27"/>
      <c r="M988" s="27"/>
      <c r="N988" s="27"/>
    </row>
    <row r="989" spans="1:14" ht="14.5" x14ac:dyDescent="0.35">
      <c r="A989" s="27"/>
      <c r="B989" s="27"/>
      <c r="C989" s="27"/>
      <c r="D989" s="27"/>
      <c r="E989" s="76"/>
      <c r="F989" s="27"/>
      <c r="G989" s="27"/>
      <c r="H989" s="27"/>
      <c r="I989" s="27"/>
      <c r="J989" s="27"/>
      <c r="K989" s="27"/>
      <c r="L989" s="27"/>
      <c r="M989" s="27"/>
      <c r="N989" s="27"/>
    </row>
    <row r="990" spans="1:14" ht="14.5" x14ac:dyDescent="0.35">
      <c r="A990" s="27"/>
      <c r="B990" s="27"/>
      <c r="C990" s="27"/>
      <c r="D990" s="27"/>
      <c r="E990" s="76"/>
      <c r="F990" s="27"/>
      <c r="G990" s="27"/>
      <c r="H990" s="27"/>
      <c r="I990" s="27"/>
      <c r="J990" s="27"/>
      <c r="K990" s="27"/>
      <c r="L990" s="27"/>
      <c r="M990" s="27"/>
      <c r="N990" s="27"/>
    </row>
    <row r="991" spans="1:14" ht="14.5" x14ac:dyDescent="0.35">
      <c r="A991" s="27"/>
      <c r="B991" s="27"/>
      <c r="C991" s="27"/>
      <c r="D991" s="27"/>
      <c r="E991" s="76"/>
      <c r="F991" s="27"/>
      <c r="G991" s="27"/>
      <c r="H991" s="27"/>
      <c r="I991" s="27"/>
      <c r="J991" s="27"/>
      <c r="K991" s="27"/>
      <c r="L991" s="27"/>
      <c r="M991" s="27"/>
      <c r="N991" s="27"/>
    </row>
    <row r="992" spans="1:14" ht="14.5" x14ac:dyDescent="0.35">
      <c r="A992" s="27"/>
      <c r="B992" s="27"/>
      <c r="C992" s="27"/>
      <c r="D992" s="27"/>
      <c r="E992" s="76"/>
      <c r="F992" s="27"/>
      <c r="G992" s="27"/>
      <c r="H992" s="27"/>
      <c r="I992" s="27"/>
      <c r="J992" s="27"/>
      <c r="K992" s="27"/>
      <c r="L992" s="27"/>
      <c r="M992" s="27"/>
      <c r="N992" s="27"/>
    </row>
    <row r="993" spans="1:14" ht="14.5" x14ac:dyDescent="0.35">
      <c r="A993" s="27"/>
      <c r="B993" s="27"/>
      <c r="C993" s="27"/>
      <c r="D993" s="27"/>
      <c r="E993" s="76"/>
      <c r="F993" s="27"/>
      <c r="G993" s="27"/>
      <c r="H993" s="27"/>
      <c r="I993" s="27"/>
      <c r="J993" s="27"/>
      <c r="K993" s="27"/>
      <c r="L993" s="27"/>
      <c r="M993" s="27"/>
      <c r="N993" s="27"/>
    </row>
    <row r="994" spans="1:14" ht="14.5" x14ac:dyDescent="0.35">
      <c r="A994" s="27"/>
      <c r="B994" s="27"/>
      <c r="C994" s="27"/>
      <c r="D994" s="27"/>
      <c r="E994" s="76"/>
      <c r="F994" s="27"/>
      <c r="G994" s="27"/>
      <c r="H994" s="27"/>
      <c r="I994" s="27"/>
      <c r="J994" s="27"/>
      <c r="K994" s="27"/>
      <c r="L994" s="27"/>
      <c r="M994" s="27"/>
      <c r="N994" s="27"/>
    </row>
    <row r="995" spans="1:14" ht="14.5" x14ac:dyDescent="0.35">
      <c r="A995" s="27"/>
      <c r="B995" s="27"/>
      <c r="C995" s="27"/>
      <c r="D995" s="27"/>
      <c r="E995" s="76"/>
      <c r="F995" s="27"/>
      <c r="G995" s="27"/>
      <c r="H995" s="27"/>
      <c r="I995" s="27"/>
      <c r="J995" s="27"/>
      <c r="K995" s="27"/>
      <c r="L995" s="27"/>
      <c r="M995" s="27"/>
      <c r="N995" s="27"/>
    </row>
    <row r="996" spans="1:14" ht="14.5" x14ac:dyDescent="0.35">
      <c r="A996" s="27"/>
      <c r="B996" s="27"/>
      <c r="C996" s="27"/>
      <c r="D996" s="27"/>
      <c r="E996" s="76"/>
      <c r="F996" s="27"/>
      <c r="G996" s="27"/>
      <c r="H996" s="27"/>
      <c r="I996" s="27"/>
      <c r="J996" s="27"/>
      <c r="K996" s="27"/>
      <c r="L996" s="27"/>
      <c r="M996" s="27"/>
      <c r="N996" s="27"/>
    </row>
    <row r="997" spans="1:14" ht="14.5" x14ac:dyDescent="0.35">
      <c r="A997" s="27"/>
      <c r="B997" s="27"/>
      <c r="C997" s="27"/>
      <c r="D997" s="27"/>
      <c r="E997" s="76"/>
      <c r="F997" s="27"/>
      <c r="G997" s="27"/>
      <c r="H997" s="27"/>
      <c r="I997" s="27"/>
      <c r="J997" s="27"/>
      <c r="K997" s="27"/>
      <c r="L997" s="27"/>
      <c r="M997" s="27"/>
      <c r="N997" s="27"/>
    </row>
    <row r="998" spans="1:14" ht="14.5" x14ac:dyDescent="0.35">
      <c r="A998" s="27"/>
      <c r="B998" s="27"/>
      <c r="C998" s="27"/>
      <c r="D998" s="27"/>
      <c r="E998" s="76"/>
      <c r="F998" s="27"/>
      <c r="G998" s="27"/>
      <c r="H998" s="27"/>
      <c r="I998" s="27"/>
      <c r="J998" s="27"/>
      <c r="K998" s="27"/>
      <c r="L998" s="27"/>
      <c r="M998" s="27"/>
      <c r="N998" s="27"/>
    </row>
    <row r="999" spans="1:14" ht="14.5" x14ac:dyDescent="0.35">
      <c r="A999" s="27"/>
      <c r="B999" s="27"/>
      <c r="C999" s="27"/>
      <c r="D999" s="27"/>
      <c r="E999" s="76"/>
      <c r="F999" s="27"/>
      <c r="G999" s="27"/>
      <c r="H999" s="27"/>
      <c r="I999" s="27"/>
      <c r="J999" s="27"/>
      <c r="K999" s="27"/>
      <c r="L999" s="27"/>
      <c r="M999" s="27"/>
      <c r="N999" s="27"/>
    </row>
    <row r="1000" spans="1:14" ht="14.5" x14ac:dyDescent="0.35">
      <c r="A1000" s="27"/>
      <c r="B1000" s="27"/>
      <c r="C1000" s="27"/>
      <c r="D1000" s="27"/>
      <c r="E1000" s="76"/>
      <c r="F1000" s="27"/>
      <c r="G1000" s="27"/>
      <c r="H1000" s="27"/>
      <c r="I1000" s="27"/>
      <c r="J1000" s="27"/>
      <c r="K1000" s="27"/>
      <c r="L1000" s="27"/>
      <c r="M1000" s="27"/>
      <c r="N1000" s="27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tabSelected="1" workbookViewId="0"/>
  </sheetViews>
  <sheetFormatPr defaultColWidth="12.6328125" defaultRowHeight="12.5" x14ac:dyDescent="0.25"/>
  <cols>
    <col min="1" max="1" width="15.81640625" style="63" customWidth="1"/>
    <col min="2" max="3" width="12.6328125" style="63" customWidth="1"/>
    <col min="4" max="4" width="5.90625" style="63" customWidth="1"/>
    <col min="5" max="5" width="11" style="63" customWidth="1"/>
    <col min="6" max="9" width="29.453125" style="63" customWidth="1"/>
    <col min="10" max="11" width="90.26953125" style="63" customWidth="1"/>
    <col min="12" max="16384" width="12.6328125" style="63"/>
  </cols>
  <sheetData>
    <row r="1" spans="1:11" ht="14.5" x14ac:dyDescent="0.35">
      <c r="A1" s="51" t="s">
        <v>44</v>
      </c>
      <c r="B1" s="51" t="s">
        <v>47</v>
      </c>
      <c r="C1" s="51" t="s">
        <v>6180</v>
      </c>
      <c r="D1" s="51" t="s">
        <v>12231</v>
      </c>
      <c r="E1" s="51" t="s">
        <v>12234</v>
      </c>
      <c r="F1" s="51" t="s">
        <v>12245</v>
      </c>
      <c r="G1" s="51" t="s">
        <v>12246</v>
      </c>
      <c r="H1" s="51" t="s">
        <v>12247</v>
      </c>
      <c r="I1" s="51" t="s">
        <v>12248</v>
      </c>
      <c r="J1" s="51" t="s">
        <v>12249</v>
      </c>
      <c r="K1" s="77" t="s">
        <v>12250</v>
      </c>
    </row>
    <row r="2" spans="1:11" ht="26" x14ac:dyDescent="0.35">
      <c r="A2" s="78" t="s">
        <v>55</v>
      </c>
      <c r="B2" s="49" t="s">
        <v>56</v>
      </c>
      <c r="C2" s="49" t="s">
        <v>14567</v>
      </c>
      <c r="D2" s="49">
        <v>1</v>
      </c>
      <c r="E2" s="78" t="str">
        <f t="shared" ref="E2:E256" si="0">CONCATENATE("E",C2)</f>
        <v>E4_2_1_8</v>
      </c>
      <c r="F2" s="78" t="s">
        <v>6189</v>
      </c>
      <c r="G2" s="78" t="s">
        <v>6189</v>
      </c>
      <c r="H2" s="78" t="s">
        <v>12251</v>
      </c>
      <c r="I2" s="78" t="s">
        <v>12252</v>
      </c>
      <c r="J2" s="78" t="str">
        <f t="shared" ref="J2:J256" si="1">CONCATENATE("(${Variables:",E2,"_kcat","} * ",E2," * ",G2,")","/(${Variables:",E2,"_km","} + (",E2," * ",G2,"))")</f>
        <v>(${Variables:E4_2_1_8_kcat} * E4_2_1_8 * C00514)/(${Variables:E4_2_1_8_km} + (E4_2_1_8 * C00514))</v>
      </c>
      <c r="K2" s="79" t="str">
        <f t="shared" ref="K2:K256" si="2">CONCATENATE("r",D2,": ",F2," -&gt; ",H2," | ",J2)</f>
        <v>r1: C00514 -&gt; C00204+C00001 | (${Variables:E4_2_1_8_kcat} * E4_2_1_8 * C00514)/(${Variables:E4_2_1_8_km} + (E4_2_1_8 * C00514))</v>
      </c>
    </row>
    <row r="3" spans="1:11" ht="26.5" x14ac:dyDescent="0.35">
      <c r="A3" s="78" t="s">
        <v>67</v>
      </c>
      <c r="B3" s="49" t="s">
        <v>68</v>
      </c>
      <c r="C3" s="49" t="s">
        <v>14568</v>
      </c>
      <c r="D3" s="49">
        <v>2</v>
      </c>
      <c r="E3" s="78" t="str">
        <f t="shared" si="0"/>
        <v>E2_7_7_38</v>
      </c>
      <c r="F3" s="78" t="s">
        <v>12253</v>
      </c>
      <c r="G3" s="78" t="s">
        <v>12254</v>
      </c>
      <c r="H3" s="78" t="s">
        <v>12255</v>
      </c>
      <c r="I3" s="78" t="s">
        <v>12256</v>
      </c>
      <c r="J3" s="78" t="str">
        <f t="shared" si="1"/>
        <v>(${Variables:E2_7_7_38_kcat} * E2_7_7_38 * C00063*C01187)/(${Variables:E2_7_7_38_km} + (E2_7_7_38 * C00063*C01187))</v>
      </c>
      <c r="K3" s="79" t="str">
        <f t="shared" si="2"/>
        <v>r2: C00063+C01187 -&gt; C00013+C04121 | (${Variables:E2_7_7_38_kcat} * E2_7_7_38 * C00063*C01187)/(${Variables:E2_7_7_38_km} + (E2_7_7_38 * C00063*C01187))</v>
      </c>
    </row>
    <row r="4" spans="1:11" ht="26.5" x14ac:dyDescent="0.35">
      <c r="A4" s="78" t="s">
        <v>71</v>
      </c>
      <c r="B4" s="49" t="s">
        <v>72</v>
      </c>
      <c r="C4" s="49" t="s">
        <v>14569</v>
      </c>
      <c r="D4" s="49">
        <v>3</v>
      </c>
      <c r="E4" s="78" t="str">
        <f t="shared" si="0"/>
        <v>E2_7_1_130</v>
      </c>
      <c r="F4" s="78" t="s">
        <v>12257</v>
      </c>
      <c r="G4" s="78" t="s">
        <v>12258</v>
      </c>
      <c r="H4" s="78" t="s">
        <v>12259</v>
      </c>
      <c r="I4" s="78" t="s">
        <v>12260</v>
      </c>
      <c r="J4" s="78" t="str">
        <f t="shared" si="1"/>
        <v>(${Variables:E2_7_1_130_kcat} * E2_7_1_130 * C00002*C04932)/(${Variables:E2_7_1_130_km} + (E2_7_1_130 * C00002*C04932))</v>
      </c>
      <c r="K4" s="79" t="str">
        <f t="shared" si="2"/>
        <v>r3: C00002+C04932 -&gt; C00008+C04919 | (${Variables:E2_7_1_130_kcat} * E2_7_1_130 * C00002*C04932)/(${Variables:E2_7_1_130_km} + (E2_7_1_130 * C00002*C04932))</v>
      </c>
    </row>
    <row r="5" spans="1:11" ht="26.5" x14ac:dyDescent="0.35">
      <c r="A5" s="78" t="s">
        <v>86</v>
      </c>
      <c r="B5" s="49" t="s">
        <v>87</v>
      </c>
      <c r="C5" s="49" t="s">
        <v>14570</v>
      </c>
      <c r="D5" s="49">
        <v>4</v>
      </c>
      <c r="E5" s="78" t="str">
        <f t="shared" si="0"/>
        <v>E2_7_7_19</v>
      </c>
      <c r="F5" s="78" t="s">
        <v>12261</v>
      </c>
      <c r="G5" s="78" t="s">
        <v>12262</v>
      </c>
      <c r="H5" s="78" t="s">
        <v>12263</v>
      </c>
      <c r="I5" s="78" t="s">
        <v>12264</v>
      </c>
      <c r="J5" s="78" t="str">
        <f t="shared" si="1"/>
        <v>(${Variables:E2_7_7_19_kcat} * E2_7_7_19 * C00002*C00046)/(${Variables:E2_7_7_19_km} + (E2_7_7_19 * C00002*C00046))</v>
      </c>
      <c r="K5" s="79" t="str">
        <f t="shared" si="2"/>
        <v>r4: C00002+C00046 -&gt; C00013+C00046 | (${Variables:E2_7_7_19_kcat} * E2_7_7_19 * C00002*C00046)/(${Variables:E2_7_7_19_km} + (E2_7_7_19 * C00002*C00046))</v>
      </c>
    </row>
    <row r="6" spans="1:11" ht="26.5" x14ac:dyDescent="0.35">
      <c r="A6" s="78" t="s">
        <v>90</v>
      </c>
      <c r="B6" s="49" t="s">
        <v>91</v>
      </c>
      <c r="C6" s="49" t="s">
        <v>14571</v>
      </c>
      <c r="D6" s="49">
        <v>5</v>
      </c>
      <c r="E6" s="78" t="str">
        <f t="shared" si="0"/>
        <v>E2_7_6_3</v>
      </c>
      <c r="F6" s="78" t="s">
        <v>12265</v>
      </c>
      <c r="G6" s="78" t="s">
        <v>12266</v>
      </c>
      <c r="H6" s="78" t="s">
        <v>12267</v>
      </c>
      <c r="I6" s="78" t="s">
        <v>12268</v>
      </c>
      <c r="J6" s="78" t="str">
        <f t="shared" si="1"/>
        <v>(${Variables:E2_7_6_3_kcat} * E2_7_6_3 * C00002*C01300)/(${Variables:E2_7_6_3_km} + (E2_7_6_3 * C00002*C01300))</v>
      </c>
      <c r="K6" s="79" t="str">
        <f t="shared" si="2"/>
        <v>r5: C00002+C01300 -&gt; C00020+C04807 | (${Variables:E2_7_6_3_kcat} * E2_7_6_3 * C00002*C01300)/(${Variables:E2_7_6_3_km} + (E2_7_6_3 * C00002*C01300))</v>
      </c>
    </row>
    <row r="7" spans="1:11" ht="26.5" x14ac:dyDescent="0.35">
      <c r="A7" s="78" t="s">
        <v>105</v>
      </c>
      <c r="B7" s="49" t="s">
        <v>106</v>
      </c>
      <c r="C7" s="49" t="s">
        <v>14572</v>
      </c>
      <c r="D7" s="49">
        <v>6</v>
      </c>
      <c r="E7" s="78" t="str">
        <f t="shared" si="0"/>
        <v>E2_5_1_75</v>
      </c>
      <c r="F7" s="78" t="s">
        <v>12269</v>
      </c>
      <c r="G7" s="78" t="s">
        <v>12270</v>
      </c>
      <c r="H7" s="49" t="s">
        <v>12271</v>
      </c>
      <c r="I7" s="49" t="s">
        <v>12272</v>
      </c>
      <c r="J7" s="78" t="str">
        <f t="shared" si="1"/>
        <v>(${Variables:E2_5_1_75_kcat} * E2_5_1_75 * C00235*C17324)/(${Variables:E2_5_1_75_km} + (E2_5_1_75 * C00235*C17324))</v>
      </c>
      <c r="K7" s="79" t="str">
        <f t="shared" si="2"/>
        <v>r6: C00235+C17324 -&gt; C00013+C04432 | (${Variables:E2_5_1_75_kcat} * E2_5_1_75 * C00235*C17324)/(${Variables:E2_5_1_75_km} + (E2_5_1_75 * C00235*C17324))</v>
      </c>
    </row>
    <row r="8" spans="1:11" ht="26.5" x14ac:dyDescent="0.35">
      <c r="A8" s="78" t="s">
        <v>109</v>
      </c>
      <c r="B8" s="49" t="s">
        <v>110</v>
      </c>
      <c r="C8" s="49" t="s">
        <v>14573</v>
      </c>
      <c r="D8" s="49">
        <v>7</v>
      </c>
      <c r="E8" s="78" t="str">
        <f t="shared" si="0"/>
        <v>E2_7_7_42</v>
      </c>
      <c r="F8" s="78" t="s">
        <v>12273</v>
      </c>
      <c r="G8" s="78" t="s">
        <v>12274</v>
      </c>
      <c r="H8" s="78" t="s">
        <v>12275</v>
      </c>
      <c r="I8" s="78" t="s">
        <v>12276</v>
      </c>
      <c r="J8" s="78" t="str">
        <f t="shared" si="1"/>
        <v>(${Variables:E2_7_7_42_kcat} * E2_7_7_42 * C00002*C01281)/(${Variables:E2_7_7_42_km} + (E2_7_7_42 * C00002*C01281))</v>
      </c>
      <c r="K8" s="79" t="str">
        <f t="shared" si="2"/>
        <v>r7: C00002+C01281 -&gt; C00013+C01299 | (${Variables:E2_7_7_42_kcat} * E2_7_7_42 * C00002*C01281)/(${Variables:E2_7_7_42_km} + (E2_7_7_42 * C00002*C01281))</v>
      </c>
    </row>
    <row r="9" spans="1:11" ht="26.5" x14ac:dyDescent="0.35">
      <c r="A9" s="78" t="s">
        <v>109</v>
      </c>
      <c r="B9" s="49" t="s">
        <v>110</v>
      </c>
      <c r="C9" s="49" t="s">
        <v>14574</v>
      </c>
      <c r="D9" s="49">
        <v>8</v>
      </c>
      <c r="E9" s="78" t="str">
        <f t="shared" si="0"/>
        <v>E2_7_7_89</v>
      </c>
      <c r="F9" s="78" t="s">
        <v>12277</v>
      </c>
      <c r="G9" s="78" t="s">
        <v>12278</v>
      </c>
      <c r="H9" s="78" t="s">
        <v>12279</v>
      </c>
      <c r="I9" s="78" t="s">
        <v>12280</v>
      </c>
      <c r="J9" s="78" t="str">
        <f t="shared" si="1"/>
        <v>(${Variables:E2_7_7_89_kcat} * E2_7_7_89 * C01299*C00009)/(${Variables:E2_7_7_89_km} + (E2_7_7_89 * C01299*C00009))</v>
      </c>
      <c r="K9" s="79" t="str">
        <f t="shared" si="2"/>
        <v>r8: C01299+C00009 -&gt; C00008+C01281 | (${Variables:E2_7_7_89_kcat} * E2_7_7_89 * C01299*C00009)/(${Variables:E2_7_7_89_km} + (E2_7_7_89 * C01299*C00009))</v>
      </c>
    </row>
    <row r="10" spans="1:11" ht="26.5" x14ac:dyDescent="0.35">
      <c r="A10" s="78" t="s">
        <v>130</v>
      </c>
      <c r="B10" s="49" t="s">
        <v>131</v>
      </c>
      <c r="C10" s="49" t="s">
        <v>14575</v>
      </c>
      <c r="D10" s="49">
        <v>9</v>
      </c>
      <c r="E10" s="78" t="str">
        <f t="shared" si="0"/>
        <v>E1_17_4_2</v>
      </c>
      <c r="F10" s="78" t="s">
        <v>12281</v>
      </c>
      <c r="G10" s="78" t="s">
        <v>12282</v>
      </c>
      <c r="H10" s="78" t="s">
        <v>12283</v>
      </c>
      <c r="I10" s="78" t="s">
        <v>12284</v>
      </c>
      <c r="J10" s="78" t="str">
        <f t="shared" si="1"/>
        <v>(${Variables:E1_17_4_2_kcat} * E1_17_4_2 * C00677*C00343*C00001)/(${Variables:E1_17_4_2_km} + (E1_17_4_2 * C00677*C00343*C00001))</v>
      </c>
      <c r="K10" s="79" t="str">
        <f t="shared" si="2"/>
        <v>r9: C00677+C00343+C00001 -&gt; C03802+C00342 | (${Variables:E1_17_4_2_kcat} * E1_17_4_2 * C00677*C00343*C00001)/(${Variables:E1_17_4_2_km} + (E1_17_4_2 * C00677*C00343*C00001))</v>
      </c>
    </row>
    <row r="11" spans="1:11" ht="26.5" x14ac:dyDescent="0.35">
      <c r="A11" s="78" t="s">
        <v>130</v>
      </c>
      <c r="B11" s="49" t="s">
        <v>131</v>
      </c>
      <c r="C11" s="49" t="s">
        <v>14575</v>
      </c>
      <c r="D11" s="49">
        <v>10</v>
      </c>
      <c r="E11" s="78" t="str">
        <f t="shared" si="0"/>
        <v>E1_17_4_2</v>
      </c>
      <c r="F11" s="78" t="s">
        <v>12285</v>
      </c>
      <c r="G11" s="78" t="s">
        <v>12286</v>
      </c>
      <c r="H11" s="78" t="s">
        <v>12287</v>
      </c>
      <c r="I11" s="78" t="s">
        <v>12288</v>
      </c>
      <c r="J11" s="78" t="str">
        <f t="shared" si="1"/>
        <v>(${Variables:E1_17_4_2_kcat} * E1_17_4_2 * C00131*C00343*C00001)/(${Variables:E1_17_4_2_km} + (E1_17_4_2 * C00131*C00343*C00001))</v>
      </c>
      <c r="K11" s="79" t="str">
        <f t="shared" si="2"/>
        <v>r10: C00131+C00343+C00001 -&gt; C00002+C00342 | (${Variables:E1_17_4_2_kcat} * E1_17_4_2 * C00131*C00343*C00001)/(${Variables:E1_17_4_2_km} + (E1_17_4_2 * C00131*C00343*C00001))</v>
      </c>
    </row>
    <row r="12" spans="1:11" ht="26.5" x14ac:dyDescent="0.35">
      <c r="A12" s="78" t="s">
        <v>130</v>
      </c>
      <c r="B12" s="49" t="s">
        <v>131</v>
      </c>
      <c r="C12" s="49" t="s">
        <v>14575</v>
      </c>
      <c r="D12" s="49">
        <v>11</v>
      </c>
      <c r="E12" s="78" t="str">
        <f t="shared" si="0"/>
        <v>E1_17_4_2</v>
      </c>
      <c r="F12" s="78" t="s">
        <v>12289</v>
      </c>
      <c r="G12" s="78" t="s">
        <v>12290</v>
      </c>
      <c r="H12" s="78" t="s">
        <v>12291</v>
      </c>
      <c r="I12" s="78" t="s">
        <v>12292</v>
      </c>
      <c r="J12" s="78" t="str">
        <f t="shared" si="1"/>
        <v>(${Variables:E1_17_4_2_kcat} * E1_17_4_2 * C00286*C00343*C00001)/(${Variables:E1_17_4_2_km} + (E1_17_4_2 * C00286*C00343*C00001))</v>
      </c>
      <c r="K12" s="79" t="str">
        <f t="shared" si="2"/>
        <v>r11: C00286+C00343+C00001 -&gt; C00044+C00342 | (${Variables:E1_17_4_2_kcat} * E1_17_4_2 * C00286*C00343*C00001)/(${Variables:E1_17_4_2_km} + (E1_17_4_2 * C00286*C00343*C00001))</v>
      </c>
    </row>
    <row r="13" spans="1:11" ht="26.5" x14ac:dyDescent="0.35">
      <c r="A13" s="78" t="s">
        <v>130</v>
      </c>
      <c r="B13" s="49" t="s">
        <v>131</v>
      </c>
      <c r="C13" s="49" t="s">
        <v>14575</v>
      </c>
      <c r="D13" s="49">
        <v>12</v>
      </c>
      <c r="E13" s="78" t="str">
        <f t="shared" si="0"/>
        <v>E1_17_4_2</v>
      </c>
      <c r="F13" s="78" t="s">
        <v>12293</v>
      </c>
      <c r="G13" s="78" t="s">
        <v>12294</v>
      </c>
      <c r="H13" s="78" t="s">
        <v>12295</v>
      </c>
      <c r="I13" s="78" t="s">
        <v>12296</v>
      </c>
      <c r="J13" s="78" t="str">
        <f t="shared" si="1"/>
        <v>(${Variables:E1_17_4_2_kcat} * E1_17_4_2 * C00458*C00343*C00001)/(${Variables:E1_17_4_2_km} + (E1_17_4_2 * C00458*C00343*C00001))</v>
      </c>
      <c r="K13" s="79" t="str">
        <f t="shared" si="2"/>
        <v>r12: C00458+C00343+C00001 -&gt; C00063+C00342 | (${Variables:E1_17_4_2_kcat} * E1_17_4_2 * C00458*C00343*C00001)/(${Variables:E1_17_4_2_km} + (E1_17_4_2 * C00458*C00343*C00001))</v>
      </c>
    </row>
    <row r="14" spans="1:11" ht="26.5" x14ac:dyDescent="0.35">
      <c r="A14" s="78" t="s">
        <v>130</v>
      </c>
      <c r="B14" s="49" t="s">
        <v>131</v>
      </c>
      <c r="C14" s="49" t="s">
        <v>14575</v>
      </c>
      <c r="D14" s="49">
        <v>13</v>
      </c>
      <c r="E14" s="78" t="str">
        <f t="shared" si="0"/>
        <v>E1_17_4_2</v>
      </c>
      <c r="F14" s="78" t="s">
        <v>12297</v>
      </c>
      <c r="G14" s="78" t="s">
        <v>12298</v>
      </c>
      <c r="H14" s="78" t="s">
        <v>12299</v>
      </c>
      <c r="I14" s="78" t="s">
        <v>12300</v>
      </c>
      <c r="J14" s="78" t="str">
        <f t="shared" si="1"/>
        <v>(${Variables:E1_17_4_2_kcat} * E1_17_4_2 * C00460*C00343*C00001)/(${Variables:E1_17_4_2_km} + (E1_17_4_2 * C00460*C00343*C00001))</v>
      </c>
      <c r="K14" s="79" t="str">
        <f t="shared" si="2"/>
        <v>r13: C00460+C00343+C00001 -&gt; C00075+C00342 | (${Variables:E1_17_4_2_kcat} * E1_17_4_2 * C00460*C00343*C00001)/(${Variables:E1_17_4_2_km} + (E1_17_4_2 * C00460*C00343*C00001))</v>
      </c>
    </row>
    <row r="15" spans="1:11" ht="26.5" x14ac:dyDescent="0.35">
      <c r="A15" s="78" t="s">
        <v>268</v>
      </c>
      <c r="B15" s="49" t="s">
        <v>269</v>
      </c>
      <c r="C15" s="49" t="s">
        <v>14576</v>
      </c>
      <c r="D15" s="49">
        <v>14</v>
      </c>
      <c r="E15" s="78" t="str">
        <f t="shared" si="0"/>
        <v>E6_1_1_16</v>
      </c>
      <c r="F15" s="78" t="s">
        <v>12301</v>
      </c>
      <c r="G15" s="78" t="s">
        <v>12302</v>
      </c>
      <c r="H15" s="78" t="s">
        <v>12303</v>
      </c>
      <c r="I15" s="78" t="s">
        <v>12304</v>
      </c>
      <c r="J15" s="78" t="str">
        <f t="shared" si="1"/>
        <v>(${Variables:E6_1_1_16_kcat} * E6_1_1_16 * C00002*C00097*C01639)/(${Variables:E6_1_1_16_km} + (E6_1_1_16 * C00002*C00097*C01639))</v>
      </c>
      <c r="K15" s="79" t="str">
        <f t="shared" si="2"/>
        <v>r14: C00002+C00097+C01639 -&gt; C00020+C00013+C03125 | (${Variables:E6_1_1_16_kcat} * E6_1_1_16 * C00002*C00097*C01639)/(${Variables:E6_1_1_16_km} + (E6_1_1_16 * C00002*C00097*C01639))</v>
      </c>
    </row>
    <row r="16" spans="1:11" ht="26" x14ac:dyDescent="0.35">
      <c r="A16" s="78" t="s">
        <v>271</v>
      </c>
      <c r="B16" s="49" t="s">
        <v>272</v>
      </c>
      <c r="C16" s="49" t="s">
        <v>14577</v>
      </c>
      <c r="D16" s="49">
        <v>15</v>
      </c>
      <c r="E16" s="78" t="str">
        <f t="shared" si="0"/>
        <v>E5_2_1_8</v>
      </c>
      <c r="F16" s="78" t="s">
        <v>6254</v>
      </c>
      <c r="G16" s="78" t="s">
        <v>6254</v>
      </c>
      <c r="H16" s="78" t="s">
        <v>6255</v>
      </c>
      <c r="I16" s="78" t="s">
        <v>6255</v>
      </c>
      <c r="J16" s="78" t="str">
        <f t="shared" si="1"/>
        <v>(${Variables:E5_2_1_8_kcat} * E5_2_1_8 * C03798)/(${Variables:E5_2_1_8_km} + (E5_2_1_8 * C03798))</v>
      </c>
      <c r="K16" s="79" t="str">
        <f t="shared" si="2"/>
        <v>r15: C03798 -&gt; C03633 | (${Variables:E5_2_1_8_kcat} * E5_2_1_8 * C03798)/(${Variables:E5_2_1_8_km} + (E5_2_1_8 * C03798))</v>
      </c>
    </row>
    <row r="17" spans="1:11" ht="26.5" x14ac:dyDescent="0.35">
      <c r="A17" s="78" t="s">
        <v>300</v>
      </c>
      <c r="B17" s="49" t="s">
        <v>301</v>
      </c>
      <c r="C17" s="49" t="s">
        <v>14578</v>
      </c>
      <c r="D17" s="49">
        <v>16</v>
      </c>
      <c r="E17" s="78" t="str">
        <f t="shared" si="0"/>
        <v>E4_2_3_1</v>
      </c>
      <c r="F17" s="78" t="s">
        <v>12305</v>
      </c>
      <c r="G17" s="78" t="s">
        <v>12306</v>
      </c>
      <c r="H17" s="78" t="s">
        <v>12307</v>
      </c>
      <c r="I17" s="78" t="s">
        <v>12308</v>
      </c>
      <c r="J17" s="78" t="str">
        <f t="shared" si="1"/>
        <v>(${Variables:E4_2_3_1_kcat} * E4_2_3_1 * C01102*C00001)/(${Variables:E4_2_3_1_km} + (E4_2_3_1 * C01102*C00001))</v>
      </c>
      <c r="K17" s="79" t="str">
        <f t="shared" si="2"/>
        <v>r16: C01102+C00001 -&gt; C00188+C00009 | (${Variables:E4_2_3_1_kcat} * E4_2_3_1 * C01102*C00001)/(${Variables:E4_2_3_1_km} + (E4_2_3_1 * C01102*C00001))</v>
      </c>
    </row>
    <row r="18" spans="1:11" ht="26.5" x14ac:dyDescent="0.35">
      <c r="A18" s="78" t="s">
        <v>300</v>
      </c>
      <c r="B18" s="49" t="s">
        <v>301</v>
      </c>
      <c r="C18" s="49" t="s">
        <v>14578</v>
      </c>
      <c r="D18" s="49">
        <v>17</v>
      </c>
      <c r="E18" s="78" t="str">
        <f t="shared" si="0"/>
        <v>E4_2_3_1</v>
      </c>
      <c r="F18" s="78" t="s">
        <v>12309</v>
      </c>
      <c r="G18" s="78" t="s">
        <v>12310</v>
      </c>
      <c r="H18" s="78" t="s">
        <v>12311</v>
      </c>
      <c r="I18" s="78" t="s">
        <v>12312</v>
      </c>
      <c r="J18" s="78" t="str">
        <f t="shared" si="1"/>
        <v>(${Variables:E4_2_3_1_kcat} * E4_2_3_1 * C06055*C00001)/(${Variables:E4_2_3_1_km} + (E4_2_3_1 * C06055*C00001))</v>
      </c>
      <c r="K18" s="79" t="str">
        <f t="shared" si="2"/>
        <v>r17: C06055+C00001 -&gt; C06056+C00009 | (${Variables:E4_2_3_1_kcat} * E4_2_3_1 * C06055*C00001)/(${Variables:E4_2_3_1_km} + (E4_2_3_1 * C06055*C00001))</v>
      </c>
    </row>
    <row r="19" spans="1:11" ht="26.5" x14ac:dyDescent="0.35">
      <c r="A19" s="78" t="s">
        <v>304</v>
      </c>
      <c r="B19" s="49" t="s">
        <v>305</v>
      </c>
      <c r="C19" s="49" t="s">
        <v>14579</v>
      </c>
      <c r="D19" s="49">
        <v>18</v>
      </c>
      <c r="E19" s="78" t="str">
        <f t="shared" si="0"/>
        <v>E2_7_1_39</v>
      </c>
      <c r="F19" s="78" t="s">
        <v>12313</v>
      </c>
      <c r="G19" s="78" t="s">
        <v>12314</v>
      </c>
      <c r="H19" s="78" t="s">
        <v>12315</v>
      </c>
      <c r="I19" s="78" t="s">
        <v>12316</v>
      </c>
      <c r="J19" s="78" t="str">
        <f t="shared" si="1"/>
        <v>(${Variables:E2_7_1_39_kcat} * E2_7_1_39 * C00002*C00263)/(${Variables:E2_7_1_39_km} + (E2_7_1_39 * C00002*C00263))</v>
      </c>
      <c r="K19" s="79" t="str">
        <f t="shared" si="2"/>
        <v>r18: C00002+C00263 -&gt; C00008+C01102 | (${Variables:E2_7_1_39_kcat} * E2_7_1_39 * C00002*C00263)/(${Variables:E2_7_1_39_km} + (E2_7_1_39 * C00002*C00263))</v>
      </c>
    </row>
    <row r="20" spans="1:11" ht="26.5" x14ac:dyDescent="0.35">
      <c r="A20" s="78" t="s">
        <v>308</v>
      </c>
      <c r="B20" s="49" t="s">
        <v>309</v>
      </c>
      <c r="C20" s="49" t="s">
        <v>14580</v>
      </c>
      <c r="D20" s="49">
        <v>19</v>
      </c>
      <c r="E20" s="78" t="str">
        <f t="shared" si="0"/>
        <v>E1_1_1_3</v>
      </c>
      <c r="F20" s="78" t="s">
        <v>12317</v>
      </c>
      <c r="G20" s="78" t="s">
        <v>12318</v>
      </c>
      <c r="H20" s="78" t="s">
        <v>12319</v>
      </c>
      <c r="I20" s="78" t="s">
        <v>12320</v>
      </c>
      <c r="J20" s="78" t="str">
        <f t="shared" si="1"/>
        <v>(${Variables:E1_1_1_3_kcat} * E1_1_1_3 * C00263*C00003)/(${Variables:E1_1_1_3_km} + (E1_1_1_3 * C00263*C00003))</v>
      </c>
      <c r="K20" s="79" t="str">
        <f t="shared" si="2"/>
        <v>r19: C00263+C00003 -&gt; C00441+C00004+C00080 | (${Variables:E1_1_1_3_kcat} * E1_1_1_3 * C00263*C00003)/(${Variables:E1_1_1_3_km} + (E1_1_1_3 * C00263*C00003))</v>
      </c>
    </row>
    <row r="21" spans="1:11" ht="26.5" x14ac:dyDescent="0.35">
      <c r="A21" s="78" t="s">
        <v>308</v>
      </c>
      <c r="B21" s="49" t="s">
        <v>309</v>
      </c>
      <c r="C21" s="49" t="s">
        <v>14580</v>
      </c>
      <c r="D21" s="49">
        <v>20</v>
      </c>
      <c r="E21" s="78" t="str">
        <f t="shared" si="0"/>
        <v>E1_1_1_3</v>
      </c>
      <c r="F21" s="78" t="s">
        <v>12321</v>
      </c>
      <c r="G21" s="78" t="s">
        <v>12322</v>
      </c>
      <c r="H21" s="78" t="s">
        <v>12323</v>
      </c>
      <c r="I21" s="78" t="s">
        <v>12324</v>
      </c>
      <c r="J21" s="78" t="str">
        <f t="shared" si="1"/>
        <v>(${Variables:E1_1_1_3_kcat} * E1_1_1_3 * C00263*C00006)/(${Variables:E1_1_1_3_km} + (E1_1_1_3 * C00263*C00006))</v>
      </c>
      <c r="K21" s="79" t="str">
        <f t="shared" si="2"/>
        <v>r20: C00263+C00006 -&gt; C00441+C00005+C00080 | (${Variables:E1_1_1_3_kcat} * E1_1_1_3 * C00263*C00006)/(${Variables:E1_1_1_3_km} + (E1_1_1_3 * C00263*C00006))</v>
      </c>
    </row>
    <row r="22" spans="1:11" ht="26.5" x14ac:dyDescent="0.35">
      <c r="A22" s="78" t="s">
        <v>308</v>
      </c>
      <c r="B22" s="49" t="s">
        <v>309</v>
      </c>
      <c r="C22" s="49" t="s">
        <v>14581</v>
      </c>
      <c r="D22" s="49">
        <v>21</v>
      </c>
      <c r="E22" s="78" t="str">
        <f t="shared" si="0"/>
        <v>E2_7_2_4</v>
      </c>
      <c r="F22" s="78" t="s">
        <v>12325</v>
      </c>
      <c r="G22" s="78" t="s">
        <v>12326</v>
      </c>
      <c r="H22" s="78" t="s">
        <v>12327</v>
      </c>
      <c r="I22" s="78" t="s">
        <v>12328</v>
      </c>
      <c r="J22" s="78" t="str">
        <f t="shared" si="1"/>
        <v>(${Variables:E2_7_2_4_kcat} * E2_7_2_4 * C00002*C00049)/(${Variables:E2_7_2_4_km} + (E2_7_2_4 * C00002*C00049))</v>
      </c>
      <c r="K22" s="79" t="str">
        <f t="shared" si="2"/>
        <v>r21: C00002+C00049 -&gt; C00008+C03082 | (${Variables:E2_7_2_4_kcat} * E2_7_2_4 * C00002*C00049)/(${Variables:E2_7_2_4_km} + (E2_7_2_4 * C00002*C00049))</v>
      </c>
    </row>
    <row r="23" spans="1:11" ht="26.5" x14ac:dyDescent="0.35">
      <c r="A23" s="78" t="s">
        <v>343</v>
      </c>
      <c r="B23" s="49" t="s">
        <v>344</v>
      </c>
      <c r="C23" s="49" t="s">
        <v>14582</v>
      </c>
      <c r="D23" s="49">
        <v>22</v>
      </c>
      <c r="E23" s="78" t="str">
        <f t="shared" si="0"/>
        <v>E3_5_1_18</v>
      </c>
      <c r="F23" s="78" t="s">
        <v>12329</v>
      </c>
      <c r="G23" s="78" t="s">
        <v>12330</v>
      </c>
      <c r="H23" s="78" t="s">
        <v>12331</v>
      </c>
      <c r="I23" s="78" t="s">
        <v>12332</v>
      </c>
      <c r="J23" s="78" t="str">
        <f t="shared" si="1"/>
        <v>(${Variables:E3_5_1_18_kcat} * E3_5_1_18 * C04421*C00001)/(${Variables:E3_5_1_18_km} + (E3_5_1_18 * C04421*C00001))</v>
      </c>
      <c r="K23" s="79" t="str">
        <f t="shared" si="2"/>
        <v>r22: C04421+C00001 -&gt; C00042+C00666 | (${Variables:E3_5_1_18_kcat} * E3_5_1_18 * C04421*C00001)/(${Variables:E3_5_1_18_km} + (E3_5_1_18 * C04421*C00001))</v>
      </c>
    </row>
    <row r="24" spans="1:11" ht="26.5" x14ac:dyDescent="0.35">
      <c r="A24" s="78" t="s">
        <v>384</v>
      </c>
      <c r="B24" s="49" t="s">
        <v>385</v>
      </c>
      <c r="C24" s="49" t="s">
        <v>14583</v>
      </c>
      <c r="D24" s="49">
        <v>23</v>
      </c>
      <c r="E24" s="78" t="str">
        <f t="shared" si="0"/>
        <v>E6_1_1_11</v>
      </c>
      <c r="F24" s="78" t="s">
        <v>12333</v>
      </c>
      <c r="G24" s="78" t="s">
        <v>12334</v>
      </c>
      <c r="H24" s="78" t="s">
        <v>12335</v>
      </c>
      <c r="I24" s="78" t="s">
        <v>12336</v>
      </c>
      <c r="J24" s="78" t="str">
        <f t="shared" si="1"/>
        <v>(${Variables:E6_1_1_11_kcat} * E6_1_1_11 * C00002*C00065*C01650)/(${Variables:E6_1_1_11_km} + (E6_1_1_11 * C00002*C00065*C01650))</v>
      </c>
      <c r="K24" s="79" t="str">
        <f t="shared" si="2"/>
        <v>r23: C00002+C00065+C01650 -&gt; C00020+C00013+C02553 | (${Variables:E6_1_1_11_kcat} * E6_1_1_11 * C00002*C00065*C01650)/(${Variables:E6_1_1_11_km} + (E6_1_1_11 * C00002*C00065*C01650))</v>
      </c>
    </row>
    <row r="25" spans="1:11" ht="26.5" x14ac:dyDescent="0.35">
      <c r="A25" s="78" t="s">
        <v>384</v>
      </c>
      <c r="B25" s="49" t="s">
        <v>385</v>
      </c>
      <c r="C25" s="49" t="s">
        <v>14583</v>
      </c>
      <c r="D25" s="49">
        <v>24</v>
      </c>
      <c r="E25" s="78" t="str">
        <f t="shared" si="0"/>
        <v>E6_1_1_11</v>
      </c>
      <c r="F25" s="78" t="s">
        <v>12337</v>
      </c>
      <c r="G25" s="78" t="s">
        <v>12338</v>
      </c>
      <c r="H25" s="78" t="s">
        <v>12339</v>
      </c>
      <c r="I25" s="78" t="s">
        <v>12340</v>
      </c>
      <c r="J25" s="78" t="str">
        <f t="shared" si="1"/>
        <v>(${Variables:E6_1_1_11_kcat} * E6_1_1_11 * C00002*C00065*C16636)/(${Variables:E6_1_1_11_km} + (E6_1_1_11 * C00002*C00065*C16636))</v>
      </c>
      <c r="K25" s="79" t="str">
        <f t="shared" si="2"/>
        <v>r24: C00002+C00065+C16636 -&gt; C00020+C00013+C06481 | (${Variables:E6_1_1_11_kcat} * E6_1_1_11 * C00002*C00065*C16636)/(${Variables:E6_1_1_11_km} + (E6_1_1_11 * C00002*C00065*C16636))</v>
      </c>
    </row>
    <row r="26" spans="1:11" ht="26.5" x14ac:dyDescent="0.35">
      <c r="A26" s="78" t="s">
        <v>411</v>
      </c>
      <c r="B26" s="49" t="s">
        <v>412</v>
      </c>
      <c r="C26" s="49" t="s">
        <v>14584</v>
      </c>
      <c r="D26" s="49">
        <v>25</v>
      </c>
      <c r="E26" s="78" t="str">
        <f t="shared" si="0"/>
        <v>E2_1_1_173</v>
      </c>
      <c r="F26" s="78" t="s">
        <v>12341</v>
      </c>
      <c r="G26" s="78" t="s">
        <v>12342</v>
      </c>
      <c r="H26" s="78" t="s">
        <v>12343</v>
      </c>
      <c r="I26" s="78" t="s">
        <v>12344</v>
      </c>
      <c r="J26" s="78" t="str">
        <f t="shared" si="1"/>
        <v>(${Variables:E2_1_1_173_kcat} * E2_1_1_173 * C00019*C00240)/(${Variables:E2_1_1_173_km} + (E2_1_1_173 * C00019*C00240))</v>
      </c>
      <c r="K26" s="79" t="str">
        <f t="shared" si="2"/>
        <v>r25: C00019+C00240 -&gt; C00021+C04153 | (${Variables:E2_1_1_173_kcat} * E2_1_1_173 * C00019*C00240)/(${Variables:E2_1_1_173_km} + (E2_1_1_173 * C00019*C00240))</v>
      </c>
    </row>
    <row r="27" spans="1:11" ht="26.5" x14ac:dyDescent="0.35">
      <c r="A27" s="78" t="s">
        <v>432</v>
      </c>
      <c r="B27" s="49" t="s">
        <v>433</v>
      </c>
      <c r="C27" s="49" t="s">
        <v>14585</v>
      </c>
      <c r="D27" s="49">
        <v>26</v>
      </c>
      <c r="E27" s="78" t="str">
        <f t="shared" si="0"/>
        <v>E6_3_2_45</v>
      </c>
      <c r="F27" s="78" t="s">
        <v>12345</v>
      </c>
      <c r="G27" s="78" t="s">
        <v>12346</v>
      </c>
      <c r="H27" s="78" t="s">
        <v>12347</v>
      </c>
      <c r="I27" s="78" t="s">
        <v>12348</v>
      </c>
      <c r="J27" s="78" t="str">
        <f t="shared" si="1"/>
        <v>(${Variables:E6_3_2_45_kcat} * E6_3_2_45 * C00002*C01050*C20925)/(${Variables:E6_3_2_45_km} + (E6_3_2_45 * C00002*C01050*C20925))</v>
      </c>
      <c r="K27" s="79" t="str">
        <f t="shared" si="2"/>
        <v>r26: C00002+C01050+C20925 -&gt; C00008+C00009+C04877 | (${Variables:E6_3_2_45_kcat} * E6_3_2_45 * C00002*C01050*C20925)/(${Variables:E6_3_2_45_km} + (E6_3_2_45 * C00002*C01050*C20925))</v>
      </c>
    </row>
    <row r="28" spans="1:11" ht="26.5" x14ac:dyDescent="0.35">
      <c r="A28" s="78" t="s">
        <v>439</v>
      </c>
      <c r="B28" s="49" t="s">
        <v>440</v>
      </c>
      <c r="C28" s="49" t="s">
        <v>14586</v>
      </c>
      <c r="D28" s="49">
        <v>27</v>
      </c>
      <c r="E28" s="78" t="str">
        <f t="shared" si="0"/>
        <v>E1_11_1_24</v>
      </c>
      <c r="F28" s="78" t="s">
        <v>12349</v>
      </c>
      <c r="G28" s="78" t="s">
        <v>12350</v>
      </c>
      <c r="H28" s="78" t="s">
        <v>12351</v>
      </c>
      <c r="I28" s="78" t="s">
        <v>12352</v>
      </c>
      <c r="J28" s="78" t="str">
        <f t="shared" si="1"/>
        <v>(${Variables:E1_11_1_24_kcat} * E1_11_1_24 * C00342*C15498)/(${Variables:E1_11_1_24_km} + (E1_11_1_24 * C00342*C15498))</v>
      </c>
      <c r="K28" s="79" t="str">
        <f t="shared" si="2"/>
        <v>r27: C00342+C15498 -&gt; C00343+C00001+C01335 | (${Variables:E1_11_1_24_kcat} * E1_11_1_24 * C00342*C15498)/(${Variables:E1_11_1_24_km} + (E1_11_1_24 * C00342*C15498))</v>
      </c>
    </row>
    <row r="29" spans="1:11" ht="26.5" x14ac:dyDescent="0.35">
      <c r="A29" s="78" t="s">
        <v>443</v>
      </c>
      <c r="B29" s="49" t="s">
        <v>444</v>
      </c>
      <c r="C29" s="49" t="s">
        <v>14587</v>
      </c>
      <c r="D29" s="49">
        <v>28</v>
      </c>
      <c r="E29" s="78" t="str">
        <f t="shared" si="0"/>
        <v>E2_7_8_5</v>
      </c>
      <c r="F29" s="78" t="s">
        <v>12353</v>
      </c>
      <c r="G29" s="78" t="s">
        <v>12354</v>
      </c>
      <c r="H29" s="78" t="s">
        <v>12355</v>
      </c>
      <c r="I29" s="78" t="s">
        <v>12356</v>
      </c>
      <c r="J29" s="78" t="str">
        <f t="shared" si="1"/>
        <v>(${Variables:E2_7_8_5_kcat} * E2_7_8_5 * C00269*C00093)/(${Variables:E2_7_8_5_km} + (E2_7_8_5 * C00269*C00093))</v>
      </c>
      <c r="K29" s="79" t="str">
        <f t="shared" si="2"/>
        <v>r28: C00269+C00093 -&gt; C00055+C03892 | (${Variables:E2_7_8_5_kcat} * E2_7_8_5 * C00269*C00093)/(${Variables:E2_7_8_5_km} + (E2_7_8_5 * C00269*C00093))</v>
      </c>
    </row>
    <row r="30" spans="1:11" ht="26.5" x14ac:dyDescent="0.35">
      <c r="A30" s="78" t="s">
        <v>456</v>
      </c>
      <c r="B30" s="49" t="s">
        <v>457</v>
      </c>
      <c r="C30" s="49" t="s">
        <v>14588</v>
      </c>
      <c r="D30" s="49">
        <v>29</v>
      </c>
      <c r="E30" s="78" t="str">
        <f t="shared" si="0"/>
        <v>E2_7_1_48</v>
      </c>
      <c r="F30" s="78" t="s">
        <v>12357</v>
      </c>
      <c r="G30" s="78" t="s">
        <v>12358</v>
      </c>
      <c r="H30" s="78" t="s">
        <v>12359</v>
      </c>
      <c r="I30" s="78" t="s">
        <v>12360</v>
      </c>
      <c r="J30" s="78" t="str">
        <f t="shared" si="1"/>
        <v>(${Variables:E2_7_1_48_kcat} * E2_7_1_48 * C00002*C00475)/(${Variables:E2_7_1_48_km} + (E2_7_1_48 * C00002*C00475))</v>
      </c>
      <c r="K30" s="79" t="str">
        <f t="shared" si="2"/>
        <v>r29: C00002+C00475 -&gt; C00008+C00055 | (${Variables:E2_7_1_48_kcat} * E2_7_1_48 * C00002*C00475)/(${Variables:E2_7_1_48_km} + (E2_7_1_48 * C00002*C00475))</v>
      </c>
    </row>
    <row r="31" spans="1:11" ht="26.5" x14ac:dyDescent="0.35">
      <c r="A31" s="78" t="s">
        <v>456</v>
      </c>
      <c r="B31" s="49" t="s">
        <v>457</v>
      </c>
      <c r="C31" s="49" t="s">
        <v>14588</v>
      </c>
      <c r="D31" s="49">
        <v>30</v>
      </c>
      <c r="E31" s="78" t="str">
        <f t="shared" si="0"/>
        <v>E2_7_1_48</v>
      </c>
      <c r="F31" s="78" t="s">
        <v>12361</v>
      </c>
      <c r="G31" s="78" t="s">
        <v>12362</v>
      </c>
      <c r="H31" s="78" t="s">
        <v>12363</v>
      </c>
      <c r="I31" s="78" t="s">
        <v>12364</v>
      </c>
      <c r="J31" s="78" t="str">
        <f t="shared" si="1"/>
        <v>(${Variables:E2_7_1_48_kcat} * E2_7_1_48 * C00002*C00299)/(${Variables:E2_7_1_48_km} + (E2_7_1_48 * C00002*C00299))</v>
      </c>
      <c r="K31" s="79" t="str">
        <f t="shared" si="2"/>
        <v>r30: C00002+C00299 -&gt; C00008+C00105 | (${Variables:E2_7_1_48_kcat} * E2_7_1_48 * C00002*C00299)/(${Variables:E2_7_1_48_km} + (E2_7_1_48 * C00002*C00299))</v>
      </c>
    </row>
    <row r="32" spans="1:11" ht="26.5" x14ac:dyDescent="0.35">
      <c r="A32" s="78" t="s">
        <v>456</v>
      </c>
      <c r="B32" s="49" t="s">
        <v>457</v>
      </c>
      <c r="C32" s="49" t="s">
        <v>14588</v>
      </c>
      <c r="D32" s="49">
        <v>31</v>
      </c>
      <c r="E32" s="78" t="str">
        <f t="shared" si="0"/>
        <v>E2_7_1_48</v>
      </c>
      <c r="F32" s="78" t="s">
        <v>12365</v>
      </c>
      <c r="G32" s="78" t="s">
        <v>12366</v>
      </c>
      <c r="H32" s="78" t="s">
        <v>12367</v>
      </c>
      <c r="I32" s="78" t="s">
        <v>12368</v>
      </c>
      <c r="J32" s="78" t="str">
        <f t="shared" si="1"/>
        <v>(${Variables:E2_7_1_48_kcat} * E2_7_1_48 * C00044*C00475)/(${Variables:E2_7_1_48_km} + (E2_7_1_48 * C00044*C00475))</v>
      </c>
      <c r="K32" s="79" t="str">
        <f t="shared" si="2"/>
        <v>r31: C00044+C00475 -&gt; C00035+C00055 | (${Variables:E2_7_1_48_kcat} * E2_7_1_48 * C00044*C00475)/(${Variables:E2_7_1_48_km} + (E2_7_1_48 * C00044*C00475))</v>
      </c>
    </row>
    <row r="33" spans="1:11" ht="26.5" x14ac:dyDescent="0.35">
      <c r="A33" s="78" t="s">
        <v>456</v>
      </c>
      <c r="B33" s="49" t="s">
        <v>457</v>
      </c>
      <c r="C33" s="49" t="s">
        <v>14588</v>
      </c>
      <c r="D33" s="49">
        <v>32</v>
      </c>
      <c r="E33" s="78" t="str">
        <f t="shared" si="0"/>
        <v>E2_7_1_48</v>
      </c>
      <c r="F33" s="78" t="s">
        <v>12369</v>
      </c>
      <c r="G33" s="78" t="s">
        <v>12370</v>
      </c>
      <c r="H33" s="78" t="s">
        <v>12371</v>
      </c>
      <c r="I33" s="78" t="s">
        <v>12372</v>
      </c>
      <c r="J33" s="78" t="str">
        <f t="shared" si="1"/>
        <v>(${Variables:E2_7_1_48_kcat} * E2_7_1_48 * C00044*C00299)/(${Variables:E2_7_1_48_km} + (E2_7_1_48 * C00044*C00299))</v>
      </c>
      <c r="K33" s="79" t="str">
        <f t="shared" si="2"/>
        <v>r32: C00044+C00299 -&gt; C00035+C00105 | (${Variables:E2_7_1_48_kcat} * E2_7_1_48 * C00044*C00299)/(${Variables:E2_7_1_48_km} + (E2_7_1_48 * C00044*C00299))</v>
      </c>
    </row>
    <row r="34" spans="1:11" ht="26.5" x14ac:dyDescent="0.35">
      <c r="A34" s="78" t="s">
        <v>456</v>
      </c>
      <c r="B34" s="49" t="s">
        <v>457</v>
      </c>
      <c r="C34" s="49" t="s">
        <v>14588</v>
      </c>
      <c r="D34" s="49">
        <v>33</v>
      </c>
      <c r="E34" s="78" t="str">
        <f t="shared" si="0"/>
        <v>E2_7_1_48</v>
      </c>
      <c r="F34" s="78" t="s">
        <v>12373</v>
      </c>
      <c r="G34" s="78" t="s">
        <v>12374</v>
      </c>
      <c r="H34" s="78" t="s">
        <v>12375</v>
      </c>
      <c r="I34" s="78" t="s">
        <v>12376</v>
      </c>
      <c r="J34" s="78" t="str">
        <f t="shared" si="1"/>
        <v>(${Variables:E2_7_1_48_kcat} * E2_7_1_48 * C16633*C00002)/(${Variables:E2_7_1_48_km} + (E2_7_1_48 * C16633*C00002))</v>
      </c>
      <c r="K34" s="79" t="str">
        <f t="shared" si="2"/>
        <v>r33: C16633+C00002 -&gt; C16634+C00008 | (${Variables:E2_7_1_48_kcat} * E2_7_1_48 * C16633*C00002)/(${Variables:E2_7_1_48_km} + (E2_7_1_48 * C16633*C00002))</v>
      </c>
    </row>
    <row r="35" spans="1:11" ht="26.5" x14ac:dyDescent="0.35">
      <c r="A35" s="78" t="s">
        <v>460</v>
      </c>
      <c r="B35" s="49" t="s">
        <v>461</v>
      </c>
      <c r="C35" s="49" t="s">
        <v>14589</v>
      </c>
      <c r="D35" s="49">
        <v>34</v>
      </c>
      <c r="E35" s="78" t="str">
        <f t="shared" si="0"/>
        <v>E3_5_4_13</v>
      </c>
      <c r="F35" s="78" t="s">
        <v>12377</v>
      </c>
      <c r="G35" s="78" t="s">
        <v>12378</v>
      </c>
      <c r="H35" s="78" t="s">
        <v>12379</v>
      </c>
      <c r="I35" s="78" t="s">
        <v>12380</v>
      </c>
      <c r="J35" s="78" t="str">
        <f t="shared" si="1"/>
        <v>(${Variables:E3_5_4_13_kcat} * E3_5_4_13 * C00458*C00001)/(${Variables:E3_5_4_13_km} + (E3_5_4_13 * C00458*C00001))</v>
      </c>
      <c r="K35" s="79" t="str">
        <f t="shared" si="2"/>
        <v>r34: C00458+C00001 -&gt; C00460+C00014 | (${Variables:E3_5_4_13_kcat} * E3_5_4_13 * C00458*C00001)/(${Variables:E3_5_4_13_km} + (E3_5_4_13 * C00458*C00001))</v>
      </c>
    </row>
    <row r="36" spans="1:11" ht="26.5" x14ac:dyDescent="0.35">
      <c r="A36" s="78" t="s">
        <v>476</v>
      </c>
      <c r="B36" s="49" t="s">
        <v>477</v>
      </c>
      <c r="C36" s="49" t="s">
        <v>14590</v>
      </c>
      <c r="D36" s="49">
        <v>35</v>
      </c>
      <c r="E36" s="78" t="str">
        <f t="shared" si="0"/>
        <v>E2_7_7_7</v>
      </c>
      <c r="F36" s="49" t="s">
        <v>12381</v>
      </c>
      <c r="G36" s="49" t="s">
        <v>12382</v>
      </c>
      <c r="H36" s="49" t="s">
        <v>12383</v>
      </c>
      <c r="I36" s="49" t="s">
        <v>12384</v>
      </c>
      <c r="J36" s="78" t="str">
        <f t="shared" si="1"/>
        <v>(${Variables:E2_7_7_7_kcat} * E2_7_7_7 * C00677*C00039)/(${Variables:E2_7_7_7_km} + (E2_7_7_7 * C00677*C00039))</v>
      </c>
      <c r="K36" s="79" t="str">
        <f t="shared" si="2"/>
        <v>r35: C00677+C00039 -&gt; C00013+C00039 | (${Variables:E2_7_7_7_kcat} * E2_7_7_7 * C00677*C00039)/(${Variables:E2_7_7_7_km} + (E2_7_7_7 * C00677*C00039))</v>
      </c>
    </row>
    <row r="37" spans="1:11" ht="26.5" x14ac:dyDescent="0.35">
      <c r="A37" s="78" t="s">
        <v>476</v>
      </c>
      <c r="B37" s="49" t="s">
        <v>477</v>
      </c>
      <c r="C37" s="49" t="s">
        <v>14590</v>
      </c>
      <c r="D37" s="49">
        <v>36</v>
      </c>
      <c r="E37" s="78" t="str">
        <f t="shared" si="0"/>
        <v>E2_7_7_7</v>
      </c>
      <c r="F37" s="78" t="s">
        <v>12385</v>
      </c>
      <c r="G37" s="78" t="s">
        <v>12386</v>
      </c>
      <c r="H37" s="78" t="s">
        <v>12383</v>
      </c>
      <c r="I37" s="78" t="s">
        <v>12384</v>
      </c>
      <c r="J37" s="78" t="str">
        <f t="shared" si="1"/>
        <v>(${Variables:E2_7_7_7_kcat} * E2_7_7_7 * C00131*C00039)/(${Variables:E2_7_7_7_km} + (E2_7_7_7 * C00131*C00039))</v>
      </c>
      <c r="K37" s="79" t="str">
        <f t="shared" si="2"/>
        <v>r36: C00131+C00039 -&gt; C00013+C00039 | (${Variables:E2_7_7_7_kcat} * E2_7_7_7 * C00131*C00039)/(${Variables:E2_7_7_7_km} + (E2_7_7_7 * C00131*C00039))</v>
      </c>
    </row>
    <row r="38" spans="1:11" ht="26.5" x14ac:dyDescent="0.35">
      <c r="A38" s="78" t="s">
        <v>476</v>
      </c>
      <c r="B38" s="49" t="s">
        <v>477</v>
      </c>
      <c r="C38" s="49" t="s">
        <v>14590</v>
      </c>
      <c r="D38" s="49">
        <v>37</v>
      </c>
      <c r="E38" s="78" t="str">
        <f t="shared" si="0"/>
        <v>E2_7_7_7</v>
      </c>
      <c r="F38" s="78" t="s">
        <v>12387</v>
      </c>
      <c r="G38" s="78" t="s">
        <v>12388</v>
      </c>
      <c r="H38" s="78" t="s">
        <v>12383</v>
      </c>
      <c r="I38" s="78" t="s">
        <v>12384</v>
      </c>
      <c r="J38" s="78" t="str">
        <f t="shared" si="1"/>
        <v>(${Variables:E2_7_7_7_kcat} * E2_7_7_7 * C00286*C00039)/(${Variables:E2_7_7_7_km} + (E2_7_7_7 * C00286*C00039))</v>
      </c>
      <c r="K38" s="79" t="str">
        <f t="shared" si="2"/>
        <v>r37: C00286+C00039 -&gt; C00013+C00039 | (${Variables:E2_7_7_7_kcat} * E2_7_7_7 * C00286*C00039)/(${Variables:E2_7_7_7_km} + (E2_7_7_7 * C00286*C00039))</v>
      </c>
    </row>
    <row r="39" spans="1:11" ht="26.5" x14ac:dyDescent="0.35">
      <c r="A39" s="78" t="s">
        <v>476</v>
      </c>
      <c r="B39" s="49" t="s">
        <v>477</v>
      </c>
      <c r="C39" s="49" t="s">
        <v>14590</v>
      </c>
      <c r="D39" s="49">
        <v>38</v>
      </c>
      <c r="E39" s="78" t="str">
        <f t="shared" si="0"/>
        <v>E2_7_7_7</v>
      </c>
      <c r="F39" s="78" t="s">
        <v>12389</v>
      </c>
      <c r="G39" s="78" t="s">
        <v>12390</v>
      </c>
      <c r="H39" s="78" t="s">
        <v>12383</v>
      </c>
      <c r="I39" s="78" t="s">
        <v>12384</v>
      </c>
      <c r="J39" s="78" t="str">
        <f t="shared" si="1"/>
        <v>(${Variables:E2_7_7_7_kcat} * E2_7_7_7 * C00458*C00039)/(${Variables:E2_7_7_7_km} + (E2_7_7_7 * C00458*C00039))</v>
      </c>
      <c r="K39" s="79" t="str">
        <f t="shared" si="2"/>
        <v>r38: C00458+C00039 -&gt; C00013+C00039 | (${Variables:E2_7_7_7_kcat} * E2_7_7_7 * C00458*C00039)/(${Variables:E2_7_7_7_km} + (E2_7_7_7 * C00458*C00039))</v>
      </c>
    </row>
    <row r="40" spans="1:11" ht="26.5" x14ac:dyDescent="0.35">
      <c r="A40" s="78" t="s">
        <v>476</v>
      </c>
      <c r="B40" s="49" t="s">
        <v>477</v>
      </c>
      <c r="C40" s="49" t="s">
        <v>14590</v>
      </c>
      <c r="D40" s="49">
        <v>39</v>
      </c>
      <c r="E40" s="78" t="str">
        <f t="shared" si="0"/>
        <v>E2_7_7_7</v>
      </c>
      <c r="F40" s="78" t="s">
        <v>12391</v>
      </c>
      <c r="G40" s="78" t="s">
        <v>12392</v>
      </c>
      <c r="H40" s="78" t="s">
        <v>12383</v>
      </c>
      <c r="I40" s="78" t="s">
        <v>12384</v>
      </c>
      <c r="J40" s="78" t="str">
        <f t="shared" si="1"/>
        <v>(${Variables:E2_7_7_7_kcat} * E2_7_7_7 * C00459*C00039)/(${Variables:E2_7_7_7_km} + (E2_7_7_7 * C00459*C00039))</v>
      </c>
      <c r="K40" s="79" t="str">
        <f t="shared" si="2"/>
        <v>r39: C00459+C00039 -&gt; C00013+C00039 | (${Variables:E2_7_7_7_kcat} * E2_7_7_7 * C00459*C00039)/(${Variables:E2_7_7_7_km} + (E2_7_7_7 * C00459*C00039))</v>
      </c>
    </row>
    <row r="41" spans="1:11" ht="26" x14ac:dyDescent="0.35">
      <c r="A41" s="78" t="s">
        <v>476</v>
      </c>
      <c r="B41" s="49" t="s">
        <v>477</v>
      </c>
      <c r="C41" s="49" t="s">
        <v>14590</v>
      </c>
      <c r="D41" s="49">
        <v>40</v>
      </c>
      <c r="E41" s="78" t="str">
        <f t="shared" si="0"/>
        <v>E2_7_7_7</v>
      </c>
      <c r="F41" s="78" t="s">
        <v>6358</v>
      </c>
      <c r="G41" s="78" t="s">
        <v>6358</v>
      </c>
      <c r="H41" s="78" t="s">
        <v>6359</v>
      </c>
      <c r="I41" s="78" t="s">
        <v>6359</v>
      </c>
      <c r="J41" s="78" t="str">
        <f t="shared" si="1"/>
        <v>(${Variables:E2_7_7_7_kcat} * E2_7_7_7 * C11039)/(${Variables:E2_7_7_7_km} + (E2_7_7_7 * C11039))</v>
      </c>
      <c r="K41" s="79" t="str">
        <f t="shared" si="2"/>
        <v>r40: C11039 -&gt; C21031 | (${Variables:E2_7_7_7_kcat} * E2_7_7_7 * C11039)/(${Variables:E2_7_7_7_km} + (E2_7_7_7 * C11039))</v>
      </c>
    </row>
    <row r="42" spans="1:11" ht="26.5" x14ac:dyDescent="0.35">
      <c r="A42" s="78" t="s">
        <v>487</v>
      </c>
      <c r="B42" s="49" t="s">
        <v>488</v>
      </c>
      <c r="C42" s="49" t="s">
        <v>14591</v>
      </c>
      <c r="D42" s="49">
        <v>41</v>
      </c>
      <c r="E42" s="78" t="str">
        <f t="shared" si="0"/>
        <v>E3_5_1_25</v>
      </c>
      <c r="F42" s="78" t="s">
        <v>12393</v>
      </c>
      <c r="G42" s="78" t="s">
        <v>12394</v>
      </c>
      <c r="H42" s="78" t="s">
        <v>12395</v>
      </c>
      <c r="I42" s="78" t="s">
        <v>12396</v>
      </c>
      <c r="J42" s="78" t="str">
        <f t="shared" si="1"/>
        <v>(${Variables:E3_5_1_25_kcat} * E3_5_1_25 * C00357*C00001)/(${Variables:E3_5_1_25_km} + (E3_5_1_25 * C00357*C00001))</v>
      </c>
      <c r="K42" s="79" t="str">
        <f t="shared" si="2"/>
        <v>r41: C00357+C00001 -&gt; C00352+C00033 | (${Variables:E3_5_1_25_kcat} * E3_5_1_25 * C00357*C00001)/(${Variables:E3_5_1_25_km} + (E3_5_1_25 * C00357*C00001))</v>
      </c>
    </row>
    <row r="43" spans="1:11" ht="26.5" x14ac:dyDescent="0.35">
      <c r="A43" s="78" t="s">
        <v>490</v>
      </c>
      <c r="B43" s="49" t="s">
        <v>491</v>
      </c>
      <c r="C43" s="49" t="s">
        <v>14592</v>
      </c>
      <c r="D43" s="49">
        <v>42</v>
      </c>
      <c r="E43" s="78" t="str">
        <f t="shared" si="0"/>
        <v>E3_5_99_6</v>
      </c>
      <c r="F43" s="78" t="s">
        <v>12397</v>
      </c>
      <c r="G43" s="78" t="s">
        <v>12398</v>
      </c>
      <c r="H43" s="78" t="s">
        <v>12399</v>
      </c>
      <c r="I43" s="78" t="s">
        <v>12400</v>
      </c>
      <c r="J43" s="78" t="str">
        <f t="shared" si="1"/>
        <v>(${Variables:E3_5_99_6_kcat} * E3_5_99_6 * C00352*C00001)/(${Variables:E3_5_99_6_km} + (E3_5_99_6 * C00352*C00001))</v>
      </c>
      <c r="K43" s="79" t="str">
        <f t="shared" si="2"/>
        <v>r42: C00352+C00001 -&gt; C00085+C00014 | (${Variables:E3_5_99_6_kcat} * E3_5_99_6 * C00352*C00001)/(${Variables:E3_5_99_6_km} + (E3_5_99_6 * C00352*C00001))</v>
      </c>
    </row>
    <row r="44" spans="1:11" ht="26" x14ac:dyDescent="0.35">
      <c r="A44" s="78" t="s">
        <v>494</v>
      </c>
      <c r="B44" s="49" t="s">
        <v>495</v>
      </c>
      <c r="C44" s="49" t="s">
        <v>14593</v>
      </c>
      <c r="D44" s="49">
        <v>43</v>
      </c>
      <c r="E44" s="78" t="str">
        <f t="shared" si="0"/>
        <v>E4_1_3_3</v>
      </c>
      <c r="F44" s="78" t="s">
        <v>6375</v>
      </c>
      <c r="G44" s="78" t="s">
        <v>6375</v>
      </c>
      <c r="H44" s="78" t="s">
        <v>12401</v>
      </c>
      <c r="I44" s="78" t="s">
        <v>12402</v>
      </c>
      <c r="J44" s="78" t="str">
        <f t="shared" si="1"/>
        <v>(${Variables:E4_1_3_3_kcat} * E4_1_3_3 * C22382)/(${Variables:E4_1_3_3_km} + (E4_1_3_3 * C22382))</v>
      </c>
      <c r="K44" s="79" t="str">
        <f t="shared" si="2"/>
        <v>r43: C22382 -&gt; C00645+C00022 | (${Variables:E4_1_3_3_kcat} * E4_1_3_3 * C22382)/(${Variables:E4_1_3_3_km} + (E4_1_3_3 * C22382))</v>
      </c>
    </row>
    <row r="45" spans="1:11" ht="26" x14ac:dyDescent="0.35">
      <c r="A45" s="78" t="s">
        <v>494</v>
      </c>
      <c r="B45" s="49" t="s">
        <v>495</v>
      </c>
      <c r="C45" s="49" t="s">
        <v>14593</v>
      </c>
      <c r="D45" s="49">
        <v>44</v>
      </c>
      <c r="E45" s="78" t="str">
        <f t="shared" si="0"/>
        <v>E4_1_3_3</v>
      </c>
      <c r="F45" s="78" t="s">
        <v>6378</v>
      </c>
      <c r="G45" s="78" t="s">
        <v>6378</v>
      </c>
      <c r="H45" s="78" t="s">
        <v>12401</v>
      </c>
      <c r="I45" s="78" t="s">
        <v>12402</v>
      </c>
      <c r="J45" s="78" t="str">
        <f t="shared" si="1"/>
        <v>(${Variables:E4_1_3_3_kcat} * E4_1_3_3 * C00270)/(${Variables:E4_1_3_3_km} + (E4_1_3_3 * C00270))</v>
      </c>
      <c r="K45" s="79" t="str">
        <f t="shared" si="2"/>
        <v>r44: C00270 -&gt; C00645+C00022 | (${Variables:E4_1_3_3_kcat} * E4_1_3_3 * C00270)/(${Variables:E4_1_3_3_km} + (E4_1_3_3 * C00270))</v>
      </c>
    </row>
    <row r="46" spans="1:11" ht="26.5" x14ac:dyDescent="0.35">
      <c r="A46" s="78" t="s">
        <v>539</v>
      </c>
      <c r="B46" s="49" t="s">
        <v>540</v>
      </c>
      <c r="C46" s="49" t="s">
        <v>14594</v>
      </c>
      <c r="D46" s="49">
        <v>45</v>
      </c>
      <c r="E46" s="78" t="str">
        <f t="shared" si="0"/>
        <v>E1_1_1_100</v>
      </c>
      <c r="F46" s="78" t="s">
        <v>12403</v>
      </c>
      <c r="G46" s="78" t="s">
        <v>12404</v>
      </c>
      <c r="H46" s="78" t="s">
        <v>12405</v>
      </c>
      <c r="I46" s="78" t="s">
        <v>12406</v>
      </c>
      <c r="J46" s="78" t="str">
        <f t="shared" si="1"/>
        <v>(${Variables:E1_1_1_100_kcat} * E1_1_1_100 * C01271*C00006)/(${Variables:E1_1_1_100_km} + (E1_1_1_100 * C01271*C00006))</v>
      </c>
      <c r="K46" s="79" t="str">
        <f t="shared" si="2"/>
        <v>r45: C01271+C00006 -&gt; C00685+C00005+C00080 | (${Variables:E1_1_1_100_kcat} * E1_1_1_100 * C01271*C00006)/(${Variables:E1_1_1_100_km} + (E1_1_1_100 * C01271*C00006))</v>
      </c>
    </row>
    <row r="47" spans="1:11" ht="26.5" x14ac:dyDescent="0.35">
      <c r="A47" s="78" t="s">
        <v>539</v>
      </c>
      <c r="B47" s="49" t="s">
        <v>540</v>
      </c>
      <c r="C47" s="49" t="s">
        <v>14594</v>
      </c>
      <c r="D47" s="49">
        <v>46</v>
      </c>
      <c r="E47" s="78" t="str">
        <f t="shared" si="0"/>
        <v>E1_1_1_100</v>
      </c>
      <c r="F47" s="78" t="s">
        <v>12407</v>
      </c>
      <c r="G47" s="78" t="s">
        <v>12408</v>
      </c>
      <c r="H47" s="78" t="s">
        <v>12409</v>
      </c>
      <c r="I47" s="78" t="s">
        <v>12410</v>
      </c>
      <c r="J47" s="78" t="str">
        <f t="shared" si="1"/>
        <v>(${Variables:E1_1_1_100_kcat} * E1_1_1_100 * C04618*C00006)/(${Variables:E1_1_1_100_km} + (E1_1_1_100 * C04618*C00006))</v>
      </c>
      <c r="K47" s="79" t="str">
        <f t="shared" si="2"/>
        <v>r46: C04618+C00006 -&gt; C05744+C00005+C00080 | (${Variables:E1_1_1_100_kcat} * E1_1_1_100 * C04618*C00006)/(${Variables:E1_1_1_100_km} + (E1_1_1_100 * C04618*C00006))</v>
      </c>
    </row>
    <row r="48" spans="1:11" ht="26.5" x14ac:dyDescent="0.35">
      <c r="A48" s="78" t="s">
        <v>539</v>
      </c>
      <c r="B48" s="49" t="s">
        <v>540</v>
      </c>
      <c r="C48" s="49" t="s">
        <v>14594</v>
      </c>
      <c r="D48" s="49">
        <v>47</v>
      </c>
      <c r="E48" s="78" t="str">
        <f t="shared" si="0"/>
        <v>E1_1_1_100</v>
      </c>
      <c r="F48" s="78" t="s">
        <v>12411</v>
      </c>
      <c r="G48" s="78" t="s">
        <v>12412</v>
      </c>
      <c r="H48" s="78" t="s">
        <v>12413</v>
      </c>
      <c r="I48" s="78" t="s">
        <v>12414</v>
      </c>
      <c r="J48" s="78" t="str">
        <f t="shared" si="1"/>
        <v>(${Variables:E1_1_1_100_kcat} * E1_1_1_100 * C04619*C00006)/(${Variables:E1_1_1_100_km} + (E1_1_1_100 * C04619*C00006))</v>
      </c>
      <c r="K48" s="79" t="str">
        <f t="shared" si="2"/>
        <v>r47: C04619+C00006 -&gt; C05753+C00005 | (${Variables:E1_1_1_100_kcat} * E1_1_1_100 * C04619*C00006)/(${Variables:E1_1_1_100_km} + (E1_1_1_100 * C04619*C00006))</v>
      </c>
    </row>
    <row r="49" spans="1:11" ht="26.5" x14ac:dyDescent="0.35">
      <c r="A49" s="78" t="s">
        <v>539</v>
      </c>
      <c r="B49" s="49" t="s">
        <v>540</v>
      </c>
      <c r="C49" s="49" t="s">
        <v>14594</v>
      </c>
      <c r="D49" s="49">
        <v>48</v>
      </c>
      <c r="E49" s="78" t="str">
        <f t="shared" si="0"/>
        <v>E1_1_1_100</v>
      </c>
      <c r="F49" s="78" t="s">
        <v>12415</v>
      </c>
      <c r="G49" s="78" t="s">
        <v>12416</v>
      </c>
      <c r="H49" s="78" t="s">
        <v>12417</v>
      </c>
      <c r="I49" s="78" t="s">
        <v>12418</v>
      </c>
      <c r="J49" s="78" t="str">
        <f t="shared" si="1"/>
        <v>(${Variables:E1_1_1_100_kcat} * E1_1_1_100 * C04620*C00006)/(${Variables:E1_1_1_100_km} + (E1_1_1_100 * C04620*C00006))</v>
      </c>
      <c r="K49" s="79" t="str">
        <f t="shared" si="2"/>
        <v>r48: C04620+C00006 -&gt; C05750+C00005+C00080 | (${Variables:E1_1_1_100_kcat} * E1_1_1_100 * C04620*C00006)/(${Variables:E1_1_1_100_km} + (E1_1_1_100 * C04620*C00006))</v>
      </c>
    </row>
    <row r="50" spans="1:11" ht="26.5" x14ac:dyDescent="0.35">
      <c r="A50" s="78" t="s">
        <v>539</v>
      </c>
      <c r="B50" s="49" t="s">
        <v>540</v>
      </c>
      <c r="C50" s="49" t="s">
        <v>14594</v>
      </c>
      <c r="D50" s="49">
        <v>49</v>
      </c>
      <c r="E50" s="78" t="str">
        <f t="shared" si="0"/>
        <v>E1_1_1_100</v>
      </c>
      <c r="F50" s="78" t="s">
        <v>12419</v>
      </c>
      <c r="G50" s="78" t="s">
        <v>12420</v>
      </c>
      <c r="H50" s="78" t="s">
        <v>12421</v>
      </c>
      <c r="I50" s="78" t="s">
        <v>12422</v>
      </c>
      <c r="J50" s="78" t="str">
        <f t="shared" si="1"/>
        <v>(${Variables:E1_1_1_100_kcat} * E1_1_1_100 * C04633*C00006)/(${Variables:E1_1_1_100_km} + (E1_1_1_100 * C04633*C00006))</v>
      </c>
      <c r="K50" s="79" t="str">
        <f t="shared" si="2"/>
        <v>r49: C04633+C00006 -&gt; C05762+C00005+C00080 | (${Variables:E1_1_1_100_kcat} * E1_1_1_100 * C04633*C00006)/(${Variables:E1_1_1_100_km} + (E1_1_1_100 * C04633*C00006))</v>
      </c>
    </row>
    <row r="51" spans="1:11" ht="26.5" x14ac:dyDescent="0.35">
      <c r="A51" s="78" t="s">
        <v>539</v>
      </c>
      <c r="B51" s="49" t="s">
        <v>540</v>
      </c>
      <c r="C51" s="49" t="s">
        <v>14594</v>
      </c>
      <c r="D51" s="49">
        <v>50</v>
      </c>
      <c r="E51" s="78" t="str">
        <f t="shared" si="0"/>
        <v>E1_1_1_100</v>
      </c>
      <c r="F51" s="78" t="s">
        <v>12423</v>
      </c>
      <c r="G51" s="78" t="s">
        <v>12424</v>
      </c>
      <c r="H51" s="78" t="s">
        <v>12425</v>
      </c>
      <c r="I51" s="78" t="s">
        <v>12426</v>
      </c>
      <c r="J51" s="78" t="str">
        <f t="shared" si="1"/>
        <v>(${Variables:E1_1_1_100_kcat} * E1_1_1_100 * C04688*C00006)/(${Variables:E1_1_1_100_km} + (E1_1_1_100 * C04688*C00006))</v>
      </c>
      <c r="K51" s="79" t="str">
        <f t="shared" si="2"/>
        <v>r50: C04688+C00006 -&gt; C05759+C00005+C00080 | (${Variables:E1_1_1_100_kcat} * E1_1_1_100 * C04688*C00006)/(${Variables:E1_1_1_100_km} + (E1_1_1_100 * C04688*C00006))</v>
      </c>
    </row>
    <row r="52" spans="1:11" ht="26.5" x14ac:dyDescent="0.35">
      <c r="A52" s="78" t="s">
        <v>539</v>
      </c>
      <c r="B52" s="49" t="s">
        <v>540</v>
      </c>
      <c r="C52" s="49" t="s">
        <v>14594</v>
      </c>
      <c r="D52" s="49">
        <v>51</v>
      </c>
      <c r="E52" s="78" t="str">
        <f t="shared" si="0"/>
        <v>E1_1_1_100</v>
      </c>
      <c r="F52" s="78" t="s">
        <v>12427</v>
      </c>
      <c r="G52" s="78" t="s">
        <v>12428</v>
      </c>
      <c r="H52" s="78" t="s">
        <v>12429</v>
      </c>
      <c r="I52" s="78" t="s">
        <v>12430</v>
      </c>
      <c r="J52" s="78" t="str">
        <f t="shared" si="1"/>
        <v>(${Variables:E1_1_1_100_kcat} * E1_1_1_100 * C05747*C00006)/(${Variables:E1_1_1_100_km} + (E1_1_1_100 * C05747*C00006))</v>
      </c>
      <c r="K52" s="79" t="str">
        <f t="shared" si="2"/>
        <v>r51: C05747+C00006 -&gt; C05746+C00005+C00080 | (${Variables:E1_1_1_100_kcat} * E1_1_1_100 * C05747*C00006)/(${Variables:E1_1_1_100_km} + (E1_1_1_100 * C05747*C00006))</v>
      </c>
    </row>
    <row r="53" spans="1:11" ht="26.5" x14ac:dyDescent="0.35">
      <c r="A53" s="78" t="s">
        <v>539</v>
      </c>
      <c r="B53" s="49" t="s">
        <v>540</v>
      </c>
      <c r="C53" s="49" t="s">
        <v>14594</v>
      </c>
      <c r="D53" s="49">
        <v>52</v>
      </c>
      <c r="E53" s="78" t="str">
        <f t="shared" si="0"/>
        <v>E1_1_1_100</v>
      </c>
      <c r="F53" s="78" t="s">
        <v>12431</v>
      </c>
      <c r="G53" s="78" t="s">
        <v>12432</v>
      </c>
      <c r="H53" s="78" t="s">
        <v>12433</v>
      </c>
      <c r="I53" s="78" t="s">
        <v>12434</v>
      </c>
      <c r="J53" s="78" t="str">
        <f t="shared" si="1"/>
        <v>(${Variables:E1_1_1_100_kcat} * E1_1_1_100 * C05757*C00006)/(${Variables:E1_1_1_100_km} + (E1_1_1_100 * C05757*C00006))</v>
      </c>
      <c r="K53" s="79" t="str">
        <f t="shared" si="2"/>
        <v>r52: C05757+C00006 -&gt; C05756+C00005+C00080 | (${Variables:E1_1_1_100_kcat} * E1_1_1_100 * C05757*C00006)/(${Variables:E1_1_1_100_km} + (E1_1_1_100 * C05757*C00006))</v>
      </c>
    </row>
    <row r="54" spans="1:11" ht="26.5" x14ac:dyDescent="0.35">
      <c r="A54" s="78" t="s">
        <v>539</v>
      </c>
      <c r="B54" s="49" t="s">
        <v>540</v>
      </c>
      <c r="C54" s="49" t="s">
        <v>14594</v>
      </c>
      <c r="D54" s="49">
        <v>53</v>
      </c>
      <c r="E54" s="78" t="str">
        <f t="shared" si="0"/>
        <v>E1_1_1_100</v>
      </c>
      <c r="F54" s="78" t="s">
        <v>12435</v>
      </c>
      <c r="G54" s="78" t="s">
        <v>12436</v>
      </c>
      <c r="H54" s="78" t="s">
        <v>12437</v>
      </c>
      <c r="I54" s="78" t="s">
        <v>12438</v>
      </c>
      <c r="J54" s="78" t="str">
        <f t="shared" si="1"/>
        <v>(${Variables:E1_1_1_100_kcat} * E1_1_1_100 * C16219*C00005*C00080)/(${Variables:E1_1_1_100_km} + (E1_1_1_100 * C16219*C00005*C00080))</v>
      </c>
      <c r="K54" s="79" t="str">
        <f t="shared" si="2"/>
        <v>r53: C16219+C00005+C00080 -&gt; C16220+C00006 | (${Variables:E1_1_1_100_kcat} * E1_1_1_100 * C16219*C00005*C00080)/(${Variables:E1_1_1_100_km} + (E1_1_1_100 * C16219*C00005*C00080))</v>
      </c>
    </row>
    <row r="55" spans="1:11" ht="26.5" x14ac:dyDescent="0.35">
      <c r="A55" s="78" t="s">
        <v>539</v>
      </c>
      <c r="B55" s="49" t="s">
        <v>540</v>
      </c>
      <c r="C55" s="49" t="s">
        <v>14594</v>
      </c>
      <c r="D55" s="49">
        <v>54</v>
      </c>
      <c r="E55" s="78" t="str">
        <f t="shared" si="0"/>
        <v>E1_1_1_100</v>
      </c>
      <c r="F55" s="78" t="s">
        <v>12439</v>
      </c>
      <c r="G55" s="78" t="s">
        <v>12440</v>
      </c>
      <c r="H55" s="78" t="s">
        <v>12441</v>
      </c>
      <c r="I55" s="78" t="s">
        <v>12442</v>
      </c>
      <c r="J55" s="78" t="str">
        <f t="shared" si="1"/>
        <v>(${Variables:E1_1_1_100_kcat} * E1_1_1_100 * C20372*C00005*C00080)/(${Variables:E1_1_1_100_km} + (E1_1_1_100 * C20372*C00005*C00080))</v>
      </c>
      <c r="K55" s="79" t="str">
        <f t="shared" si="2"/>
        <v>r54: C20372+C00005+C00080 -&gt; C20373+C00006 | (${Variables:E1_1_1_100_kcat} * E1_1_1_100 * C20372*C00005*C00080)/(${Variables:E1_1_1_100_km} + (E1_1_1_100 * C20372*C00005*C00080))</v>
      </c>
    </row>
    <row r="56" spans="1:11" ht="26.5" x14ac:dyDescent="0.35">
      <c r="A56" s="78" t="s">
        <v>539</v>
      </c>
      <c r="B56" s="49" t="s">
        <v>540</v>
      </c>
      <c r="C56" s="49" t="s">
        <v>14594</v>
      </c>
      <c r="D56" s="49">
        <v>55</v>
      </c>
      <c r="E56" s="78" t="str">
        <f t="shared" si="0"/>
        <v>E1_1_1_100</v>
      </c>
      <c r="F56" s="78" t="s">
        <v>12443</v>
      </c>
      <c r="G56" s="78" t="s">
        <v>12444</v>
      </c>
      <c r="H56" s="78" t="s">
        <v>12445</v>
      </c>
      <c r="I56" s="78" t="s">
        <v>12446</v>
      </c>
      <c r="J56" s="78" t="str">
        <f t="shared" si="1"/>
        <v>(${Variables:E1_1_1_100_kcat} * E1_1_1_100 * C20376*C00005*C00080)/(${Variables:E1_1_1_100_km} + (E1_1_1_100 * C20376*C00005*C00080))</v>
      </c>
      <c r="K56" s="79" t="str">
        <f t="shared" si="2"/>
        <v>r55: C20376+C00005+C00080 -&gt; C20377+C00006 | (${Variables:E1_1_1_100_kcat} * E1_1_1_100 * C20376*C00005*C00080)/(${Variables:E1_1_1_100_km} + (E1_1_1_100 * C20376*C00005*C00080))</v>
      </c>
    </row>
    <row r="57" spans="1:11" ht="26.5" x14ac:dyDescent="0.35">
      <c r="A57" s="78" t="s">
        <v>543</v>
      </c>
      <c r="B57" s="49" t="s">
        <v>544</v>
      </c>
      <c r="C57" s="49" t="s">
        <v>14595</v>
      </c>
      <c r="D57" s="49">
        <v>56</v>
      </c>
      <c r="E57" s="78" t="str">
        <f t="shared" si="0"/>
        <v>E2_3_1_39</v>
      </c>
      <c r="F57" s="78" t="s">
        <v>12447</v>
      </c>
      <c r="G57" s="78" t="s">
        <v>12448</v>
      </c>
      <c r="H57" s="78" t="s">
        <v>12449</v>
      </c>
      <c r="I57" s="78" t="s">
        <v>12450</v>
      </c>
      <c r="J57" s="78" t="str">
        <f t="shared" si="1"/>
        <v>(${Variables:E2_3_1_39_kcat} * E2_3_1_39 * C00083*C00229)/(${Variables:E2_3_1_39_km} + (E2_3_1_39 * C00083*C00229))</v>
      </c>
      <c r="K57" s="79" t="str">
        <f t="shared" si="2"/>
        <v>r56: C00083+C00229 -&gt; C00010+C01209 | (${Variables:E2_3_1_39_kcat} * E2_3_1_39 * C00083*C00229)/(${Variables:E2_3_1_39_km} + (E2_3_1_39 * C00083*C00229))</v>
      </c>
    </row>
    <row r="58" spans="1:11" ht="26" x14ac:dyDescent="0.35">
      <c r="A58" s="78" t="s">
        <v>559</v>
      </c>
      <c r="B58" s="49" t="s">
        <v>560</v>
      </c>
      <c r="C58" s="49" t="s">
        <v>14596</v>
      </c>
      <c r="D58" s="49">
        <v>57</v>
      </c>
      <c r="E58" s="78" t="str">
        <f t="shared" si="0"/>
        <v>E4_1_1_65</v>
      </c>
      <c r="F58" s="78" t="s">
        <v>6422</v>
      </c>
      <c r="G58" s="78" t="s">
        <v>6422</v>
      </c>
      <c r="H58" s="78" t="s">
        <v>12451</v>
      </c>
      <c r="I58" s="78" t="s">
        <v>12452</v>
      </c>
      <c r="J58" s="78" t="str">
        <f t="shared" si="1"/>
        <v>(${Variables:E4_1_1_65_kcat} * E4_1_1_65 * C02737)/(${Variables:E4_1_1_65_km} + (E4_1_1_65 * C02737))</v>
      </c>
      <c r="K58" s="79" t="str">
        <f t="shared" si="2"/>
        <v>r57: C02737 -&gt; C00350+C00011 | (${Variables:E4_1_1_65_kcat} * E4_1_1_65 * C02737)/(${Variables:E4_1_1_65_km} + (E4_1_1_65 * C02737))</v>
      </c>
    </row>
    <row r="59" spans="1:11" ht="26.5" x14ac:dyDescent="0.35">
      <c r="A59" s="78" t="s">
        <v>563</v>
      </c>
      <c r="B59" s="49" t="s">
        <v>564</v>
      </c>
      <c r="C59" s="49" t="s">
        <v>14597</v>
      </c>
      <c r="D59" s="49">
        <v>58</v>
      </c>
      <c r="E59" s="78" t="str">
        <f t="shared" si="0"/>
        <v>E1_8_1_7</v>
      </c>
      <c r="F59" s="49" t="s">
        <v>12453</v>
      </c>
      <c r="G59" s="49" t="s">
        <v>12454</v>
      </c>
      <c r="H59" s="78" t="s">
        <v>12455</v>
      </c>
      <c r="I59" s="78" t="s">
        <v>12456</v>
      </c>
      <c r="J59" s="78" t="str">
        <f t="shared" si="1"/>
        <v>(${Variables:E1_8_1_7_kcat} * E1_8_1_7 * C00051*C00006)/(${Variables:E1_8_1_7_km} + (E1_8_1_7 * C00051*C00006))</v>
      </c>
      <c r="K59" s="79" t="str">
        <f t="shared" si="2"/>
        <v>r58: C00051+C00006 -&gt; C00127+C00005+C00080 | (${Variables:E1_8_1_7_kcat} * E1_8_1_7 * C00051*C00006)/(${Variables:E1_8_1_7_km} + (E1_8_1_7 * C00051*C00006))</v>
      </c>
    </row>
    <row r="60" spans="1:11" ht="26.5" x14ac:dyDescent="0.35">
      <c r="A60" s="78" t="s">
        <v>563</v>
      </c>
      <c r="B60" s="49" t="s">
        <v>564</v>
      </c>
      <c r="C60" s="49" t="s">
        <v>14597</v>
      </c>
      <c r="D60" s="49">
        <v>59</v>
      </c>
      <c r="E60" s="78" t="str">
        <f t="shared" si="0"/>
        <v>E1_8_1_7</v>
      </c>
      <c r="F60" s="49" t="s">
        <v>12457</v>
      </c>
      <c r="G60" s="49" t="s">
        <v>12458</v>
      </c>
      <c r="H60" s="78" t="s">
        <v>12459</v>
      </c>
      <c r="I60" s="78" t="s">
        <v>12460</v>
      </c>
      <c r="J60" s="78" t="str">
        <f t="shared" si="1"/>
        <v>(${Variables:E1_8_1_7_kcat} * E1_8_1_7 * C00051*C00003)/(${Variables:E1_8_1_7_km} + (E1_8_1_7 * C00051*C00003))</v>
      </c>
      <c r="K60" s="79" t="str">
        <f t="shared" si="2"/>
        <v>r59: C00051+C00003 -&gt; C00127+C00004+C00080 | (${Variables:E1_8_1_7_kcat} * E1_8_1_7 * C00051*C00003)/(${Variables:E1_8_1_7_km} + (E1_8_1_7 * C00051*C00003))</v>
      </c>
    </row>
    <row r="61" spans="1:11" ht="38.5" x14ac:dyDescent="0.35">
      <c r="A61" s="78" t="s">
        <v>599</v>
      </c>
      <c r="B61" s="49" t="s">
        <v>600</v>
      </c>
      <c r="C61" s="49" t="s">
        <v>14598</v>
      </c>
      <c r="D61" s="49">
        <v>60</v>
      </c>
      <c r="E61" s="78" t="str">
        <f t="shared" si="0"/>
        <v>E2_8_1_13</v>
      </c>
      <c r="F61" s="78" t="s">
        <v>12461</v>
      </c>
      <c r="G61" s="78" t="s">
        <v>12462</v>
      </c>
      <c r="H61" s="78" t="s">
        <v>12463</v>
      </c>
      <c r="I61" s="78" t="s">
        <v>12464</v>
      </c>
      <c r="J61" s="78" t="str">
        <f t="shared" si="1"/>
        <v>(${Variables:E2_8_1_13_kcat} * E2_8_1_13 * C00868*C15812*C00002)/(${Variables:E2_8_1_13_km} + (E2_8_1_13 * C00868*C15812*C00002))</v>
      </c>
      <c r="K61" s="79" t="str">
        <f t="shared" si="2"/>
        <v>r60: C00868+C15812+C00002 -&gt; C17322+C15811+C00020+C00013 | (${Variables:E2_8_1_13_kcat} * E2_8_1_13 * C00868*C15812*C00002)/(${Variables:E2_8_1_13_km} + (E2_8_1_13 * C00868*C15812*C00002))</v>
      </c>
    </row>
    <row r="62" spans="1:11" ht="38.5" x14ac:dyDescent="0.35">
      <c r="A62" s="78" t="s">
        <v>617</v>
      </c>
      <c r="B62" s="49" t="s">
        <v>618</v>
      </c>
      <c r="C62" s="49" t="s">
        <v>14599</v>
      </c>
      <c r="D62" s="49">
        <v>61</v>
      </c>
      <c r="E62" s="78" t="str">
        <f t="shared" si="0"/>
        <v>E1_97_1_4</v>
      </c>
      <c r="F62" s="78" t="s">
        <v>12465</v>
      </c>
      <c r="G62" s="78" t="s">
        <v>12466</v>
      </c>
      <c r="H62" s="78" t="s">
        <v>12467</v>
      </c>
      <c r="I62" s="78" t="s">
        <v>12468</v>
      </c>
      <c r="J62" s="78" t="str">
        <f t="shared" si="1"/>
        <v>(${Variables:E1_97_1_4_kcat} * E1_97_1_4 * C00019*C05196*C05197)/(${Variables:E1_97_1_4_km} + (E1_97_1_4 * C00019*C05196*C05197))</v>
      </c>
      <c r="K62" s="79" t="str">
        <f t="shared" si="2"/>
        <v>r61: C00019+C05196+C05197 -&gt; C05198+C00073+C05199+C05312 | (${Variables:E1_97_1_4_kcat} * E1_97_1_4 * C00019*C05196*C05197)/(${Variables:E1_97_1_4_km} + (E1_97_1_4 * C00019*C05196*C05197))</v>
      </c>
    </row>
    <row r="63" spans="1:11" ht="26.5" x14ac:dyDescent="0.35">
      <c r="A63" s="78" t="s">
        <v>621</v>
      </c>
      <c r="B63" s="49" t="s">
        <v>622</v>
      </c>
      <c r="C63" s="49" t="s">
        <v>14600</v>
      </c>
      <c r="D63" s="49">
        <v>62</v>
      </c>
      <c r="E63" s="78" t="str">
        <f t="shared" si="0"/>
        <v>E2_3_1_54</v>
      </c>
      <c r="F63" s="78" t="s">
        <v>12469</v>
      </c>
      <c r="G63" s="78" t="s">
        <v>12470</v>
      </c>
      <c r="H63" s="78" t="s">
        <v>12471</v>
      </c>
      <c r="I63" s="78" t="s">
        <v>12472</v>
      </c>
      <c r="J63" s="78" t="str">
        <f t="shared" si="1"/>
        <v>(${Variables:E2_3_1_54_kcat} * E2_3_1_54 * C00024*C00058)/(${Variables:E2_3_1_54_km} + (E2_3_1_54 * C00024*C00058))</v>
      </c>
      <c r="K63" s="79" t="str">
        <f t="shared" si="2"/>
        <v>r62: C00024+C00058 -&gt; C00010+C00022 | (${Variables:E2_3_1_54_kcat} * E2_3_1_54 * C00024*C00058)/(${Variables:E2_3_1_54_km} + (E2_3_1_54 * C00024*C00058))</v>
      </c>
    </row>
    <row r="64" spans="1:11" ht="26.5" x14ac:dyDescent="0.35">
      <c r="A64" s="78" t="s">
        <v>621</v>
      </c>
      <c r="B64" s="49" t="s">
        <v>622</v>
      </c>
      <c r="C64" s="49" t="s">
        <v>14600</v>
      </c>
      <c r="D64" s="49">
        <v>63</v>
      </c>
      <c r="E64" s="78" t="str">
        <f t="shared" si="0"/>
        <v>E2_3_1_54</v>
      </c>
      <c r="F64" s="78" t="s">
        <v>12473</v>
      </c>
      <c r="G64" s="78" t="s">
        <v>12474</v>
      </c>
      <c r="H64" s="78" t="s">
        <v>12475</v>
      </c>
      <c r="I64" s="78" t="s">
        <v>12476</v>
      </c>
      <c r="J64" s="78" t="str">
        <f t="shared" si="1"/>
        <v>(${Variables:E2_3_1_54_kcat} * E2_3_1_54 * C00109*C00010)/(${Variables:E2_3_1_54_km} + (E2_3_1_54 * C00109*C00010))</v>
      </c>
      <c r="K64" s="79" t="str">
        <f t="shared" si="2"/>
        <v>r63: C00109+C00010 -&gt; C00100+C00058 | (${Variables:E2_3_1_54_kcat} * E2_3_1_54 * C00109*C00010)/(${Variables:E2_3_1_54_km} + (E2_3_1_54 * C00109*C00010))</v>
      </c>
    </row>
    <row r="65" spans="1:11" ht="26.5" x14ac:dyDescent="0.35">
      <c r="A65" s="78" t="s">
        <v>629</v>
      </c>
      <c r="B65" s="49" t="s">
        <v>630</v>
      </c>
      <c r="C65" s="49" t="s">
        <v>14601</v>
      </c>
      <c r="D65" s="49">
        <v>64</v>
      </c>
      <c r="E65" s="78" t="str">
        <f t="shared" si="0"/>
        <v>E2_7_1_59</v>
      </c>
      <c r="F65" s="78" t="s">
        <v>12477</v>
      </c>
      <c r="G65" s="78" t="s">
        <v>12478</v>
      </c>
      <c r="H65" s="78" t="s">
        <v>12479</v>
      </c>
      <c r="I65" s="78" t="s">
        <v>12480</v>
      </c>
      <c r="J65" s="78" t="str">
        <f t="shared" si="1"/>
        <v>(${Variables:E2_7_1_59_kcat} * E2_7_1_59 * C00002*C00140)/(${Variables:E2_7_1_59_km} + (E2_7_1_59 * C00002*C00140))</v>
      </c>
      <c r="K65" s="79" t="str">
        <f t="shared" si="2"/>
        <v>r64: C00002+C00140 -&gt; C00008+C00357 | (${Variables:E2_7_1_59_kcat} * E2_7_1_59 * C00002*C00140)/(${Variables:E2_7_1_59_km} + (E2_7_1_59 * C00002*C00140))</v>
      </c>
    </row>
    <row r="66" spans="1:11" ht="26.5" x14ac:dyDescent="0.35">
      <c r="A66" s="78" t="s">
        <v>636</v>
      </c>
      <c r="B66" s="49" t="s">
        <v>637</v>
      </c>
      <c r="C66" s="53" t="s">
        <v>14602</v>
      </c>
      <c r="D66" s="49">
        <v>65</v>
      </c>
      <c r="E66" s="78" t="str">
        <f t="shared" si="0"/>
        <v>E3_1_2_12</v>
      </c>
      <c r="F66" s="78" t="s">
        <v>12481</v>
      </c>
      <c r="G66" s="78" t="s">
        <v>12482</v>
      </c>
      <c r="H66" s="78" t="s">
        <v>12483</v>
      </c>
      <c r="I66" s="78" t="s">
        <v>12484</v>
      </c>
      <c r="J66" s="78" t="str">
        <f t="shared" si="1"/>
        <v>(${Variables:E3_1_2_12_kcat} * E3_1_2_12 * C01031*C00001)/(${Variables:E3_1_2_12_km} + (E3_1_2_12 * C01031*C00001))</v>
      </c>
      <c r="K66" s="79" t="str">
        <f t="shared" si="2"/>
        <v>r65: C01031+C00001 -&gt; C00058+C00051 | (${Variables:E3_1_2_12_kcat} * E3_1_2_12 * C01031*C00001)/(${Variables:E3_1_2_12_km} + (E3_1_2_12 * C01031*C00001))</v>
      </c>
    </row>
    <row r="67" spans="1:11" ht="38.5" x14ac:dyDescent="0.35">
      <c r="A67" s="78" t="s">
        <v>658</v>
      </c>
      <c r="B67" s="49" t="s">
        <v>659</v>
      </c>
      <c r="C67" s="49" t="s">
        <v>14603</v>
      </c>
      <c r="D67" s="49">
        <v>66</v>
      </c>
      <c r="E67" s="78" t="str">
        <f t="shared" si="0"/>
        <v>E1_4_1_4</v>
      </c>
      <c r="F67" s="78" t="s">
        <v>12485</v>
      </c>
      <c r="G67" s="78" t="s">
        <v>12486</v>
      </c>
      <c r="H67" s="78" t="s">
        <v>12487</v>
      </c>
      <c r="I67" s="78" t="s">
        <v>12488</v>
      </c>
      <c r="J67" s="78" t="str">
        <f t="shared" si="1"/>
        <v>(${Variables:E1_4_1_4_kcat} * E1_4_1_4 * C00025*C00006*C00001)/(${Variables:E1_4_1_4_km} + (E1_4_1_4 * C00025*C00006*C00001))</v>
      </c>
      <c r="K67" s="79" t="str">
        <f t="shared" si="2"/>
        <v>r66: C00025+C00006+C00001 -&gt; C00026+C00014+C00005+C00080 | (${Variables:E1_4_1_4_kcat} * E1_4_1_4 * C00025*C00006*C00001)/(${Variables:E1_4_1_4_km} + (E1_4_1_4 * C00025*C00006*C00001))</v>
      </c>
    </row>
    <row r="68" spans="1:11" ht="38.5" x14ac:dyDescent="0.35">
      <c r="A68" s="78" t="s">
        <v>658</v>
      </c>
      <c r="B68" s="49" t="s">
        <v>659</v>
      </c>
      <c r="C68" s="49" t="s">
        <v>14603</v>
      </c>
      <c r="D68" s="49">
        <v>67</v>
      </c>
      <c r="E68" s="78" t="str">
        <f t="shared" si="0"/>
        <v>E1_4_1_4</v>
      </c>
      <c r="F68" s="78" t="s">
        <v>12489</v>
      </c>
      <c r="G68" s="78" t="s">
        <v>12490</v>
      </c>
      <c r="H68" s="78" t="s">
        <v>12491</v>
      </c>
      <c r="I68" s="78" t="s">
        <v>12492</v>
      </c>
      <c r="J68" s="78" t="str">
        <f t="shared" si="1"/>
        <v>(${Variables:E1_4_1_4_kcat} * E1_4_1_4 * C05167*C00001*C00003)/(${Variables:E1_4_1_4_km} + (E1_4_1_4 * C05167*C00001*C00003))</v>
      </c>
      <c r="K68" s="79" t="str">
        <f t="shared" si="2"/>
        <v>r67: C05167+C00001+C00003 -&gt; C00161+C00014+C00004+C00080 | (${Variables:E1_4_1_4_kcat} * E1_4_1_4 * C05167*C00001*C00003)/(${Variables:E1_4_1_4_km} + (E1_4_1_4 * C05167*C00001*C00003))</v>
      </c>
    </row>
    <row r="69" spans="1:11" ht="38.5" x14ac:dyDescent="0.35">
      <c r="A69" s="78" t="s">
        <v>658</v>
      </c>
      <c r="B69" s="49" t="s">
        <v>659</v>
      </c>
      <c r="C69" s="49" t="s">
        <v>14603</v>
      </c>
      <c r="D69" s="49">
        <v>68</v>
      </c>
      <c r="E69" s="78" t="str">
        <f t="shared" si="0"/>
        <v>E1_4_1_4</v>
      </c>
      <c r="F69" s="78" t="s">
        <v>12493</v>
      </c>
      <c r="G69" s="78" t="s">
        <v>12494</v>
      </c>
      <c r="H69" s="78" t="s">
        <v>12495</v>
      </c>
      <c r="I69" s="78" t="s">
        <v>12496</v>
      </c>
      <c r="J69" s="78" t="str">
        <f t="shared" si="1"/>
        <v>(${Variables:E1_4_1_4_kcat} * E1_4_1_4 * C05167*C00001*C00006)/(${Variables:E1_4_1_4_km} + (E1_4_1_4 * C05167*C00001*C00006))</v>
      </c>
      <c r="K69" s="79" t="str">
        <f t="shared" si="2"/>
        <v>r68: C05167+C00001+C00006 -&gt; C00161+C00014+C00005+C00080 | (${Variables:E1_4_1_4_kcat} * E1_4_1_4 * C05167*C00001*C00006)/(${Variables:E1_4_1_4_km} + (E1_4_1_4 * C05167*C00001*C00006))</v>
      </c>
    </row>
    <row r="70" spans="1:11" ht="26.5" x14ac:dyDescent="0.35">
      <c r="A70" s="78" t="s">
        <v>677</v>
      </c>
      <c r="B70" s="49" t="s">
        <v>678</v>
      </c>
      <c r="C70" s="49" t="s">
        <v>14604</v>
      </c>
      <c r="D70" s="49">
        <v>69</v>
      </c>
      <c r="E70" s="78" t="str">
        <f t="shared" si="0"/>
        <v>E6_2_1_26</v>
      </c>
      <c r="F70" s="78" t="s">
        <v>12497</v>
      </c>
      <c r="G70" s="78" t="s">
        <v>12498</v>
      </c>
      <c r="H70" s="78" t="s">
        <v>12499</v>
      </c>
      <c r="I70" s="78" t="s">
        <v>12500</v>
      </c>
      <c r="J70" s="78" t="str">
        <f t="shared" si="1"/>
        <v>(${Variables:E6_2_1_26_kcat} * E6_2_1_26 * C00002*C02730*C00010)/(${Variables:E6_2_1_26_km} + (E6_2_1_26 * C00002*C02730*C00010))</v>
      </c>
      <c r="K70" s="79" t="str">
        <f t="shared" si="2"/>
        <v>r69: C00002+C02730+C00010 -&gt; C00020+C00013+C03160 | (${Variables:E6_2_1_26_kcat} * E6_2_1_26 * C00002*C02730*C00010)/(${Variables:E6_2_1_26_km} + (E6_2_1_26 * C00002*C02730*C00010))</v>
      </c>
    </row>
    <row r="71" spans="1:11" ht="26" x14ac:dyDescent="0.35">
      <c r="A71" s="78" t="s">
        <v>685</v>
      </c>
      <c r="B71" s="49" t="s">
        <v>686</v>
      </c>
      <c r="C71" s="49" t="s">
        <v>14605</v>
      </c>
      <c r="D71" s="49">
        <v>70</v>
      </c>
      <c r="E71" s="78" t="str">
        <f t="shared" si="0"/>
        <v>E4_2_3_5</v>
      </c>
      <c r="F71" s="78" t="s">
        <v>6483</v>
      </c>
      <c r="G71" s="78" t="s">
        <v>6483</v>
      </c>
      <c r="H71" s="78" t="s">
        <v>12501</v>
      </c>
      <c r="I71" s="78" t="s">
        <v>12502</v>
      </c>
      <c r="J71" s="78" t="str">
        <f t="shared" si="1"/>
        <v>(${Variables:E4_2_3_5_kcat} * E4_2_3_5 * C01269)/(${Variables:E4_2_3_5_km} + (E4_2_3_5 * C01269))</v>
      </c>
      <c r="K71" s="79" t="str">
        <f t="shared" si="2"/>
        <v>r70: C01269 -&gt; C00251+C00009 | (${Variables:E4_2_3_5_kcat} * E4_2_3_5 * C01269)/(${Variables:E4_2_3_5_km} + (E4_2_3_5 * C01269))</v>
      </c>
    </row>
    <row r="72" spans="1:11" ht="26.5" x14ac:dyDescent="0.35">
      <c r="A72" s="78" t="s">
        <v>696</v>
      </c>
      <c r="B72" s="49" t="s">
        <v>697</v>
      </c>
      <c r="C72" s="53" t="s">
        <v>14606</v>
      </c>
      <c r="D72" s="49">
        <v>71</v>
      </c>
      <c r="E72" s="78" t="str">
        <f t="shared" si="0"/>
        <v>E2_3_1_243</v>
      </c>
      <c r="F72" s="78" t="s">
        <v>12503</v>
      </c>
      <c r="G72" s="78" t="s">
        <v>12504</v>
      </c>
      <c r="H72" s="78" t="s">
        <v>12505</v>
      </c>
      <c r="I72" s="78" t="s">
        <v>12506</v>
      </c>
      <c r="J72" s="78" t="str">
        <f t="shared" si="1"/>
        <v>(${Variables:E2_3_1_243_kcat} * E2_3_1_243 * C05761*C06251)/(${Variables:E2_3_1_243_km} + (E2_3_1_243 * C05761*C06251))</v>
      </c>
      <c r="K72" s="79" t="str">
        <f t="shared" si="2"/>
        <v>r71: C05761+C06251 -&gt; C06026+C00229 | (${Variables:E2_3_1_243_kcat} * E2_3_1_243 * C05761*C06251)/(${Variables:E2_3_1_243_km} + (E2_3_1_243 * C05761*C06251))</v>
      </c>
    </row>
    <row r="73" spans="1:11" ht="26.5" x14ac:dyDescent="0.35">
      <c r="A73" s="78" t="s">
        <v>696</v>
      </c>
      <c r="B73" s="49" t="s">
        <v>697</v>
      </c>
      <c r="C73" s="53" t="s">
        <v>14606</v>
      </c>
      <c r="D73" s="49">
        <v>72</v>
      </c>
      <c r="E73" s="78" t="str">
        <f t="shared" si="0"/>
        <v>E2_3_1_243</v>
      </c>
      <c r="F73" s="78" t="s">
        <v>12507</v>
      </c>
      <c r="G73" s="78" t="s">
        <v>12508</v>
      </c>
      <c r="H73" s="78" t="s">
        <v>12509</v>
      </c>
      <c r="I73" s="78" t="s">
        <v>12510</v>
      </c>
      <c r="J73" s="78" t="str">
        <f t="shared" si="1"/>
        <v>(${Variables:E2_3_1_243_kcat} * E2_3_1_243 * C05761*C20933)/(${Variables:E2_3_1_243_km} + (E2_3_1_243 * C05761*C20933))</v>
      </c>
      <c r="K73" s="79" t="str">
        <f t="shared" si="2"/>
        <v>r72: C05761+C20933 -&gt; C21991+C00229 | (${Variables:E2_3_1_243_kcat} * E2_3_1_243 * C05761*C20933)/(${Variables:E2_3_1_243_km} + (E2_3_1_243 * C05761*C20933))</v>
      </c>
    </row>
    <row r="74" spans="1:11" ht="26.5" x14ac:dyDescent="0.35">
      <c r="A74" s="78" t="s">
        <v>700</v>
      </c>
      <c r="B74" s="49" t="s">
        <v>701</v>
      </c>
      <c r="C74" s="49" t="s">
        <v>14607</v>
      </c>
      <c r="D74" s="49">
        <v>73</v>
      </c>
      <c r="E74" s="78" t="str">
        <f t="shared" si="0"/>
        <v>E2_7_9_3</v>
      </c>
      <c r="F74" s="78" t="s">
        <v>12511</v>
      </c>
      <c r="G74" s="78" t="s">
        <v>12512</v>
      </c>
      <c r="H74" s="78" t="s">
        <v>12513</v>
      </c>
      <c r="I74" s="78" t="s">
        <v>12514</v>
      </c>
      <c r="J74" s="78" t="str">
        <f t="shared" si="1"/>
        <v>(${Variables:E2_7_9_3_kcat} * E2_7_9_3 * C00002*C01528*C00001)/(${Variables:E2_7_9_3_km} + (E2_7_9_3 * C00002*C01528*C00001))</v>
      </c>
      <c r="K74" s="79" t="str">
        <f t="shared" si="2"/>
        <v>r73: C00002+C01528+C00001 -&gt; C00020+C05172+C00009 | (${Variables:E2_7_9_3_kcat} * E2_7_9_3 * C00002*C01528*C00001)/(${Variables:E2_7_9_3_km} + (E2_7_9_3 * C00002*C01528*C00001))</v>
      </c>
    </row>
    <row r="75" spans="1:11" ht="26.5" x14ac:dyDescent="0.35">
      <c r="A75" s="78" t="s">
        <v>708</v>
      </c>
      <c r="B75" s="49" t="s">
        <v>709</v>
      </c>
      <c r="C75" s="49" t="s">
        <v>14608</v>
      </c>
      <c r="D75" s="49">
        <v>74</v>
      </c>
      <c r="E75" s="78" t="str">
        <f t="shared" si="0"/>
        <v>E2_1_1_228</v>
      </c>
      <c r="F75" s="78" t="s">
        <v>12515</v>
      </c>
      <c r="G75" s="78" t="s">
        <v>12516</v>
      </c>
      <c r="H75" s="78" t="s">
        <v>12517</v>
      </c>
      <c r="I75" s="78" t="s">
        <v>12518</v>
      </c>
      <c r="J75" s="78" t="str">
        <f t="shared" si="1"/>
        <v>(${Variables:E2_1_1_228_kcat} * E2_1_1_228 * C00019*C01977)/(${Variables:E2_1_1_228_km} + (E2_1_1_228 * C00019*C01977))</v>
      </c>
      <c r="K75" s="79" t="str">
        <f t="shared" si="2"/>
        <v>r74: C00019+C01977 -&gt; C00021+C04157 | (${Variables:E2_1_1_228_kcat} * E2_1_1_228 * C00019*C01977)/(${Variables:E2_1_1_228_km} + (E2_1_1_228 * C00019*C01977))</v>
      </c>
    </row>
    <row r="76" spans="1:11" ht="26.5" x14ac:dyDescent="0.35">
      <c r="A76" s="78" t="s">
        <v>726</v>
      </c>
      <c r="B76" s="49" t="s">
        <v>727</v>
      </c>
      <c r="C76" s="49" t="s">
        <v>14609</v>
      </c>
      <c r="D76" s="49">
        <v>75</v>
      </c>
      <c r="E76" s="78" t="str">
        <f t="shared" si="0"/>
        <v>E2_7_1_71</v>
      </c>
      <c r="F76" s="78" t="s">
        <v>12519</v>
      </c>
      <c r="G76" s="78" t="s">
        <v>12520</v>
      </c>
      <c r="H76" s="78" t="s">
        <v>12521</v>
      </c>
      <c r="I76" s="78" t="s">
        <v>12522</v>
      </c>
      <c r="J76" s="78" t="str">
        <f t="shared" si="1"/>
        <v>(${Variables:E2_7_1_71_kcat} * E2_7_1_71 * C00002*C00493)/(${Variables:E2_7_1_71_km} + (E2_7_1_71 * C00002*C00493))</v>
      </c>
      <c r="K76" s="79" t="str">
        <f t="shared" si="2"/>
        <v>r75: C00002+C00493 -&gt; C00008+C03175 | (${Variables:E2_7_1_71_kcat} * E2_7_1_71 * C00002*C00493)/(${Variables:E2_7_1_71_km} + (E2_7_1_71 * C00002*C00493))</v>
      </c>
    </row>
    <row r="77" spans="1:11" ht="26" x14ac:dyDescent="0.35">
      <c r="A77" s="78" t="s">
        <v>730</v>
      </c>
      <c r="B77" s="49" t="s">
        <v>731</v>
      </c>
      <c r="C77" s="49" t="s">
        <v>14610</v>
      </c>
      <c r="D77" s="49">
        <v>76</v>
      </c>
      <c r="E77" s="78" t="str">
        <f t="shared" si="0"/>
        <v>E4_2_3_4</v>
      </c>
      <c r="F77" s="78" t="s">
        <v>6512</v>
      </c>
      <c r="G77" s="78" t="s">
        <v>6512</v>
      </c>
      <c r="H77" s="78" t="s">
        <v>12523</v>
      </c>
      <c r="I77" s="78" t="s">
        <v>12524</v>
      </c>
      <c r="J77" s="78" t="str">
        <f t="shared" si="1"/>
        <v>(${Variables:E4_2_3_4_kcat} * E4_2_3_4 * C04691)/(${Variables:E4_2_3_4_km} + (E4_2_3_4 * C04691))</v>
      </c>
      <c r="K77" s="79" t="str">
        <f t="shared" si="2"/>
        <v>r76: C04691 -&gt; C00944+C00009 | (${Variables:E4_2_3_4_kcat} * E4_2_3_4 * C04691)/(${Variables:E4_2_3_4_km} + (E4_2_3_4 * C04691))</v>
      </c>
    </row>
    <row r="78" spans="1:11" ht="26.5" x14ac:dyDescent="0.35">
      <c r="A78" s="78" t="s">
        <v>733</v>
      </c>
      <c r="B78" s="49" t="s">
        <v>734</v>
      </c>
      <c r="C78" s="49" t="s">
        <v>14611</v>
      </c>
      <c r="D78" s="49">
        <v>77</v>
      </c>
      <c r="E78" s="78" t="str">
        <f t="shared" si="0"/>
        <v>E2_1_1_72</v>
      </c>
      <c r="F78" s="78" t="s">
        <v>12525</v>
      </c>
      <c r="G78" s="78" t="s">
        <v>12526</v>
      </c>
      <c r="H78" s="78" t="s">
        <v>12527</v>
      </c>
      <c r="I78" s="78" t="s">
        <v>12528</v>
      </c>
      <c r="J78" s="78" t="str">
        <f t="shared" si="1"/>
        <v>(${Variables:E2_1_1_72_kcat} * E2_1_1_72 * C00019*C00821)/(${Variables:E2_1_1_72_km} + (E2_1_1_72 * C00019*C00821))</v>
      </c>
      <c r="K78" s="79" t="str">
        <f t="shared" si="2"/>
        <v>r77: C00019+C00821 -&gt; C00021+C03391 | (${Variables:E2_1_1_72_kcat} * E2_1_1_72 * C00019*C00821)/(${Variables:E2_1_1_72_km} + (E2_1_1_72 * C00019*C00821))</v>
      </c>
    </row>
    <row r="79" spans="1:11" ht="26.5" x14ac:dyDescent="0.35">
      <c r="A79" s="78" t="s">
        <v>740</v>
      </c>
      <c r="B79" s="49" t="s">
        <v>741</v>
      </c>
      <c r="C79" s="49" t="s">
        <v>14612</v>
      </c>
      <c r="D79" s="49">
        <v>78</v>
      </c>
      <c r="E79" s="78" t="str">
        <f t="shared" si="0"/>
        <v>E3_5_4_25</v>
      </c>
      <c r="F79" s="78" t="s">
        <v>12529</v>
      </c>
      <c r="G79" s="78" t="s">
        <v>12530</v>
      </c>
      <c r="H79" s="49" t="s">
        <v>12531</v>
      </c>
      <c r="I79" s="49" t="s">
        <v>12532</v>
      </c>
      <c r="J79" s="78" t="str">
        <f t="shared" si="1"/>
        <v>(${Variables:E3_5_4_25_kcat} * E3_5_4_25 * C00044*C00001)/(${Variables:E3_5_4_25_km} + (E3_5_4_25 * C00044*C00001))</v>
      </c>
      <c r="K79" s="79" t="str">
        <f t="shared" si="2"/>
        <v>r78: C00044+C00001 -&gt; C00058+C01304+C00009 | (${Variables:E3_5_4_25_kcat} * E3_5_4_25 * C00044*C00001)/(${Variables:E3_5_4_25_km} + (E3_5_4_25 * C00044*C00001))</v>
      </c>
    </row>
    <row r="80" spans="1:11" ht="26.5" x14ac:dyDescent="0.35">
      <c r="A80" s="78" t="s">
        <v>779</v>
      </c>
      <c r="B80" s="49" t="s">
        <v>780</v>
      </c>
      <c r="C80" s="49" t="s">
        <v>14613</v>
      </c>
      <c r="D80" s="49">
        <v>79</v>
      </c>
      <c r="E80" s="78" t="str">
        <f t="shared" si="0"/>
        <v>E6_3_4_15</v>
      </c>
      <c r="F80" s="78" t="s">
        <v>12533</v>
      </c>
      <c r="G80" s="78" t="s">
        <v>12534</v>
      </c>
      <c r="H80" s="78" t="s">
        <v>12535</v>
      </c>
      <c r="I80" s="78" t="s">
        <v>12536</v>
      </c>
      <c r="J80" s="78" t="str">
        <f t="shared" si="1"/>
        <v>(${Variables:E6_3_4_15_kcat} * E6_3_4_15 * C00002*C00120*C04735)/(${Variables:E6_3_4_15_km} + (E6_3_4_15 * C00002*C00120*C04735))</v>
      </c>
      <c r="K80" s="79" t="str">
        <f t="shared" si="2"/>
        <v>r79: C00002+C00120+C04735 -&gt; C00020+C00013+C04681 | (${Variables:E6_3_4_15_kcat} * E6_3_4_15 * C00002*C00120*C04735)/(${Variables:E6_3_4_15_km} + (E6_3_4_15 * C00002*C00120*C04735))</v>
      </c>
    </row>
    <row r="81" spans="1:11" ht="26.5" x14ac:dyDescent="0.35">
      <c r="A81" s="78" t="s">
        <v>779</v>
      </c>
      <c r="B81" s="49" t="s">
        <v>780</v>
      </c>
      <c r="C81" s="49" t="s">
        <v>14613</v>
      </c>
      <c r="D81" s="49">
        <v>80</v>
      </c>
      <c r="E81" s="78" t="str">
        <f t="shared" si="0"/>
        <v>E6_3_4_15</v>
      </c>
      <c r="F81" s="78" t="s">
        <v>12537</v>
      </c>
      <c r="G81" s="78" t="s">
        <v>12538</v>
      </c>
      <c r="H81" s="78" t="s">
        <v>12539</v>
      </c>
      <c r="I81" s="78" t="s">
        <v>12540</v>
      </c>
      <c r="J81" s="78" t="str">
        <f t="shared" si="1"/>
        <v>(${Variables:E6_3_4_15_kcat} * E6_3_4_15 * C00002*C00120)/(${Variables:E6_3_4_15_km} + (E6_3_4_15 * C00002*C00120))</v>
      </c>
      <c r="K81" s="79" t="str">
        <f t="shared" si="2"/>
        <v>r80: C00002+C00120 -&gt; C00013+C05921 | (${Variables:E6_3_4_15_kcat} * E6_3_4_15 * C00002*C00120)/(${Variables:E6_3_4_15_km} + (E6_3_4_15 * C00002*C00120))</v>
      </c>
    </row>
    <row r="82" spans="1:11" ht="26.5" x14ac:dyDescent="0.35">
      <c r="A82" s="78" t="s">
        <v>779</v>
      </c>
      <c r="B82" s="49" t="s">
        <v>780</v>
      </c>
      <c r="C82" s="49" t="s">
        <v>14613</v>
      </c>
      <c r="D82" s="49">
        <v>81</v>
      </c>
      <c r="E82" s="78" t="str">
        <f t="shared" si="0"/>
        <v>E6_3_4_15</v>
      </c>
      <c r="F82" s="78" t="s">
        <v>12541</v>
      </c>
      <c r="G82" s="78" t="s">
        <v>12542</v>
      </c>
      <c r="H82" s="78" t="s">
        <v>12543</v>
      </c>
      <c r="I82" s="78" t="s">
        <v>12544</v>
      </c>
      <c r="J82" s="78" t="str">
        <f t="shared" si="1"/>
        <v>(${Variables:E6_3_4_15_kcat} * E6_3_4_15 * C05921*C06249)/(${Variables:E6_3_4_15_km} + (E6_3_4_15 * C05921*C06249))</v>
      </c>
      <c r="K82" s="79" t="str">
        <f t="shared" si="2"/>
        <v>r81: C05921+C06249 -&gt; C00020+C06250 | (${Variables:E6_3_4_15_kcat} * E6_3_4_15 * C05921*C06249)/(${Variables:E6_3_4_15_km} + (E6_3_4_15 * C05921*C06249))</v>
      </c>
    </row>
    <row r="83" spans="1:11" ht="26.5" x14ac:dyDescent="0.35">
      <c r="A83" s="78" t="s">
        <v>783</v>
      </c>
      <c r="B83" s="49" t="s">
        <v>784</v>
      </c>
      <c r="C83" s="49" t="s">
        <v>14614</v>
      </c>
      <c r="D83" s="49">
        <v>82</v>
      </c>
      <c r="E83" s="78" t="str">
        <f t="shared" si="0"/>
        <v>E1_1_1_205</v>
      </c>
      <c r="F83" s="78" t="s">
        <v>12545</v>
      </c>
      <c r="G83" s="78" t="s">
        <v>12546</v>
      </c>
      <c r="H83" s="78" t="s">
        <v>12547</v>
      </c>
      <c r="I83" s="78" t="s">
        <v>12548</v>
      </c>
      <c r="J83" s="78" t="str">
        <f t="shared" si="1"/>
        <v>(${Variables:E1_1_1_205_kcat} * E1_1_1_205 * C00130*C00003*C00001)/(${Variables:E1_1_1_205_km} + (E1_1_1_205 * C00130*C00003*C00001))</v>
      </c>
      <c r="K83" s="79" t="str">
        <f t="shared" si="2"/>
        <v>r82: C00130+C00003+C00001 -&gt; C00655+C00004+C00080 | (${Variables:E1_1_1_205_kcat} * E1_1_1_205 * C00130*C00003*C00001)/(${Variables:E1_1_1_205_km} + (E1_1_1_205 * C00130*C00003*C00001))</v>
      </c>
    </row>
    <row r="84" spans="1:11" ht="26.5" x14ac:dyDescent="0.35">
      <c r="A84" s="78" t="s">
        <v>783</v>
      </c>
      <c r="B84" s="49" t="s">
        <v>784</v>
      </c>
      <c r="C84" s="49" t="s">
        <v>14614</v>
      </c>
      <c r="D84" s="49">
        <v>83</v>
      </c>
      <c r="E84" s="78" t="str">
        <f t="shared" si="0"/>
        <v>E1_1_1_205</v>
      </c>
      <c r="F84" s="78" t="s">
        <v>12549</v>
      </c>
      <c r="G84" s="78" t="s">
        <v>12550</v>
      </c>
      <c r="H84" s="78" t="s">
        <v>12551</v>
      </c>
      <c r="I84" s="78" t="s">
        <v>12552</v>
      </c>
      <c r="J84" s="78" t="str">
        <f t="shared" si="1"/>
        <v>(${Variables:E1_1_1_205_kcat} * E1_1_1_205 * C04646*C00003*C00001)/(${Variables:E1_1_1_205_km} + (E1_1_1_205 * C04646*C00003*C00001))</v>
      </c>
      <c r="K84" s="79" t="str">
        <f t="shared" si="2"/>
        <v>r83: C04646+C00003+C00001 -&gt; C16618+C00004+C00080 | (${Variables:E1_1_1_205_kcat} * E1_1_1_205 * C04646*C00003*C00001)/(${Variables:E1_1_1_205_km} + (E1_1_1_205 * C04646*C00003*C00001))</v>
      </c>
    </row>
    <row r="85" spans="1:11" ht="38.5" x14ac:dyDescent="0.35">
      <c r="A85" s="78" t="s">
        <v>787</v>
      </c>
      <c r="B85" s="49" t="s">
        <v>788</v>
      </c>
      <c r="C85" s="49" t="s">
        <v>14615</v>
      </c>
      <c r="D85" s="49">
        <v>84</v>
      </c>
      <c r="E85" s="78" t="str">
        <f t="shared" si="0"/>
        <v>E6_3_5_2</v>
      </c>
      <c r="F85" s="82" t="s">
        <v>15019</v>
      </c>
      <c r="G85" s="82" t="s">
        <v>15020</v>
      </c>
      <c r="H85" s="78" t="s">
        <v>12553</v>
      </c>
      <c r="I85" s="78" t="s">
        <v>12554</v>
      </c>
      <c r="J85" s="78" t="str">
        <f t="shared" si="1"/>
        <v>(${Variables:E6_3_5_2_kcat} * E6_3_5_2 * C00064*C00001*C00025*C00014)/(${Variables:E6_3_5_2_km} + (E6_3_5_2 * C00064*C00001*C00025*C00014))</v>
      </c>
      <c r="K85" s="79" t="str">
        <f t="shared" si="2"/>
        <v>r84: C00064+C00001+C00025+C00014 -&gt; C00025+C00014 | (${Variables:E6_3_5_2_kcat} * E6_3_5_2 * C00064*C00001*C00025*C00014)/(${Variables:E6_3_5_2_km} + (E6_3_5_2 * C00064*C00001*C00025*C00014))</v>
      </c>
    </row>
    <row r="86" spans="1:11" ht="26.5" x14ac:dyDescent="0.35">
      <c r="A86" s="78" t="s">
        <v>787</v>
      </c>
      <c r="B86" s="49" t="s">
        <v>788</v>
      </c>
      <c r="C86" s="49" t="s">
        <v>14615</v>
      </c>
      <c r="D86" s="49">
        <v>85</v>
      </c>
      <c r="E86" s="78" t="str">
        <f t="shared" si="0"/>
        <v>E6_3_5_2</v>
      </c>
      <c r="F86" s="78" t="s">
        <v>12555</v>
      </c>
      <c r="G86" s="78" t="s">
        <v>12556</v>
      </c>
      <c r="H86" s="78" t="s">
        <v>12557</v>
      </c>
      <c r="I86" s="78" t="s">
        <v>12558</v>
      </c>
      <c r="J86" s="78" t="str">
        <f t="shared" si="1"/>
        <v>(${Variables:E6_3_5_2_kcat} * E6_3_5_2 * C00002*C00655*C00014)/(${Variables:E6_3_5_2_km} + (E6_3_5_2 * C00002*C00655*C00014))</v>
      </c>
      <c r="K86" s="79" t="str">
        <f t="shared" si="2"/>
        <v>r85: C00002+C00655+C00014 -&gt; C00020+C00013+C00144 | (${Variables:E6_3_5_2_kcat} * E6_3_5_2 * C00002*C00655*C00014)/(${Variables:E6_3_5_2_km} + (E6_3_5_2 * C00002*C00655*C00014))</v>
      </c>
    </row>
    <row r="87" spans="1:11" ht="38.5" x14ac:dyDescent="0.35">
      <c r="A87" s="78" t="s">
        <v>787</v>
      </c>
      <c r="B87" s="49" t="s">
        <v>788</v>
      </c>
      <c r="C87" s="49" t="s">
        <v>14615</v>
      </c>
      <c r="D87" s="49">
        <v>86</v>
      </c>
      <c r="E87" s="78" t="str">
        <f t="shared" si="0"/>
        <v>E6_3_5_2</v>
      </c>
      <c r="F87" s="78" t="s">
        <v>12559</v>
      </c>
      <c r="G87" s="78" t="s">
        <v>12560</v>
      </c>
      <c r="H87" s="78" t="s">
        <v>12561</v>
      </c>
      <c r="I87" s="78" t="s">
        <v>12562</v>
      </c>
      <c r="J87" s="78" t="str">
        <f t="shared" si="1"/>
        <v>(${Variables:E6_3_5_2_kcat} * E6_3_5_2 * C00002*C00655*C00064*C00001)/(${Variables:E6_3_5_2_km} + (E6_3_5_2 * C00002*C00655*C00064*C00001))</v>
      </c>
      <c r="K87" s="79" t="str">
        <f t="shared" si="2"/>
        <v>r86: C00002+C00655+C00064+C00001 -&gt; C00020+C00013+C00144+C00025 | (${Variables:E6_3_5_2_kcat} * E6_3_5_2 * C00002*C00655*C00064*C00001)/(${Variables:E6_3_5_2_km} + (E6_3_5_2 * C00002*C00655*C00064*C00001))</v>
      </c>
    </row>
    <row r="88" spans="1:11" ht="38.5" x14ac:dyDescent="0.35">
      <c r="A88" s="78" t="s">
        <v>787</v>
      </c>
      <c r="B88" s="49" t="s">
        <v>788</v>
      </c>
      <c r="C88" s="49" t="s">
        <v>14615</v>
      </c>
      <c r="D88" s="49">
        <v>87</v>
      </c>
      <c r="E88" s="78" t="str">
        <f t="shared" si="0"/>
        <v>E6_3_5_2</v>
      </c>
      <c r="F88" s="78" t="s">
        <v>12563</v>
      </c>
      <c r="G88" s="78" t="s">
        <v>12564</v>
      </c>
      <c r="H88" s="78" t="s">
        <v>12565</v>
      </c>
      <c r="I88" s="78" t="s">
        <v>12566</v>
      </c>
      <c r="J88" s="78" t="str">
        <f t="shared" si="1"/>
        <v>(${Variables:E6_3_5_2_kcat} * E6_3_5_2 * C16618*C00002*C00064*C00001)/(${Variables:E6_3_5_2_km} + (E6_3_5_2 * C16618*C00002*C00064*C00001))</v>
      </c>
      <c r="K88" s="79" t="str">
        <f t="shared" si="2"/>
        <v>r87: C16618+C00002+C00064+C00001 -&gt; C16619+C00020+C00013+C00025 | (${Variables:E6_3_5_2_kcat} * E6_3_5_2 * C16618*C00002*C00064*C00001)/(${Variables:E6_3_5_2_km} + (E6_3_5_2 * C16618*C00002*C00064*C00001))</v>
      </c>
    </row>
    <row r="89" spans="1:11" ht="26.5" x14ac:dyDescent="0.35">
      <c r="A89" s="78" t="s">
        <v>811</v>
      </c>
      <c r="B89" s="49" t="s">
        <v>812</v>
      </c>
      <c r="C89" s="49" t="s">
        <v>14616</v>
      </c>
      <c r="D89" s="49">
        <v>88</v>
      </c>
      <c r="E89" s="78" t="str">
        <f t="shared" si="0"/>
        <v>E2_7_7_8</v>
      </c>
      <c r="F89" s="78" t="s">
        <v>12567</v>
      </c>
      <c r="G89" s="78" t="s">
        <v>12568</v>
      </c>
      <c r="H89" s="78" t="s">
        <v>12569</v>
      </c>
      <c r="I89" s="78" t="s">
        <v>12570</v>
      </c>
      <c r="J89" s="78" t="str">
        <f t="shared" si="1"/>
        <v>(${Variables:E2_7_7_8_kcat} * E2_7_7_8 * C00046*C00009)/(${Variables:E2_7_7_8_km} + (E2_7_7_8 * C00046*C00009))</v>
      </c>
      <c r="K89" s="79" t="str">
        <f t="shared" si="2"/>
        <v>r88: C00046+C00009 -&gt; C00046+C00454 | (${Variables:E2_7_7_8_kcat} * E2_7_7_8 * C00046*C00009)/(${Variables:E2_7_7_8_km} + (E2_7_7_8 * C00046*C00009))</v>
      </c>
    </row>
    <row r="90" spans="1:11" ht="26.5" x14ac:dyDescent="0.35">
      <c r="A90" s="78" t="s">
        <v>811</v>
      </c>
      <c r="B90" s="49" t="s">
        <v>812</v>
      </c>
      <c r="C90" s="49" t="s">
        <v>14616</v>
      </c>
      <c r="D90" s="49">
        <v>89</v>
      </c>
      <c r="E90" s="78" t="str">
        <f t="shared" si="0"/>
        <v>E2_7_7_8</v>
      </c>
      <c r="F90" s="78" t="s">
        <v>12567</v>
      </c>
      <c r="G90" s="78" t="s">
        <v>12568</v>
      </c>
      <c r="H90" s="78" t="s">
        <v>12571</v>
      </c>
      <c r="I90" s="78" t="s">
        <v>12572</v>
      </c>
      <c r="J90" s="78" t="str">
        <f t="shared" si="1"/>
        <v>(${Variables:E2_7_7_8_kcat} * E2_7_7_8 * C00046*C00009)/(${Variables:E2_7_7_8_km} + (E2_7_7_8 * C00046*C00009))</v>
      </c>
      <c r="K90" s="79" t="str">
        <f t="shared" si="2"/>
        <v>r89: C00046+C00009 -&gt; C00046+C00008 | (${Variables:E2_7_7_8_kcat} * E2_7_7_8 * C00046*C00009)/(${Variables:E2_7_7_8_km} + (E2_7_7_8 * C00046*C00009))</v>
      </c>
    </row>
    <row r="91" spans="1:11" ht="26.5" x14ac:dyDescent="0.35">
      <c r="A91" s="78" t="s">
        <v>811</v>
      </c>
      <c r="B91" s="49" t="s">
        <v>812</v>
      </c>
      <c r="C91" s="49" t="s">
        <v>14616</v>
      </c>
      <c r="D91" s="49">
        <v>90</v>
      </c>
      <c r="E91" s="78" t="str">
        <f t="shared" si="0"/>
        <v>E2_7_7_8</v>
      </c>
      <c r="F91" s="78" t="s">
        <v>12567</v>
      </c>
      <c r="G91" s="78" t="s">
        <v>12568</v>
      </c>
      <c r="H91" s="78" t="s">
        <v>12573</v>
      </c>
      <c r="I91" s="78" t="s">
        <v>12574</v>
      </c>
      <c r="J91" s="78" t="str">
        <f t="shared" si="1"/>
        <v>(${Variables:E2_7_7_8_kcat} * E2_7_7_8 * C00046*C00009)/(${Variables:E2_7_7_8_km} + (E2_7_7_8 * C00046*C00009))</v>
      </c>
      <c r="K91" s="79" t="str">
        <f t="shared" si="2"/>
        <v>r90: C00046+C00009 -&gt; C00046+C00015 | (${Variables:E2_7_7_8_kcat} * E2_7_7_8 * C00046*C00009)/(${Variables:E2_7_7_8_km} + (E2_7_7_8 * C00046*C00009))</v>
      </c>
    </row>
    <row r="92" spans="1:11" ht="26.5" x14ac:dyDescent="0.35">
      <c r="A92" s="78" t="s">
        <v>811</v>
      </c>
      <c r="B92" s="49" t="s">
        <v>812</v>
      </c>
      <c r="C92" s="49" t="s">
        <v>14616</v>
      </c>
      <c r="D92" s="49">
        <v>91</v>
      </c>
      <c r="E92" s="78" t="str">
        <f t="shared" si="0"/>
        <v>E2_7_7_8</v>
      </c>
      <c r="F92" s="78" t="s">
        <v>12567</v>
      </c>
      <c r="G92" s="78" t="s">
        <v>12568</v>
      </c>
      <c r="H92" s="78" t="s">
        <v>12575</v>
      </c>
      <c r="I92" s="78" t="s">
        <v>12576</v>
      </c>
      <c r="J92" s="78" t="str">
        <f t="shared" si="1"/>
        <v>(${Variables:E2_7_7_8_kcat} * E2_7_7_8 * C00046*C00009)/(${Variables:E2_7_7_8_km} + (E2_7_7_8 * C00046*C00009))</v>
      </c>
      <c r="K92" s="79" t="str">
        <f t="shared" si="2"/>
        <v>r91: C00046+C00009 -&gt; C00046+C00035 | (${Variables:E2_7_7_8_kcat} * E2_7_7_8 * C00046*C00009)/(${Variables:E2_7_7_8_km} + (E2_7_7_8 * C00046*C00009))</v>
      </c>
    </row>
    <row r="93" spans="1:11" ht="26.5" x14ac:dyDescent="0.35">
      <c r="A93" s="78" t="s">
        <v>811</v>
      </c>
      <c r="B93" s="49" t="s">
        <v>812</v>
      </c>
      <c r="C93" s="49" t="s">
        <v>14616</v>
      </c>
      <c r="D93" s="49">
        <v>92</v>
      </c>
      <c r="E93" s="78" t="str">
        <f t="shared" si="0"/>
        <v>E2_7_7_8</v>
      </c>
      <c r="F93" s="78" t="s">
        <v>12567</v>
      </c>
      <c r="G93" s="78" t="s">
        <v>12568</v>
      </c>
      <c r="H93" s="78" t="s">
        <v>12577</v>
      </c>
      <c r="I93" s="78" t="s">
        <v>12578</v>
      </c>
      <c r="J93" s="78" t="str">
        <f t="shared" si="1"/>
        <v>(${Variables:E2_7_7_8_kcat} * E2_7_7_8 * C00046*C00009)/(${Variables:E2_7_7_8_km} + (E2_7_7_8 * C00046*C00009))</v>
      </c>
      <c r="K93" s="79" t="str">
        <f t="shared" si="2"/>
        <v>r92: C00046+C00009 -&gt; C00046+C00112 | (${Variables:E2_7_7_8_kcat} * E2_7_7_8 * C00046*C00009)/(${Variables:E2_7_7_8_km} + (E2_7_7_8 * C00046*C00009))</v>
      </c>
    </row>
    <row r="94" spans="1:11" ht="26.5" x14ac:dyDescent="0.35">
      <c r="A94" s="78" t="s">
        <v>834</v>
      </c>
      <c r="B94" s="49" t="s">
        <v>835</v>
      </c>
      <c r="C94" s="49" t="s">
        <v>14617</v>
      </c>
      <c r="D94" s="49">
        <v>93</v>
      </c>
      <c r="E94" s="78" t="str">
        <f t="shared" si="0"/>
        <v>E1_20_4_1</v>
      </c>
      <c r="F94" s="78" t="s">
        <v>12579</v>
      </c>
      <c r="G94" s="78" t="s">
        <v>12580</v>
      </c>
      <c r="H94" s="78" t="s">
        <v>12581</v>
      </c>
      <c r="I94" s="78" t="s">
        <v>12582</v>
      </c>
      <c r="J94" s="78" t="str">
        <f t="shared" si="1"/>
        <v>(${Variables:E1_20_4_1_kcat} * E1_20_4_1 * C11215*C07292)/(${Variables:E1_20_4_1_km} + (E1_20_4_1 * C11215*C07292))</v>
      </c>
      <c r="K94" s="79" t="str">
        <f t="shared" si="2"/>
        <v>r93: C11215+C07292 -&gt; C06697+C07293 | (${Variables:E1_20_4_1_kcat} * E1_20_4_1 * C11215*C07292)/(${Variables:E1_20_4_1_km} + (E1_20_4_1 * C11215*C07292))</v>
      </c>
    </row>
    <row r="95" spans="1:11" ht="26.5" x14ac:dyDescent="0.35">
      <c r="A95" s="78" t="s">
        <v>859</v>
      </c>
      <c r="B95" s="49" t="s">
        <v>860</v>
      </c>
      <c r="C95" s="49" t="s">
        <v>14618</v>
      </c>
      <c r="D95" s="49">
        <v>94</v>
      </c>
      <c r="E95" s="78" t="str">
        <f t="shared" si="0"/>
        <v>E2_4_2_29</v>
      </c>
      <c r="F95" s="78" t="s">
        <v>12583</v>
      </c>
      <c r="G95" s="78" t="s">
        <v>12584</v>
      </c>
      <c r="H95" s="78" t="s">
        <v>12585</v>
      </c>
      <c r="I95" s="78" t="s">
        <v>12586</v>
      </c>
      <c r="J95" s="78" t="str">
        <f t="shared" si="1"/>
        <v>(${Variables:E2_4_2_29_kcat} * E2_4_2_29 * C01977*C16675)/(${Variables:E2_4_2_29_km} + (E2_4_2_29 * C01977*C16675))</v>
      </c>
      <c r="K95" s="79" t="str">
        <f t="shared" si="2"/>
        <v>r94: C01977+C16675 -&gt; C20446+C00242 | (${Variables:E2_4_2_29_kcat} * E2_4_2_29 * C01977*C16675)/(${Variables:E2_4_2_29_km} + (E2_4_2_29 * C01977*C16675))</v>
      </c>
    </row>
    <row r="96" spans="1:11" ht="26.5" x14ac:dyDescent="0.35">
      <c r="A96" s="78" t="s">
        <v>863</v>
      </c>
      <c r="B96" s="49" t="s">
        <v>864</v>
      </c>
      <c r="C96" s="49" t="s">
        <v>14619</v>
      </c>
      <c r="D96" s="49">
        <v>95</v>
      </c>
      <c r="E96" s="78" t="str">
        <f t="shared" si="0"/>
        <v>E2_4_99_17</v>
      </c>
      <c r="F96" s="78" t="s">
        <v>12587</v>
      </c>
      <c r="G96" s="78" t="s">
        <v>12588</v>
      </c>
      <c r="H96" s="78" t="s">
        <v>12589</v>
      </c>
      <c r="I96" s="78" t="s">
        <v>12590</v>
      </c>
      <c r="J96" s="78" t="str">
        <f t="shared" si="1"/>
        <v>(${Variables:E2_4_99_17_kcat} * E2_4_99_17 * C00019*C20446)/(${Variables:E2_4_99_17_km} + (E2_4_99_17 * C00019*C20446))</v>
      </c>
      <c r="K96" s="79" t="str">
        <f t="shared" si="2"/>
        <v>r95: C00019+C20446 -&gt; C00073+C00147+C19647 | (${Variables:E2_4_99_17_kcat} * E2_4_99_17 * C00019*C20446)/(${Variables:E2_4_99_17_km} + (E2_4_99_17 * C00019*C20446))</v>
      </c>
    </row>
    <row r="97" spans="1:11" ht="26.5" x14ac:dyDescent="0.35">
      <c r="A97" s="78" t="s">
        <v>895</v>
      </c>
      <c r="B97" s="49" t="s">
        <v>896</v>
      </c>
      <c r="C97" s="49" t="s">
        <v>14620</v>
      </c>
      <c r="D97" s="49">
        <v>96</v>
      </c>
      <c r="E97" s="78" t="str">
        <f t="shared" si="0"/>
        <v>E4_3_3_7</v>
      </c>
      <c r="F97" s="78" t="s">
        <v>12591</v>
      </c>
      <c r="G97" s="78" t="s">
        <v>12592</v>
      </c>
      <c r="H97" s="78" t="s">
        <v>12593</v>
      </c>
      <c r="I97" s="78" t="s">
        <v>12594</v>
      </c>
      <c r="J97" s="78" t="str">
        <f t="shared" si="1"/>
        <v>(${Variables:E4_3_3_7_kcat} * E4_3_3_7 * C00441*C00022)/(${Variables:E4_3_3_7_km} + (E4_3_3_7 * C00441*C00022))</v>
      </c>
      <c r="K97" s="79" t="str">
        <f t="shared" si="2"/>
        <v>r96: C00441+C00022 -&gt; C20258+C00001 | (${Variables:E4_3_3_7_kcat} * E4_3_3_7 * C00441*C00022)/(${Variables:E4_3_3_7_km} + (E4_3_3_7 * C00441*C00022))</v>
      </c>
    </row>
    <row r="98" spans="1:11" ht="26.5" x14ac:dyDescent="0.35">
      <c r="A98" s="78" t="s">
        <v>915</v>
      </c>
      <c r="B98" s="49" t="s">
        <v>916</v>
      </c>
      <c r="C98" s="53" t="s">
        <v>14621</v>
      </c>
      <c r="D98" s="49">
        <v>97</v>
      </c>
      <c r="E98" s="78" t="str">
        <f t="shared" si="0"/>
        <v>E2_7_1_166</v>
      </c>
      <c r="F98" s="78" t="s">
        <v>12595</v>
      </c>
      <c r="G98" s="78" t="s">
        <v>12596</v>
      </c>
      <c r="H98" s="78" t="s">
        <v>12597</v>
      </c>
      <c r="I98" s="78" t="s">
        <v>12598</v>
      </c>
      <c r="J98" s="78" t="str">
        <f t="shared" si="1"/>
        <v>(${Variables:E2_7_1_166_kcat} * E2_7_1_166 * C06024*C00002)/(${Variables:E2_7_1_166_km} + (E2_7_1_166 * C06024*C00002))</v>
      </c>
      <c r="K98" s="79" t="str">
        <f t="shared" si="2"/>
        <v>r97: C06024+C00002 -&gt; C19877+C00008 | (${Variables:E2_7_1_166_kcat} * E2_7_1_166 * C06024*C00002)/(${Variables:E2_7_1_166_km} + (E2_7_1_166 * C06024*C00002))</v>
      </c>
    </row>
    <row r="99" spans="1:11" ht="26" x14ac:dyDescent="0.35">
      <c r="A99" s="78" t="s">
        <v>931</v>
      </c>
      <c r="B99" s="49" t="s">
        <v>932</v>
      </c>
      <c r="C99" s="49" t="s">
        <v>14622</v>
      </c>
      <c r="D99" s="49">
        <v>98</v>
      </c>
      <c r="E99" s="78" t="str">
        <f t="shared" si="0"/>
        <v>E4_1_2_25</v>
      </c>
      <c r="F99" s="78" t="s">
        <v>6602</v>
      </c>
      <c r="G99" s="78" t="s">
        <v>6602</v>
      </c>
      <c r="H99" s="78" t="s">
        <v>12599</v>
      </c>
      <c r="I99" s="78" t="s">
        <v>12600</v>
      </c>
      <c r="J99" s="78" t="str">
        <f t="shared" si="1"/>
        <v>(${Variables:E4_1_2_25_kcat} * E4_1_2_25 * C04874)/(${Variables:E4_1_2_25_km} + (E4_1_2_25 * C04874))</v>
      </c>
      <c r="K99" s="79" t="str">
        <f t="shared" si="2"/>
        <v>r98: C04874 -&gt; C00266+C01300 | (${Variables:E4_1_2_25_kcat} * E4_1_2_25 * C04874)/(${Variables:E4_1_2_25_km} + (E4_1_2_25 * C04874))</v>
      </c>
    </row>
    <row r="100" spans="1:11" ht="26.5" x14ac:dyDescent="0.35">
      <c r="A100" s="78" t="s">
        <v>935</v>
      </c>
      <c r="B100" s="49" t="s">
        <v>936</v>
      </c>
      <c r="C100" s="49" t="s">
        <v>14623</v>
      </c>
      <c r="D100" s="49">
        <v>99</v>
      </c>
      <c r="E100" s="78" t="str">
        <f t="shared" si="0"/>
        <v>E2_3_1_15</v>
      </c>
      <c r="F100" s="78" t="s">
        <v>12601</v>
      </c>
      <c r="G100" s="78" t="s">
        <v>12602</v>
      </c>
      <c r="H100" s="78" t="s">
        <v>12603</v>
      </c>
      <c r="I100" s="78" t="s">
        <v>12604</v>
      </c>
      <c r="J100" s="78" t="str">
        <f t="shared" si="1"/>
        <v>(${Variables:E2_3_1_15_kcat} * E2_3_1_15 * C00093*C00040)/(${Variables:E2_3_1_15_km} + (E2_3_1_15 * C00093*C00040))</v>
      </c>
      <c r="K100" s="79" t="str">
        <f t="shared" si="2"/>
        <v>r99: C00093+C00040 -&gt; C00681+C00010 | (${Variables:E2_3_1_15_kcat} * E2_3_1_15 * C00093*C00040)/(${Variables:E2_3_1_15_km} + (E2_3_1_15 * C00093*C00040))</v>
      </c>
    </row>
    <row r="101" spans="1:11" ht="26.5" x14ac:dyDescent="0.35">
      <c r="A101" s="78" t="s">
        <v>935</v>
      </c>
      <c r="B101" s="49" t="s">
        <v>936</v>
      </c>
      <c r="C101" s="49" t="s">
        <v>14623</v>
      </c>
      <c r="D101" s="49">
        <v>100</v>
      </c>
      <c r="E101" s="78" t="str">
        <f t="shared" si="0"/>
        <v>E2_3_1_15</v>
      </c>
      <c r="F101" s="78" t="s">
        <v>12605</v>
      </c>
      <c r="G101" s="78" t="s">
        <v>12606</v>
      </c>
      <c r="H101" s="78" t="s">
        <v>12607</v>
      </c>
      <c r="I101" s="78" t="s">
        <v>12608</v>
      </c>
      <c r="J101" s="78" t="str">
        <f t="shared" si="1"/>
        <v>(${Variables:E2_3_1_15_kcat} * E2_3_1_15 * C00605*C00093)/(${Variables:E2_3_1_15_km} + (E2_3_1_15 * C00605*C00093))</v>
      </c>
      <c r="K101" s="79" t="str">
        <f t="shared" si="2"/>
        <v>r100: C00605+C00093 -&gt; C00010+C00681 | (${Variables:E2_3_1_15_kcat} * E2_3_1_15 * C00605*C00093)/(${Variables:E2_3_1_15_km} + (E2_3_1_15 * C00605*C00093))</v>
      </c>
    </row>
    <row r="102" spans="1:11" ht="26.5" x14ac:dyDescent="0.35">
      <c r="A102" s="78" t="s">
        <v>935</v>
      </c>
      <c r="B102" s="49" t="s">
        <v>936</v>
      </c>
      <c r="C102" s="49" t="s">
        <v>14623</v>
      </c>
      <c r="D102" s="49">
        <v>101</v>
      </c>
      <c r="E102" s="78" t="str">
        <f t="shared" si="0"/>
        <v>E2_3_1_15</v>
      </c>
      <c r="F102" s="78" t="s">
        <v>12609</v>
      </c>
      <c r="G102" s="78" t="s">
        <v>12610</v>
      </c>
      <c r="H102" s="78" t="s">
        <v>12611</v>
      </c>
      <c r="I102" s="78" t="s">
        <v>12612</v>
      </c>
      <c r="J102" s="78" t="str">
        <f t="shared" si="1"/>
        <v>(${Variables:E2_3_1_15_kcat} * E2_3_1_15 * C00173*C00093)/(${Variables:E2_3_1_15_km} + (E2_3_1_15 * C00173*C00093))</v>
      </c>
      <c r="K102" s="79" t="str">
        <f t="shared" si="2"/>
        <v>r101: C00173+C00093 -&gt; C00681+C00229 | (${Variables:E2_3_1_15_kcat} * E2_3_1_15 * C00173*C00093)/(${Variables:E2_3_1_15_km} + (E2_3_1_15 * C00173*C00093))</v>
      </c>
    </row>
    <row r="103" spans="1:11" ht="26.5" x14ac:dyDescent="0.35">
      <c r="A103" s="78" t="s">
        <v>943</v>
      </c>
      <c r="B103" s="49" t="s">
        <v>944</v>
      </c>
      <c r="C103" s="49" t="s">
        <v>14624</v>
      </c>
      <c r="D103" s="49">
        <v>102</v>
      </c>
      <c r="E103" s="78" t="str">
        <f t="shared" si="0"/>
        <v>E1_3_1_98</v>
      </c>
      <c r="F103" s="78" t="s">
        <v>12613</v>
      </c>
      <c r="G103" s="78" t="s">
        <v>12614</v>
      </c>
      <c r="H103" s="78" t="s">
        <v>12615</v>
      </c>
      <c r="I103" s="78" t="s">
        <v>12616</v>
      </c>
      <c r="J103" s="78" t="str">
        <f t="shared" si="1"/>
        <v>(${Variables:E1_3_1_98_kcat} * E1_3_1_98 * C01050*C00006)/(${Variables:E1_3_1_98_km} + (E1_3_1_98 * C01050*C00006))</v>
      </c>
      <c r="K103" s="79" t="str">
        <f t="shared" si="2"/>
        <v>r102: C01050+C00006 -&gt; C04631+C00005+C00080 | (${Variables:E1_3_1_98_kcat} * E1_3_1_98 * C01050*C00006)/(${Variables:E1_3_1_98_km} + (E1_3_1_98 * C01050*C00006))</v>
      </c>
    </row>
    <row r="104" spans="1:11" ht="26.5" x14ac:dyDescent="0.35">
      <c r="A104" s="78" t="s">
        <v>943</v>
      </c>
      <c r="B104" s="49" t="s">
        <v>944</v>
      </c>
      <c r="C104" s="49" t="s">
        <v>14624</v>
      </c>
      <c r="D104" s="49">
        <v>103</v>
      </c>
      <c r="E104" s="78" t="str">
        <f t="shared" si="0"/>
        <v>E1_3_1_98</v>
      </c>
      <c r="F104" s="78" t="s">
        <v>12617</v>
      </c>
      <c r="G104" s="78" t="s">
        <v>12618</v>
      </c>
      <c r="H104" s="78" t="s">
        <v>12619</v>
      </c>
      <c r="I104" s="78" t="s">
        <v>12620</v>
      </c>
      <c r="J104" s="78" t="str">
        <f t="shared" si="1"/>
        <v>(${Variables:E1_3_1_98_kcat} * E1_3_1_98 * C01050*C00003)/(${Variables:E1_3_1_98_km} + (E1_3_1_98 * C01050*C00003))</v>
      </c>
      <c r="K104" s="79" t="str">
        <f t="shared" si="2"/>
        <v>r103: C01050+C00003 -&gt; C04631+C00004+C00080 | (${Variables:E1_3_1_98_kcat} * E1_3_1_98 * C01050*C00003)/(${Variables:E1_3_1_98_km} + (E1_3_1_98 * C01050*C00003))</v>
      </c>
    </row>
    <row r="105" spans="1:11" ht="26.5" x14ac:dyDescent="0.35">
      <c r="A105" s="78" t="s">
        <v>956</v>
      </c>
      <c r="B105" s="49" t="s">
        <v>957</v>
      </c>
      <c r="C105" s="49" t="s">
        <v>14625</v>
      </c>
      <c r="D105" s="49">
        <v>104</v>
      </c>
      <c r="E105" s="78" t="str">
        <f t="shared" si="0"/>
        <v>E2_4_2_10</v>
      </c>
      <c r="F105" s="78" t="s">
        <v>12621</v>
      </c>
      <c r="G105" s="78" t="s">
        <v>12622</v>
      </c>
      <c r="H105" s="78" t="s">
        <v>12623</v>
      </c>
      <c r="I105" s="78" t="s">
        <v>12624</v>
      </c>
      <c r="J105" s="78" t="str">
        <f t="shared" si="1"/>
        <v>(${Variables:E2_4_2_10_kcat} * E2_4_2_10 * C01103*C00013)/(${Variables:E2_4_2_10_km} + (E2_4_2_10 * C01103*C00013))</v>
      </c>
      <c r="K105" s="79" t="str">
        <f t="shared" si="2"/>
        <v>r104: C01103+C00013 -&gt; C00295+C00119 | (${Variables:E2_4_2_10_kcat} * E2_4_2_10 * C01103*C00013)/(${Variables:E2_4_2_10_km} + (E2_4_2_10 * C01103*C00013))</v>
      </c>
    </row>
    <row r="106" spans="1:11" ht="26.5" x14ac:dyDescent="0.35">
      <c r="A106" s="78" t="s">
        <v>956</v>
      </c>
      <c r="B106" s="49" t="s">
        <v>957</v>
      </c>
      <c r="C106" s="49" t="s">
        <v>14625</v>
      </c>
      <c r="D106" s="49">
        <v>105</v>
      </c>
      <c r="E106" s="78" t="str">
        <f t="shared" si="0"/>
        <v>E2_4_2_10</v>
      </c>
      <c r="F106" s="78" t="s">
        <v>12625</v>
      </c>
      <c r="G106" s="78" t="s">
        <v>12626</v>
      </c>
      <c r="H106" s="78" t="s">
        <v>12627</v>
      </c>
      <c r="I106" s="78" t="s">
        <v>12628</v>
      </c>
      <c r="J106" s="78" t="str">
        <f t="shared" si="1"/>
        <v>(${Variables:E2_4_2_10_kcat} * E2_4_2_10 * C07649*C00119)/(${Variables:E2_4_2_10_km} + (E2_4_2_10 * C07649*C00119))</v>
      </c>
      <c r="K106" s="79" t="str">
        <f t="shared" si="2"/>
        <v>r105: C07649+C00119 -&gt; C16634+C00013 | (${Variables:E2_4_2_10_kcat} * E2_4_2_10 * C07649*C00119)/(${Variables:E2_4_2_10_km} + (E2_4_2_10 * C07649*C00119))</v>
      </c>
    </row>
    <row r="107" spans="1:11" ht="26.5" x14ac:dyDescent="0.35">
      <c r="A107" s="78" t="s">
        <v>966</v>
      </c>
      <c r="B107" s="49" t="s">
        <v>967</v>
      </c>
      <c r="C107" s="53" t="s">
        <v>14626</v>
      </c>
      <c r="D107" s="49">
        <v>106</v>
      </c>
      <c r="E107" s="78" t="str">
        <f t="shared" si="0"/>
        <v>E6_1_1_17</v>
      </c>
      <c r="F107" s="78" t="s">
        <v>12629</v>
      </c>
      <c r="G107" s="78" t="s">
        <v>12630</v>
      </c>
      <c r="H107" s="78" t="s">
        <v>12631</v>
      </c>
      <c r="I107" s="78" t="s">
        <v>12632</v>
      </c>
      <c r="J107" s="78" t="str">
        <f t="shared" si="1"/>
        <v>(${Variables:E6_1_1_17_kcat} * E6_1_1_17 * C01641*C00025*C00002)/(${Variables:E6_1_1_17_km} + (E6_1_1_17 * C01641*C00025*C00002))</v>
      </c>
      <c r="K107" s="79" t="str">
        <f t="shared" si="2"/>
        <v>r106: C01641+C00025+C00002 -&gt; C02987+C00013+C00020 | (${Variables:E6_1_1_17_kcat} * E6_1_1_17 * C01641*C00025*C00002)/(${Variables:E6_1_1_17_km} + (E6_1_1_17 * C01641*C00025*C00002))</v>
      </c>
    </row>
    <row r="108" spans="1:11" ht="26.5" x14ac:dyDescent="0.35">
      <c r="A108" s="78" t="s">
        <v>988</v>
      </c>
      <c r="B108" s="49" t="s">
        <v>989</v>
      </c>
      <c r="C108" s="49" t="s">
        <v>14627</v>
      </c>
      <c r="D108" s="49">
        <v>107</v>
      </c>
      <c r="E108" s="78" t="str">
        <f t="shared" si="0"/>
        <v>E2_4_2_3</v>
      </c>
      <c r="F108" s="78" t="s">
        <v>12633</v>
      </c>
      <c r="G108" s="78" t="s">
        <v>12634</v>
      </c>
      <c r="H108" s="78" t="s">
        <v>12635</v>
      </c>
      <c r="I108" s="78" t="s">
        <v>12636</v>
      </c>
      <c r="J108" s="78" t="str">
        <f t="shared" si="1"/>
        <v>(${Variables:E2_4_2_3_kcat} * E2_4_2_3 * C00299*C00009)/(${Variables:E2_4_2_3_km} + (E2_4_2_3 * C00299*C00009))</v>
      </c>
      <c r="K108" s="79" t="str">
        <f t="shared" si="2"/>
        <v>r107: C00299+C00009 -&gt; C00106+C00620 | (${Variables:E2_4_2_3_kcat} * E2_4_2_3 * C00299*C00009)/(${Variables:E2_4_2_3_km} + (E2_4_2_3 * C00299*C00009))</v>
      </c>
    </row>
    <row r="109" spans="1:11" ht="26.5" x14ac:dyDescent="0.35">
      <c r="A109" s="78" t="s">
        <v>988</v>
      </c>
      <c r="B109" s="49" t="s">
        <v>989</v>
      </c>
      <c r="C109" s="49" t="s">
        <v>14627</v>
      </c>
      <c r="D109" s="49">
        <v>108</v>
      </c>
      <c r="E109" s="78" t="str">
        <f t="shared" si="0"/>
        <v>E2_4_2_3</v>
      </c>
      <c r="F109" s="78" t="s">
        <v>12637</v>
      </c>
      <c r="G109" s="78" t="s">
        <v>12638</v>
      </c>
      <c r="H109" s="78" t="s">
        <v>12639</v>
      </c>
      <c r="I109" s="78" t="s">
        <v>12640</v>
      </c>
      <c r="J109" s="78" t="str">
        <f t="shared" si="1"/>
        <v>(${Variables:E2_4_2_3_kcat} * E2_4_2_3 * C00526*C00009)/(${Variables:E2_4_2_3_km} + (E2_4_2_3 * C00526*C00009))</v>
      </c>
      <c r="K109" s="79" t="str">
        <f t="shared" si="2"/>
        <v>r108: C00526+C00009 -&gt; C00106+C00672 | (${Variables:E2_4_2_3_kcat} * E2_4_2_3 * C00526*C00009)/(${Variables:E2_4_2_3_km} + (E2_4_2_3 * C00526*C00009))</v>
      </c>
    </row>
    <row r="110" spans="1:11" ht="26.5" x14ac:dyDescent="0.35">
      <c r="A110" s="78" t="s">
        <v>988</v>
      </c>
      <c r="B110" s="49" t="s">
        <v>989</v>
      </c>
      <c r="C110" s="49" t="s">
        <v>14627</v>
      </c>
      <c r="D110" s="49">
        <v>109</v>
      </c>
      <c r="E110" s="78" t="str">
        <f t="shared" si="0"/>
        <v>E2_4_2_3</v>
      </c>
      <c r="F110" s="78" t="s">
        <v>12641</v>
      </c>
      <c r="G110" s="78" t="s">
        <v>12642</v>
      </c>
      <c r="H110" s="78" t="s">
        <v>12643</v>
      </c>
      <c r="I110" s="78" t="s">
        <v>12644</v>
      </c>
      <c r="J110" s="78" t="str">
        <f t="shared" si="1"/>
        <v>(${Variables:E2_4_2_3_kcat} * E2_4_2_3 * C07649*C00620)/(${Variables:E2_4_2_3_km} + (E2_4_2_3 * C07649*C00620))</v>
      </c>
      <c r="K110" s="79" t="str">
        <f t="shared" si="2"/>
        <v>r109: C07649+C00620 -&gt; C16633+C00009 | (${Variables:E2_4_2_3_kcat} * E2_4_2_3 * C07649*C00620)/(${Variables:E2_4_2_3_km} + (E2_4_2_3 * C07649*C00620))</v>
      </c>
    </row>
    <row r="111" spans="1:11" ht="26" x14ac:dyDescent="0.35">
      <c r="A111" s="78" t="s">
        <v>995</v>
      </c>
      <c r="B111" s="49" t="s">
        <v>996</v>
      </c>
      <c r="C111" s="49" t="s">
        <v>14628</v>
      </c>
      <c r="D111" s="49">
        <v>110</v>
      </c>
      <c r="E111" s="78" t="str">
        <f t="shared" si="0"/>
        <v>E4_2_99_20</v>
      </c>
      <c r="F111" s="78" t="s">
        <v>6652</v>
      </c>
      <c r="G111" s="78" t="s">
        <v>6652</v>
      </c>
      <c r="H111" s="78" t="s">
        <v>12645</v>
      </c>
      <c r="I111" s="78" t="s">
        <v>12646</v>
      </c>
      <c r="J111" s="78" t="str">
        <f t="shared" si="1"/>
        <v>(${Variables:E4_2_99_20_kcat} * E4_2_99_20 * C16519)/(${Variables:E4_2_99_20_km} + (E4_2_99_20 * C16519))</v>
      </c>
      <c r="K111" s="79" t="str">
        <f t="shared" si="2"/>
        <v>r110: C16519 -&gt; C05817+C00022 | (${Variables:E4_2_99_20_kcat} * E4_2_99_20 * C16519)/(${Variables:E4_2_99_20_km} + (E4_2_99_20 * C16519))</v>
      </c>
    </row>
    <row r="112" spans="1:11" ht="26.5" x14ac:dyDescent="0.35">
      <c r="A112" s="78" t="s">
        <v>999</v>
      </c>
      <c r="B112" s="49" t="s">
        <v>1000</v>
      </c>
      <c r="C112" s="53" t="s">
        <v>14629</v>
      </c>
      <c r="D112" s="49">
        <v>111</v>
      </c>
      <c r="E112" s="78" t="str">
        <f t="shared" si="0"/>
        <v>E2_2_1_9</v>
      </c>
      <c r="F112" s="78" t="s">
        <v>12647</v>
      </c>
      <c r="G112" s="78" t="s">
        <v>12648</v>
      </c>
      <c r="H112" s="78" t="s">
        <v>12649</v>
      </c>
      <c r="I112" s="78" t="s">
        <v>12650</v>
      </c>
      <c r="J112" s="78" t="str">
        <f t="shared" si="1"/>
        <v>(${Variables:E2_2_1_9_kcat} * E2_2_1_9 * C00885*C00026)/(${Variables:E2_2_1_9_km} + (E2_2_1_9 * C00885*C00026))</v>
      </c>
      <c r="K112" s="79" t="str">
        <f t="shared" si="2"/>
        <v>r111: C00885+C00026 -&gt; C16519+C00011 | (${Variables:E2_2_1_9_kcat} * E2_2_1_9 * C00885*C00026)/(${Variables:E2_2_1_9_km} + (E2_2_1_9 * C00885*C00026))</v>
      </c>
    </row>
    <row r="113" spans="1:11" ht="26" x14ac:dyDescent="0.35">
      <c r="A113" s="78" t="s">
        <v>1012</v>
      </c>
      <c r="B113" s="49" t="s">
        <v>1013</v>
      </c>
      <c r="C113" s="49" t="s">
        <v>14630</v>
      </c>
      <c r="D113" s="49">
        <v>112</v>
      </c>
      <c r="E113" s="78" t="str">
        <f t="shared" si="0"/>
        <v>E4_3_1_17</v>
      </c>
      <c r="F113" s="78" t="s">
        <v>6662</v>
      </c>
      <c r="G113" s="78" t="s">
        <v>6662</v>
      </c>
      <c r="H113" s="78" t="s">
        <v>12651</v>
      </c>
      <c r="I113" s="78" t="s">
        <v>12652</v>
      </c>
      <c r="J113" s="78" t="str">
        <f t="shared" si="1"/>
        <v>(${Variables:E4_3_1_17_kcat} * E4_3_1_17 * C00065)/(${Variables:E4_3_1_17_km} + (E4_3_1_17 * C00065))</v>
      </c>
      <c r="K113" s="79" t="str">
        <f t="shared" si="2"/>
        <v>r112: C00065 -&gt; C00022+C00014 | (${Variables:E4_3_1_17_kcat} * E4_3_1_17 * C00065)/(${Variables:E4_3_1_17_km} + (E4_3_1_17 * C00065))</v>
      </c>
    </row>
    <row r="114" spans="1:11" ht="26" x14ac:dyDescent="0.35">
      <c r="A114" s="78" t="s">
        <v>1012</v>
      </c>
      <c r="B114" s="49" t="s">
        <v>1013</v>
      </c>
      <c r="C114" s="49" t="s">
        <v>14630</v>
      </c>
      <c r="D114" s="49">
        <v>113</v>
      </c>
      <c r="E114" s="78" t="str">
        <f t="shared" si="0"/>
        <v>E4_3_1_17</v>
      </c>
      <c r="F114" s="78" t="s">
        <v>6662</v>
      </c>
      <c r="G114" s="78" t="s">
        <v>6662</v>
      </c>
      <c r="H114" s="78" t="s">
        <v>12653</v>
      </c>
      <c r="I114" s="78" t="s">
        <v>12654</v>
      </c>
      <c r="J114" s="78" t="str">
        <f t="shared" si="1"/>
        <v>(${Variables:E4_3_1_17_kcat} * E4_3_1_17 * C00065)/(${Variables:E4_3_1_17_km} + (E4_3_1_17 * C00065))</v>
      </c>
      <c r="K114" s="79" t="str">
        <f t="shared" si="2"/>
        <v>r113: C00065 -&gt; C02218+C00001 | (${Variables:E4_3_1_17_kcat} * E4_3_1_17 * C00065)/(${Variables:E4_3_1_17_km} + (E4_3_1_17 * C00065))</v>
      </c>
    </row>
    <row r="115" spans="1:11" ht="26.5" x14ac:dyDescent="0.35">
      <c r="A115" s="78" t="s">
        <v>1012</v>
      </c>
      <c r="B115" s="49" t="s">
        <v>1013</v>
      </c>
      <c r="C115" s="49" t="s">
        <v>14630</v>
      </c>
      <c r="D115" s="49">
        <v>114</v>
      </c>
      <c r="E115" s="78" t="str">
        <f t="shared" si="0"/>
        <v>E4_3_1_17</v>
      </c>
      <c r="F115" s="78" t="s">
        <v>12655</v>
      </c>
      <c r="G115" s="78" t="s">
        <v>12656</v>
      </c>
      <c r="H115" s="78" t="s">
        <v>12651</v>
      </c>
      <c r="I115" s="78" t="s">
        <v>12652</v>
      </c>
      <c r="J115" s="78" t="str">
        <f t="shared" si="1"/>
        <v>(${Variables:E4_3_1_17_kcat} * E4_3_1_17 * C20904*C00001)/(${Variables:E4_3_1_17_km} + (E4_3_1_17 * C20904*C00001))</v>
      </c>
      <c r="K115" s="79" t="str">
        <f t="shared" si="2"/>
        <v>r114: C20904+C00001 -&gt; C00022+C00014 | (${Variables:E4_3_1_17_kcat} * E4_3_1_17 * C20904*C00001)/(${Variables:E4_3_1_17_km} + (E4_3_1_17 * C20904*C00001))</v>
      </c>
    </row>
    <row r="116" spans="1:11" ht="26" x14ac:dyDescent="0.35">
      <c r="A116" s="78" t="s">
        <v>1012</v>
      </c>
      <c r="B116" s="49" t="s">
        <v>1013</v>
      </c>
      <c r="C116" s="49" t="s">
        <v>14630</v>
      </c>
      <c r="D116" s="49">
        <v>115</v>
      </c>
      <c r="E116" s="78" t="str">
        <f t="shared" si="0"/>
        <v>E4_3_1_17</v>
      </c>
      <c r="F116" s="78" t="s">
        <v>6669</v>
      </c>
      <c r="G116" s="78" t="s">
        <v>6669</v>
      </c>
      <c r="H116" s="78" t="s">
        <v>6670</v>
      </c>
      <c r="I116" s="78" t="s">
        <v>6670</v>
      </c>
      <c r="J116" s="78" t="str">
        <f t="shared" si="1"/>
        <v>(${Variables:E4_3_1_17_kcat} * E4_3_1_17 * C02218)/(${Variables:E4_3_1_17_km} + (E4_3_1_17 * C02218))</v>
      </c>
      <c r="K116" s="79" t="str">
        <f t="shared" si="2"/>
        <v>r115: C02218 -&gt; C20904 | (${Variables:E4_3_1_17_kcat} * E4_3_1_17 * C02218)/(${Variables:E4_3_1_17_km} + (E4_3_1_17 * C02218))</v>
      </c>
    </row>
    <row r="117" spans="1:11" ht="26" x14ac:dyDescent="0.35">
      <c r="A117" s="78" t="s">
        <v>1012</v>
      </c>
      <c r="B117" s="49" t="s">
        <v>1013</v>
      </c>
      <c r="C117" s="49" t="s">
        <v>14630</v>
      </c>
      <c r="D117" s="49">
        <v>116</v>
      </c>
      <c r="E117" s="78" t="str">
        <f t="shared" si="0"/>
        <v>E4_3_1_17</v>
      </c>
      <c r="F117" s="78" t="s">
        <v>6672</v>
      </c>
      <c r="G117" s="78" t="s">
        <v>6672</v>
      </c>
      <c r="H117" s="78" t="s">
        <v>12657</v>
      </c>
      <c r="I117" s="78" t="s">
        <v>12658</v>
      </c>
      <c r="J117" s="78" t="str">
        <f t="shared" si="1"/>
        <v>(${Variables:E4_3_1_17_kcat} * E4_3_1_17 * C05167)/(${Variables:E4_3_1_17_km} + (E4_3_1_17 * C05167))</v>
      </c>
      <c r="K117" s="79" t="str">
        <f t="shared" si="2"/>
        <v>r116: C05167 -&gt; C00161+C00014 | (${Variables:E4_3_1_17_kcat} * E4_3_1_17 * C05167)/(${Variables:E4_3_1_17_km} + (E4_3_1_17 * C05167))</v>
      </c>
    </row>
    <row r="118" spans="1:11" ht="26.5" x14ac:dyDescent="0.35">
      <c r="A118" s="78" t="s">
        <v>1063</v>
      </c>
      <c r="B118" s="49" t="s">
        <v>1064</v>
      </c>
      <c r="C118" s="49" t="s">
        <v>14631</v>
      </c>
      <c r="D118" s="49">
        <v>117</v>
      </c>
      <c r="E118" s="78" t="str">
        <f t="shared" si="0"/>
        <v>E3_5_1_28</v>
      </c>
      <c r="F118" s="78" t="s">
        <v>12659</v>
      </c>
      <c r="G118" s="78" t="s">
        <v>12660</v>
      </c>
      <c r="H118" s="78" t="s">
        <v>12661</v>
      </c>
      <c r="I118" s="78" t="s">
        <v>12662</v>
      </c>
      <c r="J118" s="78" t="str">
        <f t="shared" si="1"/>
        <v>(${Variables:E3_5_1_28_kcat} * E3_5_1_28 * C02999*C00001)/(${Variables:E3_5_1_28_km} + (E3_5_1_28 * C02999*C00001))</v>
      </c>
      <c r="K118" s="79" t="str">
        <f t="shared" si="2"/>
        <v>r117: C02999+C00001 -&gt; C02713+C00041 | (${Variables:E3_5_1_28_kcat} * E3_5_1_28 * C02999*C00001)/(${Variables:E3_5_1_28_km} + (E3_5_1_28 * C02999*C00001))</v>
      </c>
    </row>
    <row r="119" spans="1:11" ht="26.5" x14ac:dyDescent="0.35">
      <c r="A119" s="78" t="s">
        <v>1090</v>
      </c>
      <c r="B119" s="49" t="s">
        <v>1091</v>
      </c>
      <c r="C119" s="49" t="s">
        <v>14632</v>
      </c>
      <c r="D119" s="49">
        <v>118</v>
      </c>
      <c r="E119" s="78" t="str">
        <f t="shared" si="0"/>
        <v>E1_5_1_2</v>
      </c>
      <c r="F119" s="78" t="s">
        <v>12663</v>
      </c>
      <c r="G119" s="78" t="s">
        <v>12664</v>
      </c>
      <c r="H119" s="78" t="s">
        <v>12665</v>
      </c>
      <c r="I119" s="78" t="s">
        <v>12666</v>
      </c>
      <c r="J119" s="78" t="str">
        <f t="shared" si="1"/>
        <v>(${Variables:E1_5_1_2_kcat} * E1_5_1_2 * C00148*C00003)/(${Variables:E1_5_1_2_km} + (E1_5_1_2 * C00148*C00003))</v>
      </c>
      <c r="K119" s="79" t="str">
        <f t="shared" si="2"/>
        <v>r118: C00148+C00003 -&gt; C03912+C00004+C00080 | (${Variables:E1_5_1_2_kcat} * E1_5_1_2 * C00148*C00003)/(${Variables:E1_5_1_2_km} + (E1_5_1_2 * C00148*C00003))</v>
      </c>
    </row>
    <row r="120" spans="1:11" ht="26.5" x14ac:dyDescent="0.35">
      <c r="A120" s="78" t="s">
        <v>1090</v>
      </c>
      <c r="B120" s="49" t="s">
        <v>1091</v>
      </c>
      <c r="C120" s="49" t="s">
        <v>14632</v>
      </c>
      <c r="D120" s="49">
        <v>119</v>
      </c>
      <c r="E120" s="78" t="str">
        <f t="shared" si="0"/>
        <v>E1_5_1_2</v>
      </c>
      <c r="F120" s="78" t="s">
        <v>12667</v>
      </c>
      <c r="G120" s="78" t="s">
        <v>12668</v>
      </c>
      <c r="H120" s="78" t="s">
        <v>12669</v>
      </c>
      <c r="I120" s="78" t="s">
        <v>12670</v>
      </c>
      <c r="J120" s="78" t="str">
        <f t="shared" si="1"/>
        <v>(${Variables:E1_5_1_2_kcat} * E1_5_1_2 * C00148*C00006)/(${Variables:E1_5_1_2_km} + (E1_5_1_2 * C00148*C00006))</v>
      </c>
      <c r="K120" s="79" t="str">
        <f t="shared" si="2"/>
        <v>r119: C00148+C00006 -&gt; C03912+C00005+C00080 | (${Variables:E1_5_1_2_kcat} * E1_5_1_2 * C00148*C00006)/(${Variables:E1_5_1_2_km} + (E1_5_1_2 * C00148*C00006))</v>
      </c>
    </row>
    <row r="121" spans="1:11" ht="26.5" x14ac:dyDescent="0.35">
      <c r="A121" s="78" t="s">
        <v>1090</v>
      </c>
      <c r="B121" s="49" t="s">
        <v>1091</v>
      </c>
      <c r="C121" s="49" t="s">
        <v>14632</v>
      </c>
      <c r="D121" s="49">
        <v>120</v>
      </c>
      <c r="E121" s="78" t="str">
        <f t="shared" si="0"/>
        <v>E1_5_1_2</v>
      </c>
      <c r="F121" s="78" t="s">
        <v>12671</v>
      </c>
      <c r="G121" s="78" t="s">
        <v>12672</v>
      </c>
      <c r="H121" s="78" t="s">
        <v>12673</v>
      </c>
      <c r="I121" s="78" t="s">
        <v>12674</v>
      </c>
      <c r="J121" s="78" t="str">
        <f t="shared" si="1"/>
        <v>(${Variables:E1_5_1_2_kcat} * E1_5_1_2 * C01157*C00003)/(${Variables:E1_5_1_2_km} + (E1_5_1_2 * C01157*C00003))</v>
      </c>
      <c r="K121" s="79" t="str">
        <f t="shared" si="2"/>
        <v>r120: C01157+C00003 -&gt; C04281+C00004+C00080 | (${Variables:E1_5_1_2_kcat} * E1_5_1_2 * C01157*C00003)/(${Variables:E1_5_1_2_km} + (E1_5_1_2 * C01157*C00003))</v>
      </c>
    </row>
    <row r="122" spans="1:11" ht="26.5" x14ac:dyDescent="0.35">
      <c r="A122" s="78" t="s">
        <v>1090</v>
      </c>
      <c r="B122" s="49" t="s">
        <v>1091</v>
      </c>
      <c r="C122" s="49" t="s">
        <v>14632</v>
      </c>
      <c r="D122" s="49">
        <v>121</v>
      </c>
      <c r="E122" s="78" t="str">
        <f t="shared" si="0"/>
        <v>E1_5_1_2</v>
      </c>
      <c r="F122" s="78" t="s">
        <v>12675</v>
      </c>
      <c r="G122" s="78" t="s">
        <v>12676</v>
      </c>
      <c r="H122" s="78" t="s">
        <v>12677</v>
      </c>
      <c r="I122" s="78" t="s">
        <v>12678</v>
      </c>
      <c r="J122" s="78" t="str">
        <f t="shared" si="1"/>
        <v>(${Variables:E1_5_1_2_kcat} * E1_5_1_2 * C01157*C00006)/(${Variables:E1_5_1_2_km} + (E1_5_1_2 * C01157*C00006))</v>
      </c>
      <c r="K122" s="79" t="str">
        <f t="shared" si="2"/>
        <v>r121: C01157+C00006 -&gt; C04281+C00005+C00080 | (${Variables:E1_5_1_2_kcat} * E1_5_1_2 * C01157*C00006)/(${Variables:E1_5_1_2_km} + (E1_5_1_2 * C01157*C00006))</v>
      </c>
    </row>
    <row r="123" spans="1:11" ht="26.5" x14ac:dyDescent="0.35">
      <c r="A123" s="78" t="s">
        <v>1123</v>
      </c>
      <c r="B123" s="49" t="s">
        <v>1124</v>
      </c>
      <c r="C123" s="49" t="s">
        <v>14633</v>
      </c>
      <c r="D123" s="49">
        <v>122</v>
      </c>
      <c r="E123" s="78" t="str">
        <f t="shared" si="0"/>
        <v>E6_1_1_12</v>
      </c>
      <c r="F123" s="78" t="s">
        <v>12679</v>
      </c>
      <c r="G123" s="78" t="s">
        <v>12680</v>
      </c>
      <c r="H123" s="78" t="s">
        <v>12681</v>
      </c>
      <c r="I123" s="78" t="s">
        <v>12682</v>
      </c>
      <c r="J123" s="78" t="str">
        <f t="shared" si="1"/>
        <v>(${Variables:E6_1_1_12_kcat} * E6_1_1_12 * C01638*C00049*C00002)/(${Variables:E6_1_1_12_km} + (E6_1_1_12 * C01638*C00049*C00002))</v>
      </c>
      <c r="K123" s="79" t="str">
        <f t="shared" si="2"/>
        <v>r122: C01638+C00049+C00002 -&gt; C02984+C00013+C00020 | (${Variables:E6_1_1_12_kcat} * E6_1_1_12 * C01638*C00049*C00002)/(${Variables:E6_1_1_12_km} + (E6_1_1_12 * C01638*C00049*C00002))</v>
      </c>
    </row>
    <row r="124" spans="1:11" ht="26" x14ac:dyDescent="0.35">
      <c r="A124" s="78" t="s">
        <v>1140</v>
      </c>
      <c r="B124" s="49" t="s">
        <v>1141</v>
      </c>
      <c r="C124" s="49" t="s">
        <v>14634</v>
      </c>
      <c r="D124" s="49">
        <v>123</v>
      </c>
      <c r="E124" s="78" t="str">
        <f t="shared" si="0"/>
        <v>E4_4_1_5</v>
      </c>
      <c r="F124" s="78" t="s">
        <v>6708</v>
      </c>
      <c r="G124" s="78" t="s">
        <v>6708</v>
      </c>
      <c r="H124" s="78" t="s">
        <v>12683</v>
      </c>
      <c r="I124" s="78" t="s">
        <v>12684</v>
      </c>
      <c r="J124" s="78" t="str">
        <f t="shared" si="1"/>
        <v>(${Variables:E4_4_1_5_kcat} * E4_4_1_5 * C03451)/(${Variables:E4_4_1_5_km} + (E4_4_1_5 * C03451))</v>
      </c>
      <c r="K124" s="79" t="str">
        <f t="shared" si="2"/>
        <v>r123: C03451 -&gt; C00051+C00546 | (${Variables:E4_4_1_5_kcat} * E4_4_1_5 * C03451)/(${Variables:E4_4_1_5_km} + (E4_4_1_5 * C03451))</v>
      </c>
    </row>
    <row r="125" spans="1:11" ht="26.5" x14ac:dyDescent="0.35">
      <c r="A125" s="78" t="s">
        <v>1178</v>
      </c>
      <c r="B125" s="49" t="s">
        <v>1179</v>
      </c>
      <c r="C125" s="53" t="s">
        <v>14635</v>
      </c>
      <c r="D125" s="49">
        <v>124</v>
      </c>
      <c r="E125" s="78" t="str">
        <f t="shared" si="0"/>
        <v>E2_7_6_5</v>
      </c>
      <c r="F125" s="78" t="s">
        <v>12685</v>
      </c>
      <c r="G125" s="78" t="s">
        <v>12686</v>
      </c>
      <c r="H125" s="78" t="s">
        <v>12687</v>
      </c>
      <c r="I125" s="78" t="s">
        <v>12688</v>
      </c>
      <c r="J125" s="78" t="str">
        <f t="shared" si="1"/>
        <v>(${Variables:E2_7_6_5_kcat} * E2_7_6_5 * C00002*C00044)/(${Variables:E2_7_6_5_km} + (E2_7_6_5 * C00002*C00044))</v>
      </c>
      <c r="K125" s="79" t="str">
        <f t="shared" si="2"/>
        <v>r124: C00002+C00044 -&gt; C00020+C04494 | (${Variables:E2_7_6_5_kcat} * E2_7_6_5 * C00002*C00044)/(${Variables:E2_7_6_5_km} + (E2_7_6_5 * C00002*C00044))</v>
      </c>
    </row>
    <row r="126" spans="1:11" ht="26.5" x14ac:dyDescent="0.35">
      <c r="A126" s="78" t="s">
        <v>1185</v>
      </c>
      <c r="B126" s="49" t="s">
        <v>1186</v>
      </c>
      <c r="C126" s="53" t="s">
        <v>14636</v>
      </c>
      <c r="D126" s="49">
        <v>125</v>
      </c>
      <c r="E126" s="78" t="str">
        <f t="shared" si="0"/>
        <v>E2_7_7_75</v>
      </c>
      <c r="F126" s="78" t="s">
        <v>12689</v>
      </c>
      <c r="G126" s="78" t="s">
        <v>12690</v>
      </c>
      <c r="H126" s="78" t="s">
        <v>12691</v>
      </c>
      <c r="I126" s="78" t="s">
        <v>12692</v>
      </c>
      <c r="J126" s="78" t="str">
        <f t="shared" si="1"/>
        <v>(${Variables:E2_7_7_75_kcat} * E2_7_7_75 * C00002*C05924)/(${Variables:E2_7_7_75_km} + (E2_7_7_75 * C00002*C05924))</v>
      </c>
      <c r="K126" s="79" t="str">
        <f t="shared" si="2"/>
        <v>r125: C00002+C05924 -&gt; C00013+C19848 | (${Variables:E2_7_7_75_kcat} * E2_7_7_75 * C00002*C05924)/(${Variables:E2_7_7_75_km} + (E2_7_7_75 * C00002*C05924))</v>
      </c>
    </row>
    <row r="127" spans="1:11" ht="26.5" x14ac:dyDescent="0.35">
      <c r="A127" s="78" t="s">
        <v>1199</v>
      </c>
      <c r="B127" s="49" t="s">
        <v>1200</v>
      </c>
      <c r="C127" s="49" t="s">
        <v>14637</v>
      </c>
      <c r="D127" s="49">
        <v>126</v>
      </c>
      <c r="E127" s="78" t="str">
        <f t="shared" si="0"/>
        <v>E2_1_1_33</v>
      </c>
      <c r="F127" s="78" t="s">
        <v>12515</v>
      </c>
      <c r="G127" s="78" t="s">
        <v>12516</v>
      </c>
      <c r="H127" s="78" t="s">
        <v>12693</v>
      </c>
      <c r="I127" s="78" t="s">
        <v>12694</v>
      </c>
      <c r="J127" s="78" t="str">
        <f t="shared" si="1"/>
        <v>(${Variables:E2_1_1_33_kcat} * E2_1_1_33 * C00019*C01977)/(${Variables:E2_1_1_33_km} + (E2_1_1_33 * C00019*C01977))</v>
      </c>
      <c r="K127" s="79" t="str">
        <f t="shared" si="2"/>
        <v>r126: C00019+C01977 -&gt; C00021+C04160 | (${Variables:E2_1_1_33_kcat} * E2_1_1_33 * C00019*C01977)/(${Variables:E2_1_1_33_km} + (E2_1_1_33 * C00019*C01977))</v>
      </c>
    </row>
    <row r="128" spans="1:11" ht="26.5" x14ac:dyDescent="0.35">
      <c r="A128" s="78" t="s">
        <v>1231</v>
      </c>
      <c r="B128" s="49" t="s">
        <v>1232</v>
      </c>
      <c r="C128" s="49" t="s">
        <v>14638</v>
      </c>
      <c r="D128" s="49">
        <v>127</v>
      </c>
      <c r="E128" s="78" t="str">
        <f t="shared" si="0"/>
        <v>E2_7_4_3</v>
      </c>
      <c r="F128" s="78" t="s">
        <v>12695</v>
      </c>
      <c r="G128" s="78" t="s">
        <v>12696</v>
      </c>
      <c r="H128" s="49" t="s">
        <v>6732</v>
      </c>
      <c r="I128" s="49" t="s">
        <v>6732</v>
      </c>
      <c r="J128" s="78" t="str">
        <f t="shared" si="1"/>
        <v>(${Variables:E2_7_4_3_kcat} * E2_7_4_3 * C00002*C00020)/(${Variables:E2_7_4_3_km} + (E2_7_4_3 * C00002*C00020))</v>
      </c>
      <c r="K128" s="79" t="str">
        <f t="shared" si="2"/>
        <v>r127: C00002+C00020 -&gt; C00008 | (${Variables:E2_7_4_3_kcat} * E2_7_4_3 * C00002*C00020)/(${Variables:E2_7_4_3_km} + (E2_7_4_3 * C00002*C00020))</v>
      </c>
    </row>
    <row r="129" spans="1:11" ht="26.5" x14ac:dyDescent="0.35">
      <c r="A129" s="78" t="s">
        <v>1231</v>
      </c>
      <c r="B129" s="49" t="s">
        <v>1232</v>
      </c>
      <c r="C129" s="49" t="s">
        <v>14638</v>
      </c>
      <c r="D129" s="49">
        <v>128</v>
      </c>
      <c r="E129" s="78" t="str">
        <f t="shared" si="0"/>
        <v>E2_7_4_3</v>
      </c>
      <c r="F129" s="78" t="s">
        <v>12697</v>
      </c>
      <c r="G129" s="78" t="s">
        <v>12698</v>
      </c>
      <c r="H129" s="78" t="s">
        <v>12699</v>
      </c>
      <c r="I129" s="78" t="s">
        <v>12700</v>
      </c>
      <c r="J129" s="78" t="str">
        <f t="shared" si="1"/>
        <v>(${Variables:E2_7_4_3_kcat} * E2_7_4_3 * C00002*C00360)/(${Variables:E2_7_4_3_km} + (E2_7_4_3 * C00002*C00360))</v>
      </c>
      <c r="K129" s="79" t="str">
        <f t="shared" si="2"/>
        <v>r128: C00002+C00360 -&gt; C00008+C00206 | (${Variables:E2_7_4_3_kcat} * E2_7_4_3 * C00002*C00360)/(${Variables:E2_7_4_3_km} + (E2_7_4_3 * C00002*C00360))</v>
      </c>
    </row>
    <row r="130" spans="1:11" ht="26.5" x14ac:dyDescent="0.35">
      <c r="A130" s="78" t="s">
        <v>1231</v>
      </c>
      <c r="B130" s="49" t="s">
        <v>1232</v>
      </c>
      <c r="C130" s="49" t="s">
        <v>14638</v>
      </c>
      <c r="D130" s="49">
        <v>129</v>
      </c>
      <c r="E130" s="78" t="str">
        <f t="shared" si="0"/>
        <v>E2_7_4_3</v>
      </c>
      <c r="F130" s="78" t="s">
        <v>12701</v>
      </c>
      <c r="G130" s="78" t="s">
        <v>12702</v>
      </c>
      <c r="H130" s="78" t="s">
        <v>12703</v>
      </c>
      <c r="I130" s="78" t="s">
        <v>12704</v>
      </c>
      <c r="J130" s="78" t="str">
        <f t="shared" si="1"/>
        <v>(${Variables:E2_7_4_3_kcat} * E2_7_4_3 * C00068*C00008)/(${Variables:E2_7_4_3_km} + (E2_7_4_3 * C00068*C00008))</v>
      </c>
      <c r="K130" s="79" t="str">
        <f t="shared" si="2"/>
        <v>r129: C00068+C00008 -&gt; C03028+C00020 | (${Variables:E2_7_4_3_kcat} * E2_7_4_3 * C00068*C00008)/(${Variables:E2_7_4_3_km} + (E2_7_4_3 * C00068*C00008))</v>
      </c>
    </row>
    <row r="131" spans="1:11" ht="26" x14ac:dyDescent="0.35">
      <c r="A131" s="78" t="s">
        <v>1238</v>
      </c>
      <c r="B131" s="49" t="s">
        <v>1239</v>
      </c>
      <c r="C131" s="49" t="s">
        <v>14639</v>
      </c>
      <c r="D131" s="49">
        <v>130</v>
      </c>
      <c r="E131" s="78" t="str">
        <f t="shared" si="0"/>
        <v>E5_1_3_2</v>
      </c>
      <c r="F131" s="78" t="s">
        <v>6742</v>
      </c>
      <c r="G131" s="78" t="s">
        <v>6742</v>
      </c>
      <c r="H131" s="78" t="s">
        <v>6743</v>
      </c>
      <c r="I131" s="78" t="s">
        <v>6743</v>
      </c>
      <c r="J131" s="78" t="str">
        <f t="shared" si="1"/>
        <v>(${Variables:E5_1_3_2_kcat} * E5_1_3_2 * C00029)/(${Variables:E5_1_3_2_km} + (E5_1_3_2 * C00029))</v>
      </c>
      <c r="K131" s="79" t="str">
        <f t="shared" si="2"/>
        <v>r130: C00029 -&gt; C00052 | (${Variables:E5_1_3_2_kcat} * E5_1_3_2 * C00029)/(${Variables:E5_1_3_2_km} + (E5_1_3_2 * C00029))</v>
      </c>
    </row>
    <row r="132" spans="1:11" ht="26" x14ac:dyDescent="0.35">
      <c r="A132" s="78" t="s">
        <v>1238</v>
      </c>
      <c r="B132" s="49" t="s">
        <v>1239</v>
      </c>
      <c r="C132" s="49" t="s">
        <v>14639</v>
      </c>
      <c r="D132" s="49">
        <v>131</v>
      </c>
      <c r="E132" s="78" t="str">
        <f t="shared" si="0"/>
        <v>E5_1_3_2</v>
      </c>
      <c r="F132" s="78" t="s">
        <v>6745</v>
      </c>
      <c r="G132" s="78" t="s">
        <v>6745</v>
      </c>
      <c r="H132" s="78" t="s">
        <v>6746</v>
      </c>
      <c r="I132" s="78" t="s">
        <v>6746</v>
      </c>
      <c r="J132" s="78" t="str">
        <f t="shared" si="1"/>
        <v>(${Variables:E5_1_3_2_kcat} * E5_1_3_2 * C00043)/(${Variables:E5_1_3_2_km} + (E5_1_3_2 * C00043))</v>
      </c>
      <c r="K132" s="79" t="str">
        <f t="shared" si="2"/>
        <v>r131: C00043 -&gt; C00203 | (${Variables:E5_1_3_2_kcat} * E5_1_3_2 * C00043)/(${Variables:E5_1_3_2_km} + (E5_1_3_2 * C00043))</v>
      </c>
    </row>
    <row r="133" spans="1:11" ht="26" x14ac:dyDescent="0.35">
      <c r="A133" s="78" t="s">
        <v>1238</v>
      </c>
      <c r="B133" s="49" t="s">
        <v>1239</v>
      </c>
      <c r="C133" s="49" t="s">
        <v>14639</v>
      </c>
      <c r="D133" s="49">
        <v>132</v>
      </c>
      <c r="E133" s="78" t="str">
        <f t="shared" si="0"/>
        <v>E5_1_3_2</v>
      </c>
      <c r="F133" s="78" t="s">
        <v>6748</v>
      </c>
      <c r="G133" s="78" t="s">
        <v>6748</v>
      </c>
      <c r="H133" s="78" t="s">
        <v>6749</v>
      </c>
      <c r="I133" s="78" t="s">
        <v>6749</v>
      </c>
      <c r="J133" s="78" t="str">
        <f t="shared" si="1"/>
        <v>(${Variables:E5_1_3_2_kcat} * E5_1_3_2 * C00842)/(${Variables:E5_1_3_2_km} + (E5_1_3_2 * C00842))</v>
      </c>
      <c r="K133" s="79" t="str">
        <f t="shared" si="2"/>
        <v>r132: C00842 -&gt; C02097 | (${Variables:E5_1_3_2_kcat} * E5_1_3_2 * C00842)/(${Variables:E5_1_3_2_km} + (E5_1_3_2 * C00842))</v>
      </c>
    </row>
    <row r="134" spans="1:11" ht="26.5" x14ac:dyDescent="0.35">
      <c r="A134" s="78" t="s">
        <v>1279</v>
      </c>
      <c r="B134" s="49" t="s">
        <v>1280</v>
      </c>
      <c r="C134" s="49" t="s">
        <v>14640</v>
      </c>
      <c r="D134" s="49">
        <v>133</v>
      </c>
      <c r="E134" s="78" t="str">
        <f t="shared" si="0"/>
        <v>E1_17_7_1</v>
      </c>
      <c r="F134" s="49" t="s">
        <v>12705</v>
      </c>
      <c r="G134" s="49" t="s">
        <v>12706</v>
      </c>
      <c r="H134" s="49" t="s">
        <v>12707</v>
      </c>
      <c r="I134" s="49" t="s">
        <v>12708</v>
      </c>
      <c r="J134" s="78" t="str">
        <f t="shared" si="1"/>
        <v>(${Variables:E1_17_7_1_kcat} * E1_17_7_1 * C11453*C00138)/(${Variables:E1_17_7_1_km} + (E1_17_7_1 * C11453*C00138))</v>
      </c>
      <c r="K134" s="79" t="str">
        <f t="shared" si="2"/>
        <v>r133: C11453+C00138 -&gt; C11811+C00001+C00139 | (${Variables:E1_17_7_1_kcat} * E1_17_7_1 * C11453*C00138)/(${Variables:E1_17_7_1_km} + (E1_17_7_1 * C11453*C00138))</v>
      </c>
    </row>
    <row r="135" spans="1:11" ht="26.5" x14ac:dyDescent="0.35">
      <c r="A135" s="78" t="s">
        <v>1283</v>
      </c>
      <c r="B135" s="49" t="s">
        <v>1284</v>
      </c>
      <c r="C135" s="49" t="s">
        <v>14641</v>
      </c>
      <c r="D135" s="49">
        <v>134</v>
      </c>
      <c r="E135" s="78" t="str">
        <f t="shared" si="0"/>
        <v>E6_1_1_21</v>
      </c>
      <c r="F135" s="78" t="s">
        <v>12709</v>
      </c>
      <c r="G135" s="78" t="s">
        <v>12710</v>
      </c>
      <c r="H135" s="78" t="s">
        <v>12711</v>
      </c>
      <c r="I135" s="78" t="s">
        <v>12712</v>
      </c>
      <c r="J135" s="78" t="str">
        <f t="shared" si="1"/>
        <v>(${Variables:E6_1_1_21_kcat} * E6_1_1_21 * C00002*C00135*C01643)/(${Variables:E6_1_1_21_km} + (E6_1_1_21 * C00002*C00135*C01643))</v>
      </c>
      <c r="K135" s="79" t="str">
        <f t="shared" si="2"/>
        <v>r134: C00002+C00135+C01643 -&gt; C00020+C00013+C02988 | (${Variables:E6_1_1_21_kcat} * E6_1_1_21 * C00002*C00135*C01643)/(${Variables:E6_1_1_21_km} + (E6_1_1_21 * C00002*C00135*C01643))</v>
      </c>
    </row>
    <row r="136" spans="1:11" ht="26.5" x14ac:dyDescent="0.35">
      <c r="A136" s="78" t="s">
        <v>1316</v>
      </c>
      <c r="B136" s="49" t="s">
        <v>1317</v>
      </c>
      <c r="C136" s="49" t="s">
        <v>14642</v>
      </c>
      <c r="D136" s="49">
        <v>135</v>
      </c>
      <c r="E136" s="78" t="str">
        <f t="shared" si="0"/>
        <v>E2_8_1_7</v>
      </c>
      <c r="F136" s="78" t="s">
        <v>12713</v>
      </c>
      <c r="G136" s="78" t="s">
        <v>12714</v>
      </c>
      <c r="H136" s="78" t="s">
        <v>12715</v>
      </c>
      <c r="I136" s="78" t="s">
        <v>12716</v>
      </c>
      <c r="J136" s="78" t="str">
        <f t="shared" si="1"/>
        <v>(${Variables:E2_8_1_7_kcat} * E2_8_1_7 * C15811*C00097)/(${Variables:E2_8_1_7_km} + (E2_8_1_7 * C15811*C00097))</v>
      </c>
      <c r="K136" s="79" t="str">
        <f t="shared" si="2"/>
        <v>r135: C15811+C00097 -&gt; C15812+C00041 | (${Variables:E2_8_1_7_kcat} * E2_8_1_7 * C15811*C00097)/(${Variables:E2_8_1_7_km} + (E2_8_1_7 * C15811*C00097))</v>
      </c>
    </row>
    <row r="137" spans="1:11" ht="26.5" x14ac:dyDescent="0.35">
      <c r="A137" s="78" t="s">
        <v>1316</v>
      </c>
      <c r="B137" s="49" t="s">
        <v>1317</v>
      </c>
      <c r="C137" s="49" t="s">
        <v>14642</v>
      </c>
      <c r="D137" s="49">
        <v>136</v>
      </c>
      <c r="E137" s="78" t="str">
        <f t="shared" si="0"/>
        <v>E2_8_1_7</v>
      </c>
      <c r="F137" s="78" t="s">
        <v>12717</v>
      </c>
      <c r="G137" s="78" t="s">
        <v>12718</v>
      </c>
      <c r="H137" s="78" t="s">
        <v>12719</v>
      </c>
      <c r="I137" s="78" t="s">
        <v>12720</v>
      </c>
      <c r="J137" s="78" t="str">
        <f t="shared" si="1"/>
        <v>(${Variables:E2_8_1_7_kcat} * E2_8_1_7 * C00097*C02743)/(${Variables:E2_8_1_7_km} + (E2_8_1_7 * C00097*C02743))</v>
      </c>
      <c r="K137" s="79" t="str">
        <f t="shared" si="2"/>
        <v>r136: C00097+C02743 -&gt; C00041+C21440 | (${Variables:E2_8_1_7_kcat} * E2_8_1_7 * C00097*C02743)/(${Variables:E2_8_1_7_km} + (E2_8_1_7 * C00097*C02743))</v>
      </c>
    </row>
    <row r="138" spans="1:11" ht="26.5" x14ac:dyDescent="0.35">
      <c r="A138" s="78" t="s">
        <v>1316</v>
      </c>
      <c r="B138" s="49" t="s">
        <v>1317</v>
      </c>
      <c r="C138" s="49" t="s">
        <v>14642</v>
      </c>
      <c r="D138" s="49">
        <v>137</v>
      </c>
      <c r="E138" s="78" t="str">
        <f t="shared" si="0"/>
        <v>E2_8_1_7</v>
      </c>
      <c r="F138" s="78" t="s">
        <v>12721</v>
      </c>
      <c r="G138" s="78" t="s">
        <v>12722</v>
      </c>
      <c r="H138" s="78" t="s">
        <v>12723</v>
      </c>
      <c r="I138" s="78" t="s">
        <v>12724</v>
      </c>
      <c r="J138" s="78" t="str">
        <f t="shared" si="1"/>
        <v>(${Variables:E2_8_1_7_kcat} * E2_8_1_7 * C15812*C02743)/(${Variables:E2_8_1_7_km} + (E2_8_1_7 * C15812*C02743))</v>
      </c>
      <c r="K138" s="79" t="str">
        <f t="shared" si="2"/>
        <v>r137: C15812+C02743 -&gt; C15811+C21440 | (${Variables:E2_8_1_7_kcat} * E2_8_1_7 * C15812*C02743)/(${Variables:E2_8_1_7_km} + (E2_8_1_7 * C15812*C02743))</v>
      </c>
    </row>
    <row r="139" spans="1:11" ht="26.5" x14ac:dyDescent="0.35">
      <c r="A139" s="78" t="s">
        <v>1519</v>
      </c>
      <c r="B139" s="49" t="s">
        <v>1520</v>
      </c>
      <c r="C139" s="49" t="s">
        <v>14643</v>
      </c>
      <c r="D139" s="49">
        <v>138</v>
      </c>
      <c r="E139" s="78" t="str">
        <f t="shared" si="0"/>
        <v>E2_3_1_234</v>
      </c>
      <c r="F139" s="78" t="s">
        <v>12725</v>
      </c>
      <c r="G139" s="78" t="s">
        <v>12726</v>
      </c>
      <c r="H139" s="78" t="s">
        <v>12727</v>
      </c>
      <c r="I139" s="78" t="s">
        <v>12728</v>
      </c>
      <c r="J139" s="78" t="str">
        <f t="shared" si="1"/>
        <v>(${Variables:E2_3_1_234_kcat} * E2_3_1_234 * C20641*C17324)/(${Variables:E2_3_1_234_km} + (E2_3_1_234 * C20641*C17324))</v>
      </c>
      <c r="K139" s="79" t="str">
        <f t="shared" si="2"/>
        <v>r138: C20641+C17324 -&gt; C00020+C20751 | (${Variables:E2_3_1_234_kcat} * E2_3_1_234 * C20641*C17324)/(${Variables:E2_3_1_234_km} + (E2_3_1_234 * C20641*C17324))</v>
      </c>
    </row>
    <row r="140" spans="1:11" ht="26.5" x14ac:dyDescent="0.35">
      <c r="A140" s="78" t="s">
        <v>1526</v>
      </c>
      <c r="B140" s="49" t="s">
        <v>1527</v>
      </c>
      <c r="C140" s="49" t="s">
        <v>14644</v>
      </c>
      <c r="D140" s="49">
        <v>139</v>
      </c>
      <c r="E140" s="78" t="str">
        <f t="shared" si="0"/>
        <v>E6_2_1_3</v>
      </c>
      <c r="F140" s="78" t="s">
        <v>12729</v>
      </c>
      <c r="G140" s="78" t="s">
        <v>12730</v>
      </c>
      <c r="H140" s="78" t="s">
        <v>12731</v>
      </c>
      <c r="I140" s="78" t="s">
        <v>12732</v>
      </c>
      <c r="J140" s="78" t="str">
        <f t="shared" si="1"/>
        <v>(${Variables:E6_2_1_3_kcat} * E6_2_1_3 * C00002*C00638*C00010)/(${Variables:E6_2_1_3_km} + (E6_2_1_3 * C00002*C00638*C00010))</v>
      </c>
      <c r="K140" s="79" t="str">
        <f t="shared" si="2"/>
        <v>r139: C00002+C00638+C00010 -&gt; C00020+C00013+C02843 | (${Variables:E6_2_1_3_kcat} * E6_2_1_3 * C00002*C00638*C00010)/(${Variables:E6_2_1_3_km} + (E6_2_1_3 * C00002*C00638*C00010))</v>
      </c>
    </row>
    <row r="141" spans="1:11" ht="26.5" x14ac:dyDescent="0.35">
      <c r="A141" s="78" t="s">
        <v>1539</v>
      </c>
      <c r="B141" s="49" t="s">
        <v>1540</v>
      </c>
      <c r="C141" s="49" t="s">
        <v>14645</v>
      </c>
      <c r="D141" s="49">
        <v>140</v>
      </c>
      <c r="E141" s="78" t="str">
        <f t="shared" si="0"/>
        <v>E3_1_1_29</v>
      </c>
      <c r="F141" s="78" t="s">
        <v>12733</v>
      </c>
      <c r="G141" s="78" t="s">
        <v>12734</v>
      </c>
      <c r="H141" s="78" t="s">
        <v>12735</v>
      </c>
      <c r="I141" s="78" t="s">
        <v>12736</v>
      </c>
      <c r="J141" s="78" t="str">
        <f t="shared" si="1"/>
        <v>(${Variables:E3_1_1_29_kcat} * E3_1_1_29 * C03880*C00001)/(${Variables:E3_1_1_29_km} + (E3_1_1_29 * C03880*C00001))</v>
      </c>
      <c r="K141" s="79" t="str">
        <f t="shared" si="2"/>
        <v>r140: C03880+C00001 -&gt; C03523+C00066 | (${Variables:E3_1_1_29_kcat} * E3_1_1_29 * C03880*C00001)/(${Variables:E3_1_1_29_km} + (E3_1_1_29 * C03880*C00001))</v>
      </c>
    </row>
    <row r="142" spans="1:11" ht="26.5" x14ac:dyDescent="0.35">
      <c r="A142" s="78" t="s">
        <v>1553</v>
      </c>
      <c r="B142" s="49" t="s">
        <v>1554</v>
      </c>
      <c r="C142" s="49" t="s">
        <v>14646</v>
      </c>
      <c r="D142" s="49">
        <v>141</v>
      </c>
      <c r="E142" s="78" t="str">
        <f t="shared" si="0"/>
        <v>E3_6_1_13</v>
      </c>
      <c r="F142" s="78" t="s">
        <v>12737</v>
      </c>
      <c r="G142" s="78" t="s">
        <v>12738</v>
      </c>
      <c r="H142" s="78" t="s">
        <v>12739</v>
      </c>
      <c r="I142" s="78" t="s">
        <v>12740</v>
      </c>
      <c r="J142" s="78" t="str">
        <f t="shared" si="1"/>
        <v>(${Variables:E3_6_1_13_kcat} * E3_6_1_13 * C00301*C00001)/(${Variables:E3_6_1_13_km} + (E3_6_1_13 * C00301*C00001))</v>
      </c>
      <c r="K142" s="79" t="str">
        <f t="shared" si="2"/>
        <v>r141: C00301+C00001 -&gt; C00020+C00117 | (${Variables:E3_6_1_13_kcat} * E3_6_1_13 * C00301*C00001)/(${Variables:E3_6_1_13_km} + (E3_6_1_13 * C00301*C00001))</v>
      </c>
    </row>
    <row r="143" spans="1:11" ht="26.5" x14ac:dyDescent="0.35">
      <c r="A143" s="78" t="s">
        <v>1557</v>
      </c>
      <c r="B143" s="49" t="s">
        <v>1558</v>
      </c>
      <c r="C143" s="49" t="s">
        <v>14647</v>
      </c>
      <c r="D143" s="49">
        <v>142</v>
      </c>
      <c r="E143" s="78" t="str">
        <f t="shared" si="0"/>
        <v>E3_1_4_53</v>
      </c>
      <c r="F143" s="78" t="s">
        <v>12741</v>
      </c>
      <c r="G143" s="78" t="s">
        <v>12742</v>
      </c>
      <c r="H143" s="78" t="s">
        <v>6805</v>
      </c>
      <c r="I143" s="78" t="s">
        <v>6805</v>
      </c>
      <c r="J143" s="78" t="str">
        <f t="shared" si="1"/>
        <v>(${Variables:E3_1_4_53_kcat} * E3_1_4_53 * C00575*C00001)/(${Variables:E3_1_4_53_km} + (E3_1_4_53 * C00575*C00001))</v>
      </c>
      <c r="K143" s="79" t="str">
        <f t="shared" si="2"/>
        <v>r142: C00575+C00001 -&gt; C00020 | (${Variables:E3_1_4_53_kcat} * E3_1_4_53 * C00575*C00001)/(${Variables:E3_1_4_53_km} + (E3_1_4_53 * C00575*C00001))</v>
      </c>
    </row>
    <row r="144" spans="1:11" ht="38.5" x14ac:dyDescent="0.35">
      <c r="A144" s="78" t="s">
        <v>1574</v>
      </c>
      <c r="B144" s="49" t="s">
        <v>1575</v>
      </c>
      <c r="C144" s="49" t="s">
        <v>14648</v>
      </c>
      <c r="D144" s="49">
        <v>143</v>
      </c>
      <c r="E144" s="78" t="str">
        <f t="shared" si="0"/>
        <v>E6_3_4_19</v>
      </c>
      <c r="F144" s="78" t="s">
        <v>12743</v>
      </c>
      <c r="G144" s="78" t="s">
        <v>12744</v>
      </c>
      <c r="H144" s="78" t="s">
        <v>12745</v>
      </c>
      <c r="I144" s="78" t="s">
        <v>12746</v>
      </c>
      <c r="J144" s="78" t="str">
        <f t="shared" si="1"/>
        <v>(${Variables:E6_3_4_19_kcat} * E6_3_4_19 * C19722*C00047*C00002)/(${Variables:E6_3_4_19_km} + (E6_3_4_19 * C19722*C00047*C00002))</v>
      </c>
      <c r="K144" s="79" t="str">
        <f t="shared" si="2"/>
        <v>r143: C19722+C00047+C00002 -&gt; C19723+C00020+C00013+C00001 | (${Variables:E6_3_4_19_kcat} * E6_3_4_19 * C19722*C00047*C00002)/(${Variables:E6_3_4_19_km} + (E6_3_4_19 * C19722*C00047*C00002))</v>
      </c>
    </row>
    <row r="145" spans="1:11" ht="26.5" x14ac:dyDescent="0.35">
      <c r="A145" s="78" t="s">
        <v>1613</v>
      </c>
      <c r="B145" s="49" t="s">
        <v>1614</v>
      </c>
      <c r="C145" s="49" t="s">
        <v>14649</v>
      </c>
      <c r="D145" s="49">
        <v>144</v>
      </c>
      <c r="E145" s="78" t="str">
        <f t="shared" si="0"/>
        <v>E2_7_1_50</v>
      </c>
      <c r="F145" s="78" t="s">
        <v>12747</v>
      </c>
      <c r="G145" s="78" t="s">
        <v>12748</v>
      </c>
      <c r="H145" s="78" t="s">
        <v>12749</v>
      </c>
      <c r="I145" s="78" t="s">
        <v>12750</v>
      </c>
      <c r="J145" s="78" t="str">
        <f t="shared" si="1"/>
        <v>(${Variables:E2_7_1_50_kcat} * E2_7_1_50 * C00002*C04294)/(${Variables:E2_7_1_50_km} + (E2_7_1_50 * C00002*C04294))</v>
      </c>
      <c r="K145" s="79" t="str">
        <f t="shared" si="2"/>
        <v>r144: C00002+C04294 -&gt; C00008+C04327 | (${Variables:E2_7_1_50_kcat} * E2_7_1_50 * C00002*C04294)/(${Variables:E2_7_1_50_km} + (E2_7_1_50 * C00002*C04294))</v>
      </c>
    </row>
    <row r="146" spans="1:11" ht="26.5" x14ac:dyDescent="0.35">
      <c r="A146" s="78" t="s">
        <v>1617</v>
      </c>
      <c r="B146" s="49" t="s">
        <v>1618</v>
      </c>
      <c r="C146" s="49" t="s">
        <v>14650</v>
      </c>
      <c r="D146" s="49">
        <v>145</v>
      </c>
      <c r="E146" s="78" t="str">
        <f t="shared" si="0"/>
        <v>E2_7_1_49</v>
      </c>
      <c r="F146" s="78" t="s">
        <v>12751</v>
      </c>
      <c r="G146" s="78" t="s">
        <v>12752</v>
      </c>
      <c r="H146" s="78" t="s">
        <v>12753</v>
      </c>
      <c r="I146" s="78" t="s">
        <v>12754</v>
      </c>
      <c r="J146" s="78" t="str">
        <f t="shared" si="1"/>
        <v>(${Variables:E2_7_1_49_kcat} * E2_7_1_49 * C00002*C01279)/(${Variables:E2_7_1_49_km} + (E2_7_1_49 * C00002*C01279))</v>
      </c>
      <c r="K146" s="79" t="str">
        <f t="shared" si="2"/>
        <v>r145: C00002+C01279 -&gt; C00008+C04556 | (${Variables:E2_7_1_49_kcat} * E2_7_1_49 * C00002*C01279)/(${Variables:E2_7_1_49_km} + (E2_7_1_49 * C00002*C01279))</v>
      </c>
    </row>
    <row r="147" spans="1:11" ht="26.5" x14ac:dyDescent="0.35">
      <c r="A147" s="78" t="s">
        <v>1617</v>
      </c>
      <c r="B147" s="49" t="s">
        <v>1618</v>
      </c>
      <c r="C147" s="49" t="s">
        <v>14651</v>
      </c>
      <c r="D147" s="49">
        <v>146</v>
      </c>
      <c r="E147" s="78" t="str">
        <f t="shared" si="0"/>
        <v>E2_7_4_7</v>
      </c>
      <c r="F147" s="78" t="s">
        <v>12755</v>
      </c>
      <c r="G147" s="78" t="s">
        <v>12756</v>
      </c>
      <c r="H147" s="78" t="s">
        <v>12757</v>
      </c>
      <c r="I147" s="78" t="s">
        <v>12758</v>
      </c>
      <c r="J147" s="78" t="str">
        <f t="shared" si="1"/>
        <v>(${Variables:E2_7_4_7_kcat} * E2_7_4_7 * C00002*C04556)/(${Variables:E2_7_4_7_km} + (E2_7_4_7 * C00002*C04556))</v>
      </c>
      <c r="K147" s="79" t="str">
        <f t="shared" si="2"/>
        <v>r146: C00002+C04556 -&gt; C00008+C04752 | (${Variables:E2_7_4_7_kcat} * E2_7_4_7 * C00002*C04556)/(${Variables:E2_7_4_7_km} + (E2_7_4_7 * C00002*C04556))</v>
      </c>
    </row>
    <row r="148" spans="1:11" ht="26.5" x14ac:dyDescent="0.35">
      <c r="A148" s="78" t="s">
        <v>1641</v>
      </c>
      <c r="B148" s="49" t="s">
        <v>1642</v>
      </c>
      <c r="C148" s="49" t="s">
        <v>14652</v>
      </c>
      <c r="D148" s="49">
        <v>147</v>
      </c>
      <c r="E148" s="78" t="str">
        <f t="shared" si="0"/>
        <v>E2_7_8_8</v>
      </c>
      <c r="F148" s="78" t="s">
        <v>12759</v>
      </c>
      <c r="G148" s="78" t="s">
        <v>12760</v>
      </c>
      <c r="H148" s="78" t="s">
        <v>12761</v>
      </c>
      <c r="I148" s="78" t="s">
        <v>12762</v>
      </c>
      <c r="J148" s="78" t="str">
        <f t="shared" si="1"/>
        <v>(${Variables:E2_7_8_8_kcat} * E2_7_8_8 * C00269*C00065)/(${Variables:E2_7_8_8_km} + (E2_7_8_8 * C00269*C00065))</v>
      </c>
      <c r="K148" s="79" t="str">
        <f t="shared" si="2"/>
        <v>r147: C00269+C00065 -&gt; C00055+C02737 | (${Variables:E2_7_8_8_kcat} * E2_7_8_8 * C00269*C00065)/(${Variables:E2_7_8_8_km} + (E2_7_8_8 * C00269*C00065))</v>
      </c>
    </row>
    <row r="149" spans="1:11" ht="26.5" x14ac:dyDescent="0.35">
      <c r="A149" s="78" t="s">
        <v>1657</v>
      </c>
      <c r="B149" s="49" t="s">
        <v>1658</v>
      </c>
      <c r="C149" s="49" t="s">
        <v>14653</v>
      </c>
      <c r="D149" s="49">
        <v>148</v>
      </c>
      <c r="E149" s="78" t="str">
        <f t="shared" si="0"/>
        <v>E2_6_1_16</v>
      </c>
      <c r="F149" s="78" t="s">
        <v>12763</v>
      </c>
      <c r="G149" s="78" t="s">
        <v>12764</v>
      </c>
      <c r="H149" s="78" t="s">
        <v>12765</v>
      </c>
      <c r="I149" s="78" t="s">
        <v>12766</v>
      </c>
      <c r="J149" s="78" t="str">
        <f t="shared" si="1"/>
        <v>(${Variables:E2_6_1_16_kcat} * E2_6_1_16 * C00064*C00085)/(${Variables:E2_6_1_16_km} + (E2_6_1_16 * C00064*C00085))</v>
      </c>
      <c r="K149" s="79" t="str">
        <f t="shared" si="2"/>
        <v>r148: C00064+C00085 -&gt; C00025+C00352 | (${Variables:E2_6_1_16_kcat} * E2_6_1_16 * C00064*C00085)/(${Variables:E2_6_1_16_km} + (E2_6_1_16 * C00064*C00085))</v>
      </c>
    </row>
    <row r="150" spans="1:11" ht="26.5" x14ac:dyDescent="0.35">
      <c r="A150" s="78" t="s">
        <v>1667</v>
      </c>
      <c r="B150" s="49" t="s">
        <v>1668</v>
      </c>
      <c r="C150" s="49" t="s">
        <v>14654</v>
      </c>
      <c r="D150" s="49">
        <v>149</v>
      </c>
      <c r="E150" s="78" t="str">
        <f t="shared" si="0"/>
        <v>E3_6_1_22</v>
      </c>
      <c r="F150" s="78" t="s">
        <v>12767</v>
      </c>
      <c r="G150" s="78" t="s">
        <v>12768</v>
      </c>
      <c r="H150" s="78" t="s">
        <v>12769</v>
      </c>
      <c r="I150" s="78" t="s">
        <v>12770</v>
      </c>
      <c r="J150" s="78" t="str">
        <f t="shared" si="1"/>
        <v>(${Variables:E3_6_1_22_kcat} * E3_6_1_22 * C00003*C00001)/(${Variables:E3_6_1_22_km} + (E3_6_1_22 * C00003*C00001))</v>
      </c>
      <c r="K150" s="79" t="str">
        <f t="shared" si="2"/>
        <v>r149: C00003+C00001 -&gt; C00020+C00455 | (${Variables:E3_6_1_22_kcat} * E3_6_1_22 * C00003*C00001)/(${Variables:E3_6_1_22_km} + (E3_6_1_22 * C00003*C00001))</v>
      </c>
    </row>
    <row r="151" spans="1:11" ht="26.5" x14ac:dyDescent="0.35">
      <c r="A151" s="78" t="s">
        <v>1667</v>
      </c>
      <c r="B151" s="49" t="s">
        <v>1668</v>
      </c>
      <c r="C151" s="49" t="s">
        <v>14654</v>
      </c>
      <c r="D151" s="49">
        <v>150</v>
      </c>
      <c r="E151" s="78" t="str">
        <f t="shared" si="0"/>
        <v>E3_6_1_22</v>
      </c>
      <c r="F151" s="78" t="s">
        <v>12771</v>
      </c>
      <c r="G151" s="78" t="s">
        <v>12772</v>
      </c>
      <c r="H151" s="78" t="s">
        <v>12773</v>
      </c>
      <c r="I151" s="78" t="s">
        <v>12774</v>
      </c>
      <c r="J151" s="78" t="str">
        <f t="shared" si="1"/>
        <v>(${Variables:E3_6_1_22_kcat} * E3_6_1_22 * C00004*C00001)/(${Variables:E3_6_1_22_km} + (E3_6_1_22 * C00004*C00001))</v>
      </c>
      <c r="K151" s="79" t="str">
        <f t="shared" si="2"/>
        <v>r150: C00004+C00001 -&gt; C00020+C21113 | (${Variables:E3_6_1_22_kcat} * E3_6_1_22 * C00004*C00001)/(${Variables:E3_6_1_22_km} + (E3_6_1_22 * C00004*C00001))</v>
      </c>
    </row>
    <row r="152" spans="1:11" ht="26.5" x14ac:dyDescent="0.35">
      <c r="A152" s="78" t="s">
        <v>1667</v>
      </c>
      <c r="B152" s="49" t="s">
        <v>1668</v>
      </c>
      <c r="C152" s="49" t="s">
        <v>14654</v>
      </c>
      <c r="D152" s="49">
        <v>151</v>
      </c>
      <c r="E152" s="78" t="str">
        <f t="shared" si="0"/>
        <v>E3_6_1_22</v>
      </c>
      <c r="F152" s="78" t="s">
        <v>12775</v>
      </c>
      <c r="G152" s="78" t="s">
        <v>12776</v>
      </c>
      <c r="H152" s="78" t="s">
        <v>12777</v>
      </c>
      <c r="I152" s="78" t="s">
        <v>12778</v>
      </c>
      <c r="J152" s="78" t="str">
        <f t="shared" si="1"/>
        <v>(${Variables:E3_6_1_22_kcat} * E3_6_1_22 * C00857*C00001)/(${Variables:E3_6_1_22_km} + (E3_6_1_22 * C00857*C00001))</v>
      </c>
      <c r="K152" s="79" t="str">
        <f t="shared" si="2"/>
        <v>r151: C00857+C00001 -&gt; C00020+C01185 | (${Variables:E3_6_1_22_kcat} * E3_6_1_22 * C00857*C00001)/(${Variables:E3_6_1_22_km} + (E3_6_1_22 * C00857*C00001))</v>
      </c>
    </row>
    <row r="153" spans="1:11" ht="26.5" x14ac:dyDescent="0.35">
      <c r="A153" s="78" t="s">
        <v>1718</v>
      </c>
      <c r="B153" s="49" t="s">
        <v>1719</v>
      </c>
      <c r="C153" s="49" t="s">
        <v>14655</v>
      </c>
      <c r="D153" s="49">
        <v>152</v>
      </c>
      <c r="E153" s="78" t="str">
        <f t="shared" si="0"/>
        <v>E2_7_1_56</v>
      </c>
      <c r="F153" s="78" t="s">
        <v>12779</v>
      </c>
      <c r="G153" s="78" t="s">
        <v>12780</v>
      </c>
      <c r="H153" s="78" t="s">
        <v>12781</v>
      </c>
      <c r="I153" s="78" t="s">
        <v>12782</v>
      </c>
      <c r="J153" s="78" t="str">
        <f t="shared" si="1"/>
        <v>(${Variables:E2_7_1_56_kcat} * E2_7_1_56 * C00002*C01094)/(${Variables:E2_7_1_56_km} + (E2_7_1_56 * C00002*C01094))</v>
      </c>
      <c r="K153" s="79" t="str">
        <f t="shared" si="2"/>
        <v>r152: C00002+C01094 -&gt; C00008+C00354 | (${Variables:E2_7_1_56_kcat} * E2_7_1_56 * C00002*C01094)/(${Variables:E2_7_1_56_km} + (E2_7_1_56 * C00002*C01094))</v>
      </c>
    </row>
    <row r="154" spans="1:11" ht="26.5" x14ac:dyDescent="0.35">
      <c r="A154" s="78" t="s">
        <v>1718</v>
      </c>
      <c r="B154" s="49" t="s">
        <v>1719</v>
      </c>
      <c r="C154" s="49" t="s">
        <v>14655</v>
      </c>
      <c r="D154" s="49">
        <v>153</v>
      </c>
      <c r="E154" s="78" t="str">
        <f t="shared" si="0"/>
        <v>E2_7_1_56</v>
      </c>
      <c r="F154" s="78" t="s">
        <v>12779</v>
      </c>
      <c r="G154" s="78" t="s">
        <v>12780</v>
      </c>
      <c r="H154" s="78" t="s">
        <v>12783</v>
      </c>
      <c r="I154" s="78" t="s">
        <v>12784</v>
      </c>
      <c r="J154" s="78" t="str">
        <f t="shared" si="1"/>
        <v>(${Variables:E2_7_1_56_kcat} * E2_7_1_56 * C00002*C01094)/(${Variables:E2_7_1_56_km} + (E2_7_1_56 * C00002*C01094))</v>
      </c>
      <c r="K154" s="79" t="str">
        <f t="shared" si="2"/>
        <v>r153: C00002+C01094 -&gt; C00008+C05378 | (${Variables:E2_7_1_56_kcat} * E2_7_1_56 * C00002*C01094)/(${Variables:E2_7_1_56_km} + (E2_7_1_56 * C00002*C01094))</v>
      </c>
    </row>
    <row r="155" spans="1:11" ht="26.5" x14ac:dyDescent="0.35">
      <c r="A155" s="78" t="s">
        <v>1718</v>
      </c>
      <c r="B155" s="49" t="s">
        <v>1719</v>
      </c>
      <c r="C155" s="49" t="s">
        <v>14655</v>
      </c>
      <c r="D155" s="49">
        <v>154</v>
      </c>
      <c r="E155" s="78" t="str">
        <f t="shared" si="0"/>
        <v>E2_7_1_56</v>
      </c>
      <c r="F155" s="78" t="s">
        <v>12785</v>
      </c>
      <c r="G155" s="78" t="s">
        <v>12786</v>
      </c>
      <c r="H155" s="78" t="s">
        <v>12787</v>
      </c>
      <c r="I155" s="78" t="s">
        <v>12788</v>
      </c>
      <c r="J155" s="78" t="str">
        <f t="shared" si="1"/>
        <v>(${Variables:E2_7_1_56_kcat} * E2_7_1_56 * C01097*C00002)/(${Variables:E2_7_1_56_km} + (E2_7_1_56 * C01097*C00002))</v>
      </c>
      <c r="K155" s="79" t="str">
        <f t="shared" si="2"/>
        <v>r154: C01097+C00002 -&gt; C03785+C00008 | (${Variables:E2_7_1_56_kcat} * E2_7_1_56 * C01097*C00002)/(${Variables:E2_7_1_56_km} + (E2_7_1_56 * C01097*C00002))</v>
      </c>
    </row>
    <row r="156" spans="1:11" ht="26.5" x14ac:dyDescent="0.35">
      <c r="A156" s="78" t="s">
        <v>1748</v>
      </c>
      <c r="B156" s="49" t="s">
        <v>1749</v>
      </c>
      <c r="C156" s="49" t="s">
        <v>14656</v>
      </c>
      <c r="D156" s="49">
        <v>155</v>
      </c>
      <c r="E156" s="78" t="str">
        <f t="shared" si="0"/>
        <v>E2_7_4_9</v>
      </c>
      <c r="F156" s="78" t="s">
        <v>12789</v>
      </c>
      <c r="G156" s="78" t="s">
        <v>12790</v>
      </c>
      <c r="H156" s="78" t="s">
        <v>12791</v>
      </c>
      <c r="I156" s="78" t="s">
        <v>12792</v>
      </c>
      <c r="J156" s="78" t="str">
        <f t="shared" si="1"/>
        <v>(${Variables:E2_7_4_9_kcat} * E2_7_4_9 * C00002*C00364)/(${Variables:E2_7_4_9_km} + (E2_7_4_9 * C00002*C00364))</v>
      </c>
      <c r="K156" s="79" t="str">
        <f t="shared" si="2"/>
        <v>r155: C00002+C00364 -&gt; C00008+C00363 | (${Variables:E2_7_4_9_kcat} * E2_7_4_9 * C00002*C00364)/(${Variables:E2_7_4_9_km} + (E2_7_4_9 * C00002*C00364))</v>
      </c>
    </row>
    <row r="157" spans="1:11" ht="26.5" x14ac:dyDescent="0.35">
      <c r="A157" s="78" t="s">
        <v>1748</v>
      </c>
      <c r="B157" s="49" t="s">
        <v>1749</v>
      </c>
      <c r="C157" s="49" t="s">
        <v>14656</v>
      </c>
      <c r="D157" s="49">
        <v>156</v>
      </c>
      <c r="E157" s="78" t="str">
        <f t="shared" si="0"/>
        <v>E2_7_4_9</v>
      </c>
      <c r="F157" s="78" t="s">
        <v>12793</v>
      </c>
      <c r="G157" s="78" t="s">
        <v>12794</v>
      </c>
      <c r="H157" s="78" t="s">
        <v>12795</v>
      </c>
      <c r="I157" s="78" t="s">
        <v>12796</v>
      </c>
      <c r="J157" s="78" t="str">
        <f t="shared" si="1"/>
        <v>(${Variables:E2_7_4_9_kcat} * E2_7_4_9 * C00002*C00365)/(${Variables:E2_7_4_9_km} + (E2_7_4_9 * C00002*C00365))</v>
      </c>
      <c r="K157" s="79" t="str">
        <f t="shared" si="2"/>
        <v>r156: C00002+C00365 -&gt; C00008+C01346 | (${Variables:E2_7_4_9_kcat} * E2_7_4_9 * C00002*C00365)/(${Variables:E2_7_4_9_km} + (E2_7_4_9 * C00002*C00365))</v>
      </c>
    </row>
    <row r="158" spans="1:11" ht="26.5" x14ac:dyDescent="0.35">
      <c r="A158" s="78" t="s">
        <v>1758</v>
      </c>
      <c r="B158" s="49" t="s">
        <v>1759</v>
      </c>
      <c r="C158" s="49" t="s">
        <v>14657</v>
      </c>
      <c r="D158" s="49">
        <v>157</v>
      </c>
      <c r="E158" s="78" t="str">
        <f t="shared" si="0"/>
        <v>E2_4_2_9</v>
      </c>
      <c r="F158" s="78" t="s">
        <v>12797</v>
      </c>
      <c r="G158" s="78" t="s">
        <v>12798</v>
      </c>
      <c r="H158" s="78" t="s">
        <v>12799</v>
      </c>
      <c r="I158" s="78" t="s">
        <v>12800</v>
      </c>
      <c r="J158" s="78" t="str">
        <f t="shared" si="1"/>
        <v>(${Variables:E2_4_2_9_kcat} * E2_4_2_9 * C00105*C00013)/(${Variables:E2_4_2_9_km} + (E2_4_2_9 * C00105*C00013))</v>
      </c>
      <c r="K158" s="79" t="str">
        <f t="shared" si="2"/>
        <v>r157: C00105+C00013 -&gt; C00106+C00119 | (${Variables:E2_4_2_9_kcat} * E2_4_2_9 * C00105*C00013)/(${Variables:E2_4_2_9_km} + (E2_4_2_9 * C00105*C00013))</v>
      </c>
    </row>
    <row r="159" spans="1:11" ht="26.5" x14ac:dyDescent="0.35">
      <c r="A159" s="78" t="s">
        <v>1762</v>
      </c>
      <c r="B159" s="49" t="s">
        <v>1763</v>
      </c>
      <c r="C159" s="49" t="s">
        <v>14658</v>
      </c>
      <c r="D159" s="49">
        <v>158</v>
      </c>
      <c r="E159" s="78" t="str">
        <f t="shared" si="0"/>
        <v>E3_6_1_9</v>
      </c>
      <c r="F159" s="78" t="s">
        <v>12801</v>
      </c>
      <c r="G159" s="78" t="s">
        <v>12802</v>
      </c>
      <c r="H159" s="78" t="s">
        <v>12803</v>
      </c>
      <c r="I159" s="78" t="s">
        <v>12804</v>
      </c>
      <c r="J159" s="78" t="str">
        <f t="shared" si="1"/>
        <v>(${Variables:E3_6_1_9_kcat} * E3_6_1_9 * C00201*C00001)/(${Variables:E3_6_1_9_km} + (E3_6_1_9 * C00201*C00001))</v>
      </c>
      <c r="K159" s="79" t="str">
        <f t="shared" si="2"/>
        <v>r158: C00201+C00001 -&gt; C00215+C00013 | (${Variables:E3_6_1_9_kcat} * E3_6_1_9 * C00201*C00001)/(${Variables:E3_6_1_9_km} + (E3_6_1_9 * C00201*C00001))</v>
      </c>
    </row>
    <row r="160" spans="1:11" ht="26.5" x14ac:dyDescent="0.35">
      <c r="A160" s="78" t="s">
        <v>1762</v>
      </c>
      <c r="B160" s="49" t="s">
        <v>1763</v>
      </c>
      <c r="C160" s="49" t="s">
        <v>14658</v>
      </c>
      <c r="D160" s="49">
        <v>159</v>
      </c>
      <c r="E160" s="78" t="str">
        <f t="shared" si="0"/>
        <v>E3_6_1_9</v>
      </c>
      <c r="F160" s="78" t="s">
        <v>12805</v>
      </c>
      <c r="G160" s="78" t="s">
        <v>12806</v>
      </c>
      <c r="H160" s="78" t="s">
        <v>12807</v>
      </c>
      <c r="I160" s="78" t="s">
        <v>12808</v>
      </c>
      <c r="J160" s="78" t="str">
        <f t="shared" si="1"/>
        <v>(${Variables:E3_6_1_9_kcat} * E3_6_1_9 * C00002*C00001)/(${Variables:E3_6_1_9_km} + (E3_6_1_9 * C00002*C00001))</v>
      </c>
      <c r="K160" s="79" t="str">
        <f t="shared" si="2"/>
        <v>r159: C00002+C00001 -&gt; C00020+C00013 | (${Variables:E3_6_1_9_kcat} * E3_6_1_9 * C00002*C00001)/(${Variables:E3_6_1_9_km} + (E3_6_1_9 * C00002*C00001))</v>
      </c>
    </row>
    <row r="161" spans="1:11" ht="26.5" x14ac:dyDescent="0.35">
      <c r="A161" s="78" t="s">
        <v>1762</v>
      </c>
      <c r="B161" s="49" t="s">
        <v>1763</v>
      </c>
      <c r="C161" s="49" t="s">
        <v>14658</v>
      </c>
      <c r="D161" s="49">
        <v>160</v>
      </c>
      <c r="E161" s="78" t="str">
        <f t="shared" si="0"/>
        <v>E3_6_1_9</v>
      </c>
      <c r="F161" s="78" t="s">
        <v>12529</v>
      </c>
      <c r="G161" s="78" t="s">
        <v>12530</v>
      </c>
      <c r="H161" s="78" t="s">
        <v>12809</v>
      </c>
      <c r="I161" s="78" t="s">
        <v>12810</v>
      </c>
      <c r="J161" s="78" t="str">
        <f t="shared" si="1"/>
        <v>(${Variables:E3_6_1_9_kcat} * E3_6_1_9 * C00044*C00001)/(${Variables:E3_6_1_9_km} + (E3_6_1_9 * C00044*C00001))</v>
      </c>
      <c r="K161" s="79" t="str">
        <f t="shared" si="2"/>
        <v>r160: C00044+C00001 -&gt; C00144+C00013 | (${Variables:E3_6_1_9_kcat} * E3_6_1_9 * C00044*C00001)/(${Variables:E3_6_1_9_km} + (E3_6_1_9 * C00044*C00001))</v>
      </c>
    </row>
    <row r="162" spans="1:11" ht="26.5" x14ac:dyDescent="0.35">
      <c r="A162" s="78" t="s">
        <v>1762</v>
      </c>
      <c r="B162" s="49" t="s">
        <v>1763</v>
      </c>
      <c r="C162" s="49" t="s">
        <v>14658</v>
      </c>
      <c r="D162" s="49">
        <v>161</v>
      </c>
      <c r="E162" s="78" t="str">
        <f t="shared" si="0"/>
        <v>E3_6_1_9</v>
      </c>
      <c r="F162" s="78" t="s">
        <v>12811</v>
      </c>
      <c r="G162" s="78" t="s">
        <v>12812</v>
      </c>
      <c r="H162" s="78" t="s">
        <v>12813</v>
      </c>
      <c r="I162" s="78" t="s">
        <v>12814</v>
      </c>
      <c r="J162" s="78" t="str">
        <f t="shared" si="1"/>
        <v>(${Variables:E3_6_1_9_kcat} * E3_6_1_9 * C00063*C00001)/(${Variables:E3_6_1_9_km} + (E3_6_1_9 * C00063*C00001))</v>
      </c>
      <c r="K162" s="79" t="str">
        <f t="shared" si="2"/>
        <v>r161: C00063+C00001 -&gt; C00055+C00013 | (${Variables:E3_6_1_9_kcat} * E3_6_1_9 * C00063*C00001)/(${Variables:E3_6_1_9_km} + (E3_6_1_9 * C00063*C00001))</v>
      </c>
    </row>
    <row r="163" spans="1:11" ht="26.5" x14ac:dyDescent="0.35">
      <c r="A163" s="78" t="s">
        <v>1762</v>
      </c>
      <c r="B163" s="49" t="s">
        <v>1763</v>
      </c>
      <c r="C163" s="49" t="s">
        <v>14658</v>
      </c>
      <c r="D163" s="49">
        <v>162</v>
      </c>
      <c r="E163" s="78" t="str">
        <f t="shared" si="0"/>
        <v>E3_6_1_9</v>
      </c>
      <c r="F163" s="78" t="s">
        <v>12815</v>
      </c>
      <c r="G163" s="78" t="s">
        <v>12816</v>
      </c>
      <c r="H163" s="78" t="s">
        <v>12797</v>
      </c>
      <c r="I163" s="78" t="s">
        <v>12798</v>
      </c>
      <c r="J163" s="78" t="str">
        <f t="shared" si="1"/>
        <v>(${Variables:E3_6_1_9_kcat} * E3_6_1_9 * C00075*C00001)/(${Variables:E3_6_1_9_km} + (E3_6_1_9 * C00075*C00001))</v>
      </c>
      <c r="K163" s="79" t="str">
        <f t="shared" si="2"/>
        <v>r162: C00075+C00001 -&gt; C00105+C00013 | (${Variables:E3_6_1_9_kcat} * E3_6_1_9 * C00075*C00001)/(${Variables:E3_6_1_9_km} + (E3_6_1_9 * C00075*C00001))</v>
      </c>
    </row>
    <row r="164" spans="1:11" ht="26.5" x14ac:dyDescent="0.35">
      <c r="A164" s="78" t="s">
        <v>1762</v>
      </c>
      <c r="B164" s="49" t="s">
        <v>1763</v>
      </c>
      <c r="C164" s="49" t="s">
        <v>14658</v>
      </c>
      <c r="D164" s="49">
        <v>163</v>
      </c>
      <c r="E164" s="78" t="str">
        <f t="shared" si="0"/>
        <v>E3_6_1_9</v>
      </c>
      <c r="F164" s="78" t="s">
        <v>12817</v>
      </c>
      <c r="G164" s="78" t="s">
        <v>12818</v>
      </c>
      <c r="H164" s="78" t="s">
        <v>12819</v>
      </c>
      <c r="I164" s="78" t="s">
        <v>12820</v>
      </c>
      <c r="J164" s="78" t="str">
        <f t="shared" si="1"/>
        <v>(${Variables:E3_6_1_9_kcat} * E3_6_1_9 * C00459*C00001)/(${Variables:E3_6_1_9_km} + (E3_6_1_9 * C00459*C00001))</v>
      </c>
      <c r="K164" s="79" t="str">
        <f t="shared" si="2"/>
        <v>r163: C00459+C00001 -&gt; C00364+C00013 | (${Variables:E3_6_1_9_kcat} * E3_6_1_9 * C00459*C00001)/(${Variables:E3_6_1_9_km} + (E3_6_1_9 * C00459*C00001))</v>
      </c>
    </row>
    <row r="165" spans="1:11" ht="26.5" x14ac:dyDescent="0.35">
      <c r="A165" s="78" t="s">
        <v>1762</v>
      </c>
      <c r="B165" s="49" t="s">
        <v>1763</v>
      </c>
      <c r="C165" s="49" t="s">
        <v>14658</v>
      </c>
      <c r="D165" s="49">
        <v>164</v>
      </c>
      <c r="E165" s="78" t="str">
        <f t="shared" si="0"/>
        <v>E3_6_1_9</v>
      </c>
      <c r="F165" s="78" t="s">
        <v>12821</v>
      </c>
      <c r="G165" s="78" t="s">
        <v>12822</v>
      </c>
      <c r="H165" s="78" t="s">
        <v>12823</v>
      </c>
      <c r="I165" s="78" t="s">
        <v>12824</v>
      </c>
      <c r="J165" s="78" t="str">
        <f t="shared" si="1"/>
        <v>(${Variables:E3_6_1_9_kcat} * E3_6_1_9 * C00016*C00001)/(${Variables:E3_6_1_9_km} + (E3_6_1_9 * C00016*C00001))</v>
      </c>
      <c r="K165" s="79" t="str">
        <f t="shared" si="2"/>
        <v>r164: C00016+C00001 -&gt; C00020+C00061 | (${Variables:E3_6_1_9_kcat} * E3_6_1_9 * C00016*C00001)/(${Variables:E3_6_1_9_km} + (E3_6_1_9 * C00016*C00001))</v>
      </c>
    </row>
    <row r="166" spans="1:11" ht="26.5" x14ac:dyDescent="0.35">
      <c r="A166" s="78" t="s">
        <v>1762</v>
      </c>
      <c r="B166" s="49" t="s">
        <v>1763</v>
      </c>
      <c r="C166" s="49" t="s">
        <v>14658</v>
      </c>
      <c r="D166" s="49">
        <v>165</v>
      </c>
      <c r="E166" s="78" t="str">
        <f t="shared" si="0"/>
        <v>E3_6_1_9</v>
      </c>
      <c r="F166" s="78" t="s">
        <v>12825</v>
      </c>
      <c r="G166" s="78" t="s">
        <v>12826</v>
      </c>
      <c r="H166" s="78" t="s">
        <v>12827</v>
      </c>
      <c r="I166" s="78" t="s">
        <v>12828</v>
      </c>
      <c r="J166" s="78" t="str">
        <f t="shared" si="1"/>
        <v>(${Variables:E3_6_1_9_kcat} * E3_6_1_9 * C00029*C00001)/(${Variables:E3_6_1_9_km} + (E3_6_1_9 * C00029*C00001))</v>
      </c>
      <c r="K166" s="79" t="str">
        <f t="shared" si="2"/>
        <v>r165: C00029+C00001 -&gt; C00105+C00103 | (${Variables:E3_6_1_9_kcat} * E3_6_1_9 * C00029*C00001)/(${Variables:E3_6_1_9_km} + (E3_6_1_9 * C00029*C00001))</v>
      </c>
    </row>
    <row r="167" spans="1:11" ht="26.5" x14ac:dyDescent="0.35">
      <c r="A167" s="78" t="s">
        <v>1762</v>
      </c>
      <c r="B167" s="49" t="s">
        <v>1763</v>
      </c>
      <c r="C167" s="49" t="s">
        <v>14658</v>
      </c>
      <c r="D167" s="49">
        <v>166</v>
      </c>
      <c r="E167" s="78" t="str">
        <f t="shared" si="0"/>
        <v>E3_6_1_9</v>
      </c>
      <c r="F167" s="78" t="s">
        <v>12829</v>
      </c>
      <c r="G167" s="78" t="s">
        <v>12830</v>
      </c>
      <c r="H167" s="78" t="s">
        <v>12831</v>
      </c>
      <c r="I167" s="78" t="s">
        <v>12832</v>
      </c>
      <c r="J167" s="78" t="str">
        <f t="shared" si="1"/>
        <v>(${Variables:E3_6_1_9_kcat} * E3_6_1_9 * C00882*C00001)/(${Variables:E3_6_1_9_km} + (E3_6_1_9 * C00882*C00001))</v>
      </c>
      <c r="K167" s="79" t="str">
        <f t="shared" si="2"/>
        <v>r166: C00882+C00001 -&gt; C01134+C00020 | (${Variables:E3_6_1_9_kcat} * E3_6_1_9 * C00882*C00001)/(${Variables:E3_6_1_9_km} + (E3_6_1_9 * C00882*C00001))</v>
      </c>
    </row>
    <row r="168" spans="1:11" ht="26" x14ac:dyDescent="0.35">
      <c r="A168" s="78" t="s">
        <v>1777</v>
      </c>
      <c r="B168" s="49" t="s">
        <v>1778</v>
      </c>
      <c r="C168" s="49" t="s">
        <v>14659</v>
      </c>
      <c r="D168" s="49">
        <v>167</v>
      </c>
      <c r="E168" s="78" t="str">
        <f t="shared" si="0"/>
        <v>E5_3_1_6</v>
      </c>
      <c r="F168" s="78" t="s">
        <v>6911</v>
      </c>
      <c r="G168" s="78" t="s">
        <v>6911</v>
      </c>
      <c r="H168" s="78" t="s">
        <v>6912</v>
      </c>
      <c r="I168" s="78" t="s">
        <v>6912</v>
      </c>
      <c r="J168" s="78" t="str">
        <f t="shared" si="1"/>
        <v>(${Variables:E5_3_1_6_kcat} * E5_3_1_6 * C00117)/(${Variables:E5_3_1_6_km} + (E5_3_1_6 * C00117))</v>
      </c>
      <c r="K168" s="79" t="str">
        <f t="shared" si="2"/>
        <v>r167: C00117 -&gt; C00199 | (${Variables:E5_3_1_6_kcat} * E5_3_1_6 * C00117)/(${Variables:E5_3_1_6_km} + (E5_3_1_6 * C00117))</v>
      </c>
    </row>
    <row r="169" spans="1:11" ht="26" x14ac:dyDescent="0.35">
      <c r="A169" s="78" t="s">
        <v>1777</v>
      </c>
      <c r="B169" s="49" t="s">
        <v>1778</v>
      </c>
      <c r="C169" s="49" t="s">
        <v>14659</v>
      </c>
      <c r="D169" s="49">
        <v>168</v>
      </c>
      <c r="E169" s="78" t="str">
        <f t="shared" si="0"/>
        <v>E5_3_1_6</v>
      </c>
      <c r="F169" s="78" t="s">
        <v>6914</v>
      </c>
      <c r="G169" s="78" t="s">
        <v>6914</v>
      </c>
      <c r="H169" s="78" t="s">
        <v>6915</v>
      </c>
      <c r="I169" s="78" t="s">
        <v>6915</v>
      </c>
      <c r="J169" s="78" t="str">
        <f t="shared" si="1"/>
        <v>(${Variables:E5_3_1_6_kcat} * E5_3_1_6 * C02962)/(${Variables:E5_3_1_6_km} + (E5_3_1_6 * C02962))</v>
      </c>
      <c r="K169" s="79" t="str">
        <f t="shared" si="2"/>
        <v>r168: C02962 -&gt; C18096 | (${Variables:E5_3_1_6_kcat} * E5_3_1_6 * C02962)/(${Variables:E5_3_1_6_km} + (E5_3_1_6 * C02962))</v>
      </c>
    </row>
    <row r="170" spans="1:11" ht="26.5" x14ac:dyDescent="0.35">
      <c r="A170" s="78" t="s">
        <v>1781</v>
      </c>
      <c r="B170" s="49" t="s">
        <v>1782</v>
      </c>
      <c r="C170" s="49" t="s">
        <v>14660</v>
      </c>
      <c r="D170" s="49">
        <v>169</v>
      </c>
      <c r="E170" s="78" t="str">
        <f t="shared" si="0"/>
        <v>E1_1_1_95</v>
      </c>
      <c r="F170" s="78" t="s">
        <v>12833</v>
      </c>
      <c r="G170" s="78" t="s">
        <v>12834</v>
      </c>
      <c r="H170" s="78" t="s">
        <v>12835</v>
      </c>
      <c r="I170" s="78" t="s">
        <v>12836</v>
      </c>
      <c r="J170" s="78" t="str">
        <f t="shared" si="1"/>
        <v>(${Variables:E1_1_1_95_kcat} * E1_1_1_95 * C00197*C00003)/(${Variables:E1_1_1_95_km} + (E1_1_1_95 * C00197*C00003))</v>
      </c>
      <c r="K170" s="79" t="str">
        <f t="shared" si="2"/>
        <v>r169: C00197+C00003 -&gt; C03232+C00004+C00080 | (${Variables:E1_1_1_95_kcat} * E1_1_1_95 * C00197*C00003)/(${Variables:E1_1_1_95_km} + (E1_1_1_95 * C00197*C00003))</v>
      </c>
    </row>
    <row r="171" spans="1:11" ht="26.5" x14ac:dyDescent="0.35">
      <c r="A171" s="78" t="s">
        <v>1781</v>
      </c>
      <c r="B171" s="49" t="s">
        <v>1782</v>
      </c>
      <c r="C171" s="49" t="s">
        <v>14660</v>
      </c>
      <c r="D171" s="49">
        <v>170</v>
      </c>
      <c r="E171" s="78" t="str">
        <f t="shared" si="0"/>
        <v>E1_1_1_95</v>
      </c>
      <c r="F171" s="78" t="s">
        <v>12837</v>
      </c>
      <c r="G171" s="78" t="s">
        <v>12838</v>
      </c>
      <c r="H171" s="78" t="s">
        <v>12839</v>
      </c>
      <c r="I171" s="78" t="s">
        <v>12840</v>
      </c>
      <c r="J171" s="78" t="str">
        <f t="shared" si="1"/>
        <v>(${Variables:E1_1_1_95_kcat} * E1_1_1_95 * C02630*C00003)/(${Variables:E1_1_1_95_km} + (E1_1_1_95 * C02630*C00003))</v>
      </c>
      <c r="K171" s="79" t="str">
        <f t="shared" si="2"/>
        <v>r170: C02630+C00003 -&gt; C00026+C00004+C00080 | (${Variables:E1_1_1_95_kcat} * E1_1_1_95 * C02630*C00003)/(${Variables:E1_1_1_95_km} + (E1_1_1_95 * C02630*C00003))</v>
      </c>
    </row>
    <row r="172" spans="1:11" ht="26.5" x14ac:dyDescent="0.35">
      <c r="A172" s="78" t="s">
        <v>1791</v>
      </c>
      <c r="B172" s="49" t="s">
        <v>1792</v>
      </c>
      <c r="C172" s="49" t="s">
        <v>14661</v>
      </c>
      <c r="D172" s="49">
        <v>171</v>
      </c>
      <c r="E172" s="78" t="str">
        <f t="shared" si="0"/>
        <v>E2_4_2_17</v>
      </c>
      <c r="F172" s="78" t="s">
        <v>12841</v>
      </c>
      <c r="G172" s="78" t="s">
        <v>12842</v>
      </c>
      <c r="H172" s="78" t="s">
        <v>12843</v>
      </c>
      <c r="I172" s="78" t="s">
        <v>12844</v>
      </c>
      <c r="J172" s="78" t="str">
        <f t="shared" si="1"/>
        <v>(${Variables:E2_4_2_17_kcat} * E2_4_2_17 * C02739*C00013)/(${Variables:E2_4_2_17_km} + (E2_4_2_17 * C02739*C00013))</v>
      </c>
      <c r="K172" s="79" t="str">
        <f t="shared" si="2"/>
        <v>r171: C02739+C00013 -&gt; C00002+C00119 | (${Variables:E2_4_2_17_kcat} * E2_4_2_17 * C02739*C00013)/(${Variables:E2_4_2_17_km} + (E2_4_2_17 * C02739*C00013))</v>
      </c>
    </row>
    <row r="173" spans="1:11" ht="26.5" x14ac:dyDescent="0.35">
      <c r="A173" s="78" t="s">
        <v>1795</v>
      </c>
      <c r="B173" s="49" t="s">
        <v>1796</v>
      </c>
      <c r="C173" s="49" t="s">
        <v>14662</v>
      </c>
      <c r="D173" s="49">
        <v>172</v>
      </c>
      <c r="E173" s="78" t="str">
        <f t="shared" si="0"/>
        <v>E1_1_1_23</v>
      </c>
      <c r="F173" s="78" t="s">
        <v>12845</v>
      </c>
      <c r="G173" s="78" t="s">
        <v>12846</v>
      </c>
      <c r="H173" s="78" t="s">
        <v>12847</v>
      </c>
      <c r="I173" s="78" t="s">
        <v>12848</v>
      </c>
      <c r="J173" s="78" t="str">
        <f t="shared" si="1"/>
        <v>(${Variables:E1_1_1_23_kcat} * E1_1_1_23 * C00860*C00003*C00001)/(${Variables:E1_1_1_23_km} + (E1_1_1_23 * C00860*C00003*C00001))</v>
      </c>
      <c r="K173" s="79" t="str">
        <f t="shared" si="2"/>
        <v>r172: C00860+C00003+C00001 -&gt; C00135+C00004+C00080 | (${Variables:E1_1_1_23_kcat} * E1_1_1_23 * C00860*C00003*C00001)/(${Variables:E1_1_1_23_km} + (E1_1_1_23 * C00860*C00003*C00001))</v>
      </c>
    </row>
    <row r="174" spans="1:11" ht="26.5" x14ac:dyDescent="0.35">
      <c r="A174" s="78" t="s">
        <v>1795</v>
      </c>
      <c r="B174" s="49" t="s">
        <v>1796</v>
      </c>
      <c r="C174" s="49" t="s">
        <v>14662</v>
      </c>
      <c r="D174" s="49">
        <v>173</v>
      </c>
      <c r="E174" s="78" t="str">
        <f t="shared" si="0"/>
        <v>E1_1_1_23</v>
      </c>
      <c r="F174" s="78" t="s">
        <v>12849</v>
      </c>
      <c r="G174" s="78" t="s">
        <v>12850</v>
      </c>
      <c r="H174" s="78" t="s">
        <v>12847</v>
      </c>
      <c r="I174" s="78" t="s">
        <v>12848</v>
      </c>
      <c r="J174" s="78" t="str">
        <f t="shared" si="1"/>
        <v>(${Variables:E1_1_1_23_kcat} * E1_1_1_23 * C01929*C00001*C00003)/(${Variables:E1_1_1_23_km} + (E1_1_1_23 * C01929*C00001*C00003))</v>
      </c>
      <c r="K174" s="79" t="str">
        <f t="shared" si="2"/>
        <v>r173: C01929+C00001+C00003 -&gt; C00135+C00004+C00080 | (${Variables:E1_1_1_23_kcat} * E1_1_1_23 * C01929*C00001*C00003)/(${Variables:E1_1_1_23_km} + (E1_1_1_23 * C01929*C00001*C00003))</v>
      </c>
    </row>
    <row r="175" spans="1:11" ht="26.5" x14ac:dyDescent="0.35">
      <c r="A175" s="78" t="s">
        <v>1795</v>
      </c>
      <c r="B175" s="49" t="s">
        <v>1796</v>
      </c>
      <c r="C175" s="49" t="s">
        <v>14662</v>
      </c>
      <c r="D175" s="49">
        <v>174</v>
      </c>
      <c r="E175" s="78" t="str">
        <f t="shared" si="0"/>
        <v>E1_1_1_23</v>
      </c>
      <c r="F175" s="78" t="s">
        <v>12851</v>
      </c>
      <c r="G175" s="78" t="s">
        <v>12852</v>
      </c>
      <c r="H175" s="78" t="s">
        <v>12853</v>
      </c>
      <c r="I175" s="78" t="s">
        <v>12854</v>
      </c>
      <c r="J175" s="78" t="str">
        <f t="shared" si="1"/>
        <v>(${Variables:E1_1_1_23_kcat} * E1_1_1_23 * C00860*C00003)/(${Variables:E1_1_1_23_km} + (E1_1_1_23 * C00860*C00003))</v>
      </c>
      <c r="K175" s="79" t="str">
        <f t="shared" si="2"/>
        <v>r174: C00860+C00003 -&gt; C01929+C00004+C00080 | (${Variables:E1_1_1_23_kcat} * E1_1_1_23 * C00860*C00003)/(${Variables:E1_1_1_23_km} + (E1_1_1_23 * C00860*C00003))</v>
      </c>
    </row>
    <row r="176" spans="1:11" ht="26.5" x14ac:dyDescent="0.35">
      <c r="A176" s="78" t="s">
        <v>1799</v>
      </c>
      <c r="B176" s="49" t="s">
        <v>1800</v>
      </c>
      <c r="C176" s="49" t="s">
        <v>14663</v>
      </c>
      <c r="D176" s="49">
        <v>175</v>
      </c>
      <c r="E176" s="78" t="str">
        <f t="shared" si="0"/>
        <v>E2_6_1_9</v>
      </c>
      <c r="F176" s="78" t="s">
        <v>12855</v>
      </c>
      <c r="G176" s="78" t="s">
        <v>12856</v>
      </c>
      <c r="H176" s="78" t="s">
        <v>12857</v>
      </c>
      <c r="I176" s="78" t="s">
        <v>12858</v>
      </c>
      <c r="J176" s="78" t="str">
        <f t="shared" si="1"/>
        <v>(${Variables:E2_6_1_9_kcat} * E2_6_1_9 * C01100*C00026)/(${Variables:E2_6_1_9_km} + (E2_6_1_9 * C01100*C00026))</v>
      </c>
      <c r="K176" s="79" t="str">
        <f t="shared" si="2"/>
        <v>r175: C01100+C00026 -&gt; C01267+C00025 | (${Variables:E2_6_1_9_kcat} * E2_6_1_9 * C01100*C00026)/(${Variables:E2_6_1_9_km} + (E2_6_1_9 * C01100*C00026))</v>
      </c>
    </row>
    <row r="177" spans="1:11" ht="26.5" x14ac:dyDescent="0.35">
      <c r="A177" s="78" t="s">
        <v>1799</v>
      </c>
      <c r="B177" s="49" t="s">
        <v>1800</v>
      </c>
      <c r="C177" s="49" t="s">
        <v>14663</v>
      </c>
      <c r="D177" s="49">
        <v>176</v>
      </c>
      <c r="E177" s="78" t="str">
        <f t="shared" si="0"/>
        <v>E2_6_1_9</v>
      </c>
      <c r="F177" s="78" t="s">
        <v>12859</v>
      </c>
      <c r="G177" s="78" t="s">
        <v>12860</v>
      </c>
      <c r="H177" s="78" t="s">
        <v>12861</v>
      </c>
      <c r="I177" s="78" t="s">
        <v>12862</v>
      </c>
      <c r="J177" s="78" t="str">
        <f t="shared" si="1"/>
        <v>(${Variables:E2_6_1_9_kcat} * E2_6_1_9 * C00079*C00026)/(${Variables:E2_6_1_9_km} + (E2_6_1_9 * C00079*C00026))</v>
      </c>
      <c r="K177" s="79" t="str">
        <f t="shared" si="2"/>
        <v>r176: C00079+C00026 -&gt; C00166+C00025 | (${Variables:E2_6_1_9_kcat} * E2_6_1_9 * C00079*C00026)/(${Variables:E2_6_1_9_km} + (E2_6_1_9 * C00079*C00026))</v>
      </c>
    </row>
    <row r="178" spans="1:11" ht="26.5" x14ac:dyDescent="0.35">
      <c r="A178" s="78" t="s">
        <v>1799</v>
      </c>
      <c r="B178" s="49" t="s">
        <v>1800</v>
      </c>
      <c r="C178" s="49" t="s">
        <v>14663</v>
      </c>
      <c r="D178" s="49">
        <v>177</v>
      </c>
      <c r="E178" s="78" t="str">
        <f t="shared" si="0"/>
        <v>E2_6_1_9</v>
      </c>
      <c r="F178" s="78" t="s">
        <v>12863</v>
      </c>
      <c r="G178" s="78" t="s">
        <v>12864</v>
      </c>
      <c r="H178" s="78" t="s">
        <v>12865</v>
      </c>
      <c r="I178" s="78" t="s">
        <v>12866</v>
      </c>
      <c r="J178" s="78" t="str">
        <f t="shared" si="1"/>
        <v>(${Variables:E2_6_1_9_kcat} * E2_6_1_9 * C00082*C00026)/(${Variables:E2_6_1_9_km} + (E2_6_1_9 * C00082*C00026))</v>
      </c>
      <c r="K178" s="79" t="str">
        <f t="shared" si="2"/>
        <v>r177: C00082+C00026 -&gt; C01179+C00025 | (${Variables:E2_6_1_9_kcat} * E2_6_1_9 * C00082*C00026)/(${Variables:E2_6_1_9_km} + (E2_6_1_9 * C00082*C00026))</v>
      </c>
    </row>
    <row r="179" spans="1:11" ht="26.5" x14ac:dyDescent="0.35">
      <c r="A179" s="78" t="s">
        <v>1803</v>
      </c>
      <c r="B179" s="49" t="s">
        <v>1804</v>
      </c>
      <c r="C179" s="49" t="s">
        <v>14664</v>
      </c>
      <c r="D179" s="49">
        <v>178</v>
      </c>
      <c r="E179" s="78" t="str">
        <f t="shared" si="0"/>
        <v>E3_1_3_15</v>
      </c>
      <c r="F179" s="78" t="s">
        <v>12867</v>
      </c>
      <c r="G179" s="78" t="s">
        <v>12868</v>
      </c>
      <c r="H179" s="78" t="s">
        <v>12869</v>
      </c>
      <c r="I179" s="78" t="s">
        <v>12870</v>
      </c>
      <c r="J179" s="78" t="str">
        <f t="shared" si="1"/>
        <v>(${Variables:E3_1_3_15_kcat} * E3_1_3_15 * C01100*C00001)/(${Variables:E3_1_3_15_km} + (E3_1_3_15 * C01100*C00001))</v>
      </c>
      <c r="K179" s="79" t="str">
        <f t="shared" si="2"/>
        <v>r178: C01100+C00001 -&gt; C00860+C00009 | (${Variables:E3_1_3_15_kcat} * E3_1_3_15 * C01100*C00001)/(${Variables:E3_1_3_15_km} + (E3_1_3_15 * C01100*C00001))</v>
      </c>
    </row>
    <row r="180" spans="1:11" ht="26" x14ac:dyDescent="0.35">
      <c r="A180" s="78" t="s">
        <v>1803</v>
      </c>
      <c r="B180" s="49" t="s">
        <v>1804</v>
      </c>
      <c r="C180" s="49" t="s">
        <v>14665</v>
      </c>
      <c r="D180" s="49">
        <v>179</v>
      </c>
      <c r="E180" s="78" t="str">
        <f t="shared" si="0"/>
        <v>E4_2_1_19</v>
      </c>
      <c r="F180" s="78" t="s">
        <v>6958</v>
      </c>
      <c r="G180" s="78" t="s">
        <v>6958</v>
      </c>
      <c r="H180" s="78" t="s">
        <v>12871</v>
      </c>
      <c r="I180" s="78" t="s">
        <v>12872</v>
      </c>
      <c r="J180" s="78" t="str">
        <f t="shared" si="1"/>
        <v>(${Variables:E4_2_1_19_kcat} * E4_2_1_19 * C04666)/(${Variables:E4_2_1_19_km} + (E4_2_1_19 * C04666))</v>
      </c>
      <c r="K180" s="79" t="str">
        <f t="shared" si="2"/>
        <v>r179: C04666 -&gt; C01267+C00001 | (${Variables:E4_2_1_19_kcat} * E4_2_1_19 * C04666)/(${Variables:E4_2_1_19_km} + (E4_2_1_19 * C04666))</v>
      </c>
    </row>
    <row r="181" spans="1:11" ht="26.5" x14ac:dyDescent="0.35">
      <c r="A181" s="78" t="s">
        <v>1807</v>
      </c>
      <c r="B181" s="49" t="s">
        <v>1808</v>
      </c>
      <c r="C181" s="49" t="s">
        <v>14666</v>
      </c>
      <c r="D181" s="49">
        <v>180</v>
      </c>
      <c r="E181" s="78" t="str">
        <f t="shared" si="0"/>
        <v>E4_3_2_10</v>
      </c>
      <c r="F181" s="78" t="s">
        <v>12873</v>
      </c>
      <c r="G181" s="78" t="s">
        <v>12874</v>
      </c>
      <c r="H181" s="78" t="s">
        <v>12553</v>
      </c>
      <c r="I181" s="78" t="s">
        <v>12554</v>
      </c>
      <c r="J181" s="78" t="str">
        <f t="shared" si="1"/>
        <v>(${Variables:E4_3_2_10_kcat} * E4_3_2_10 * C00064*C00001)/(${Variables:E4_3_2_10_km} + (E4_3_2_10 * C00064*C00001))</v>
      </c>
      <c r="K181" s="79" t="str">
        <f t="shared" si="2"/>
        <v>r180: C00064+C00001 -&gt; C00025+C00014 | (${Variables:E4_3_2_10_kcat} * E4_3_2_10 * C00064*C00001)/(${Variables:E4_3_2_10_km} + (E4_3_2_10 * C00064*C00001))</v>
      </c>
    </row>
    <row r="182" spans="1:11" ht="26.5" x14ac:dyDescent="0.35">
      <c r="A182" s="78" t="s">
        <v>1807</v>
      </c>
      <c r="B182" s="49" t="s">
        <v>1808</v>
      </c>
      <c r="C182" s="49" t="s">
        <v>14666</v>
      </c>
      <c r="D182" s="49">
        <v>181</v>
      </c>
      <c r="E182" s="78" t="str">
        <f t="shared" si="0"/>
        <v>E4_3_2_10</v>
      </c>
      <c r="F182" s="78" t="s">
        <v>12875</v>
      </c>
      <c r="G182" s="78" t="s">
        <v>12876</v>
      </c>
      <c r="H182" s="78" t="s">
        <v>12877</v>
      </c>
      <c r="I182" s="78" t="s">
        <v>12878</v>
      </c>
      <c r="J182" s="78" t="str">
        <f t="shared" si="1"/>
        <v>(${Variables:E4_3_2_10_kcat} * E4_3_2_10 * C04916*C00064)/(${Variables:E4_3_2_10_km} + (E4_3_2_10 * C04916*C00064))</v>
      </c>
      <c r="K182" s="79" t="str">
        <f t="shared" si="2"/>
        <v>r181: C04916+C00064 -&gt; C04666+C04677+C00025 | (${Variables:E4_3_2_10_kcat} * E4_3_2_10 * C04916*C00064)/(${Variables:E4_3_2_10_km} + (E4_3_2_10 * C04916*C00064))</v>
      </c>
    </row>
    <row r="183" spans="1:11" ht="26.5" x14ac:dyDescent="0.35">
      <c r="A183" s="78" t="s">
        <v>1807</v>
      </c>
      <c r="B183" s="49" t="s">
        <v>1808</v>
      </c>
      <c r="C183" s="49" t="s">
        <v>14666</v>
      </c>
      <c r="D183" s="49">
        <v>182</v>
      </c>
      <c r="E183" s="78" t="str">
        <f t="shared" si="0"/>
        <v>E4_3_2_10</v>
      </c>
      <c r="F183" s="78" t="s">
        <v>12879</v>
      </c>
      <c r="G183" s="78" t="s">
        <v>12880</v>
      </c>
      <c r="H183" s="78" t="s">
        <v>12881</v>
      </c>
      <c r="I183" s="78" t="s">
        <v>12882</v>
      </c>
      <c r="J183" s="78" t="str">
        <f t="shared" si="1"/>
        <v>(${Variables:E4_3_2_10_kcat} * E4_3_2_10 * C04916*C00014)/(${Variables:E4_3_2_10_km} + (E4_3_2_10 * C04916*C00014))</v>
      </c>
      <c r="K183" s="79" t="str">
        <f t="shared" si="2"/>
        <v>r182: C04916+C00014 -&gt; C04677+C04666+C00001 | (${Variables:E4_3_2_10_kcat} * E4_3_2_10 * C04916*C00014)/(${Variables:E4_3_2_10_km} + (E4_3_2_10 * C04916*C00014))</v>
      </c>
    </row>
    <row r="184" spans="1:11" ht="26" x14ac:dyDescent="0.35">
      <c r="A184" s="78" t="s">
        <v>1811</v>
      </c>
      <c r="B184" s="49" t="s">
        <v>1812</v>
      </c>
      <c r="C184" s="49" t="s">
        <v>14667</v>
      </c>
      <c r="D184" s="49">
        <v>183</v>
      </c>
      <c r="E184" s="78" t="str">
        <f t="shared" si="0"/>
        <v>E5_3_1_16</v>
      </c>
      <c r="F184" s="78" t="s">
        <v>6973</v>
      </c>
      <c r="G184" s="78" t="s">
        <v>6973</v>
      </c>
      <c r="H184" s="78" t="s">
        <v>6974</v>
      </c>
      <c r="I184" s="78" t="s">
        <v>6974</v>
      </c>
      <c r="J184" s="78" t="str">
        <f t="shared" si="1"/>
        <v>(${Variables:E5_3_1_16_kcat} * E5_3_1_16 * C04896)/(${Variables:E5_3_1_16_km} + (E5_3_1_16 * C04896))</v>
      </c>
      <c r="K184" s="79" t="str">
        <f t="shared" si="2"/>
        <v>r183: C04896 -&gt; C04916 | (${Variables:E5_3_1_16_kcat} * E5_3_1_16 * C04896)/(${Variables:E5_3_1_16_km} + (E5_3_1_16 * C04896))</v>
      </c>
    </row>
    <row r="185" spans="1:11" ht="26.5" x14ac:dyDescent="0.35">
      <c r="A185" s="78" t="s">
        <v>1819</v>
      </c>
      <c r="B185" s="49" t="s">
        <v>1820</v>
      </c>
      <c r="C185" s="49" t="s">
        <v>14668</v>
      </c>
      <c r="D185" s="49">
        <v>184</v>
      </c>
      <c r="E185" s="78" t="str">
        <f t="shared" si="0"/>
        <v>E3_5_4_19</v>
      </c>
      <c r="F185" s="78" t="s">
        <v>12883</v>
      </c>
      <c r="G185" s="78" t="s">
        <v>12884</v>
      </c>
      <c r="H185" s="78" t="s">
        <v>6973</v>
      </c>
      <c r="I185" s="78" t="s">
        <v>6973</v>
      </c>
      <c r="J185" s="78" t="str">
        <f t="shared" si="1"/>
        <v>(${Variables:E3_5_4_19_kcat} * E3_5_4_19 * C02741*C00001)/(${Variables:E3_5_4_19_km} + (E3_5_4_19 * C02741*C00001))</v>
      </c>
      <c r="K185" s="79" t="str">
        <f t="shared" si="2"/>
        <v>r184: C02741+C00001 -&gt; C04896 | (${Variables:E3_5_4_19_kcat} * E3_5_4_19 * C02741*C00001)/(${Variables:E3_5_4_19_km} + (E3_5_4_19 * C02741*C00001))</v>
      </c>
    </row>
    <row r="186" spans="1:11" ht="26.5" x14ac:dyDescent="0.35">
      <c r="A186" s="78" t="s">
        <v>1819</v>
      </c>
      <c r="B186" s="49" t="s">
        <v>1820</v>
      </c>
      <c r="C186" s="49" t="s">
        <v>14669</v>
      </c>
      <c r="D186" s="49">
        <v>185</v>
      </c>
      <c r="E186" s="78" t="str">
        <f t="shared" si="0"/>
        <v>E3_6_1_31</v>
      </c>
      <c r="F186" s="78" t="s">
        <v>12885</v>
      </c>
      <c r="G186" s="78" t="s">
        <v>12886</v>
      </c>
      <c r="H186" s="78" t="s">
        <v>12887</v>
      </c>
      <c r="I186" s="78" t="s">
        <v>12888</v>
      </c>
      <c r="J186" s="78" t="str">
        <f t="shared" si="1"/>
        <v>(${Variables:E3_6_1_31_kcat} * E3_6_1_31 * C02739*C00001)/(${Variables:E3_6_1_31_km} + (E3_6_1_31 * C02739*C00001))</v>
      </c>
      <c r="K186" s="79" t="str">
        <f t="shared" si="2"/>
        <v>r185: C02739+C00001 -&gt; C02741+C00013 | (${Variables:E3_6_1_31_kcat} * E3_6_1_31 * C02739*C00001)/(${Variables:E3_6_1_31_km} + (E3_6_1_31 * C02739*C00001))</v>
      </c>
    </row>
    <row r="187" spans="1:11" ht="26.5" x14ac:dyDescent="0.35">
      <c r="A187" s="78" t="s">
        <v>1826</v>
      </c>
      <c r="B187" s="49" t="s">
        <v>1827</v>
      </c>
      <c r="C187" s="49" t="s">
        <v>14670</v>
      </c>
      <c r="D187" s="49">
        <v>186</v>
      </c>
      <c r="E187" s="78" t="str">
        <f t="shared" si="0"/>
        <v>E7_1_2_2</v>
      </c>
      <c r="F187" s="78" t="s">
        <v>12805</v>
      </c>
      <c r="G187" s="78" t="s">
        <v>12806</v>
      </c>
      <c r="H187" s="78" t="s">
        <v>12805</v>
      </c>
      <c r="I187" s="78" t="s">
        <v>12806</v>
      </c>
      <c r="J187" s="78" t="str">
        <f t="shared" si="1"/>
        <v>(${Variables:E7_1_2_2_kcat} * E7_1_2_2 * C00002*C00001)/(${Variables:E7_1_2_2_km} + (E7_1_2_2 * C00002*C00001))</v>
      </c>
      <c r="K187" s="79" t="str">
        <f t="shared" si="2"/>
        <v>r186: C00002+C00001 -&gt; C00002+C00001 | (${Variables:E7_1_2_2_kcat} * E7_1_2_2 * C00002*C00001)/(${Variables:E7_1_2_2_km} + (E7_1_2_2 * C00002*C00001))</v>
      </c>
    </row>
    <row r="188" spans="1:11" ht="26" x14ac:dyDescent="0.35">
      <c r="A188" s="78" t="s">
        <v>1874</v>
      </c>
      <c r="B188" s="49" t="s">
        <v>1875</v>
      </c>
      <c r="C188" s="49" t="s">
        <v>14671</v>
      </c>
      <c r="D188" s="49">
        <v>187</v>
      </c>
      <c r="E188" s="78" t="str">
        <f t="shared" si="0"/>
        <v>E4_4_1_21</v>
      </c>
      <c r="F188" s="78" t="s">
        <v>6992</v>
      </c>
      <c r="G188" s="78" t="s">
        <v>6992</v>
      </c>
      <c r="H188" s="78" t="s">
        <v>12889</v>
      </c>
      <c r="I188" s="78" t="s">
        <v>12890</v>
      </c>
      <c r="J188" s="78" t="str">
        <f t="shared" si="1"/>
        <v>(${Variables:E4_4_1_21_kcat} * E4_4_1_21 * C03539)/(${Variables:E4_4_1_21_km} + (E4_4_1_21 * C03539))</v>
      </c>
      <c r="K188" s="79" t="str">
        <f t="shared" si="2"/>
        <v>r187: C03539 -&gt; C11838+C00155 | (${Variables:E4_4_1_21_kcat} * E4_4_1_21 * C03539)/(${Variables:E4_4_1_21_km} + (E4_4_1_21 * C03539))</v>
      </c>
    </row>
    <row r="189" spans="1:11" ht="26.5" x14ac:dyDescent="0.35">
      <c r="A189" s="78" t="s">
        <v>1879</v>
      </c>
      <c r="B189" s="49" t="s">
        <v>1880</v>
      </c>
      <c r="C189" s="49" t="s">
        <v>14672</v>
      </c>
      <c r="D189" s="49">
        <v>188</v>
      </c>
      <c r="E189" s="78" t="str">
        <f t="shared" si="0"/>
        <v>E3_1_3_2</v>
      </c>
      <c r="F189" s="78" t="s">
        <v>12891</v>
      </c>
      <c r="G189" s="78" t="s">
        <v>12892</v>
      </c>
      <c r="H189" s="78" t="s">
        <v>12893</v>
      </c>
      <c r="I189" s="78" t="s">
        <v>12894</v>
      </c>
      <c r="J189" s="78" t="str">
        <f t="shared" si="1"/>
        <v>(${Variables:E3_1_3_2_kcat} * E3_1_3_2 * C01153*C00001)/(${Variables:E3_1_3_2_km} + (E3_1_3_2 * C01153*C00001))</v>
      </c>
      <c r="K189" s="79" t="str">
        <f t="shared" si="2"/>
        <v>r188: C01153+C00001 -&gt; C00069+C00009 | (${Variables:E3_1_3_2_kcat} * E3_1_3_2 * C01153*C00001)/(${Variables:E3_1_3_2_km} + (E3_1_3_2 * C01153*C00001))</v>
      </c>
    </row>
    <row r="190" spans="1:11" ht="26.5" x14ac:dyDescent="0.35">
      <c r="A190" s="78" t="s">
        <v>1879</v>
      </c>
      <c r="B190" s="49" t="s">
        <v>1880</v>
      </c>
      <c r="C190" s="49" t="s">
        <v>14672</v>
      </c>
      <c r="D190" s="49">
        <v>189</v>
      </c>
      <c r="E190" s="78" t="str">
        <f t="shared" si="0"/>
        <v>E3_1_3_2</v>
      </c>
      <c r="F190" s="78" t="s">
        <v>12895</v>
      </c>
      <c r="G190" s="78" t="s">
        <v>12896</v>
      </c>
      <c r="H190" s="78" t="s">
        <v>12897</v>
      </c>
      <c r="I190" s="78" t="s">
        <v>12898</v>
      </c>
      <c r="J190" s="78" t="str">
        <f t="shared" si="1"/>
        <v>(${Variables:E3_1_3_2_kcat} * E3_1_3_2 * C00061*C00001)/(${Variables:E3_1_3_2_km} + (E3_1_3_2 * C00061*C00001))</v>
      </c>
      <c r="K190" s="79" t="str">
        <f t="shared" si="2"/>
        <v>r189: C00061+C00001 -&gt; C00255+C00009 | (${Variables:E3_1_3_2_kcat} * E3_1_3_2 * C00061*C00001)/(${Variables:E3_1_3_2_km} + (E3_1_3_2 * C00061*C00001))</v>
      </c>
    </row>
    <row r="191" spans="1:11" ht="26.5" x14ac:dyDescent="0.35">
      <c r="A191" s="78" t="s">
        <v>1879</v>
      </c>
      <c r="B191" s="49" t="s">
        <v>1880</v>
      </c>
      <c r="C191" s="49" t="s">
        <v>14672</v>
      </c>
      <c r="D191" s="49">
        <v>190</v>
      </c>
      <c r="E191" s="78" t="str">
        <f t="shared" si="0"/>
        <v>E3_1_3_2</v>
      </c>
      <c r="F191" s="78" t="s">
        <v>12899</v>
      </c>
      <c r="G191" s="78" t="s">
        <v>12900</v>
      </c>
      <c r="H191" s="78" t="s">
        <v>12901</v>
      </c>
      <c r="I191" s="78" t="s">
        <v>12902</v>
      </c>
      <c r="J191" s="78" t="str">
        <f t="shared" si="1"/>
        <v>(${Variables:E3_1_3_2_kcat} * E3_1_3_2 * C01081*C00001)/(${Variables:E3_1_3_2_km} + (E3_1_3_2 * C01081*C00001))</v>
      </c>
      <c r="K191" s="79" t="str">
        <f t="shared" si="2"/>
        <v>r190: C01081+C00001 -&gt; C00378+C00009 | (${Variables:E3_1_3_2_kcat} * E3_1_3_2 * C01081*C00001)/(${Variables:E3_1_3_2_km} + (E3_1_3_2 * C01081*C00001))</v>
      </c>
    </row>
    <row r="192" spans="1:11" ht="26.5" x14ac:dyDescent="0.35">
      <c r="A192" s="78" t="s">
        <v>1879</v>
      </c>
      <c r="B192" s="49" t="s">
        <v>1880</v>
      </c>
      <c r="C192" s="49" t="s">
        <v>14672</v>
      </c>
      <c r="D192" s="49">
        <v>191</v>
      </c>
      <c r="E192" s="78" t="str">
        <f t="shared" si="0"/>
        <v>E3_1_3_2</v>
      </c>
      <c r="F192" s="78" t="s">
        <v>12903</v>
      </c>
      <c r="G192" s="78" t="s">
        <v>12904</v>
      </c>
      <c r="H192" s="78" t="s">
        <v>12905</v>
      </c>
      <c r="I192" s="78" t="s">
        <v>12906</v>
      </c>
      <c r="J192" s="78" t="str">
        <f t="shared" si="1"/>
        <v>(${Variables:E3_1_3_2_kcat} * E3_1_3_2 * C03360*C00001)/(${Variables:E3_1_3_2_km} + (E3_1_3_2 * C03360*C00001))</v>
      </c>
      <c r="K192" s="79" t="str">
        <f t="shared" si="2"/>
        <v>r191: C03360+C00001 -&gt; C00870+C00009 | (${Variables:E3_1_3_2_kcat} * E3_1_3_2 * C03360*C00001)/(${Variables:E3_1_3_2_km} + (E3_1_3_2 * C03360*C00001))</v>
      </c>
    </row>
    <row r="193" spans="1:11" ht="26.5" x14ac:dyDescent="0.35">
      <c r="A193" s="78" t="s">
        <v>1879</v>
      </c>
      <c r="B193" s="49" t="s">
        <v>1880</v>
      </c>
      <c r="C193" s="49" t="s">
        <v>14672</v>
      </c>
      <c r="D193" s="49">
        <v>192</v>
      </c>
      <c r="E193" s="78" t="str">
        <f t="shared" si="0"/>
        <v>E3_1_3_2</v>
      </c>
      <c r="F193" s="78" t="s">
        <v>12907</v>
      </c>
      <c r="G193" s="78" t="s">
        <v>12908</v>
      </c>
      <c r="H193" s="78" t="s">
        <v>12909</v>
      </c>
      <c r="I193" s="78" t="s">
        <v>12910</v>
      </c>
      <c r="J193" s="78" t="str">
        <f t="shared" si="1"/>
        <v>(${Variables:E3_1_3_2_kcat} * E3_1_3_2 * C00681*C00001)/(${Variables:E3_1_3_2_km} + (E3_1_3_2 * C00681*C00001))</v>
      </c>
      <c r="K193" s="79" t="str">
        <f t="shared" si="2"/>
        <v>r192: C00681+C00001 -&gt; C01885+C00009 | (${Variables:E3_1_3_2_kcat} * E3_1_3_2 * C00681*C00001)/(${Variables:E3_1_3_2_km} + (E3_1_3_2 * C00681*C00001))</v>
      </c>
    </row>
    <row r="194" spans="1:11" ht="26.5" x14ac:dyDescent="0.35">
      <c r="A194" s="78" t="s">
        <v>1879</v>
      </c>
      <c r="B194" s="49" t="s">
        <v>1880</v>
      </c>
      <c r="C194" s="49" t="s">
        <v>14672</v>
      </c>
      <c r="D194" s="49">
        <v>193</v>
      </c>
      <c r="E194" s="78" t="str">
        <f t="shared" si="0"/>
        <v>E3_1_3_2</v>
      </c>
      <c r="F194" s="78" t="s">
        <v>12911</v>
      </c>
      <c r="G194" s="78" t="s">
        <v>12912</v>
      </c>
      <c r="H194" s="78" t="s">
        <v>12913</v>
      </c>
      <c r="I194" s="78" t="s">
        <v>12914</v>
      </c>
      <c r="J194" s="78" t="str">
        <f t="shared" si="1"/>
        <v>(${Variables:E3_1_3_2_kcat} * E3_1_3_2 * C00111*C00001)/(${Variables:E3_1_3_2_km} + (E3_1_3_2 * C00111*C00001))</v>
      </c>
      <c r="K194" s="79" t="str">
        <f t="shared" si="2"/>
        <v>r193: C00111+C00001 -&gt; C00184+C00009 | (${Variables:E3_1_3_2_kcat} * E3_1_3_2 * C00111*C00001)/(${Variables:E3_1_3_2_km} + (E3_1_3_2 * C00111*C00001))</v>
      </c>
    </row>
    <row r="195" spans="1:11" ht="26" x14ac:dyDescent="0.35">
      <c r="A195" s="78" t="s">
        <v>1900</v>
      </c>
      <c r="B195" s="49" t="s">
        <v>1901</v>
      </c>
      <c r="C195" s="49" t="s">
        <v>14673</v>
      </c>
      <c r="D195" s="49">
        <v>194</v>
      </c>
      <c r="E195" s="78" t="str">
        <f t="shared" si="0"/>
        <v>E5_4_99_62</v>
      </c>
      <c r="F195" s="78" t="s">
        <v>7020</v>
      </c>
      <c r="G195" s="78" t="s">
        <v>7020</v>
      </c>
      <c r="H195" s="78" t="s">
        <v>7021</v>
      </c>
      <c r="I195" s="78" t="s">
        <v>7021</v>
      </c>
      <c r="J195" s="78" t="str">
        <f t="shared" si="1"/>
        <v>(${Variables:E5_4_99_62_kcat} * E5_4_99_62 * C08353)/(${Variables:E5_4_99_62_km} + (E5_4_99_62 * C08353))</v>
      </c>
      <c r="K195" s="79" t="str">
        <f t="shared" si="2"/>
        <v>r194: C08353 -&gt; C16639 | (${Variables:E5_4_99_62_kcat} * E5_4_99_62 * C08353)/(${Variables:E5_4_99_62_km} + (E5_4_99_62 * C08353))</v>
      </c>
    </row>
    <row r="196" spans="1:11" ht="26.5" x14ac:dyDescent="0.35">
      <c r="A196" s="78" t="s">
        <v>1916</v>
      </c>
      <c r="B196" s="49" t="s">
        <v>1917</v>
      </c>
      <c r="C196" s="49" t="s">
        <v>14674</v>
      </c>
      <c r="D196" s="49">
        <v>195</v>
      </c>
      <c r="E196" s="78" t="str">
        <f t="shared" si="0"/>
        <v>E2_7_1_15</v>
      </c>
      <c r="F196" s="78" t="s">
        <v>12915</v>
      </c>
      <c r="G196" s="78" t="s">
        <v>12916</v>
      </c>
      <c r="H196" s="78" t="s">
        <v>12917</v>
      </c>
      <c r="I196" s="78" t="s">
        <v>12918</v>
      </c>
      <c r="J196" s="78" t="str">
        <f t="shared" si="1"/>
        <v>(${Variables:E2_7_1_15_kcat} * E2_7_1_15 * C00002*C00121)/(${Variables:E2_7_1_15_km} + (E2_7_1_15 * C00002*C00121))</v>
      </c>
      <c r="K196" s="79" t="str">
        <f t="shared" si="2"/>
        <v>r195: C00002+C00121 -&gt; C00008+C00117 | (${Variables:E2_7_1_15_kcat} * E2_7_1_15 * C00002*C00121)/(${Variables:E2_7_1_15_km} + (E2_7_1_15 * C00002*C00121))</v>
      </c>
    </row>
    <row r="197" spans="1:11" ht="26.5" x14ac:dyDescent="0.35">
      <c r="A197" s="78" t="s">
        <v>1916</v>
      </c>
      <c r="B197" s="49" t="s">
        <v>1917</v>
      </c>
      <c r="C197" s="49" t="s">
        <v>14674</v>
      </c>
      <c r="D197" s="49">
        <v>196</v>
      </c>
      <c r="E197" s="78" t="str">
        <f t="shared" si="0"/>
        <v>E2_7_1_15</v>
      </c>
      <c r="F197" s="78" t="s">
        <v>12919</v>
      </c>
      <c r="G197" s="78" t="s">
        <v>12920</v>
      </c>
      <c r="H197" s="78" t="s">
        <v>12921</v>
      </c>
      <c r="I197" s="78" t="s">
        <v>12922</v>
      </c>
      <c r="J197" s="78" t="str">
        <f t="shared" si="1"/>
        <v>(${Variables:E2_7_1_15_kcat} * E2_7_1_15 * C00673*C00008)/(${Variables:E2_7_1_15_km} + (E2_7_1_15 * C00673*C00008))</v>
      </c>
      <c r="K197" s="79" t="str">
        <f t="shared" si="2"/>
        <v>r196: C00673+C00008 -&gt; C01801+C00002 | (${Variables:E2_7_1_15_kcat} * E2_7_1_15 * C00673*C00008)/(${Variables:E2_7_1_15_km} + (E2_7_1_15 * C00673*C00008))</v>
      </c>
    </row>
    <row r="198" spans="1:11" ht="26.5" x14ac:dyDescent="0.35">
      <c r="A198" s="78" t="s">
        <v>1942</v>
      </c>
      <c r="B198" s="49" t="s">
        <v>1943</v>
      </c>
      <c r="C198" s="49" t="s">
        <v>14675</v>
      </c>
      <c r="D198" s="49">
        <v>197</v>
      </c>
      <c r="E198" s="78" t="str">
        <f t="shared" si="0"/>
        <v>E2_7_7_6</v>
      </c>
      <c r="F198" s="78" t="s">
        <v>12923</v>
      </c>
      <c r="G198" s="78" t="s">
        <v>12924</v>
      </c>
      <c r="H198" s="78" t="s">
        <v>12263</v>
      </c>
      <c r="I198" s="78" t="s">
        <v>12264</v>
      </c>
      <c r="J198" s="78" t="str">
        <f t="shared" si="1"/>
        <v>(${Variables:E2_7_7_6_kcat} * E2_7_7_6 * C00201*C00046)/(${Variables:E2_7_7_6_km} + (E2_7_7_6 * C00201*C00046))</v>
      </c>
      <c r="K198" s="79" t="str">
        <f t="shared" si="2"/>
        <v>r197: C00201+C00046 -&gt; C00013+C00046 | (${Variables:E2_7_7_6_kcat} * E2_7_7_6 * C00201*C00046)/(${Variables:E2_7_7_6_km} + (E2_7_7_6 * C00201*C00046))</v>
      </c>
    </row>
    <row r="199" spans="1:11" ht="26.5" x14ac:dyDescent="0.35">
      <c r="A199" s="78" t="s">
        <v>1942</v>
      </c>
      <c r="B199" s="49" t="s">
        <v>1943</v>
      </c>
      <c r="C199" s="49" t="s">
        <v>14675</v>
      </c>
      <c r="D199" s="49">
        <v>198</v>
      </c>
      <c r="E199" s="78" t="str">
        <f t="shared" si="0"/>
        <v>E2_7_7_6</v>
      </c>
      <c r="F199" s="78" t="s">
        <v>12925</v>
      </c>
      <c r="G199" s="78" t="s">
        <v>12926</v>
      </c>
      <c r="H199" s="49" t="s">
        <v>12263</v>
      </c>
      <c r="I199" s="49" t="s">
        <v>12264</v>
      </c>
      <c r="J199" s="78" t="str">
        <f t="shared" si="1"/>
        <v>(${Variables:E2_7_7_6_kcat} * E2_7_7_6 * C00044*C00046)/(${Variables:E2_7_7_6_km} + (E2_7_7_6 * C00044*C00046))</v>
      </c>
      <c r="K199" s="79" t="str">
        <f t="shared" si="2"/>
        <v>r198: C00044+C00046 -&gt; C00013+C00046 | (${Variables:E2_7_7_6_kcat} * E2_7_7_6 * C00044*C00046)/(${Variables:E2_7_7_6_km} + (E2_7_7_6 * C00044*C00046))</v>
      </c>
    </row>
    <row r="200" spans="1:11" ht="26.5" x14ac:dyDescent="0.35">
      <c r="A200" s="78" t="s">
        <v>1942</v>
      </c>
      <c r="B200" s="49" t="s">
        <v>1943</v>
      </c>
      <c r="C200" s="49" t="s">
        <v>14675</v>
      </c>
      <c r="D200" s="49">
        <v>199</v>
      </c>
      <c r="E200" s="78" t="str">
        <f t="shared" si="0"/>
        <v>E2_7_7_6</v>
      </c>
      <c r="F200" s="78" t="s">
        <v>12927</v>
      </c>
      <c r="G200" s="78" t="s">
        <v>12928</v>
      </c>
      <c r="H200" s="78" t="s">
        <v>12263</v>
      </c>
      <c r="I200" s="78" t="s">
        <v>12264</v>
      </c>
      <c r="J200" s="78" t="str">
        <f t="shared" si="1"/>
        <v>(${Variables:E2_7_7_6_kcat} * E2_7_7_6 * C00063*C00046)/(${Variables:E2_7_7_6_km} + (E2_7_7_6 * C00063*C00046))</v>
      </c>
      <c r="K200" s="79" t="str">
        <f t="shared" si="2"/>
        <v>r199: C00063+C00046 -&gt; C00013+C00046 | (${Variables:E2_7_7_6_kcat} * E2_7_7_6 * C00063*C00046)/(${Variables:E2_7_7_6_km} + (E2_7_7_6 * C00063*C00046))</v>
      </c>
    </row>
    <row r="201" spans="1:11" ht="26.5" x14ac:dyDescent="0.35">
      <c r="A201" s="78" t="s">
        <v>1942</v>
      </c>
      <c r="B201" s="49" t="s">
        <v>1943</v>
      </c>
      <c r="C201" s="49" t="s">
        <v>14675</v>
      </c>
      <c r="D201" s="49">
        <v>200</v>
      </c>
      <c r="E201" s="78" t="str">
        <f t="shared" si="0"/>
        <v>E2_7_7_6</v>
      </c>
      <c r="F201" s="78" t="s">
        <v>12929</v>
      </c>
      <c r="G201" s="78" t="s">
        <v>12930</v>
      </c>
      <c r="H201" s="78" t="s">
        <v>12263</v>
      </c>
      <c r="I201" s="78" t="s">
        <v>12264</v>
      </c>
      <c r="J201" s="78" t="str">
        <f t="shared" si="1"/>
        <v>(${Variables:E2_7_7_6_kcat} * E2_7_7_6 * C00075*C00046)/(${Variables:E2_7_7_6_km} + (E2_7_7_6 * C00075*C00046))</v>
      </c>
      <c r="K201" s="79" t="str">
        <f t="shared" si="2"/>
        <v>r200: C00075+C00046 -&gt; C00013+C00046 | (${Variables:E2_7_7_6_kcat} * E2_7_7_6 * C00075*C00046)/(${Variables:E2_7_7_6_km} + (E2_7_7_6 * C00075*C00046))</v>
      </c>
    </row>
    <row r="202" spans="1:11" ht="26" x14ac:dyDescent="0.35">
      <c r="A202" s="78" t="s">
        <v>1942</v>
      </c>
      <c r="B202" s="49" t="s">
        <v>1943</v>
      </c>
      <c r="C202" s="49" t="s">
        <v>14675</v>
      </c>
      <c r="D202" s="49">
        <v>201</v>
      </c>
      <c r="E202" s="78" t="str">
        <f t="shared" si="0"/>
        <v>E2_7_7_6</v>
      </c>
      <c r="F202" s="49" t="s">
        <v>7041</v>
      </c>
      <c r="G202" s="49" t="s">
        <v>7041</v>
      </c>
      <c r="H202" s="49" t="s">
        <v>12931</v>
      </c>
      <c r="I202" s="49" t="s">
        <v>12932</v>
      </c>
      <c r="J202" s="78" t="str">
        <f t="shared" si="1"/>
        <v>(${Variables:E2_7_7_6_kcat} * E2_7_7_6 * C00201)/(${Variables:E2_7_7_6_km} + (E2_7_7_6 * C00201))</v>
      </c>
      <c r="K202" s="79" t="str">
        <f t="shared" si="2"/>
        <v>r201: C00201 -&gt; C20864+C00013 | (${Variables:E2_7_7_6_kcat} * E2_7_7_6 * C00201)/(${Variables:E2_7_7_6_km} + (E2_7_7_6 * C00201))</v>
      </c>
    </row>
    <row r="203" spans="1:11" ht="26.5" x14ac:dyDescent="0.35">
      <c r="A203" s="78" t="s">
        <v>1958</v>
      </c>
      <c r="B203" s="49" t="s">
        <v>1959</v>
      </c>
      <c r="C203" s="49" t="s">
        <v>14676</v>
      </c>
      <c r="D203" s="49">
        <v>202</v>
      </c>
      <c r="E203" s="78" t="str">
        <f t="shared" si="0"/>
        <v>E2_4_2_1</v>
      </c>
      <c r="F203" s="78" t="s">
        <v>12933</v>
      </c>
      <c r="G203" s="78" t="s">
        <v>12934</v>
      </c>
      <c r="H203" s="78" t="s">
        <v>12935</v>
      </c>
      <c r="I203" s="78" t="s">
        <v>12936</v>
      </c>
      <c r="J203" s="78" t="str">
        <f t="shared" si="1"/>
        <v>(${Variables:E2_4_2_1_kcat} * E2_4_2_1 * C15586*C00009)/(${Variables:E2_4_2_1_km} + (E2_4_2_1 * C15586*C00009))</v>
      </c>
      <c r="K203" s="79" t="str">
        <f t="shared" si="2"/>
        <v>r202: C15586+C00009 -&gt; C15587+C00620 | (${Variables:E2_4_2_1_kcat} * E2_4_2_1 * C15586*C00009)/(${Variables:E2_4_2_1_km} + (E2_4_2_1 * C15586*C00009))</v>
      </c>
    </row>
    <row r="204" spans="1:11" ht="26.5" x14ac:dyDescent="0.35">
      <c r="A204" s="78" t="s">
        <v>1958</v>
      </c>
      <c r="B204" s="49" t="s">
        <v>1959</v>
      </c>
      <c r="C204" s="49" t="s">
        <v>14676</v>
      </c>
      <c r="D204" s="49">
        <v>203</v>
      </c>
      <c r="E204" s="78" t="str">
        <f t="shared" si="0"/>
        <v>E2_4_2_1</v>
      </c>
      <c r="F204" s="78" t="s">
        <v>12937</v>
      </c>
      <c r="G204" s="78" t="s">
        <v>12938</v>
      </c>
      <c r="H204" s="78" t="s">
        <v>12939</v>
      </c>
      <c r="I204" s="78" t="s">
        <v>12940</v>
      </c>
      <c r="J204" s="78" t="str">
        <f t="shared" si="1"/>
        <v>(${Variables:E2_4_2_1_kcat} * E2_4_2_1 * C00212*C00009)/(${Variables:E2_4_2_1_km} + (E2_4_2_1 * C00212*C00009))</v>
      </c>
      <c r="K204" s="79" t="str">
        <f t="shared" si="2"/>
        <v>r203: C00212+C00009 -&gt; C00147+C00620 | (${Variables:E2_4_2_1_kcat} * E2_4_2_1 * C00212*C00009)/(${Variables:E2_4_2_1_km} + (E2_4_2_1 * C00212*C00009))</v>
      </c>
    </row>
    <row r="205" spans="1:11" ht="26.5" x14ac:dyDescent="0.35">
      <c r="A205" s="78" t="s">
        <v>1958</v>
      </c>
      <c r="B205" s="49" t="s">
        <v>1959</v>
      </c>
      <c r="C205" s="49" t="s">
        <v>14676</v>
      </c>
      <c r="D205" s="49">
        <v>204</v>
      </c>
      <c r="E205" s="78" t="str">
        <f t="shared" si="0"/>
        <v>E2_4_2_1</v>
      </c>
      <c r="F205" s="78" t="s">
        <v>12941</v>
      </c>
      <c r="G205" s="78" t="s">
        <v>12942</v>
      </c>
      <c r="H205" s="78" t="s">
        <v>12943</v>
      </c>
      <c r="I205" s="78" t="s">
        <v>12944</v>
      </c>
      <c r="J205" s="78" t="str">
        <f t="shared" si="1"/>
        <v>(${Variables:E2_4_2_1_kcat} * E2_4_2_1 * C00294*C00009)/(${Variables:E2_4_2_1_km} + (E2_4_2_1 * C00294*C00009))</v>
      </c>
      <c r="K205" s="79" t="str">
        <f t="shared" si="2"/>
        <v>r204: C00294+C00009 -&gt; C00262+C00620 | (${Variables:E2_4_2_1_kcat} * E2_4_2_1 * C00294*C00009)/(${Variables:E2_4_2_1_km} + (E2_4_2_1 * C00294*C00009))</v>
      </c>
    </row>
    <row r="206" spans="1:11" ht="26.5" x14ac:dyDescent="0.35">
      <c r="A206" s="78" t="s">
        <v>1958</v>
      </c>
      <c r="B206" s="49" t="s">
        <v>1959</v>
      </c>
      <c r="C206" s="49" t="s">
        <v>14676</v>
      </c>
      <c r="D206" s="49">
        <v>205</v>
      </c>
      <c r="E206" s="78" t="str">
        <f t="shared" si="0"/>
        <v>E2_4_2_1</v>
      </c>
      <c r="F206" s="78" t="s">
        <v>12945</v>
      </c>
      <c r="G206" s="78" t="s">
        <v>12946</v>
      </c>
      <c r="H206" s="78" t="s">
        <v>12947</v>
      </c>
      <c r="I206" s="78" t="s">
        <v>12948</v>
      </c>
      <c r="J206" s="78" t="str">
        <f t="shared" si="1"/>
        <v>(${Variables:E2_4_2_1_kcat} * E2_4_2_1 * C00387*C00009)/(${Variables:E2_4_2_1_km} + (E2_4_2_1 * C00387*C00009))</v>
      </c>
      <c r="K206" s="79" t="str">
        <f t="shared" si="2"/>
        <v>r205: C00387+C00009 -&gt; C00242+C00620 | (${Variables:E2_4_2_1_kcat} * E2_4_2_1 * C00387*C00009)/(${Variables:E2_4_2_1_km} + (E2_4_2_1 * C00387*C00009))</v>
      </c>
    </row>
    <row r="207" spans="1:11" ht="26.5" x14ac:dyDescent="0.35">
      <c r="A207" s="78" t="s">
        <v>1958</v>
      </c>
      <c r="B207" s="49" t="s">
        <v>1959</v>
      </c>
      <c r="C207" s="49" t="s">
        <v>14676</v>
      </c>
      <c r="D207" s="49">
        <v>206</v>
      </c>
      <c r="E207" s="78" t="str">
        <f t="shared" si="0"/>
        <v>E2_4_2_1</v>
      </c>
      <c r="F207" s="78" t="s">
        <v>12949</v>
      </c>
      <c r="G207" s="78" t="s">
        <v>12950</v>
      </c>
      <c r="H207" s="78" t="s">
        <v>12951</v>
      </c>
      <c r="I207" s="78" t="s">
        <v>12952</v>
      </c>
      <c r="J207" s="78" t="str">
        <f t="shared" si="1"/>
        <v>(${Variables:E2_4_2_1_kcat} * E2_4_2_1 * C01762*C00009)/(${Variables:E2_4_2_1_km} + (E2_4_2_1 * C01762*C00009))</v>
      </c>
      <c r="K207" s="79" t="str">
        <f t="shared" si="2"/>
        <v>r206: C01762+C00009 -&gt; C00385+C00620 | (${Variables:E2_4_2_1_kcat} * E2_4_2_1 * C01762*C00009)/(${Variables:E2_4_2_1_km} + (E2_4_2_1 * C01762*C00009))</v>
      </c>
    </row>
    <row r="208" spans="1:11" ht="26.5" x14ac:dyDescent="0.35">
      <c r="A208" s="78" t="s">
        <v>1958</v>
      </c>
      <c r="B208" s="49" t="s">
        <v>1959</v>
      </c>
      <c r="C208" s="49" t="s">
        <v>14676</v>
      </c>
      <c r="D208" s="49">
        <v>207</v>
      </c>
      <c r="E208" s="78" t="str">
        <f t="shared" si="0"/>
        <v>E2_4_2_1</v>
      </c>
      <c r="F208" s="78" t="s">
        <v>12953</v>
      </c>
      <c r="G208" s="78" t="s">
        <v>12954</v>
      </c>
      <c r="H208" s="78" t="s">
        <v>12955</v>
      </c>
      <c r="I208" s="78" t="s">
        <v>12956</v>
      </c>
      <c r="J208" s="78" t="str">
        <f t="shared" si="1"/>
        <v>(${Variables:E2_4_2_1_kcat} * E2_4_2_1 * C20463*C00009)/(${Variables:E2_4_2_1_km} + (E2_4_2_1 * C20463*C00009))</v>
      </c>
      <c r="K208" s="79" t="str">
        <f t="shared" si="2"/>
        <v>r207: C20463+C00009 -&gt; C15587+C00672 | (${Variables:E2_4_2_1_kcat} * E2_4_2_1 * C20463*C00009)/(${Variables:E2_4_2_1_km} + (E2_4_2_1 * C20463*C00009))</v>
      </c>
    </row>
    <row r="209" spans="1:11" ht="26.5" x14ac:dyDescent="0.35">
      <c r="A209" s="78" t="s">
        <v>1958</v>
      </c>
      <c r="B209" s="49" t="s">
        <v>1959</v>
      </c>
      <c r="C209" s="49" t="s">
        <v>14676</v>
      </c>
      <c r="D209" s="49">
        <v>208</v>
      </c>
      <c r="E209" s="78" t="str">
        <f t="shared" si="0"/>
        <v>E2_4_2_1</v>
      </c>
      <c r="F209" s="78" t="s">
        <v>12957</v>
      </c>
      <c r="G209" s="78" t="s">
        <v>12958</v>
      </c>
      <c r="H209" s="78" t="s">
        <v>12959</v>
      </c>
      <c r="I209" s="78" t="s">
        <v>12960</v>
      </c>
      <c r="J209" s="78" t="str">
        <f t="shared" si="1"/>
        <v>(${Variables:E2_4_2_1_kcat} * E2_4_2_1 * C00330*C00009)/(${Variables:E2_4_2_1_km} + (E2_4_2_1 * C00330*C00009))</v>
      </c>
      <c r="K209" s="79" t="str">
        <f t="shared" si="2"/>
        <v>r208: C00330+C00009 -&gt; C00242+C00672 | (${Variables:E2_4_2_1_kcat} * E2_4_2_1 * C00330*C00009)/(${Variables:E2_4_2_1_km} + (E2_4_2_1 * C00330*C00009))</v>
      </c>
    </row>
    <row r="210" spans="1:11" ht="26.5" x14ac:dyDescent="0.35">
      <c r="A210" s="78" t="s">
        <v>1958</v>
      </c>
      <c r="B210" s="49" t="s">
        <v>1959</v>
      </c>
      <c r="C210" s="49" t="s">
        <v>14676</v>
      </c>
      <c r="D210" s="49">
        <v>209</v>
      </c>
      <c r="E210" s="78" t="str">
        <f t="shared" si="0"/>
        <v>E2_4_2_1</v>
      </c>
      <c r="F210" s="78" t="s">
        <v>12961</v>
      </c>
      <c r="G210" s="78" t="s">
        <v>12962</v>
      </c>
      <c r="H210" s="78" t="s">
        <v>12963</v>
      </c>
      <c r="I210" s="78" t="s">
        <v>12964</v>
      </c>
      <c r="J210" s="78" t="str">
        <f t="shared" si="1"/>
        <v>(${Variables:E2_4_2_1_kcat} * E2_4_2_1 * C00559*C00009)/(${Variables:E2_4_2_1_km} + (E2_4_2_1 * C00559*C00009))</v>
      </c>
      <c r="K210" s="79" t="str">
        <f t="shared" si="2"/>
        <v>r209: C00559+C00009 -&gt; C00147+C00672 | (${Variables:E2_4_2_1_kcat} * E2_4_2_1 * C00559*C00009)/(${Variables:E2_4_2_1_km} + (E2_4_2_1 * C00559*C00009))</v>
      </c>
    </row>
    <row r="211" spans="1:11" ht="26.5" x14ac:dyDescent="0.35">
      <c r="A211" s="78" t="s">
        <v>1958</v>
      </c>
      <c r="B211" s="49" t="s">
        <v>1959</v>
      </c>
      <c r="C211" s="49" t="s">
        <v>14676</v>
      </c>
      <c r="D211" s="49">
        <v>210</v>
      </c>
      <c r="E211" s="78" t="str">
        <f t="shared" si="0"/>
        <v>E2_4_2_1</v>
      </c>
      <c r="F211" s="78" t="s">
        <v>12965</v>
      </c>
      <c r="G211" s="78" t="s">
        <v>12966</v>
      </c>
      <c r="H211" s="78" t="s">
        <v>12967</v>
      </c>
      <c r="I211" s="78" t="s">
        <v>12968</v>
      </c>
      <c r="J211" s="78" t="str">
        <f t="shared" si="1"/>
        <v>(${Variables:E2_4_2_1_kcat} * E2_4_2_1 * C05512*C00009)/(${Variables:E2_4_2_1_km} + (E2_4_2_1 * C05512*C00009))</v>
      </c>
      <c r="K211" s="79" t="str">
        <f t="shared" si="2"/>
        <v>r210: C05512+C00009 -&gt; C00262+C00672 | (${Variables:E2_4_2_1_kcat} * E2_4_2_1 * C05512*C00009)/(${Variables:E2_4_2_1_km} + (E2_4_2_1 * C05512*C00009))</v>
      </c>
    </row>
    <row r="212" spans="1:11" ht="26.5" x14ac:dyDescent="0.35">
      <c r="A212" s="78" t="s">
        <v>1958</v>
      </c>
      <c r="B212" s="49" t="s">
        <v>1959</v>
      </c>
      <c r="C212" s="49" t="s">
        <v>14676</v>
      </c>
      <c r="D212" s="49">
        <v>211</v>
      </c>
      <c r="E212" s="78" t="str">
        <f t="shared" si="0"/>
        <v>E2_4_2_1</v>
      </c>
      <c r="F212" s="78" t="s">
        <v>12969</v>
      </c>
      <c r="G212" s="78" t="s">
        <v>12970</v>
      </c>
      <c r="H212" s="78" t="s">
        <v>12971</v>
      </c>
      <c r="I212" s="78" t="s">
        <v>12972</v>
      </c>
      <c r="J212" s="78" t="str">
        <f t="shared" si="1"/>
        <v>(${Variables:E2_4_2_1_kcat} * E2_4_2_1 * C03150*C00009)/(${Variables:E2_4_2_1_km} + (E2_4_2_1 * C03150*C00009))</v>
      </c>
      <c r="K212" s="79" t="str">
        <f t="shared" si="2"/>
        <v>r211: C03150+C00009 -&gt; C00153+C00620 | (${Variables:E2_4_2_1_kcat} * E2_4_2_1 * C03150*C00009)/(${Variables:E2_4_2_1_km} + (E2_4_2_1 * C03150*C00009))</v>
      </c>
    </row>
    <row r="213" spans="1:11" ht="26.5" x14ac:dyDescent="0.35">
      <c r="A213" s="78" t="s">
        <v>1958</v>
      </c>
      <c r="B213" s="49" t="s">
        <v>1959</v>
      </c>
      <c r="C213" s="49" t="s">
        <v>14676</v>
      </c>
      <c r="D213" s="49">
        <v>212</v>
      </c>
      <c r="E213" s="78" t="str">
        <f t="shared" si="0"/>
        <v>E2_4_2_1</v>
      </c>
      <c r="F213" s="78" t="s">
        <v>12973</v>
      </c>
      <c r="G213" s="78" t="s">
        <v>12974</v>
      </c>
      <c r="H213" s="78" t="s">
        <v>12975</v>
      </c>
      <c r="I213" s="78" t="s">
        <v>12976</v>
      </c>
      <c r="J213" s="78" t="str">
        <f t="shared" si="1"/>
        <v>(${Variables:E2_4_2_1_kcat} * E2_4_2_1 * C05841*C00009)/(${Variables:E2_4_2_1_km} + (E2_4_2_1 * C05841*C00009))</v>
      </c>
      <c r="K213" s="79" t="str">
        <f t="shared" si="2"/>
        <v>r212: C05841+C00009 -&gt; C00253+C00620+C00080 | (${Variables:E2_4_2_1_kcat} * E2_4_2_1 * C05841*C00009)/(${Variables:E2_4_2_1_km} + (E2_4_2_1 * C05841*C00009))</v>
      </c>
    </row>
    <row r="214" spans="1:11" ht="26" x14ac:dyDescent="0.35">
      <c r="A214" s="78" t="s">
        <v>1976</v>
      </c>
      <c r="B214" s="49" t="s">
        <v>1977</v>
      </c>
      <c r="C214" s="49" t="s">
        <v>14677</v>
      </c>
      <c r="D214" s="49">
        <v>213</v>
      </c>
      <c r="E214" s="78" t="str">
        <f t="shared" si="0"/>
        <v>E4_1_2_13</v>
      </c>
      <c r="F214" s="78" t="s">
        <v>7081</v>
      </c>
      <c r="G214" s="78" t="s">
        <v>7081</v>
      </c>
      <c r="H214" s="78" t="s">
        <v>12977</v>
      </c>
      <c r="I214" s="78" t="s">
        <v>12978</v>
      </c>
      <c r="J214" s="78" t="str">
        <f t="shared" si="1"/>
        <v>(${Variables:E4_1_2_13_kcat} * E4_1_2_13 * C00354)/(${Variables:E4_1_2_13_km} + (E4_1_2_13 * C00354))</v>
      </c>
      <c r="K214" s="79" t="str">
        <f t="shared" si="2"/>
        <v>r213: C00354 -&gt; C00111+C00118 | (${Variables:E4_1_2_13_kcat} * E4_1_2_13 * C00354)/(${Variables:E4_1_2_13_km} + (E4_1_2_13 * C00354))</v>
      </c>
    </row>
    <row r="215" spans="1:11" ht="26" x14ac:dyDescent="0.35">
      <c r="A215" s="78" t="s">
        <v>1976</v>
      </c>
      <c r="B215" s="49" t="s">
        <v>1977</v>
      </c>
      <c r="C215" s="49" t="s">
        <v>14677</v>
      </c>
      <c r="D215" s="49">
        <v>214</v>
      </c>
      <c r="E215" s="78" t="str">
        <f t="shared" si="0"/>
        <v>E4_1_2_13</v>
      </c>
      <c r="F215" s="78" t="s">
        <v>7084</v>
      </c>
      <c r="G215" s="78" t="s">
        <v>7084</v>
      </c>
      <c r="H215" s="78" t="s">
        <v>12977</v>
      </c>
      <c r="I215" s="78" t="s">
        <v>12978</v>
      </c>
      <c r="J215" s="78" t="str">
        <f t="shared" si="1"/>
        <v>(${Variables:E4_1_2_13_kcat} * E4_1_2_13 * C05378)/(${Variables:E4_1_2_13_km} + (E4_1_2_13 * C05378))</v>
      </c>
      <c r="K215" s="79" t="str">
        <f t="shared" si="2"/>
        <v>r214: C05378 -&gt; C00111+C00118 | (${Variables:E4_1_2_13_kcat} * E4_1_2_13 * C05378)/(${Variables:E4_1_2_13_km} + (E4_1_2_13 * C05378))</v>
      </c>
    </row>
    <row r="216" spans="1:11" ht="26" x14ac:dyDescent="0.35">
      <c r="A216" s="78" t="s">
        <v>1976</v>
      </c>
      <c r="B216" s="49" t="s">
        <v>1977</v>
      </c>
      <c r="C216" s="49" t="s">
        <v>14677</v>
      </c>
      <c r="D216" s="49">
        <v>215</v>
      </c>
      <c r="E216" s="78" t="str">
        <f t="shared" si="0"/>
        <v>E4_1_2_13</v>
      </c>
      <c r="F216" s="78" t="s">
        <v>7086</v>
      </c>
      <c r="G216" s="78" t="s">
        <v>7086</v>
      </c>
      <c r="H216" s="78" t="s">
        <v>12979</v>
      </c>
      <c r="I216" s="78" t="s">
        <v>12980</v>
      </c>
      <c r="J216" s="78" t="str">
        <f t="shared" si="1"/>
        <v>(${Variables:E4_1_2_13_kcat} * E4_1_2_13 * C00447)/(${Variables:E4_1_2_13_km} + (E4_1_2_13 * C00447))</v>
      </c>
      <c r="K216" s="79" t="str">
        <f t="shared" si="2"/>
        <v>r215: C00447 -&gt; C00111+C00279 | (${Variables:E4_1_2_13_kcat} * E4_1_2_13 * C00447)/(${Variables:E4_1_2_13_km} + (E4_1_2_13 * C00447))</v>
      </c>
    </row>
    <row r="217" spans="1:11" ht="26" x14ac:dyDescent="0.35">
      <c r="A217" s="78" t="s">
        <v>1976</v>
      </c>
      <c r="B217" s="49" t="s">
        <v>1977</v>
      </c>
      <c r="C217" s="49" t="s">
        <v>14677</v>
      </c>
      <c r="D217" s="49">
        <v>216</v>
      </c>
      <c r="E217" s="78" t="str">
        <f t="shared" si="0"/>
        <v>E4_1_2_13</v>
      </c>
      <c r="F217" s="78" t="s">
        <v>7089</v>
      </c>
      <c r="G217" s="78" t="s">
        <v>7089</v>
      </c>
      <c r="H217" s="78" t="s">
        <v>12981</v>
      </c>
      <c r="I217" s="78" t="s">
        <v>12982</v>
      </c>
      <c r="J217" s="78" t="str">
        <f t="shared" si="1"/>
        <v>(${Variables:E4_1_2_13_kcat} * E4_1_2_13 * C01094)/(${Variables:E4_1_2_13_km} + (E4_1_2_13 * C01094))</v>
      </c>
      <c r="K217" s="79" t="str">
        <f t="shared" si="2"/>
        <v>r216: C01094 -&gt; C00111+C00577 | (${Variables:E4_1_2_13_kcat} * E4_1_2_13 * C01094)/(${Variables:E4_1_2_13_km} + (E4_1_2_13 * C01094))</v>
      </c>
    </row>
    <row r="218" spans="1:11" ht="26.5" x14ac:dyDescent="0.35">
      <c r="A218" s="78" t="s">
        <v>1980</v>
      </c>
      <c r="B218" s="49" t="s">
        <v>1981</v>
      </c>
      <c r="C218" s="49" t="s">
        <v>14678</v>
      </c>
      <c r="D218" s="49">
        <v>217</v>
      </c>
      <c r="E218" s="78" t="str">
        <f t="shared" si="0"/>
        <v>E2_7_2_3</v>
      </c>
      <c r="F218" s="78" t="s">
        <v>12983</v>
      </c>
      <c r="G218" s="78" t="s">
        <v>12984</v>
      </c>
      <c r="H218" s="78" t="s">
        <v>12985</v>
      </c>
      <c r="I218" s="78" t="s">
        <v>12986</v>
      </c>
      <c r="J218" s="78" t="str">
        <f t="shared" si="1"/>
        <v>(${Variables:E2_7_2_3_kcat} * E2_7_2_3 * C00002*C00197)/(${Variables:E2_7_2_3_km} + (E2_7_2_3 * C00002*C00197))</v>
      </c>
      <c r="K218" s="79" t="str">
        <f t="shared" si="2"/>
        <v>r217: C00002+C00197 -&gt; C00008+C00236 | (${Variables:E2_7_2_3_kcat} * E2_7_2_3 * C00002*C00197)/(${Variables:E2_7_2_3_km} + (E2_7_2_3 * C00002*C00197))</v>
      </c>
    </row>
    <row r="219" spans="1:11" ht="26.5" x14ac:dyDescent="0.35">
      <c r="A219" s="78" t="s">
        <v>1991</v>
      </c>
      <c r="B219" s="49" t="s">
        <v>1992</v>
      </c>
      <c r="C219" s="49" t="s">
        <v>14679</v>
      </c>
      <c r="D219" s="49">
        <v>218</v>
      </c>
      <c r="E219" s="78" t="str">
        <f t="shared" si="0"/>
        <v>E2_7_1_21</v>
      </c>
      <c r="F219" s="78" t="s">
        <v>12987</v>
      </c>
      <c r="G219" s="78" t="s">
        <v>12988</v>
      </c>
      <c r="H219" s="78" t="s">
        <v>12989</v>
      </c>
      <c r="I219" s="78" t="s">
        <v>12990</v>
      </c>
      <c r="J219" s="78" t="str">
        <f t="shared" si="1"/>
        <v>(${Variables:E2_7_1_21_kcat} * E2_7_1_21 * C00002*C00214)/(${Variables:E2_7_1_21_km} + (E2_7_1_21 * C00002*C00214))</v>
      </c>
      <c r="K219" s="79" t="str">
        <f t="shared" si="2"/>
        <v>r218: C00002+C00214 -&gt; C00008+C00364 | (${Variables:E2_7_1_21_kcat} * E2_7_1_21 * C00002*C00214)/(${Variables:E2_7_1_21_km} + (E2_7_1_21 * C00002*C00214))</v>
      </c>
    </row>
    <row r="220" spans="1:11" ht="26.5" x14ac:dyDescent="0.35">
      <c r="A220" s="78" t="s">
        <v>1991</v>
      </c>
      <c r="B220" s="49" t="s">
        <v>1992</v>
      </c>
      <c r="C220" s="49" t="s">
        <v>14679</v>
      </c>
      <c r="D220" s="49">
        <v>219</v>
      </c>
      <c r="E220" s="78" t="str">
        <f t="shared" si="0"/>
        <v>E2_7_1_21</v>
      </c>
      <c r="F220" s="78" t="s">
        <v>12991</v>
      </c>
      <c r="G220" s="78" t="s">
        <v>12992</v>
      </c>
      <c r="H220" s="78" t="s">
        <v>12993</v>
      </c>
      <c r="I220" s="78" t="s">
        <v>12994</v>
      </c>
      <c r="J220" s="78" t="str">
        <f t="shared" si="1"/>
        <v>(${Variables:E2_7_1_21_kcat} * E2_7_1_21 * C00002*C00526)/(${Variables:E2_7_1_21_km} + (E2_7_1_21 * C00002*C00526))</v>
      </c>
      <c r="K220" s="79" t="str">
        <f t="shared" si="2"/>
        <v>r219: C00002+C00526 -&gt; C00008+C00365 | (${Variables:E2_7_1_21_kcat} * E2_7_1_21 * C00002*C00526)/(${Variables:E2_7_1_21_km} + (E2_7_1_21 * C00002*C00526))</v>
      </c>
    </row>
    <row r="221" spans="1:11" ht="26.5" x14ac:dyDescent="0.35">
      <c r="A221" s="78" t="s">
        <v>1991</v>
      </c>
      <c r="B221" s="49" t="s">
        <v>1992</v>
      </c>
      <c r="C221" s="49" t="s">
        <v>14679</v>
      </c>
      <c r="D221" s="49">
        <v>220</v>
      </c>
      <c r="E221" s="78" t="str">
        <f t="shared" si="0"/>
        <v>E2_7_1_21</v>
      </c>
      <c r="F221" s="78" t="s">
        <v>12995</v>
      </c>
      <c r="G221" s="78" t="s">
        <v>12996</v>
      </c>
      <c r="H221" s="78" t="s">
        <v>12997</v>
      </c>
      <c r="I221" s="78" t="s">
        <v>12998</v>
      </c>
      <c r="J221" s="78" t="str">
        <f t="shared" si="1"/>
        <v>(${Variables:E2_7_1_21_kcat} * E2_7_1_21 * C11736*C00002)/(${Variables:E2_7_1_21_km} + (E2_7_1_21 * C11736*C00002))</v>
      </c>
      <c r="K221" s="79" t="str">
        <f t="shared" si="2"/>
        <v>r220: C11736+C00002 -&gt; C04242+C00008 | (${Variables:E2_7_1_21_kcat} * E2_7_1_21 * C11736*C00002)/(${Variables:E2_7_1_21_km} + (E2_7_1_21 * C11736*C00002))</v>
      </c>
    </row>
    <row r="222" spans="1:11" ht="26" x14ac:dyDescent="0.35">
      <c r="A222" s="78" t="s">
        <v>2011</v>
      </c>
      <c r="B222" s="49" t="s">
        <v>2012</v>
      </c>
      <c r="C222" s="49" t="s">
        <v>14680</v>
      </c>
      <c r="D222" s="49">
        <v>221</v>
      </c>
      <c r="E222" s="78" t="str">
        <f t="shared" si="0"/>
        <v>E4_3_1_1</v>
      </c>
      <c r="F222" s="78" t="s">
        <v>7110</v>
      </c>
      <c r="G222" s="78" t="s">
        <v>7110</v>
      </c>
      <c r="H222" s="78" t="s">
        <v>12999</v>
      </c>
      <c r="I222" s="78" t="s">
        <v>13000</v>
      </c>
      <c r="J222" s="78" t="str">
        <f t="shared" si="1"/>
        <v>(${Variables:E4_3_1_1_kcat} * E4_3_1_1 * C00049)/(${Variables:E4_3_1_1_km} + (E4_3_1_1 * C00049))</v>
      </c>
      <c r="K222" s="79" t="str">
        <f t="shared" si="2"/>
        <v>r221: C00049 -&gt; C00122+C00014 | (${Variables:E4_3_1_1_kcat} * E4_3_1_1 * C00049)/(${Variables:E4_3_1_1_km} + (E4_3_1_1 * C00049))</v>
      </c>
    </row>
    <row r="223" spans="1:11" ht="26.5" x14ac:dyDescent="0.35">
      <c r="A223" s="78" t="s">
        <v>2029</v>
      </c>
      <c r="B223" s="49" t="s">
        <v>2030</v>
      </c>
      <c r="C223" s="49" t="s">
        <v>14681</v>
      </c>
      <c r="D223" s="49">
        <v>222</v>
      </c>
      <c r="E223" s="78" t="str">
        <f t="shared" si="0"/>
        <v>E3_5_1_5</v>
      </c>
      <c r="F223" s="78" t="s">
        <v>13001</v>
      </c>
      <c r="G223" s="78" t="s">
        <v>13002</v>
      </c>
      <c r="H223" s="78" t="s">
        <v>13003</v>
      </c>
      <c r="I223" s="78" t="s">
        <v>13004</v>
      </c>
      <c r="J223" s="78" t="str">
        <f t="shared" si="1"/>
        <v>(${Variables:E3_5_1_5_kcat} * E3_5_1_5 * C00014*C00288)/(${Variables:E3_5_1_5_km} + (E3_5_1_5 * C00014*C00288))</v>
      </c>
      <c r="K223" s="79" t="str">
        <f t="shared" si="2"/>
        <v>r222: C00014+C00288 -&gt; C01563+C00001 | (${Variables:E3_5_1_5_kcat} * E3_5_1_5 * C00014*C00288)/(${Variables:E3_5_1_5_km} + (E3_5_1_5 * C00014*C00288))</v>
      </c>
    </row>
    <row r="224" spans="1:11" ht="26.5" x14ac:dyDescent="0.35">
      <c r="A224" s="78" t="s">
        <v>2029</v>
      </c>
      <c r="B224" s="49" t="s">
        <v>2030</v>
      </c>
      <c r="C224" s="49" t="s">
        <v>14681</v>
      </c>
      <c r="D224" s="49">
        <v>223</v>
      </c>
      <c r="E224" s="78" t="str">
        <f t="shared" si="0"/>
        <v>E3_5_1_5</v>
      </c>
      <c r="F224" s="49" t="s">
        <v>13005</v>
      </c>
      <c r="G224" s="49" t="s">
        <v>13006</v>
      </c>
      <c r="H224" s="49" t="s">
        <v>13007</v>
      </c>
      <c r="I224" s="49" t="s">
        <v>13008</v>
      </c>
      <c r="J224" s="78" t="str">
        <f t="shared" si="1"/>
        <v>(${Variables:E3_5_1_5_kcat} * E3_5_1_5 * C00086*C00001)/(${Variables:E3_5_1_5_km} + (E3_5_1_5 * C00086*C00001))</v>
      </c>
      <c r="K224" s="79" t="str">
        <f t="shared" si="2"/>
        <v>r223: C00086+C00001 -&gt; C00288+C00014 | (${Variables:E3_5_1_5_kcat} * E3_5_1_5 * C00086*C00001)/(${Variables:E3_5_1_5_km} + (E3_5_1_5 * C00086*C00001))</v>
      </c>
    </row>
    <row r="225" spans="1:11" ht="26.5" x14ac:dyDescent="0.35">
      <c r="A225" s="78" t="s">
        <v>2029</v>
      </c>
      <c r="B225" s="49" t="s">
        <v>2030</v>
      </c>
      <c r="C225" s="49" t="s">
        <v>14681</v>
      </c>
      <c r="D225" s="49">
        <v>224</v>
      </c>
      <c r="E225" s="78" t="str">
        <f t="shared" si="0"/>
        <v>E3_5_1_5</v>
      </c>
      <c r="F225" s="78" t="s">
        <v>13005</v>
      </c>
      <c r="G225" s="78" t="s">
        <v>13006</v>
      </c>
      <c r="H225" s="78" t="s">
        <v>13009</v>
      </c>
      <c r="I225" s="78" t="s">
        <v>13010</v>
      </c>
      <c r="J225" s="78" t="str">
        <f t="shared" si="1"/>
        <v>(${Variables:E3_5_1_5_kcat} * E3_5_1_5 * C00086*C00001)/(${Variables:E3_5_1_5_km} + (E3_5_1_5 * C00086*C00001))</v>
      </c>
      <c r="K225" s="79" t="str">
        <f t="shared" si="2"/>
        <v>r224: C00086+C00001 -&gt; C01563+C00014 | (${Variables:E3_5_1_5_kcat} * E3_5_1_5 * C00086*C00001)/(${Variables:E3_5_1_5_km} + (E3_5_1_5 * C00086*C00001))</v>
      </c>
    </row>
    <row r="226" spans="1:11" ht="26.5" x14ac:dyDescent="0.35">
      <c r="A226" s="78" t="s">
        <v>2029</v>
      </c>
      <c r="B226" s="49" t="s">
        <v>2030</v>
      </c>
      <c r="C226" s="49" t="s">
        <v>14681</v>
      </c>
      <c r="D226" s="49">
        <v>225</v>
      </c>
      <c r="E226" s="78" t="str">
        <f t="shared" si="0"/>
        <v>E3_5_1_5</v>
      </c>
      <c r="F226" s="78" t="s">
        <v>13005</v>
      </c>
      <c r="G226" s="78" t="s">
        <v>13006</v>
      </c>
      <c r="H226" s="49" t="s">
        <v>13011</v>
      </c>
      <c r="I226" s="49" t="s">
        <v>13012</v>
      </c>
      <c r="J226" s="78" t="str">
        <f t="shared" si="1"/>
        <v>(${Variables:E3_5_1_5_kcat} * E3_5_1_5 * C00086*C00001)/(${Variables:E3_5_1_5_km} + (E3_5_1_5 * C00086*C00001))</v>
      </c>
      <c r="K226" s="79" t="str">
        <f t="shared" si="2"/>
        <v>r225: C00086+C00001 -&gt; C00011+C00014 | (${Variables:E3_5_1_5_kcat} * E3_5_1_5 * C00086*C00001)/(${Variables:E3_5_1_5_km} + (E3_5_1_5 * C00086*C00001))</v>
      </c>
    </row>
    <row r="227" spans="1:11" ht="26.5" x14ac:dyDescent="0.35">
      <c r="A227" s="78" t="s">
        <v>2029</v>
      </c>
      <c r="B227" s="49" t="s">
        <v>2030</v>
      </c>
      <c r="C227" s="49" t="s">
        <v>14681</v>
      </c>
      <c r="D227" s="49">
        <v>226</v>
      </c>
      <c r="E227" s="78" t="str">
        <f t="shared" si="0"/>
        <v>E3_5_1_5</v>
      </c>
      <c r="F227" s="78" t="s">
        <v>13013</v>
      </c>
      <c r="G227" s="78" t="s">
        <v>13014</v>
      </c>
      <c r="H227" s="78" t="s">
        <v>13015</v>
      </c>
      <c r="I227" s="78" t="s">
        <v>13016</v>
      </c>
      <c r="J227" s="78" t="str">
        <f t="shared" si="1"/>
        <v>(${Variables:E3_5_1_5_kcat} * E3_5_1_5 * C00241*C00001)/(${Variables:E3_5_1_5_km} + (E3_5_1_5 * C00241*C00001))</v>
      </c>
      <c r="K227" s="79" t="str">
        <f t="shared" si="2"/>
        <v>r226: C00241+C00001 -&gt; C00060+C00014 | (${Variables:E3_5_1_5_kcat} * E3_5_1_5 * C00241*C00001)/(${Variables:E3_5_1_5_km} + (E3_5_1_5 * C00241*C00001))</v>
      </c>
    </row>
    <row r="228" spans="1:11" ht="26.5" x14ac:dyDescent="0.35">
      <c r="A228" s="78" t="s">
        <v>2068</v>
      </c>
      <c r="B228" s="49" t="s">
        <v>2069</v>
      </c>
      <c r="C228" s="49" t="s">
        <v>14682</v>
      </c>
      <c r="D228" s="49">
        <v>227</v>
      </c>
      <c r="E228" s="78" t="str">
        <f t="shared" si="0"/>
        <v>E2_1_1_182</v>
      </c>
      <c r="F228" s="49" t="s">
        <v>13017</v>
      </c>
      <c r="G228" s="49" t="s">
        <v>13018</v>
      </c>
      <c r="H228" s="49" t="s">
        <v>13019</v>
      </c>
      <c r="I228" s="49" t="s">
        <v>13020</v>
      </c>
      <c r="J228" s="78" t="str">
        <f t="shared" si="1"/>
        <v>(${Variables:E2_1_1_182_kcat} * E2_1_1_182 * C00019*C20648)/(${Variables:E2_1_1_182_km} + (E2_1_1_182 * C00019*C20648))</v>
      </c>
      <c r="K228" s="79" t="str">
        <f t="shared" si="2"/>
        <v>r227: C00019+C20648 -&gt; C00021+C20796 | (${Variables:E2_1_1_182_kcat} * E2_1_1_182 * C00019*C20648)/(${Variables:E2_1_1_182_km} + (E2_1_1_182 * C00019*C20648))</v>
      </c>
    </row>
    <row r="229" spans="1:11" ht="26.5" x14ac:dyDescent="0.35">
      <c r="A229" s="78" t="s">
        <v>2073</v>
      </c>
      <c r="B229" s="49" t="s">
        <v>2074</v>
      </c>
      <c r="C229" s="49" t="s">
        <v>14683</v>
      </c>
      <c r="D229" s="49">
        <v>228</v>
      </c>
      <c r="E229" s="78" t="str">
        <f t="shared" si="0"/>
        <v>E3_6_1_41</v>
      </c>
      <c r="F229" s="78" t="s">
        <v>13021</v>
      </c>
      <c r="G229" s="78" t="s">
        <v>13022</v>
      </c>
      <c r="H229" s="49" t="s">
        <v>6732</v>
      </c>
      <c r="I229" s="49" t="s">
        <v>6732</v>
      </c>
      <c r="J229" s="78" t="str">
        <f t="shared" si="1"/>
        <v>(${Variables:E3_6_1_41_kcat} * E3_6_1_41 * C01260*C00001)/(${Variables:E3_6_1_41_km} + (E3_6_1_41 * C01260*C00001))</v>
      </c>
      <c r="K229" s="79" t="str">
        <f t="shared" si="2"/>
        <v>r228: C01260+C00001 -&gt; C00008 | (${Variables:E3_6_1_41_kcat} * E3_6_1_41 * C01260*C00001)/(${Variables:E3_6_1_41_km} + (E3_6_1_41 * C01260*C00001))</v>
      </c>
    </row>
    <row r="230" spans="1:11" ht="26.5" x14ac:dyDescent="0.35">
      <c r="A230" s="78" t="s">
        <v>2080</v>
      </c>
      <c r="B230" s="49" t="s">
        <v>2081</v>
      </c>
      <c r="C230" s="49" t="s">
        <v>14684</v>
      </c>
      <c r="D230" s="49">
        <v>229</v>
      </c>
      <c r="E230" s="78" t="str">
        <f t="shared" si="0"/>
        <v>E1_1_1_44</v>
      </c>
      <c r="F230" s="78" t="s">
        <v>13023</v>
      </c>
      <c r="G230" s="78" t="s">
        <v>13024</v>
      </c>
      <c r="H230" s="78" t="s">
        <v>13025</v>
      </c>
      <c r="I230" s="78" t="s">
        <v>13026</v>
      </c>
      <c r="J230" s="78" t="str">
        <f t="shared" si="1"/>
        <v>(${Variables:E1_1_1_44_kcat} * E1_1_1_44 * C00345*C00006)/(${Variables:E1_1_1_44_km} + (E1_1_1_44 * C00345*C00006))</v>
      </c>
      <c r="K230" s="79" t="str">
        <f t="shared" si="2"/>
        <v>r229: C00345+C00006 -&gt; C00199+C00011+C00005+C00080 | (${Variables:E1_1_1_44_kcat} * E1_1_1_44 * C00345*C00006)/(${Variables:E1_1_1_44_km} + (E1_1_1_44 * C00345*C00006))</v>
      </c>
    </row>
    <row r="231" spans="1:11" ht="26.5" x14ac:dyDescent="0.35">
      <c r="A231" s="78" t="s">
        <v>2087</v>
      </c>
      <c r="B231" s="49" t="s">
        <v>2088</v>
      </c>
      <c r="C231" s="49" t="s">
        <v>14685</v>
      </c>
      <c r="D231" s="49">
        <v>230</v>
      </c>
      <c r="E231" s="78" t="str">
        <f t="shared" si="0"/>
        <v>E3_1_1_31</v>
      </c>
      <c r="F231" s="78" t="s">
        <v>13027</v>
      </c>
      <c r="G231" s="78" t="s">
        <v>13028</v>
      </c>
      <c r="H231" s="78" t="s">
        <v>7145</v>
      </c>
      <c r="I231" s="78" t="s">
        <v>7145</v>
      </c>
      <c r="J231" s="78" t="str">
        <f t="shared" si="1"/>
        <v>(${Variables:E3_1_1_31_kcat} * E3_1_1_31 * C01236*C00001)/(${Variables:E3_1_1_31_km} + (E3_1_1_31 * C01236*C00001))</v>
      </c>
      <c r="K231" s="79" t="str">
        <f t="shared" si="2"/>
        <v>r230: C01236+C00001 -&gt; C00345 | (${Variables:E3_1_1_31_kcat} * E3_1_1_31 * C01236*C00001)/(${Variables:E3_1_1_31_km} + (E3_1_1_31 * C01236*C00001))</v>
      </c>
    </row>
    <row r="232" spans="1:11" ht="26.5" x14ac:dyDescent="0.35">
      <c r="A232" s="78" t="s">
        <v>2095</v>
      </c>
      <c r="B232" s="49" t="s">
        <v>2096</v>
      </c>
      <c r="C232" s="49" t="s">
        <v>14686</v>
      </c>
      <c r="D232" s="49">
        <v>231</v>
      </c>
      <c r="E232" s="78" t="str">
        <f t="shared" si="0"/>
        <v>E3_1_3_7</v>
      </c>
      <c r="F232" s="78" t="s">
        <v>13029</v>
      </c>
      <c r="G232" s="78" t="s">
        <v>13030</v>
      </c>
      <c r="H232" s="78" t="s">
        <v>13031</v>
      </c>
      <c r="I232" s="78" t="s">
        <v>13032</v>
      </c>
      <c r="J232" s="78" t="str">
        <f t="shared" si="1"/>
        <v>(${Variables:E3_1_3_7_kcat} * E3_1_3_7 * C00054*C00001)/(${Variables:E3_1_3_7_km} + (E3_1_3_7 * C00054*C00001))</v>
      </c>
      <c r="K232" s="79" t="str">
        <f t="shared" si="2"/>
        <v>r231: C00054+C00001 -&gt; C00020+C00009 | (${Variables:E3_1_3_7_kcat} * E3_1_3_7 * C00054*C00001)/(${Variables:E3_1_3_7_km} + (E3_1_3_7 * C00054*C00001))</v>
      </c>
    </row>
    <row r="233" spans="1:11" ht="26.5" x14ac:dyDescent="0.35">
      <c r="A233" s="78" t="s">
        <v>2095</v>
      </c>
      <c r="B233" s="49" t="s">
        <v>2096</v>
      </c>
      <c r="C233" s="49" t="s">
        <v>14686</v>
      </c>
      <c r="D233" s="49">
        <v>232</v>
      </c>
      <c r="E233" s="78" t="str">
        <f t="shared" si="0"/>
        <v>E3_1_3_7</v>
      </c>
      <c r="F233" s="78" t="s">
        <v>13033</v>
      </c>
      <c r="G233" s="78" t="s">
        <v>13034</v>
      </c>
      <c r="H233" s="78" t="s">
        <v>13035</v>
      </c>
      <c r="I233" s="78" t="s">
        <v>13036</v>
      </c>
      <c r="J233" s="78" t="str">
        <f t="shared" si="1"/>
        <v>(${Variables:E3_1_3_7_kcat} * E3_1_3_7 * C00053*C00001)/(${Variables:E3_1_3_7_km} + (E3_1_3_7 * C00053*C00001))</v>
      </c>
      <c r="K233" s="79" t="str">
        <f t="shared" si="2"/>
        <v>r232: C00053+C00001 -&gt; C00224+C00009 | (${Variables:E3_1_3_7_kcat} * E3_1_3_7 * C00053*C00001)/(${Variables:E3_1_3_7_km} + (E3_1_3_7 * C00053*C00001))</v>
      </c>
    </row>
    <row r="234" spans="1:11" ht="26.5" x14ac:dyDescent="0.35">
      <c r="A234" s="78" t="s">
        <v>2112</v>
      </c>
      <c r="B234" s="49" t="s">
        <v>2113</v>
      </c>
      <c r="C234" s="49" t="s">
        <v>14687</v>
      </c>
      <c r="D234" s="49">
        <v>233</v>
      </c>
      <c r="E234" s="78" t="str">
        <f t="shared" si="0"/>
        <v>E6_3_1_1</v>
      </c>
      <c r="F234" s="78" t="s">
        <v>13037</v>
      </c>
      <c r="G234" s="78" t="s">
        <v>13038</v>
      </c>
      <c r="H234" s="78" t="s">
        <v>13039</v>
      </c>
      <c r="I234" s="78" t="s">
        <v>13040</v>
      </c>
      <c r="J234" s="78" t="str">
        <f t="shared" si="1"/>
        <v>(${Variables:E6_3_1_1_kcat} * E6_3_1_1 * C00002*C00049*C00014)/(${Variables:E6_3_1_1_km} + (E6_3_1_1 * C00002*C00049*C00014))</v>
      </c>
      <c r="K234" s="79" t="str">
        <f t="shared" si="2"/>
        <v>r233: C00002+C00049+C00014 -&gt; C00020+C00013+C00152 | (${Variables:E6_3_1_1_kcat} * E6_3_1_1 * C00002*C00049*C00014)/(${Variables:E6_3_1_1_km} + (E6_3_1_1 * C00002*C00049*C00014))</v>
      </c>
    </row>
    <row r="235" spans="1:11" ht="26.5" x14ac:dyDescent="0.35">
      <c r="A235" s="78" t="s">
        <v>2115</v>
      </c>
      <c r="B235" s="49" t="s">
        <v>2116</v>
      </c>
      <c r="C235" s="49" t="s">
        <v>14688</v>
      </c>
      <c r="D235" s="49">
        <v>234</v>
      </c>
      <c r="E235" s="78" t="str">
        <f t="shared" si="0"/>
        <v>E3_1_3_18</v>
      </c>
      <c r="F235" s="78" t="s">
        <v>13041</v>
      </c>
      <c r="G235" s="78" t="s">
        <v>13042</v>
      </c>
      <c r="H235" s="78" t="s">
        <v>13043</v>
      </c>
      <c r="I235" s="78" t="s">
        <v>13044</v>
      </c>
      <c r="J235" s="78" t="str">
        <f t="shared" si="1"/>
        <v>(${Variables:E3_1_3_18_kcat} * E3_1_3_18 * C00988*C00001)/(${Variables:E3_1_3_18_km} + (E3_1_3_18 * C00988*C00001))</v>
      </c>
      <c r="K235" s="79" t="str">
        <f t="shared" si="2"/>
        <v>r234: C00988+C00001 -&gt; C00160+C00009 | (${Variables:E3_1_3_18_kcat} * E3_1_3_18 * C00988*C00001)/(${Variables:E3_1_3_18_km} + (E3_1_3_18 * C00988*C00001))</v>
      </c>
    </row>
    <row r="236" spans="1:11" ht="26" x14ac:dyDescent="0.35">
      <c r="A236" s="78" t="s">
        <v>2119</v>
      </c>
      <c r="B236" s="49" t="s">
        <v>2120</v>
      </c>
      <c r="C236" s="49" t="s">
        <v>14689</v>
      </c>
      <c r="D236" s="49">
        <v>235</v>
      </c>
      <c r="E236" s="78" t="str">
        <f t="shared" si="0"/>
        <v>E5_1_3_1</v>
      </c>
      <c r="F236" s="78" t="s">
        <v>6912</v>
      </c>
      <c r="G236" s="78" t="s">
        <v>6912</v>
      </c>
      <c r="H236" s="78" t="s">
        <v>7167</v>
      </c>
      <c r="I236" s="78" t="s">
        <v>7167</v>
      </c>
      <c r="J236" s="78" t="str">
        <f t="shared" si="1"/>
        <v>(${Variables:E5_1_3_1_kcat} * E5_1_3_1 * C00199)/(${Variables:E5_1_3_1_km} + (E5_1_3_1 * C00199))</v>
      </c>
      <c r="K236" s="79" t="str">
        <f t="shared" si="2"/>
        <v>r235: C00199 -&gt; C00231 | (${Variables:E5_1_3_1_kcat} * E5_1_3_1 * C00199)/(${Variables:E5_1_3_1_km} + (E5_1_3_1 * C00199))</v>
      </c>
    </row>
    <row r="237" spans="1:11" ht="26.5" x14ac:dyDescent="0.35">
      <c r="A237" s="78" t="s">
        <v>2176</v>
      </c>
      <c r="B237" s="49" t="s">
        <v>2177</v>
      </c>
      <c r="C237" s="49" t="s">
        <v>14690</v>
      </c>
      <c r="D237" s="49">
        <v>236</v>
      </c>
      <c r="E237" s="78" t="str">
        <f t="shared" si="0"/>
        <v>E2_7_1_33</v>
      </c>
      <c r="F237" s="78" t="s">
        <v>13045</v>
      </c>
      <c r="G237" s="78" t="s">
        <v>13046</v>
      </c>
      <c r="H237" s="78" t="s">
        <v>13047</v>
      </c>
      <c r="I237" s="78" t="s">
        <v>13048</v>
      </c>
      <c r="J237" s="78" t="str">
        <f t="shared" si="1"/>
        <v>(${Variables:E2_7_1_33_kcat} * E2_7_1_33 * C00002*C00864)/(${Variables:E2_7_1_33_km} + (E2_7_1_33 * C00002*C00864))</v>
      </c>
      <c r="K237" s="79" t="str">
        <f t="shared" si="2"/>
        <v>r236: C00002+C00864 -&gt; C00008+C03492 | (${Variables:E2_7_1_33_kcat} * E2_7_1_33 * C00002*C00864)/(${Variables:E2_7_1_33_km} + (E2_7_1_33 * C00002*C00864))</v>
      </c>
    </row>
    <row r="238" spans="1:11" ht="26.5" x14ac:dyDescent="0.35">
      <c r="A238" s="78" t="s">
        <v>2206</v>
      </c>
      <c r="B238" s="49" t="s">
        <v>2207</v>
      </c>
      <c r="C238" s="49" t="s">
        <v>14691</v>
      </c>
      <c r="D238" s="49">
        <v>237</v>
      </c>
      <c r="E238" s="78" t="str">
        <f t="shared" si="0"/>
        <v>E2_1_2_9</v>
      </c>
      <c r="F238" s="78" t="s">
        <v>13049</v>
      </c>
      <c r="G238" s="78" t="s">
        <v>13050</v>
      </c>
      <c r="H238" s="78" t="s">
        <v>13051</v>
      </c>
      <c r="I238" s="78" t="s">
        <v>13052</v>
      </c>
      <c r="J238" s="78" t="str">
        <f t="shared" si="1"/>
        <v>(${Variables:E2_1_2_9_kcat} * E2_1_2_9 * C02430*C00234)/(${Variables:E2_1_2_9_km} + (E2_1_2_9 * C02430*C00234))</v>
      </c>
      <c r="K238" s="79" t="str">
        <f t="shared" si="2"/>
        <v>r237: C02430+C00234 -&gt; C00101+C03294 | (${Variables:E2_1_2_9_kcat} * E2_1_2_9 * C02430*C00234)/(${Variables:E2_1_2_9_km} + (E2_1_2_9 * C02430*C00234))</v>
      </c>
    </row>
    <row r="239" spans="1:11" ht="26.5" x14ac:dyDescent="0.35">
      <c r="A239" s="78" t="s">
        <v>2210</v>
      </c>
      <c r="B239" s="49" t="s">
        <v>2211</v>
      </c>
      <c r="C239" s="49" t="s">
        <v>14692</v>
      </c>
      <c r="D239" s="49">
        <v>238</v>
      </c>
      <c r="E239" s="78" t="str">
        <f t="shared" si="0"/>
        <v>E3_5_1_88</v>
      </c>
      <c r="F239" s="78" t="s">
        <v>13053</v>
      </c>
      <c r="G239" s="78" t="s">
        <v>13054</v>
      </c>
      <c r="H239" s="78" t="s">
        <v>13055</v>
      </c>
      <c r="I239" s="78" t="s">
        <v>13056</v>
      </c>
      <c r="J239" s="78" t="str">
        <f t="shared" si="1"/>
        <v>(${Variables:E3_5_1_88_kcat} * E3_5_1_88 * C11439*C00001)/(${Variables:E3_5_1_88_km} + (E3_5_1_88 * C11439*C00001))</v>
      </c>
      <c r="K239" s="79" t="str">
        <f t="shared" si="2"/>
        <v>r238: C11439+C00001 -&gt; C11440+C00058 | (${Variables:E3_5_1_88_kcat} * E3_5_1_88 * C11439*C00001)/(${Variables:E3_5_1_88_km} + (E3_5_1_88 * C11439*C00001))</v>
      </c>
    </row>
    <row r="240" spans="1:11" ht="26.5" x14ac:dyDescent="0.35">
      <c r="A240" s="78" t="s">
        <v>2210</v>
      </c>
      <c r="B240" s="49" t="s">
        <v>2211</v>
      </c>
      <c r="C240" s="49" t="s">
        <v>14692</v>
      </c>
      <c r="D240" s="49">
        <v>239</v>
      </c>
      <c r="E240" s="78" t="str">
        <f t="shared" si="0"/>
        <v>E3_5_1_88</v>
      </c>
      <c r="F240" s="78" t="s">
        <v>13057</v>
      </c>
      <c r="G240" s="78" t="s">
        <v>13058</v>
      </c>
      <c r="H240" s="78" t="s">
        <v>13059</v>
      </c>
      <c r="I240" s="78" t="s">
        <v>13060</v>
      </c>
      <c r="J240" s="78" t="str">
        <f t="shared" si="1"/>
        <v>(${Variables:E3_5_1_88_kcat} * E3_5_1_88 * C04258*C00001)/(${Variables:E3_5_1_88_km} + (E3_5_1_88 * C04258*C00001))</v>
      </c>
      <c r="K240" s="79" t="str">
        <f t="shared" si="2"/>
        <v>r239: C04258+C00001 -&gt; C00058+C03617 | (${Variables:E3_5_1_88_kcat} * E3_5_1_88 * C04258*C00001)/(${Variables:E3_5_1_88_km} + (E3_5_1_88 * C04258*C00001))</v>
      </c>
    </row>
    <row r="241" spans="1:11" ht="26.5" x14ac:dyDescent="0.35">
      <c r="A241" s="78" t="s">
        <v>2241</v>
      </c>
      <c r="B241" s="49" t="s">
        <v>2242</v>
      </c>
      <c r="C241" s="49" t="s">
        <v>14693</v>
      </c>
      <c r="D241" s="49">
        <v>240</v>
      </c>
      <c r="E241" s="78" t="str">
        <f t="shared" si="0"/>
        <v>E2_1_3_3</v>
      </c>
      <c r="F241" s="78" t="s">
        <v>13061</v>
      </c>
      <c r="G241" s="78" t="s">
        <v>13062</v>
      </c>
      <c r="H241" s="78" t="s">
        <v>13063</v>
      </c>
      <c r="I241" s="78" t="s">
        <v>13064</v>
      </c>
      <c r="J241" s="78" t="str">
        <f t="shared" si="1"/>
        <v>(${Variables:E2_1_3_3_kcat} * E2_1_3_3 * C00169*C00077)/(${Variables:E2_1_3_3_km} + (E2_1_3_3 * C00169*C00077))</v>
      </c>
      <c r="K241" s="79" t="str">
        <f t="shared" si="2"/>
        <v>r240: C00169+C00077 -&gt; C00009+C00327 | (${Variables:E2_1_3_3_kcat} * E2_1_3_3 * C00169*C00077)/(${Variables:E2_1_3_3_km} + (E2_1_3_3 * C00169*C00077))</v>
      </c>
    </row>
    <row r="242" spans="1:11" ht="26.5" x14ac:dyDescent="0.35">
      <c r="A242" s="78" t="s">
        <v>2245</v>
      </c>
      <c r="B242" s="49" t="s">
        <v>2246</v>
      </c>
      <c r="C242" s="49" t="s">
        <v>14694</v>
      </c>
      <c r="D242" s="49">
        <v>241</v>
      </c>
      <c r="E242" s="78" t="str">
        <f t="shared" si="0"/>
        <v>E2_7_2_2</v>
      </c>
      <c r="F242" s="78" t="s">
        <v>13065</v>
      </c>
      <c r="G242" s="78" t="s">
        <v>13066</v>
      </c>
      <c r="H242" s="78" t="s">
        <v>13067</v>
      </c>
      <c r="I242" s="78" t="s">
        <v>13068</v>
      </c>
      <c r="J242" s="78" t="str">
        <f t="shared" si="1"/>
        <v>(${Variables:E2_7_2_2_kcat} * E2_7_2_2 * C00002*C00014*C00288)/(${Variables:E2_7_2_2_km} + (E2_7_2_2 * C00002*C00014*C00288))</v>
      </c>
      <c r="K242" s="79" t="str">
        <f t="shared" si="2"/>
        <v>r241: C00002+C00014+C00288 -&gt; C00008+C00169+C00001 | (${Variables:E2_7_2_2_kcat} * E2_7_2_2 * C00002*C00014*C00288)/(${Variables:E2_7_2_2_km} + (E2_7_2_2 * C00002*C00014*C00288))</v>
      </c>
    </row>
    <row r="243" spans="1:11" ht="26.5" x14ac:dyDescent="0.35">
      <c r="A243" s="78" t="s">
        <v>2245</v>
      </c>
      <c r="B243" s="49" t="s">
        <v>2246</v>
      </c>
      <c r="C243" s="49" t="s">
        <v>14694</v>
      </c>
      <c r="D243" s="49">
        <v>242</v>
      </c>
      <c r="E243" s="78" t="str">
        <f t="shared" si="0"/>
        <v>E2_7_2_2</v>
      </c>
      <c r="F243" s="78" t="s">
        <v>13069</v>
      </c>
      <c r="G243" s="78" t="s">
        <v>13070</v>
      </c>
      <c r="H243" s="78" t="s">
        <v>13071</v>
      </c>
      <c r="I243" s="78" t="s">
        <v>13072</v>
      </c>
      <c r="J243" s="78" t="str">
        <f t="shared" si="1"/>
        <v>(${Variables:E2_7_2_2_kcat} * E2_7_2_2 * C00002*C01563)/(${Variables:E2_7_2_2_km} + (E2_7_2_2 * C00002*C01563))</v>
      </c>
      <c r="K243" s="79" t="str">
        <f t="shared" si="2"/>
        <v>r242: C00002+C01563 -&gt; C00008+C00169 | (${Variables:E2_7_2_2_kcat} * E2_7_2_2 * C00002*C01563)/(${Variables:E2_7_2_2_km} + (E2_7_2_2 * C00002*C01563))</v>
      </c>
    </row>
    <row r="244" spans="1:11" ht="26.5" x14ac:dyDescent="0.35">
      <c r="A244" s="78" t="s">
        <v>2270</v>
      </c>
      <c r="B244" s="49" t="s">
        <v>2271</v>
      </c>
      <c r="C244" s="49" t="s">
        <v>14695</v>
      </c>
      <c r="D244" s="49">
        <v>243</v>
      </c>
      <c r="E244" s="78" t="str">
        <f t="shared" si="0"/>
        <v>E3_1_4_16</v>
      </c>
      <c r="F244" s="78" t="s">
        <v>13073</v>
      </c>
      <c r="G244" s="78" t="s">
        <v>13074</v>
      </c>
      <c r="H244" s="78" t="s">
        <v>7210</v>
      </c>
      <c r="I244" s="78" t="s">
        <v>7210</v>
      </c>
      <c r="J244" s="78" t="str">
        <f t="shared" si="1"/>
        <v>(${Variables:E3_1_4_16_kcat} * E3_1_4_16 * C01240*C00001)/(${Variables:E3_1_4_16_km} + (E3_1_4_16 * C01240*C00001))</v>
      </c>
      <c r="K244" s="79" t="str">
        <f t="shared" si="2"/>
        <v>r243: C01240+C00001 -&gt; C03419 | (${Variables:E3_1_4_16_kcat} * E3_1_4_16 * C01240*C00001)/(${Variables:E3_1_4_16_km} + (E3_1_4_16 * C01240*C00001))</v>
      </c>
    </row>
    <row r="245" spans="1:11" ht="26.5" x14ac:dyDescent="0.35">
      <c r="A245" s="78" t="s">
        <v>2270</v>
      </c>
      <c r="B245" s="49" t="s">
        <v>2271</v>
      </c>
      <c r="C245" s="49" t="s">
        <v>14695</v>
      </c>
      <c r="D245" s="49">
        <v>244</v>
      </c>
      <c r="E245" s="78" t="str">
        <f t="shared" si="0"/>
        <v>E3_1_4_16</v>
      </c>
      <c r="F245" s="78" t="s">
        <v>13075</v>
      </c>
      <c r="G245" s="78" t="s">
        <v>13076</v>
      </c>
      <c r="H245" s="78" t="s">
        <v>7213</v>
      </c>
      <c r="I245" s="78" t="s">
        <v>7213</v>
      </c>
      <c r="J245" s="78" t="str">
        <f t="shared" si="1"/>
        <v>(${Variables:E3_1_4_16_kcat} * E3_1_4_16 * C02353*C00001)/(${Variables:E3_1_4_16_km} + (E3_1_4_16 * C02353*C00001))</v>
      </c>
      <c r="K245" s="79" t="str">
        <f t="shared" si="2"/>
        <v>r244: C02353+C00001 -&gt; C01367 | (${Variables:E3_1_4_16_kcat} * E3_1_4_16 * C02353*C00001)/(${Variables:E3_1_4_16_km} + (E3_1_4_16 * C02353*C00001))</v>
      </c>
    </row>
    <row r="246" spans="1:11" ht="26.5" x14ac:dyDescent="0.35">
      <c r="A246" s="78" t="s">
        <v>2270</v>
      </c>
      <c r="B246" s="49" t="s">
        <v>2271</v>
      </c>
      <c r="C246" s="49" t="s">
        <v>14695</v>
      </c>
      <c r="D246" s="49">
        <v>245</v>
      </c>
      <c r="E246" s="78" t="str">
        <f t="shared" si="0"/>
        <v>E3_1_4_16</v>
      </c>
      <c r="F246" s="78" t="s">
        <v>13077</v>
      </c>
      <c r="G246" s="78" t="s">
        <v>13078</v>
      </c>
      <c r="H246" s="78" t="s">
        <v>7216</v>
      </c>
      <c r="I246" s="78" t="s">
        <v>7216</v>
      </c>
      <c r="J246" s="78" t="str">
        <f t="shared" si="1"/>
        <v>(${Variables:E3_1_4_16_kcat} * E3_1_4_16 * C02355*C00001)/(${Variables:E3_1_4_16_km} + (E3_1_4_16 * C02355*C00001))</v>
      </c>
      <c r="K246" s="79" t="str">
        <f t="shared" si="2"/>
        <v>r245: C02355+C00001 -&gt; C01368 | (${Variables:E3_1_4_16_kcat} * E3_1_4_16 * C02355*C00001)/(${Variables:E3_1_4_16_km} + (E3_1_4_16 * C02355*C00001))</v>
      </c>
    </row>
    <row r="247" spans="1:11" ht="26.5" x14ac:dyDescent="0.35">
      <c r="A247" s="78" t="s">
        <v>2270</v>
      </c>
      <c r="B247" s="49" t="s">
        <v>2271</v>
      </c>
      <c r="C247" s="49" t="s">
        <v>14695</v>
      </c>
      <c r="D247" s="49">
        <v>246</v>
      </c>
      <c r="E247" s="78" t="str">
        <f t="shared" si="0"/>
        <v>E3_1_4_16</v>
      </c>
      <c r="F247" s="78" t="s">
        <v>13079</v>
      </c>
      <c r="G247" s="78" t="s">
        <v>13080</v>
      </c>
      <c r="H247" s="78" t="s">
        <v>7219</v>
      </c>
      <c r="I247" s="78" t="s">
        <v>7219</v>
      </c>
      <c r="J247" s="78" t="str">
        <f t="shared" si="1"/>
        <v>(${Variables:E3_1_4_16_kcat} * E3_1_4_16 * C02354*C00001)/(${Variables:E3_1_4_16_km} + (E3_1_4_16 * C02354*C00001))</v>
      </c>
      <c r="K247" s="79" t="str">
        <f t="shared" si="2"/>
        <v>r246: C02354+C00001 -&gt; C05822 | (${Variables:E3_1_4_16_kcat} * E3_1_4_16 * C02354*C00001)/(${Variables:E3_1_4_16_km} + (E3_1_4_16 * C02354*C00001))</v>
      </c>
    </row>
    <row r="248" spans="1:11" ht="26.5" x14ac:dyDescent="0.35">
      <c r="A248" s="78" t="s">
        <v>2270</v>
      </c>
      <c r="B248" s="49" t="s">
        <v>2271</v>
      </c>
      <c r="C248" s="49" t="s">
        <v>14695</v>
      </c>
      <c r="D248" s="49">
        <v>247</v>
      </c>
      <c r="E248" s="78" t="str">
        <f t="shared" si="0"/>
        <v>E3_1_4_16</v>
      </c>
      <c r="F248" s="78" t="s">
        <v>13081</v>
      </c>
      <c r="G248" s="78" t="s">
        <v>13082</v>
      </c>
      <c r="H248" s="78" t="s">
        <v>7222</v>
      </c>
      <c r="I248" s="78" t="s">
        <v>7222</v>
      </c>
      <c r="J248" s="78" t="str">
        <f t="shared" si="1"/>
        <v>(${Variables:E3_1_4_16_kcat} * E3_1_4_16 * C06194*C00001)/(${Variables:E3_1_4_16_km} + (E3_1_4_16 * C06194*C00001))</v>
      </c>
      <c r="K248" s="79" t="str">
        <f t="shared" si="2"/>
        <v>r247: C06194+C00001 -&gt; C06193 | (${Variables:E3_1_4_16_kcat} * E3_1_4_16 * C06194*C00001)/(${Variables:E3_1_4_16_km} + (E3_1_4_16 * C06194*C00001))</v>
      </c>
    </row>
    <row r="249" spans="1:11" ht="26.5" x14ac:dyDescent="0.35">
      <c r="A249" s="78" t="s">
        <v>2304</v>
      </c>
      <c r="B249" s="49" t="s">
        <v>2305</v>
      </c>
      <c r="C249" s="49" t="s">
        <v>14696</v>
      </c>
      <c r="D249" s="49">
        <v>248</v>
      </c>
      <c r="E249" s="78" t="str">
        <f t="shared" si="0"/>
        <v>E6_1_1_2</v>
      </c>
      <c r="F249" s="78" t="s">
        <v>13083</v>
      </c>
      <c r="G249" s="78" t="s">
        <v>13084</v>
      </c>
      <c r="H249" s="78" t="s">
        <v>13085</v>
      </c>
      <c r="I249" s="78" t="s">
        <v>13086</v>
      </c>
      <c r="J249" s="78" t="str">
        <f t="shared" si="1"/>
        <v>(${Variables:E6_1_1_2_kcat} * E6_1_1_2 * C00002*C00078*C01652)/(${Variables:E6_1_1_2_km} + (E6_1_1_2 * C00002*C00078*C01652))</v>
      </c>
      <c r="K249" s="79" t="str">
        <f t="shared" si="2"/>
        <v>r248: C00002+C00078+C01652 -&gt; C00020+C00013+C03512 | (${Variables:E6_1_1_2_kcat} * E6_1_1_2 * C00002*C00078*C01652)/(${Variables:E6_1_1_2_km} + (E6_1_1_2 * C00002*C00078*C01652))</v>
      </c>
    </row>
    <row r="250" spans="1:11" ht="26" x14ac:dyDescent="0.35">
      <c r="A250" s="78" t="s">
        <v>2312</v>
      </c>
      <c r="B250" s="49" t="s">
        <v>2313</v>
      </c>
      <c r="C250" s="49" t="s">
        <v>14697</v>
      </c>
      <c r="D250" s="49">
        <v>249</v>
      </c>
      <c r="E250" s="78" t="str">
        <f t="shared" si="0"/>
        <v>E4_3_2_2</v>
      </c>
      <c r="F250" s="78" t="s">
        <v>7234</v>
      </c>
      <c r="G250" s="78" t="s">
        <v>7234</v>
      </c>
      <c r="H250" s="78" t="s">
        <v>13087</v>
      </c>
      <c r="I250" s="78" t="s">
        <v>13088</v>
      </c>
      <c r="J250" s="78" t="str">
        <f t="shared" si="1"/>
        <v>(${Variables:E4_3_2_2_kcat} * E4_3_2_2 * C03794)/(${Variables:E4_3_2_2_km} + (E4_3_2_2 * C03794))</v>
      </c>
      <c r="K250" s="79" t="str">
        <f t="shared" si="2"/>
        <v>r249: C03794 -&gt; C00122+C00020 | (${Variables:E4_3_2_2_kcat} * E4_3_2_2 * C03794)/(${Variables:E4_3_2_2_km} + (E4_3_2_2 * C03794))</v>
      </c>
    </row>
    <row r="251" spans="1:11" ht="26" x14ac:dyDescent="0.35">
      <c r="A251" s="78" t="s">
        <v>2312</v>
      </c>
      <c r="B251" s="49" t="s">
        <v>2313</v>
      </c>
      <c r="C251" s="49" t="s">
        <v>14697</v>
      </c>
      <c r="D251" s="49">
        <v>250</v>
      </c>
      <c r="E251" s="78" t="str">
        <f t="shared" si="0"/>
        <v>E4_3_2_2</v>
      </c>
      <c r="F251" s="78" t="s">
        <v>7237</v>
      </c>
      <c r="G251" s="78" t="s">
        <v>7237</v>
      </c>
      <c r="H251" s="78" t="s">
        <v>13089</v>
      </c>
      <c r="I251" s="78" t="s">
        <v>13090</v>
      </c>
      <c r="J251" s="78" t="str">
        <f t="shared" si="1"/>
        <v>(${Variables:E4_3_2_2_kcat} * E4_3_2_2 * C04823)/(${Variables:E4_3_2_2_km} + (E4_3_2_2 * C04823))</v>
      </c>
      <c r="K251" s="79" t="str">
        <f t="shared" si="2"/>
        <v>r250: C04823 -&gt; C00122+C04677 | (${Variables:E4_3_2_2_kcat} * E4_3_2_2 * C04823)/(${Variables:E4_3_2_2_km} + (E4_3_2_2 * C04823))</v>
      </c>
    </row>
    <row r="252" spans="1:11" ht="26" x14ac:dyDescent="0.35">
      <c r="A252" s="78" t="s">
        <v>2312</v>
      </c>
      <c r="B252" s="49" t="s">
        <v>2313</v>
      </c>
      <c r="C252" s="49" t="s">
        <v>14697</v>
      </c>
      <c r="D252" s="49">
        <v>251</v>
      </c>
      <c r="E252" s="78" t="str">
        <f t="shared" si="0"/>
        <v>E4_3_2_2</v>
      </c>
      <c r="F252" s="78" t="s">
        <v>7240</v>
      </c>
      <c r="G252" s="78" t="s">
        <v>7240</v>
      </c>
      <c r="H252" s="78" t="s">
        <v>13091</v>
      </c>
      <c r="I252" s="78" t="s">
        <v>13092</v>
      </c>
      <c r="J252" s="78" t="str">
        <f t="shared" si="1"/>
        <v>(${Variables:E4_3_2_2_kcat} * E4_3_2_2 * C22395)/(${Variables:E4_3_2_2_km} + (E4_3_2_2 * C22395))</v>
      </c>
      <c r="K252" s="79" t="str">
        <f t="shared" si="2"/>
        <v>r251: C22395 -&gt; C22441+C00122 | (${Variables:E4_3_2_2_kcat} * E4_3_2_2 * C22395)/(${Variables:E4_3_2_2_km} + (E4_3_2_2 * C22395))</v>
      </c>
    </row>
    <row r="253" spans="1:11" ht="26.5" x14ac:dyDescent="0.35">
      <c r="A253" s="78" t="s">
        <v>2334</v>
      </c>
      <c r="B253" s="49" t="s">
        <v>2335</v>
      </c>
      <c r="C253" s="49" t="s">
        <v>14698</v>
      </c>
      <c r="D253" s="49">
        <v>252</v>
      </c>
      <c r="E253" s="78" t="str">
        <f t="shared" si="0"/>
        <v>E1_7_2_3</v>
      </c>
      <c r="F253" s="78" t="s">
        <v>13093</v>
      </c>
      <c r="G253" s="78" t="s">
        <v>13094</v>
      </c>
      <c r="H253" s="78" t="s">
        <v>13095</v>
      </c>
      <c r="I253" s="78" t="s">
        <v>13096</v>
      </c>
      <c r="J253" s="78" t="str">
        <f t="shared" si="1"/>
        <v>(${Variables:E1_7_2_3_kcat} * E1_7_2_3 * C00565*C00125*C00001)/(${Variables:E1_7_2_3_km} + (E1_7_2_3 * C00565*C00125*C00001))</v>
      </c>
      <c r="K253" s="79" t="str">
        <f t="shared" si="2"/>
        <v>r252: C00565+C00125+C00001 -&gt; C01104+C00126+C00080 | (${Variables:E1_7_2_3_kcat} * E1_7_2_3 * C00565*C00125*C00001)/(${Variables:E1_7_2_3_km} + (E1_7_2_3 * C00565*C00125*C00001))</v>
      </c>
    </row>
    <row r="254" spans="1:11" ht="26.5" x14ac:dyDescent="0.35">
      <c r="A254" s="78" t="s">
        <v>2343</v>
      </c>
      <c r="B254" s="49" t="s">
        <v>2344</v>
      </c>
      <c r="C254" s="49" t="s">
        <v>14699</v>
      </c>
      <c r="D254" s="49">
        <v>253</v>
      </c>
      <c r="E254" s="78" t="str">
        <f t="shared" si="0"/>
        <v>E1_2_1_11</v>
      </c>
      <c r="F254" s="78" t="s">
        <v>13097</v>
      </c>
      <c r="G254" s="78" t="s">
        <v>13098</v>
      </c>
      <c r="H254" s="78" t="s">
        <v>13099</v>
      </c>
      <c r="I254" s="78" t="s">
        <v>13100</v>
      </c>
      <c r="J254" s="78" t="str">
        <f t="shared" si="1"/>
        <v>(${Variables:E1_2_1_11_kcat} * E1_2_1_11 * C00441*C00009*C00006)/(${Variables:E1_2_1_11_km} + (E1_2_1_11 * C00441*C00009*C00006))</v>
      </c>
      <c r="K254" s="79" t="str">
        <f t="shared" si="2"/>
        <v>r253: C00441+C00009+C00006 -&gt; C03082+C00005+C00080 | (${Variables:E1_2_1_11_kcat} * E1_2_1_11 * C00441*C00009*C00006)/(${Variables:E1_2_1_11_km} + (E1_2_1_11 * C00441*C00009*C00006))</v>
      </c>
    </row>
    <row r="255" spans="1:11" ht="26.5" x14ac:dyDescent="0.35">
      <c r="A255" s="78" t="s">
        <v>2363</v>
      </c>
      <c r="B255" s="49" t="s">
        <v>2364</v>
      </c>
      <c r="C255" s="49" t="s">
        <v>14700</v>
      </c>
      <c r="D255" s="49">
        <v>254</v>
      </c>
      <c r="E255" s="78" t="str">
        <f t="shared" si="0"/>
        <v>E2_7_7_3</v>
      </c>
      <c r="F255" s="78" t="s">
        <v>13101</v>
      </c>
      <c r="G255" s="78" t="s">
        <v>13102</v>
      </c>
      <c r="H255" s="78" t="s">
        <v>13103</v>
      </c>
      <c r="I255" s="78" t="s">
        <v>13104</v>
      </c>
      <c r="J255" s="78" t="str">
        <f t="shared" si="1"/>
        <v>(${Variables:E2_7_7_3_kcat} * E2_7_7_3 * C00002*C01134)/(${Variables:E2_7_7_3_km} + (E2_7_7_3 * C00002*C01134))</v>
      </c>
      <c r="K255" s="79" t="str">
        <f t="shared" si="2"/>
        <v>r254: C00002+C01134 -&gt; C00013+C00882 | (${Variables:E2_7_7_3_kcat} * E2_7_7_3 * C00002*C01134)/(${Variables:E2_7_7_3_km} + (E2_7_7_3 * C00002*C01134))</v>
      </c>
    </row>
    <row r="256" spans="1:11" ht="26.5" x14ac:dyDescent="0.35">
      <c r="A256" s="78" t="s">
        <v>2367</v>
      </c>
      <c r="B256" s="49" t="s">
        <v>2368</v>
      </c>
      <c r="C256" s="49" t="s">
        <v>14701</v>
      </c>
      <c r="D256" s="49">
        <v>255</v>
      </c>
      <c r="E256" s="78" t="str">
        <f t="shared" si="0"/>
        <v>E2_4_99_12</v>
      </c>
      <c r="F256" s="78" t="s">
        <v>13105</v>
      </c>
      <c r="G256" s="78" t="s">
        <v>13106</v>
      </c>
      <c r="H256" s="78" t="s">
        <v>13107</v>
      </c>
      <c r="I256" s="78" t="s">
        <v>13108</v>
      </c>
      <c r="J256" s="78" t="str">
        <f t="shared" si="1"/>
        <v>(${Variables:E2_4_99_12_kcat} * E2_4_99_12 * C04919*C04121)/(${Variables:E2_4_99_12_km} + (E2_4_99_12 * C04919*C04121))</v>
      </c>
      <c r="K256" s="79" t="str">
        <f t="shared" si="2"/>
        <v>r255: C04919+C04121 -&gt; C06024+C00055 | (${Variables:E2_4_99_12_kcat} * E2_4_99_12 * C04919*C04121)/(${Variables:E2_4_99_12_km} + (E2_4_99_12 * C04919*C04121))</v>
      </c>
    </row>
    <row r="257" spans="1:11" ht="26.5" x14ac:dyDescent="0.35">
      <c r="A257" s="78" t="s">
        <v>2379</v>
      </c>
      <c r="B257" s="49" t="s">
        <v>2380</v>
      </c>
      <c r="C257" s="49" t="s">
        <v>14702</v>
      </c>
      <c r="D257" s="49">
        <v>256</v>
      </c>
      <c r="E257" s="78" t="str">
        <f t="shared" ref="E257:E511" si="3">CONCATENATE("E",C257)</f>
        <v>E1_1_1_25</v>
      </c>
      <c r="F257" s="78" t="s">
        <v>13109</v>
      </c>
      <c r="G257" s="78" t="s">
        <v>13110</v>
      </c>
      <c r="H257" s="78" t="s">
        <v>13111</v>
      </c>
      <c r="I257" s="78" t="s">
        <v>13112</v>
      </c>
      <c r="J257" s="78" t="str">
        <f t="shared" ref="J257:J511" si="4">CONCATENATE("(${Variables:",E257,"_kcat","} * ",E257," * ",G257,")","/(${Variables:",E257,"_km","} + (",E257," * ",G257,"))")</f>
        <v>(${Variables:E1_1_1_25_kcat} * E1_1_1_25 * C00493*C00006)/(${Variables:E1_1_1_25_km} + (E1_1_1_25 * C00493*C00006))</v>
      </c>
      <c r="K257" s="79" t="str">
        <f t="shared" ref="K257:K511" si="5">CONCATENATE("r",D257,": ",F257," -&gt; ",H257," | ",J257)</f>
        <v>r256: C00493+C00006 -&gt; C02637+C00005+C00080 | (${Variables:E1_1_1_25_kcat} * E1_1_1_25 * C00493*C00006)/(${Variables:E1_1_1_25_km} + (E1_1_1_25 * C00493*C00006))</v>
      </c>
    </row>
    <row r="258" spans="1:11" ht="26.5" x14ac:dyDescent="0.35">
      <c r="A258" s="78" t="s">
        <v>2379</v>
      </c>
      <c r="B258" s="49" t="s">
        <v>2380</v>
      </c>
      <c r="C258" s="49" t="s">
        <v>14702</v>
      </c>
      <c r="D258" s="49">
        <v>257</v>
      </c>
      <c r="E258" s="78" t="str">
        <f t="shared" si="3"/>
        <v>E1_1_1_25</v>
      </c>
      <c r="F258" s="78" t="s">
        <v>13113</v>
      </c>
      <c r="G258" s="78" t="s">
        <v>13114</v>
      </c>
      <c r="H258" s="78" t="s">
        <v>13115</v>
      </c>
      <c r="I258" s="78" t="s">
        <v>13116</v>
      </c>
      <c r="J258" s="78" t="str">
        <f t="shared" si="4"/>
        <v>(${Variables:E1_1_1_25_kcat} * E1_1_1_25 * C02637*C00006)/(${Variables:E1_1_1_25_km} + (E1_1_1_25 * C02637*C00006))</v>
      </c>
      <c r="K258" s="79" t="str">
        <f t="shared" si="5"/>
        <v>r257: C02637+C00006 -&gt; C22438+C00005+C00080 | (${Variables:E1_1_1_25_kcat} * E1_1_1_25 * C02637*C00006)/(${Variables:E1_1_1_25_km} + (E1_1_1_25 * C02637*C00006))</v>
      </c>
    </row>
    <row r="259" spans="1:11" ht="26.5" x14ac:dyDescent="0.35">
      <c r="A259" s="78" t="s">
        <v>2407</v>
      </c>
      <c r="B259" s="49" t="s">
        <v>2408</v>
      </c>
      <c r="C259" s="49" t="s">
        <v>14703</v>
      </c>
      <c r="D259" s="49">
        <v>258</v>
      </c>
      <c r="E259" s="78" t="str">
        <f t="shared" si="3"/>
        <v>E3_1_3_11</v>
      </c>
      <c r="F259" s="78" t="s">
        <v>13117</v>
      </c>
      <c r="G259" s="78" t="s">
        <v>13118</v>
      </c>
      <c r="H259" s="78" t="s">
        <v>13119</v>
      </c>
      <c r="I259" s="78" t="s">
        <v>13120</v>
      </c>
      <c r="J259" s="78" t="str">
        <f t="shared" si="4"/>
        <v>(${Variables:E3_1_3_11_kcat} * E3_1_3_11 * C00354*C00001)/(${Variables:E3_1_3_11_km} + (E3_1_3_11 * C00354*C00001))</v>
      </c>
      <c r="K259" s="79" t="str">
        <f t="shared" si="5"/>
        <v>r258: C00354+C00001 -&gt; C00085+C00009 | (${Variables:E3_1_3_11_kcat} * E3_1_3_11 * C00354*C00001)/(${Variables:E3_1_3_11_km} + (E3_1_3_11 * C00354*C00001))</v>
      </c>
    </row>
    <row r="260" spans="1:11" ht="26.5" x14ac:dyDescent="0.35">
      <c r="A260" s="78" t="s">
        <v>2407</v>
      </c>
      <c r="B260" s="49" t="s">
        <v>2408</v>
      </c>
      <c r="C260" s="49" t="s">
        <v>14703</v>
      </c>
      <c r="D260" s="49">
        <v>259</v>
      </c>
      <c r="E260" s="78" t="str">
        <f t="shared" si="3"/>
        <v>E3_1_3_11</v>
      </c>
      <c r="F260" s="78" t="s">
        <v>13121</v>
      </c>
      <c r="G260" s="78" t="s">
        <v>13122</v>
      </c>
      <c r="H260" s="78" t="s">
        <v>13123</v>
      </c>
      <c r="I260" s="78" t="s">
        <v>13124</v>
      </c>
      <c r="J260" s="78" t="str">
        <f t="shared" si="4"/>
        <v>(${Variables:E3_1_3_11_kcat} * E3_1_3_11 * C05378*C00001)/(${Variables:E3_1_3_11_km} + (E3_1_3_11 * C05378*C00001))</v>
      </c>
      <c r="K260" s="79" t="str">
        <f t="shared" si="5"/>
        <v>r259: C05378+C00001 -&gt; C05345+C00009 | (${Variables:E3_1_3_11_kcat} * E3_1_3_11 * C05378*C00001)/(${Variables:E3_1_3_11_km} + (E3_1_3_11 * C05378*C00001))</v>
      </c>
    </row>
    <row r="261" spans="1:11" ht="26.5" x14ac:dyDescent="0.35">
      <c r="A261" s="78" t="s">
        <v>2407</v>
      </c>
      <c r="B261" s="49" t="s">
        <v>2408</v>
      </c>
      <c r="C261" s="49" t="s">
        <v>14703</v>
      </c>
      <c r="D261" s="49">
        <v>260</v>
      </c>
      <c r="E261" s="78" t="str">
        <f t="shared" si="3"/>
        <v>E3_1_3_11</v>
      </c>
      <c r="F261" s="78" t="s">
        <v>13125</v>
      </c>
      <c r="G261" s="78" t="s">
        <v>13126</v>
      </c>
      <c r="H261" s="78" t="s">
        <v>13127</v>
      </c>
      <c r="I261" s="78" t="s">
        <v>13128</v>
      </c>
      <c r="J261" s="78" t="str">
        <f t="shared" si="4"/>
        <v>(${Variables:E3_1_3_11_kcat} * E3_1_3_11 * C00447*C00001)/(${Variables:E3_1_3_11_km} + (E3_1_3_11 * C00447*C00001))</v>
      </c>
      <c r="K261" s="79" t="str">
        <f t="shared" si="5"/>
        <v>r260: C00447+C00001 -&gt; C05382+C00009 | (${Variables:E3_1_3_11_kcat} * E3_1_3_11 * C00447*C00001)/(${Variables:E3_1_3_11_km} + (E3_1_3_11 * C00447*C00001))</v>
      </c>
    </row>
    <row r="262" spans="1:11" ht="26" x14ac:dyDescent="0.35">
      <c r="A262" s="78" t="s">
        <v>2423</v>
      </c>
      <c r="B262" s="49" t="s">
        <v>2424</v>
      </c>
      <c r="C262" s="49" t="s">
        <v>14704</v>
      </c>
      <c r="D262" s="49">
        <v>261</v>
      </c>
      <c r="E262" s="78" t="str">
        <f t="shared" si="3"/>
        <v>E4_6_1_12</v>
      </c>
      <c r="F262" s="78" t="s">
        <v>7286</v>
      </c>
      <c r="G262" s="78" t="s">
        <v>7286</v>
      </c>
      <c r="H262" s="78" t="s">
        <v>13129</v>
      </c>
      <c r="I262" s="78" t="s">
        <v>13130</v>
      </c>
      <c r="J262" s="78" t="str">
        <f t="shared" si="4"/>
        <v>(${Variables:E4_6_1_12_kcat} * E4_6_1_12 * C11436)/(${Variables:E4_6_1_12_km} + (E4_6_1_12 * C11436))</v>
      </c>
      <c r="K262" s="79" t="str">
        <f t="shared" si="5"/>
        <v>r261: C11436 -&gt; C11453+C00055 | (${Variables:E4_6_1_12_kcat} * E4_6_1_12 * C11436)/(${Variables:E4_6_1_12_km} + (E4_6_1_12 * C11436))</v>
      </c>
    </row>
    <row r="263" spans="1:11" ht="26.5" x14ac:dyDescent="0.35">
      <c r="A263" s="78" t="s">
        <v>2427</v>
      </c>
      <c r="B263" s="49" t="s">
        <v>2428</v>
      </c>
      <c r="C263" s="49" t="s">
        <v>14705</v>
      </c>
      <c r="D263" s="49">
        <v>262</v>
      </c>
      <c r="E263" s="78" t="str">
        <f t="shared" si="3"/>
        <v>E2_7_7_60</v>
      </c>
      <c r="F263" s="78" t="s">
        <v>13131</v>
      </c>
      <c r="G263" s="78" t="s">
        <v>13132</v>
      </c>
      <c r="H263" s="78" t="s">
        <v>13133</v>
      </c>
      <c r="I263" s="78" t="s">
        <v>13134</v>
      </c>
      <c r="J263" s="78" t="str">
        <f t="shared" si="4"/>
        <v>(${Variables:E2_7_7_60_kcat} * E2_7_7_60 * C11434*C00063)/(${Variables:E2_7_7_60_km} + (E2_7_7_60 * C11434*C00063))</v>
      </c>
      <c r="K263" s="79" t="str">
        <f t="shared" si="5"/>
        <v>r262: C11434+C00063 -&gt; C11435+C00013 | (${Variables:E2_7_7_60_kcat} * E2_7_7_60 * C11434*C00063)/(${Variables:E2_7_7_60_km} + (E2_7_7_60 * C11434*C00063))</v>
      </c>
    </row>
    <row r="264" spans="1:11" ht="26.5" x14ac:dyDescent="0.35">
      <c r="A264" s="78" t="s">
        <v>2435</v>
      </c>
      <c r="B264" s="49" t="s">
        <v>2436</v>
      </c>
      <c r="C264" s="49" t="s">
        <v>14706</v>
      </c>
      <c r="D264" s="49">
        <v>263</v>
      </c>
      <c r="E264" s="78" t="str">
        <f t="shared" si="3"/>
        <v>E2_4_2_22</v>
      </c>
      <c r="F264" s="78" t="s">
        <v>13135</v>
      </c>
      <c r="G264" s="78" t="s">
        <v>13136</v>
      </c>
      <c r="H264" s="78" t="s">
        <v>13137</v>
      </c>
      <c r="I264" s="78" t="s">
        <v>13138</v>
      </c>
      <c r="J264" s="78" t="str">
        <f t="shared" si="4"/>
        <v>(${Variables:E2_4_2_22_kcat} * E2_4_2_22 * C00655*C00013)/(${Variables:E2_4_2_22_km} + (E2_4_2_22 * C00655*C00013))</v>
      </c>
      <c r="K264" s="79" t="str">
        <f t="shared" si="5"/>
        <v>r263: C00655+C00013 -&gt; C00385+C00119 | (${Variables:E2_4_2_22_kcat} * E2_4_2_22 * C00655*C00013)/(${Variables:E2_4_2_22_km} + (E2_4_2_22 * C00655*C00013))</v>
      </c>
    </row>
    <row r="265" spans="1:11" ht="26.5" x14ac:dyDescent="0.35">
      <c r="A265" s="78" t="s">
        <v>2435</v>
      </c>
      <c r="B265" s="49" t="s">
        <v>2436</v>
      </c>
      <c r="C265" s="49" t="s">
        <v>14706</v>
      </c>
      <c r="D265" s="49">
        <v>264</v>
      </c>
      <c r="E265" s="78" t="str">
        <f t="shared" si="3"/>
        <v>E2_4_2_22</v>
      </c>
      <c r="F265" s="78" t="s">
        <v>12809</v>
      </c>
      <c r="G265" s="78" t="s">
        <v>12810</v>
      </c>
      <c r="H265" s="78" t="s">
        <v>13139</v>
      </c>
      <c r="I265" s="78" t="s">
        <v>13140</v>
      </c>
      <c r="J265" s="78" t="str">
        <f t="shared" si="4"/>
        <v>(${Variables:E2_4_2_22_kcat} * E2_4_2_22 * C00144*C00013)/(${Variables:E2_4_2_22_km} + (E2_4_2_22 * C00144*C00013))</v>
      </c>
      <c r="K265" s="79" t="str">
        <f t="shared" si="5"/>
        <v>r264: C00144+C00013 -&gt; C00242+C00119 | (${Variables:E2_4_2_22_kcat} * E2_4_2_22 * C00144*C00013)/(${Variables:E2_4_2_22_km} + (E2_4_2_22 * C00144*C00013))</v>
      </c>
    </row>
    <row r="266" spans="1:11" ht="26" x14ac:dyDescent="0.35">
      <c r="A266" s="78" t="s">
        <v>2449</v>
      </c>
      <c r="B266" s="49" t="s">
        <v>2450</v>
      </c>
      <c r="C266" s="49" t="s">
        <v>14707</v>
      </c>
      <c r="D266" s="49">
        <v>265</v>
      </c>
      <c r="E266" s="78" t="str">
        <f t="shared" si="3"/>
        <v>E5_3_1_1</v>
      </c>
      <c r="F266" s="49" t="s">
        <v>7303</v>
      </c>
      <c r="G266" s="49" t="s">
        <v>7303</v>
      </c>
      <c r="H266" s="78" t="s">
        <v>7304</v>
      </c>
      <c r="I266" s="78" t="s">
        <v>7304</v>
      </c>
      <c r="J266" s="78" t="str">
        <f t="shared" si="4"/>
        <v>(${Variables:E5_3_1_1_kcat} * E5_3_1_1 * C00118)/(${Variables:E5_3_1_1_km} + (E5_3_1_1 * C00118))</v>
      </c>
      <c r="K266" s="79" t="str">
        <f t="shared" si="5"/>
        <v>r265: C00118 -&gt; C00111 | (${Variables:E5_3_1_1_kcat} * E5_3_1_1 * C00118)/(${Variables:E5_3_1_1_km} + (E5_3_1_1 * C00118))</v>
      </c>
    </row>
    <row r="267" spans="1:11" ht="26.5" x14ac:dyDescent="0.35">
      <c r="A267" s="78" t="s">
        <v>2453</v>
      </c>
      <c r="B267" s="49" t="s">
        <v>2454</v>
      </c>
      <c r="C267" s="49" t="s">
        <v>14708</v>
      </c>
      <c r="D267" s="49">
        <v>266</v>
      </c>
      <c r="E267" s="78" t="str">
        <f t="shared" si="3"/>
        <v>E2_8_1_1</v>
      </c>
      <c r="F267" s="78" t="s">
        <v>13141</v>
      </c>
      <c r="G267" s="78" t="s">
        <v>13142</v>
      </c>
      <c r="H267" s="78" t="s">
        <v>13143</v>
      </c>
      <c r="I267" s="78" t="s">
        <v>13144</v>
      </c>
      <c r="J267" s="78" t="str">
        <f t="shared" si="4"/>
        <v>(${Variables:E2_8_1_1_kcat} * E2_8_1_1 * C00320*C00177)/(${Variables:E2_8_1_1_km} + (E2_8_1_1 * C00320*C00177))</v>
      </c>
      <c r="K267" s="79" t="str">
        <f t="shared" si="5"/>
        <v>r266: C00320+C00177 -&gt; C00094+C01755 | (${Variables:E2_8_1_1_kcat} * E2_8_1_1 * C00320*C00177)/(${Variables:E2_8_1_1_km} + (E2_8_1_1 * C00320*C00177))</v>
      </c>
    </row>
    <row r="268" spans="1:11" ht="26.5" x14ac:dyDescent="0.35">
      <c r="A268" s="78" t="s">
        <v>2463</v>
      </c>
      <c r="B268" s="49" t="s">
        <v>2464</v>
      </c>
      <c r="C268" s="49" t="s">
        <v>14709</v>
      </c>
      <c r="D268" s="49">
        <v>267</v>
      </c>
      <c r="E268" s="78" t="str">
        <f t="shared" si="3"/>
        <v>E1_1_1_86</v>
      </c>
      <c r="F268" s="78" t="s">
        <v>13145</v>
      </c>
      <c r="G268" s="78" t="s">
        <v>13146</v>
      </c>
      <c r="H268" s="78" t="s">
        <v>13147</v>
      </c>
      <c r="I268" s="78" t="s">
        <v>13148</v>
      </c>
      <c r="J268" s="78" t="str">
        <f t="shared" si="4"/>
        <v>(${Variables:E1_1_1_86_kcat} * E1_1_1_86 * C04272*C00006)/(${Variables:E1_1_1_86_km} + (E1_1_1_86 * C04272*C00006))</v>
      </c>
      <c r="K268" s="79" t="str">
        <f t="shared" si="5"/>
        <v>r267: C04272+C00006 -&gt; C06010+C00005+C00080 | (${Variables:E1_1_1_86_kcat} * E1_1_1_86 * C04272*C00006)/(${Variables:E1_1_1_86_km} + (E1_1_1_86 * C04272*C00006))</v>
      </c>
    </row>
    <row r="269" spans="1:11" ht="26.5" x14ac:dyDescent="0.35">
      <c r="A269" s="78" t="s">
        <v>2463</v>
      </c>
      <c r="B269" s="49" t="s">
        <v>2464</v>
      </c>
      <c r="C269" s="49" t="s">
        <v>14709</v>
      </c>
      <c r="D269" s="49">
        <v>268</v>
      </c>
      <c r="E269" s="78" t="str">
        <f t="shared" si="3"/>
        <v>E1_1_1_86</v>
      </c>
      <c r="F269" s="78" t="s">
        <v>13149</v>
      </c>
      <c r="G269" s="78" t="s">
        <v>13150</v>
      </c>
      <c r="H269" s="78" t="s">
        <v>13151</v>
      </c>
      <c r="I269" s="78" t="s">
        <v>13152</v>
      </c>
      <c r="J269" s="78" t="str">
        <f t="shared" si="4"/>
        <v>(${Variables:E1_1_1_86_kcat} * E1_1_1_86 * C00900*C00005*C00080)/(${Variables:E1_1_1_86_km} + (E1_1_1_86 * C00900*C00005*C00080))</v>
      </c>
      <c r="K269" s="79" t="str">
        <f t="shared" si="5"/>
        <v>r268: C00900+C00005+C00080 -&gt; C04039+C00006 | (${Variables:E1_1_1_86_kcat} * E1_1_1_86 * C00900*C00005*C00080)/(${Variables:E1_1_1_86_km} + (E1_1_1_86 * C00900*C00005*C00080))</v>
      </c>
    </row>
    <row r="270" spans="1:11" ht="26.5" x14ac:dyDescent="0.35">
      <c r="A270" s="78" t="s">
        <v>2463</v>
      </c>
      <c r="B270" s="49" t="s">
        <v>2464</v>
      </c>
      <c r="C270" s="49" t="s">
        <v>14709</v>
      </c>
      <c r="D270" s="49">
        <v>269</v>
      </c>
      <c r="E270" s="78" t="str">
        <f t="shared" si="3"/>
        <v>E1_1_1_86</v>
      </c>
      <c r="F270" s="78" t="s">
        <v>13145</v>
      </c>
      <c r="G270" s="78" t="s">
        <v>13146</v>
      </c>
      <c r="H270" s="78" t="s">
        <v>13153</v>
      </c>
      <c r="I270" s="78" t="s">
        <v>13154</v>
      </c>
      <c r="J270" s="78" t="str">
        <f t="shared" si="4"/>
        <v>(${Variables:E1_1_1_86_kcat} * E1_1_1_86 * C04272*C00006)/(${Variables:E1_1_1_86_km} + (E1_1_1_86 * C04272*C00006))</v>
      </c>
      <c r="K270" s="79" t="str">
        <f t="shared" si="5"/>
        <v>r269: C04272+C00006 -&gt; C04181+C00005+C00080 | (${Variables:E1_1_1_86_kcat} * E1_1_1_86 * C04272*C00006)/(${Variables:E1_1_1_86_km} + (E1_1_1_86 * C04272*C00006))</v>
      </c>
    </row>
    <row r="271" spans="1:11" ht="26.5" x14ac:dyDescent="0.35">
      <c r="A271" s="78" t="s">
        <v>2463</v>
      </c>
      <c r="B271" s="49" t="s">
        <v>2464</v>
      </c>
      <c r="C271" s="49" t="s">
        <v>14709</v>
      </c>
      <c r="D271" s="49">
        <v>270</v>
      </c>
      <c r="E271" s="78" t="str">
        <f t="shared" si="3"/>
        <v>E1_1_1_86</v>
      </c>
      <c r="F271" s="78" t="s">
        <v>13155</v>
      </c>
      <c r="G271" s="78" t="s">
        <v>13156</v>
      </c>
      <c r="H271" s="49" t="s">
        <v>13157</v>
      </c>
      <c r="I271" s="49" t="s">
        <v>13158</v>
      </c>
      <c r="J271" s="78" t="str">
        <f t="shared" si="4"/>
        <v>(${Variables:E1_1_1_86_kcat} * E1_1_1_86 * C06007*C00006)/(${Variables:E1_1_1_86_km} + (E1_1_1_86 * C06007*C00006))</v>
      </c>
      <c r="K271" s="79" t="str">
        <f t="shared" si="5"/>
        <v>r270: C06007+C00006 -&gt; C14463+C00005+C00080 | (${Variables:E1_1_1_86_kcat} * E1_1_1_86 * C06007*C00006)/(${Variables:E1_1_1_86_km} + (E1_1_1_86 * C06007*C00006))</v>
      </c>
    </row>
    <row r="272" spans="1:11" ht="26" x14ac:dyDescent="0.35">
      <c r="A272" s="78" t="s">
        <v>2463</v>
      </c>
      <c r="B272" s="49" t="s">
        <v>2464</v>
      </c>
      <c r="C272" s="49" t="s">
        <v>14709</v>
      </c>
      <c r="D272" s="49">
        <v>271</v>
      </c>
      <c r="E272" s="78" t="str">
        <f t="shared" si="3"/>
        <v>E1_1_1_86</v>
      </c>
      <c r="F272" s="78" t="s">
        <v>7324</v>
      </c>
      <c r="G272" s="78" t="s">
        <v>7324</v>
      </c>
      <c r="H272" s="78" t="s">
        <v>7325</v>
      </c>
      <c r="I272" s="78" t="s">
        <v>7325</v>
      </c>
      <c r="J272" s="78" t="str">
        <f t="shared" si="4"/>
        <v>(${Variables:E1_1_1_86_kcat} * E1_1_1_86 * C06006)/(${Variables:E1_1_1_86_km} + (E1_1_1_86 * C06006))</v>
      </c>
      <c r="K272" s="79" t="str">
        <f t="shared" si="5"/>
        <v>r271: C06006 -&gt; C14463 | (${Variables:E1_1_1_86_kcat} * E1_1_1_86 * C06006)/(${Variables:E1_1_1_86_km} + (E1_1_1_86 * C06006))</v>
      </c>
    </row>
    <row r="273" spans="1:11" ht="26" x14ac:dyDescent="0.35">
      <c r="A273" s="78" t="s">
        <v>2463</v>
      </c>
      <c r="B273" s="49" t="s">
        <v>2464</v>
      </c>
      <c r="C273" s="49" t="s">
        <v>14709</v>
      </c>
      <c r="D273" s="49">
        <v>272</v>
      </c>
      <c r="E273" s="78" t="str">
        <f t="shared" si="3"/>
        <v>E1_1_1_86</v>
      </c>
      <c r="F273" s="78" t="s">
        <v>7327</v>
      </c>
      <c r="G273" s="78" t="s">
        <v>7327</v>
      </c>
      <c r="H273" s="78" t="s">
        <v>7328</v>
      </c>
      <c r="I273" s="78" t="s">
        <v>7328</v>
      </c>
      <c r="J273" s="78" t="str">
        <f t="shared" si="4"/>
        <v>(${Variables:E1_1_1_86_kcat} * E1_1_1_86 * C06010)/(${Variables:E1_1_1_86_km} + (E1_1_1_86 * C06010))</v>
      </c>
      <c r="K273" s="79" t="str">
        <f t="shared" si="5"/>
        <v>r272: C06010 -&gt; C04181 | (${Variables:E1_1_1_86_kcat} * E1_1_1_86 * C06010)/(${Variables:E1_1_1_86_km} + (E1_1_1_86 * C06010))</v>
      </c>
    </row>
    <row r="274" spans="1:11" ht="26.5" x14ac:dyDescent="0.35">
      <c r="A274" s="78" t="s">
        <v>2467</v>
      </c>
      <c r="B274" s="49" t="s">
        <v>2468</v>
      </c>
      <c r="C274" s="49" t="s">
        <v>14710</v>
      </c>
      <c r="D274" s="49">
        <v>273</v>
      </c>
      <c r="E274" s="78" t="str">
        <f t="shared" si="3"/>
        <v>E1_1_5_3</v>
      </c>
      <c r="F274" s="78" t="s">
        <v>13159</v>
      </c>
      <c r="G274" s="78" t="s">
        <v>13160</v>
      </c>
      <c r="H274" s="78" t="s">
        <v>13161</v>
      </c>
      <c r="I274" s="78" t="s">
        <v>13162</v>
      </c>
      <c r="J274" s="78" t="str">
        <f t="shared" si="4"/>
        <v>(${Variables:E1_1_5_3_kcat} * E1_1_5_3 * C00093*C15602)/(${Variables:E1_1_5_3_km} + (E1_1_5_3 * C00093*C15602))</v>
      </c>
      <c r="K274" s="79" t="str">
        <f t="shared" si="5"/>
        <v>r273: C00093+C15602 -&gt; C00111+C15603 | (${Variables:E1_1_5_3_kcat} * E1_1_5_3 * C00093*C15602)/(${Variables:E1_1_5_3_km} + (E1_1_5_3 * C00093*C15602))</v>
      </c>
    </row>
    <row r="275" spans="1:11" ht="26.5" x14ac:dyDescent="0.35">
      <c r="A275" s="78" t="s">
        <v>2467</v>
      </c>
      <c r="B275" s="49" t="s">
        <v>2468</v>
      </c>
      <c r="C275" s="49" t="s">
        <v>14710</v>
      </c>
      <c r="D275" s="49">
        <v>274</v>
      </c>
      <c r="E275" s="78" t="str">
        <f t="shared" si="3"/>
        <v>E1_1_5_3</v>
      </c>
      <c r="F275" s="78" t="s">
        <v>13163</v>
      </c>
      <c r="G275" s="78" t="s">
        <v>13164</v>
      </c>
      <c r="H275" s="78" t="s">
        <v>13165</v>
      </c>
      <c r="I275" s="78" t="s">
        <v>13166</v>
      </c>
      <c r="J275" s="78" t="str">
        <f t="shared" si="4"/>
        <v>(${Variables:E1_1_5_3_kcat} * E1_1_5_3 * C00093*C00399)/(${Variables:E1_1_5_3_km} + (E1_1_5_3 * C00093*C00399))</v>
      </c>
      <c r="K275" s="79" t="str">
        <f t="shared" si="5"/>
        <v>r274: C00093+C00399 -&gt; C00111+C00390 | (${Variables:E1_1_5_3_kcat} * E1_1_5_3 * C00093*C00399)/(${Variables:E1_1_5_3_km} + (E1_1_5_3 * C00093*C00399))</v>
      </c>
    </row>
    <row r="276" spans="1:11" ht="26.5" x14ac:dyDescent="0.35">
      <c r="A276" s="78" t="s">
        <v>2467</v>
      </c>
      <c r="B276" s="49" t="s">
        <v>2468</v>
      </c>
      <c r="C276" s="49" t="s">
        <v>14710</v>
      </c>
      <c r="D276" s="49">
        <v>275</v>
      </c>
      <c r="E276" s="78" t="str">
        <f t="shared" si="3"/>
        <v>E1_1_5_3</v>
      </c>
      <c r="F276" s="78" t="s">
        <v>13167</v>
      </c>
      <c r="G276" s="78" t="s">
        <v>13168</v>
      </c>
      <c r="H276" s="78" t="s">
        <v>13169</v>
      </c>
      <c r="I276" s="78" t="s">
        <v>13170</v>
      </c>
      <c r="J276" s="78" t="str">
        <f t="shared" si="4"/>
        <v>(${Variables:E1_1_5_3_kcat} * E1_1_5_3 * C00093*C00016)/(${Variables:E1_1_5_3_km} + (E1_1_5_3 * C00093*C00016))</v>
      </c>
      <c r="K276" s="79" t="str">
        <f t="shared" si="5"/>
        <v>r275: C00093+C00016 -&gt; C00111+C01352 | (${Variables:E1_1_5_3_kcat} * E1_1_5_3 * C00093*C00016)/(${Variables:E1_1_5_3_km} + (E1_1_5_3 * C00093*C00016))</v>
      </c>
    </row>
    <row r="277" spans="1:11" ht="26.5" x14ac:dyDescent="0.35">
      <c r="A277" s="78" t="s">
        <v>2471</v>
      </c>
      <c r="B277" s="49" t="s">
        <v>2472</v>
      </c>
      <c r="C277" s="49" t="s">
        <v>14710</v>
      </c>
      <c r="D277" s="49">
        <v>276</v>
      </c>
      <c r="E277" s="78" t="str">
        <f t="shared" si="3"/>
        <v>E1_1_5_3</v>
      </c>
      <c r="F277" s="78" t="s">
        <v>13163</v>
      </c>
      <c r="G277" s="78" t="s">
        <v>13164</v>
      </c>
      <c r="H277" s="78" t="s">
        <v>13169</v>
      </c>
      <c r="I277" s="78" t="s">
        <v>13170</v>
      </c>
      <c r="J277" s="78" t="str">
        <f t="shared" si="4"/>
        <v>(${Variables:E1_1_5_3_kcat} * E1_1_5_3 * C00093*C00399)/(${Variables:E1_1_5_3_km} + (E1_1_5_3 * C00093*C00399))</v>
      </c>
      <c r="K277" s="79" t="str">
        <f t="shared" si="5"/>
        <v>r276: C00093+C00399 -&gt; C00111+C01352 | (${Variables:E1_1_5_3_kcat} * E1_1_5_3 * C00093*C00399)/(${Variables:E1_1_5_3_km} + (E1_1_5_3 * C00093*C00399))</v>
      </c>
    </row>
    <row r="278" spans="1:11" ht="26.5" x14ac:dyDescent="0.35">
      <c r="A278" s="78" t="s">
        <v>2483</v>
      </c>
      <c r="B278" s="49" t="s">
        <v>2484</v>
      </c>
      <c r="C278" s="49" t="s">
        <v>14711</v>
      </c>
      <c r="D278" s="49">
        <v>277</v>
      </c>
      <c r="E278" s="78" t="str">
        <f t="shared" si="3"/>
        <v>E3_1_4_46</v>
      </c>
      <c r="F278" s="78" t="s">
        <v>13171</v>
      </c>
      <c r="G278" s="78" t="s">
        <v>13172</v>
      </c>
      <c r="H278" s="78" t="s">
        <v>13173</v>
      </c>
      <c r="I278" s="78" t="s">
        <v>13174</v>
      </c>
      <c r="J278" s="78" t="str">
        <f t="shared" si="4"/>
        <v>(${Variables:E3_1_4_46_kcat} * E3_1_4_46 * C03120*C00001)/(${Variables:E3_1_4_46_km} + (E3_1_4_46 * C03120*C00001))</v>
      </c>
      <c r="K278" s="79" t="str">
        <f t="shared" si="5"/>
        <v>r277: C03120+C00001 -&gt; C00069+C00093 | (${Variables:E3_1_4_46_kcat} * E3_1_4_46 * C03120*C00001)/(${Variables:E3_1_4_46_km} + (E3_1_4_46 * C03120*C00001))</v>
      </c>
    </row>
    <row r="279" spans="1:11" ht="26.5" x14ac:dyDescent="0.35">
      <c r="A279" s="78" t="s">
        <v>2483</v>
      </c>
      <c r="B279" s="49" t="s">
        <v>2484</v>
      </c>
      <c r="C279" s="49" t="s">
        <v>14711</v>
      </c>
      <c r="D279" s="49">
        <v>278</v>
      </c>
      <c r="E279" s="78" t="str">
        <f t="shared" si="3"/>
        <v>E3_1_4_46</v>
      </c>
      <c r="F279" s="78" t="s">
        <v>13175</v>
      </c>
      <c r="G279" s="78" t="s">
        <v>13176</v>
      </c>
      <c r="H279" s="78" t="s">
        <v>13177</v>
      </c>
      <c r="I279" s="78" t="s">
        <v>13178</v>
      </c>
      <c r="J279" s="78" t="str">
        <f t="shared" si="4"/>
        <v>(${Variables:E3_1_4_46_kcat} * E3_1_4_46 * C00670*C00001)/(${Variables:E3_1_4_46_km} + (E3_1_4_46 * C00670*C00001))</v>
      </c>
      <c r="K279" s="79" t="str">
        <f t="shared" si="5"/>
        <v>r278: C00670+C00001 -&gt; C00114+C00093 | (${Variables:E3_1_4_46_kcat} * E3_1_4_46 * C00670*C00001)/(${Variables:E3_1_4_46_km} + (E3_1_4_46 * C00670*C00001))</v>
      </c>
    </row>
    <row r="280" spans="1:11" ht="26.5" x14ac:dyDescent="0.35">
      <c r="A280" s="78" t="s">
        <v>2483</v>
      </c>
      <c r="B280" s="49" t="s">
        <v>2484</v>
      </c>
      <c r="C280" s="49" t="s">
        <v>14711</v>
      </c>
      <c r="D280" s="49">
        <v>279</v>
      </c>
      <c r="E280" s="78" t="str">
        <f t="shared" si="3"/>
        <v>E3_1_4_46</v>
      </c>
      <c r="F280" s="78" t="s">
        <v>13179</v>
      </c>
      <c r="G280" s="78" t="s">
        <v>13180</v>
      </c>
      <c r="H280" s="78" t="s">
        <v>13181</v>
      </c>
      <c r="I280" s="78" t="s">
        <v>13182</v>
      </c>
      <c r="J280" s="78" t="str">
        <f t="shared" si="4"/>
        <v>(${Variables:E3_1_4_46_kcat} * E3_1_4_46 * C01233*C00001)/(${Variables:E3_1_4_46_km} + (E3_1_4_46 * C01233*C00001))</v>
      </c>
      <c r="K280" s="79" t="str">
        <f t="shared" si="5"/>
        <v>r279: C01233+C00001 -&gt; C00189+C00093 | (${Variables:E3_1_4_46_kcat} * E3_1_4_46 * C01233*C00001)/(${Variables:E3_1_4_46_km} + (E3_1_4_46 * C01233*C00001))</v>
      </c>
    </row>
    <row r="281" spans="1:11" ht="26.5" x14ac:dyDescent="0.35">
      <c r="A281" s="78" t="s">
        <v>2490</v>
      </c>
      <c r="B281" s="49" t="s">
        <v>2491</v>
      </c>
      <c r="C281" s="49" t="s">
        <v>14712</v>
      </c>
      <c r="D281" s="49">
        <v>280</v>
      </c>
      <c r="E281" s="78" t="str">
        <f t="shared" si="3"/>
        <v>E2_7_1_30</v>
      </c>
      <c r="F281" s="78" t="s">
        <v>13183</v>
      </c>
      <c r="G281" s="78" t="s">
        <v>13184</v>
      </c>
      <c r="H281" s="78" t="s">
        <v>13185</v>
      </c>
      <c r="I281" s="78" t="s">
        <v>13186</v>
      </c>
      <c r="J281" s="78" t="str">
        <f t="shared" si="4"/>
        <v>(${Variables:E2_7_1_30_kcat} * E2_7_1_30 * C00002*C00116)/(${Variables:E2_7_1_30_km} + (E2_7_1_30 * C00002*C00116))</v>
      </c>
      <c r="K281" s="79" t="str">
        <f t="shared" si="5"/>
        <v>r280: C00002+C00116 -&gt; C00008+C00093 | (${Variables:E2_7_1_30_kcat} * E2_7_1_30 * C00002*C00116)/(${Variables:E2_7_1_30_km} + (E2_7_1_30 * C00002*C00116))</v>
      </c>
    </row>
    <row r="282" spans="1:11" ht="26.5" x14ac:dyDescent="0.35">
      <c r="A282" s="78" t="s">
        <v>2523</v>
      </c>
      <c r="B282" s="49" t="s">
        <v>2524</v>
      </c>
      <c r="C282" s="49" t="s">
        <v>14713</v>
      </c>
      <c r="D282" s="49">
        <v>281</v>
      </c>
      <c r="E282" s="78" t="str">
        <f t="shared" si="3"/>
        <v>E3_1_3_6</v>
      </c>
      <c r="F282" s="78" t="s">
        <v>13187</v>
      </c>
      <c r="G282" s="78" t="s">
        <v>13188</v>
      </c>
      <c r="H282" s="78" t="s">
        <v>13189</v>
      </c>
      <c r="I282" s="78" t="s">
        <v>13190</v>
      </c>
      <c r="J282" s="78" t="str">
        <f t="shared" si="4"/>
        <v>(${Variables:E3_1_3_6_kcat} * E3_1_3_6 * C02508*C00001)/(${Variables:E3_1_3_6_km} + (E3_1_3_6 * C02508*C00001))</v>
      </c>
      <c r="K282" s="79" t="str">
        <f t="shared" si="5"/>
        <v>r281: C02508+C00001 -&gt; C00911+C00009 | (${Variables:E3_1_3_6_kcat} * E3_1_3_6 * C02508*C00001)/(${Variables:E3_1_3_6_km} + (E3_1_3_6 * C02508*C00001))</v>
      </c>
    </row>
    <row r="283" spans="1:11" ht="26.5" x14ac:dyDescent="0.35">
      <c r="A283" s="78" t="s">
        <v>2523</v>
      </c>
      <c r="B283" s="49" t="s">
        <v>2524</v>
      </c>
      <c r="C283" s="49" t="s">
        <v>14713</v>
      </c>
      <c r="D283" s="49">
        <v>282</v>
      </c>
      <c r="E283" s="78" t="str">
        <f t="shared" si="3"/>
        <v>E3_1_3_6</v>
      </c>
      <c r="F283" s="78" t="s">
        <v>13191</v>
      </c>
      <c r="G283" s="78" t="s">
        <v>13192</v>
      </c>
      <c r="H283" s="78" t="s">
        <v>12937</v>
      </c>
      <c r="I283" s="78" t="s">
        <v>12938</v>
      </c>
      <c r="J283" s="78" t="str">
        <f t="shared" si="4"/>
        <v>(${Variables:E3_1_3_6_kcat} * E3_1_3_6 * C01367*C00001)/(${Variables:E3_1_3_6_km} + (E3_1_3_6 * C01367*C00001))</v>
      </c>
      <c r="K283" s="79" t="str">
        <f t="shared" si="5"/>
        <v>r282: C01367+C00001 -&gt; C00212+C00009 | (${Variables:E3_1_3_6_kcat} * E3_1_3_6 * C01367*C00001)/(${Variables:E3_1_3_6_km} + (E3_1_3_6 * C01367*C00001))</v>
      </c>
    </row>
    <row r="284" spans="1:11" ht="26.5" x14ac:dyDescent="0.35">
      <c r="A284" s="78" t="s">
        <v>2523</v>
      </c>
      <c r="B284" s="49" t="s">
        <v>2524</v>
      </c>
      <c r="C284" s="49" t="s">
        <v>14713</v>
      </c>
      <c r="D284" s="49">
        <v>283</v>
      </c>
      <c r="E284" s="78" t="str">
        <f t="shared" si="3"/>
        <v>E3_1_3_6</v>
      </c>
      <c r="F284" s="78" t="s">
        <v>13193</v>
      </c>
      <c r="G284" s="78" t="s">
        <v>13194</v>
      </c>
      <c r="H284" s="78" t="s">
        <v>12633</v>
      </c>
      <c r="I284" s="78" t="s">
        <v>12634</v>
      </c>
      <c r="J284" s="78" t="str">
        <f t="shared" si="4"/>
        <v>(${Variables:E3_1_3_6_kcat} * E3_1_3_6 * C01368*C00001)/(${Variables:E3_1_3_6_km} + (E3_1_3_6 * C01368*C00001))</v>
      </c>
      <c r="K284" s="79" t="str">
        <f t="shared" si="5"/>
        <v>r283: C01368+C00001 -&gt; C00299+C00009 | (${Variables:E3_1_3_6_kcat} * E3_1_3_6 * C01368*C00001)/(${Variables:E3_1_3_6_km} + (E3_1_3_6 * C01368*C00001))</v>
      </c>
    </row>
    <row r="285" spans="1:11" ht="26.5" x14ac:dyDescent="0.35">
      <c r="A285" s="78" t="s">
        <v>2523</v>
      </c>
      <c r="B285" s="49" t="s">
        <v>2524</v>
      </c>
      <c r="C285" s="49" t="s">
        <v>14713</v>
      </c>
      <c r="D285" s="49">
        <v>284</v>
      </c>
      <c r="E285" s="78" t="str">
        <f t="shared" si="3"/>
        <v>E3_1_3_6</v>
      </c>
      <c r="F285" s="78" t="s">
        <v>13195</v>
      </c>
      <c r="G285" s="78" t="s">
        <v>13196</v>
      </c>
      <c r="H285" s="78" t="s">
        <v>12945</v>
      </c>
      <c r="I285" s="78" t="s">
        <v>12946</v>
      </c>
      <c r="J285" s="78" t="str">
        <f t="shared" si="4"/>
        <v>(${Variables:E3_1_3_6_kcat} * E3_1_3_6 * C06193*C00001)/(${Variables:E3_1_3_6_km} + (E3_1_3_6 * C06193*C00001))</v>
      </c>
      <c r="K285" s="79" t="str">
        <f t="shared" si="5"/>
        <v>r284: C06193+C00001 -&gt; C00387+C00009 | (${Variables:E3_1_3_6_kcat} * E3_1_3_6 * C06193*C00001)/(${Variables:E3_1_3_6_km} + (E3_1_3_6 * C06193*C00001))</v>
      </c>
    </row>
    <row r="286" spans="1:11" ht="26.5" x14ac:dyDescent="0.35">
      <c r="A286" s="78" t="s">
        <v>2523</v>
      </c>
      <c r="B286" s="49" t="s">
        <v>2524</v>
      </c>
      <c r="C286" s="49" t="s">
        <v>14713</v>
      </c>
      <c r="D286" s="49">
        <v>285</v>
      </c>
      <c r="E286" s="78" t="str">
        <f t="shared" si="3"/>
        <v>E3_1_3_6</v>
      </c>
      <c r="F286" s="78" t="s">
        <v>13197</v>
      </c>
      <c r="G286" s="78" t="s">
        <v>13198</v>
      </c>
      <c r="H286" s="78" t="s">
        <v>13199</v>
      </c>
      <c r="I286" s="78" t="s">
        <v>13200</v>
      </c>
      <c r="J286" s="78" t="str">
        <f t="shared" si="4"/>
        <v>(${Variables:E3_1_3_6_kcat} * E3_1_3_6 * C05822*C00001)/(${Variables:E3_1_3_6_km} + (E3_1_3_6 * C05822*C00001))</v>
      </c>
      <c r="K286" s="79" t="str">
        <f t="shared" si="5"/>
        <v>r285: C05822+C00001 -&gt; C00475+C00009 | (${Variables:E3_1_3_6_kcat} * E3_1_3_6 * C05822*C00001)/(${Variables:E3_1_3_6_km} + (E3_1_3_6 * C05822*C00001))</v>
      </c>
    </row>
    <row r="287" spans="1:11" ht="26.5" x14ac:dyDescent="0.35">
      <c r="A287" s="78" t="s">
        <v>2539</v>
      </c>
      <c r="B287" s="49" t="s">
        <v>2540</v>
      </c>
      <c r="C287" s="49" t="s">
        <v>14714</v>
      </c>
      <c r="D287" s="49">
        <v>286</v>
      </c>
      <c r="E287" s="78" t="str">
        <f t="shared" si="3"/>
        <v>E4_1_99_1</v>
      </c>
      <c r="F287" s="78" t="s">
        <v>13201</v>
      </c>
      <c r="G287" s="78" t="s">
        <v>13202</v>
      </c>
      <c r="H287" s="78" t="s">
        <v>13203</v>
      </c>
      <c r="I287" s="78" t="s">
        <v>13204</v>
      </c>
      <c r="J287" s="78" t="str">
        <f t="shared" si="4"/>
        <v>(${Variables:E4_1_99_1_kcat} * E4_1_99_1 * C00078*C00001)/(${Variables:E4_1_99_1_km} + (E4_1_99_1 * C00078*C00001))</v>
      </c>
      <c r="K287" s="79" t="str">
        <f t="shared" si="5"/>
        <v>r286: C00078+C00001 -&gt; C00463+C00022+C00014 | (${Variables:E4_1_99_1_kcat} * E4_1_99_1 * C00078*C00001)/(${Variables:E4_1_99_1_km} + (E4_1_99_1 * C00078*C00001))</v>
      </c>
    </row>
    <row r="288" spans="1:11" ht="26" x14ac:dyDescent="0.35">
      <c r="A288" s="78" t="s">
        <v>2539</v>
      </c>
      <c r="B288" s="49" t="s">
        <v>2540</v>
      </c>
      <c r="C288" s="49" t="s">
        <v>14714</v>
      </c>
      <c r="D288" s="49">
        <v>287</v>
      </c>
      <c r="E288" s="78" t="str">
        <f t="shared" si="3"/>
        <v>E4_1_99_1</v>
      </c>
      <c r="F288" s="78" t="s">
        <v>7378</v>
      </c>
      <c r="G288" s="78" t="s">
        <v>7378</v>
      </c>
      <c r="H288" s="78" t="s">
        <v>13205</v>
      </c>
      <c r="I288" s="78" t="s">
        <v>13206</v>
      </c>
      <c r="J288" s="78" t="str">
        <f t="shared" si="4"/>
        <v>(${Variables:E4_1_99_1_kcat} * E4_1_99_1 * C00078)/(${Variables:E4_1_99_1_km} + (E4_1_99_1 * C00078))</v>
      </c>
      <c r="K288" s="79" t="str">
        <f t="shared" si="5"/>
        <v>r287: C00078 -&gt; C00463+C02218 | (${Variables:E4_1_99_1_kcat} * E4_1_99_1 * C00078)/(${Variables:E4_1_99_1_km} + (E4_1_99_1 * C00078))</v>
      </c>
    </row>
    <row r="289" spans="1:11" ht="26.5" x14ac:dyDescent="0.35">
      <c r="A289" s="78" t="s">
        <v>2551</v>
      </c>
      <c r="B289" s="49" t="s">
        <v>2552</v>
      </c>
      <c r="C289" s="49" t="s">
        <v>14715</v>
      </c>
      <c r="D289" s="49">
        <v>288</v>
      </c>
      <c r="E289" s="78" t="str">
        <f t="shared" si="3"/>
        <v>E2_9_1_1</v>
      </c>
      <c r="F289" s="78" t="s">
        <v>13207</v>
      </c>
      <c r="G289" s="78" t="s">
        <v>13208</v>
      </c>
      <c r="H289" s="78" t="s">
        <v>13209</v>
      </c>
      <c r="I289" s="78" t="s">
        <v>13210</v>
      </c>
      <c r="J289" s="78" t="str">
        <f t="shared" si="4"/>
        <v>(${Variables:E2_9_1_1_kcat} * E2_9_1_1 * C06481*C05172)/(${Variables:E2_9_1_1_km} + (E2_9_1_1 * C06481*C05172))</v>
      </c>
      <c r="K289" s="79" t="str">
        <f t="shared" si="5"/>
        <v>r288: C06481+C05172 -&gt; C06482+C00009 | (${Variables:E2_9_1_1_kcat} * E2_9_1_1 * C06481*C05172)/(${Variables:E2_9_1_1_km} + (E2_9_1_1 * C06481*C05172))</v>
      </c>
    </row>
    <row r="290" spans="1:11" ht="26" x14ac:dyDescent="0.35">
      <c r="A290" s="78" t="s">
        <v>2631</v>
      </c>
      <c r="B290" s="49" t="s">
        <v>2632</v>
      </c>
      <c r="C290" s="49" t="s">
        <v>14716</v>
      </c>
      <c r="D290" s="49">
        <v>289</v>
      </c>
      <c r="E290" s="78" t="str">
        <f t="shared" si="3"/>
        <v>E4_6_1_1</v>
      </c>
      <c r="F290" s="49" t="s">
        <v>7389</v>
      </c>
      <c r="G290" s="49" t="s">
        <v>7389</v>
      </c>
      <c r="H290" s="78" t="s">
        <v>13211</v>
      </c>
      <c r="I290" s="78" t="s">
        <v>13212</v>
      </c>
      <c r="J290" s="78" t="str">
        <f t="shared" si="4"/>
        <v>(${Variables:E4_6_1_1_kcat} * E4_6_1_1 * C00002)/(${Variables:E4_6_1_1_km} + (E4_6_1_1 * C00002))</v>
      </c>
      <c r="K290" s="79" t="str">
        <f t="shared" si="5"/>
        <v>r289: C00002 -&gt; C00575+C00013 | (${Variables:E4_6_1_1_kcat} * E4_6_1_1 * C00002)/(${Variables:E4_6_1_1_km} + (E4_6_1_1 * C00002))</v>
      </c>
    </row>
    <row r="291" spans="1:11" ht="26" x14ac:dyDescent="0.35">
      <c r="A291" s="78" t="s">
        <v>2631</v>
      </c>
      <c r="B291" s="49" t="s">
        <v>2632</v>
      </c>
      <c r="C291" s="49" t="s">
        <v>14716</v>
      </c>
      <c r="D291" s="49">
        <v>290</v>
      </c>
      <c r="E291" s="78" t="str">
        <f t="shared" si="3"/>
        <v>E4_6_1_1</v>
      </c>
      <c r="F291" s="78" t="s">
        <v>7392</v>
      </c>
      <c r="G291" s="78" t="s">
        <v>7392</v>
      </c>
      <c r="H291" s="78" t="s">
        <v>13213</v>
      </c>
      <c r="I291" s="78" t="s">
        <v>13214</v>
      </c>
      <c r="J291" s="78" t="str">
        <f t="shared" si="4"/>
        <v>(${Variables:E4_6_1_1_kcat} * E4_6_1_1 * C00044)/(${Variables:E4_6_1_1_km} + (E4_6_1_1 * C00044))</v>
      </c>
      <c r="K291" s="79" t="str">
        <f t="shared" si="5"/>
        <v>r290: C00044 -&gt; C00942+C00013 | (${Variables:E4_6_1_1_kcat} * E4_6_1_1 * C00044)/(${Variables:E4_6_1_1_km} + (E4_6_1_1 * C00044))</v>
      </c>
    </row>
    <row r="292" spans="1:11" ht="26.5" x14ac:dyDescent="0.35">
      <c r="A292" s="78" t="s">
        <v>2635</v>
      </c>
      <c r="B292" s="49" t="s">
        <v>2636</v>
      </c>
      <c r="C292" s="49" t="s">
        <v>14717</v>
      </c>
      <c r="D292" s="49">
        <v>291</v>
      </c>
      <c r="E292" s="78" t="str">
        <f t="shared" si="3"/>
        <v>E1_1_1_94</v>
      </c>
      <c r="F292" s="49" t="s">
        <v>13215</v>
      </c>
      <c r="G292" s="49" t="s">
        <v>13216</v>
      </c>
      <c r="H292" s="78" t="s">
        <v>13217</v>
      </c>
      <c r="I292" s="78" t="s">
        <v>13218</v>
      </c>
      <c r="J292" s="78" t="str">
        <f t="shared" si="4"/>
        <v>(${Variables:E1_1_1_94_kcat} * E1_1_1_94 * C00093*C00003)/(${Variables:E1_1_1_94_km} + (E1_1_1_94 * C00093*C00003))</v>
      </c>
      <c r="K292" s="79" t="str">
        <f t="shared" si="5"/>
        <v>r291: C00093+C00003 -&gt; C00111+C00004+C00080 | (${Variables:E1_1_1_94_kcat} * E1_1_1_94 * C00093*C00003)/(${Variables:E1_1_1_94_km} + (E1_1_1_94 * C00093*C00003))</v>
      </c>
    </row>
    <row r="293" spans="1:11" ht="26.5" x14ac:dyDescent="0.35">
      <c r="A293" s="78" t="s">
        <v>2635</v>
      </c>
      <c r="B293" s="49" t="s">
        <v>2636</v>
      </c>
      <c r="C293" s="49" t="s">
        <v>14717</v>
      </c>
      <c r="D293" s="49">
        <v>292</v>
      </c>
      <c r="E293" s="78" t="str">
        <f t="shared" si="3"/>
        <v>E1_1_1_94</v>
      </c>
      <c r="F293" s="49" t="s">
        <v>13219</v>
      </c>
      <c r="G293" s="49" t="s">
        <v>13220</v>
      </c>
      <c r="H293" s="78" t="s">
        <v>13221</v>
      </c>
      <c r="I293" s="78" t="s">
        <v>13222</v>
      </c>
      <c r="J293" s="78" t="str">
        <f t="shared" si="4"/>
        <v>(${Variables:E1_1_1_94_kcat} * E1_1_1_94 * C00093*C00006)/(${Variables:E1_1_1_94_km} + (E1_1_1_94 * C00093*C00006))</v>
      </c>
      <c r="K293" s="79" t="str">
        <f t="shared" si="5"/>
        <v>r292: C00093+C00006 -&gt; C00111+C00005+C00080 | (${Variables:E1_1_1_94_kcat} * E1_1_1_94 * C00093*C00006)/(${Variables:E1_1_1_94_km} + (E1_1_1_94 * C00093*C00006))</v>
      </c>
    </row>
    <row r="294" spans="1:11" ht="26.5" x14ac:dyDescent="0.35">
      <c r="A294" s="78" t="s">
        <v>2639</v>
      </c>
      <c r="B294" s="49" t="s">
        <v>2640</v>
      </c>
      <c r="C294" s="49" t="s">
        <v>14718</v>
      </c>
      <c r="D294" s="49">
        <v>293</v>
      </c>
      <c r="E294" s="78" t="str">
        <f t="shared" si="3"/>
        <v>E2_3_1_30</v>
      </c>
      <c r="F294" s="49" t="s">
        <v>13223</v>
      </c>
      <c r="G294" s="49" t="s">
        <v>13224</v>
      </c>
      <c r="H294" s="78" t="s">
        <v>13225</v>
      </c>
      <c r="I294" s="78" t="s">
        <v>13226</v>
      </c>
      <c r="J294" s="78" t="str">
        <f t="shared" si="4"/>
        <v>(${Variables:E2_3_1_30_kcat} * E2_3_1_30 * C00065*C00024)/(${Variables:E2_3_1_30_km} + (E2_3_1_30 * C00065*C00024))</v>
      </c>
      <c r="K294" s="79" t="str">
        <f t="shared" si="5"/>
        <v>r293: C00065+C00024 -&gt; C00979+C00010 | (${Variables:E2_3_1_30_kcat} * E2_3_1_30 * C00065*C00024)/(${Variables:E2_3_1_30_km} + (E2_3_1_30 * C00065*C00024))</v>
      </c>
    </row>
    <row r="295" spans="1:11" ht="26.5" x14ac:dyDescent="0.35">
      <c r="A295" s="78" t="s">
        <v>2649</v>
      </c>
      <c r="B295" s="49" t="s">
        <v>2650</v>
      </c>
      <c r="C295" s="49" t="s">
        <v>14719</v>
      </c>
      <c r="D295" s="49">
        <v>294</v>
      </c>
      <c r="E295" s="78" t="str">
        <f t="shared" si="3"/>
        <v>E1_5_1_5</v>
      </c>
      <c r="F295" s="78" t="s">
        <v>13227</v>
      </c>
      <c r="G295" s="78" t="s">
        <v>13228</v>
      </c>
      <c r="H295" s="78" t="s">
        <v>13229</v>
      </c>
      <c r="I295" s="78" t="s">
        <v>13230</v>
      </c>
      <c r="J295" s="78" t="str">
        <f t="shared" si="4"/>
        <v>(${Variables:E1_5_1_5_kcat} * E1_5_1_5 * C00143*C00006)/(${Variables:E1_5_1_5_km} + (E1_5_1_5 * C00143*C00006))</v>
      </c>
      <c r="K295" s="79" t="str">
        <f t="shared" si="5"/>
        <v>r294: C00143+C00006 -&gt; C00445+C00005 | (${Variables:E1_5_1_5_kcat} * E1_5_1_5 * C00143*C00006)/(${Variables:E1_5_1_5_km} + (E1_5_1_5 * C00143*C00006))</v>
      </c>
    </row>
    <row r="296" spans="1:11" ht="26.5" x14ac:dyDescent="0.35">
      <c r="A296" s="78" t="s">
        <v>2649</v>
      </c>
      <c r="B296" s="49" t="s">
        <v>2650</v>
      </c>
      <c r="C296" s="49" t="s">
        <v>14720</v>
      </c>
      <c r="D296" s="49">
        <v>295</v>
      </c>
      <c r="E296" s="78" t="str">
        <f t="shared" si="3"/>
        <v>E3_5_4_9</v>
      </c>
      <c r="F296" s="78" t="s">
        <v>13231</v>
      </c>
      <c r="G296" s="78" t="s">
        <v>13232</v>
      </c>
      <c r="H296" s="78" t="s">
        <v>13233</v>
      </c>
      <c r="I296" s="78" t="s">
        <v>13234</v>
      </c>
      <c r="J296" s="78" t="str">
        <f t="shared" si="4"/>
        <v>(${Variables:E3_5_4_9_kcat} * E3_5_4_9 * C00445*C00001)/(${Variables:E3_5_4_9_km} + (E3_5_4_9 * C00445*C00001))</v>
      </c>
      <c r="K296" s="79" t="str">
        <f t="shared" si="5"/>
        <v>r295: C00445+C00001 -&gt; C00234+C00080 | (${Variables:E3_5_4_9_kcat} * E3_5_4_9 * C00445*C00001)/(${Variables:E3_5_4_9_km} + (E3_5_4_9 * C00445*C00001))</v>
      </c>
    </row>
    <row r="297" spans="1:11" ht="26" x14ac:dyDescent="0.35">
      <c r="A297" s="78" t="s">
        <v>2659</v>
      </c>
      <c r="B297" s="49" t="s">
        <v>2660</v>
      </c>
      <c r="C297" s="49" t="s">
        <v>14721</v>
      </c>
      <c r="D297" s="49">
        <v>296</v>
      </c>
      <c r="E297" s="78" t="str">
        <f t="shared" si="3"/>
        <v>E4_1_2_17</v>
      </c>
      <c r="F297" s="78" t="s">
        <v>7420</v>
      </c>
      <c r="G297" s="78" t="s">
        <v>7420</v>
      </c>
      <c r="H297" s="78" t="s">
        <v>13235</v>
      </c>
      <c r="I297" s="78" t="s">
        <v>13236</v>
      </c>
      <c r="J297" s="78" t="str">
        <f t="shared" si="4"/>
        <v>(${Variables:E4_1_2_17_kcat} * E4_1_2_17 * C01099)/(${Variables:E4_1_2_17_km} + (E4_1_2_17 * C01099))</v>
      </c>
      <c r="K297" s="79" t="str">
        <f t="shared" si="5"/>
        <v>r296: C01099 -&gt; C00111+C00424 | (${Variables:E4_1_2_17_kcat} * E4_1_2_17 * C01099)/(${Variables:E4_1_2_17_km} + (E4_1_2_17 * C01099))</v>
      </c>
    </row>
    <row r="298" spans="1:11" ht="26" x14ac:dyDescent="0.35">
      <c r="A298" s="78" t="s">
        <v>2659</v>
      </c>
      <c r="B298" s="49" t="s">
        <v>2660</v>
      </c>
      <c r="C298" s="49" t="s">
        <v>14721</v>
      </c>
      <c r="D298" s="49">
        <v>297</v>
      </c>
      <c r="E298" s="78" t="str">
        <f t="shared" si="3"/>
        <v>E4_1_2_17</v>
      </c>
      <c r="F298" s="78" t="s">
        <v>7423</v>
      </c>
      <c r="G298" s="78" t="s">
        <v>7423</v>
      </c>
      <c r="H298" s="78" t="s">
        <v>13237</v>
      </c>
      <c r="I298" s="78" t="s">
        <v>13238</v>
      </c>
      <c r="J298" s="78" t="str">
        <f t="shared" si="4"/>
        <v>(${Variables:E4_1_2_17_kcat} * E4_1_2_17 * C22337)/(${Variables:E4_1_2_17_km} + (E4_1_2_17 * C22337))</v>
      </c>
      <c r="K298" s="79" t="str">
        <f t="shared" si="5"/>
        <v>r297: C22337 -&gt; C00111+C00266 | (${Variables:E4_1_2_17_kcat} * E4_1_2_17 * C22337)/(${Variables:E4_1_2_17_km} + (E4_1_2_17 * C22337))</v>
      </c>
    </row>
    <row r="299" spans="1:11" ht="26" x14ac:dyDescent="0.35">
      <c r="A299" s="78" t="s">
        <v>2663</v>
      </c>
      <c r="B299" s="49" t="s">
        <v>2664</v>
      </c>
      <c r="C299" s="49" t="s">
        <v>14722</v>
      </c>
      <c r="D299" s="49">
        <v>298</v>
      </c>
      <c r="E299" s="78" t="str">
        <f t="shared" si="3"/>
        <v>E5_1_3_29</v>
      </c>
      <c r="F299" s="49" t="s">
        <v>7428</v>
      </c>
      <c r="G299" s="49" t="s">
        <v>7428</v>
      </c>
      <c r="H299" s="78" t="s">
        <v>7429</v>
      </c>
      <c r="I299" s="78" t="s">
        <v>7429</v>
      </c>
      <c r="J299" s="78" t="str">
        <f t="shared" si="4"/>
        <v>(${Variables:E5_1_3_29_kcat} * E5_1_3_29 * C20835)/(${Variables:E5_1_3_29_km} + (E5_1_3_29 * C20835))</v>
      </c>
      <c r="K299" s="79" t="str">
        <f t="shared" si="5"/>
        <v>r298: C20835 -&gt; C20836 | (${Variables:E5_1_3_29_kcat} * E5_1_3_29 * C20835)/(${Variables:E5_1_3_29_km} + (E5_1_3_29 * C20835))</v>
      </c>
    </row>
    <row r="300" spans="1:11" ht="26.5" x14ac:dyDescent="0.35">
      <c r="A300" s="78" t="s">
        <v>2667</v>
      </c>
      <c r="B300" s="49" t="s">
        <v>2668</v>
      </c>
      <c r="C300" s="49" t="s">
        <v>14723</v>
      </c>
      <c r="D300" s="49">
        <v>299</v>
      </c>
      <c r="E300" s="78" t="str">
        <f t="shared" si="3"/>
        <v>E2_7_1_51</v>
      </c>
      <c r="F300" s="78" t="s">
        <v>13239</v>
      </c>
      <c r="G300" s="78" t="s">
        <v>13240</v>
      </c>
      <c r="H300" s="78" t="s">
        <v>13241</v>
      </c>
      <c r="I300" s="78" t="s">
        <v>13242</v>
      </c>
      <c r="J300" s="78" t="str">
        <f t="shared" si="4"/>
        <v>(${Variables:E2_7_1_51_kcat} * E2_7_1_51 * C00002*C01721)/(${Variables:E2_7_1_51_km} + (E2_7_1_51 * C00002*C01721))</v>
      </c>
      <c r="K300" s="79" t="str">
        <f t="shared" si="5"/>
        <v>r299: C00002+C01721 -&gt; C00008+C01099 | (${Variables:E2_7_1_51_kcat} * E2_7_1_51 * C00002*C01721)/(${Variables:E2_7_1_51_km} + (E2_7_1_51 * C00002*C01721))</v>
      </c>
    </row>
    <row r="301" spans="1:11" ht="26.5" x14ac:dyDescent="0.35">
      <c r="A301" s="78" t="s">
        <v>2667</v>
      </c>
      <c r="B301" s="49" t="s">
        <v>2668</v>
      </c>
      <c r="C301" s="49" t="s">
        <v>14723</v>
      </c>
      <c r="D301" s="49">
        <v>300</v>
      </c>
      <c r="E301" s="78" t="str">
        <f t="shared" si="3"/>
        <v>E2_7_1_51</v>
      </c>
      <c r="F301" s="78" t="s">
        <v>13243</v>
      </c>
      <c r="G301" s="78" t="s">
        <v>13244</v>
      </c>
      <c r="H301" s="78" t="s">
        <v>13245</v>
      </c>
      <c r="I301" s="78" t="s">
        <v>13246</v>
      </c>
      <c r="J301" s="78" t="str">
        <f t="shared" si="4"/>
        <v>(${Variables:E2_7_1_51_kcat} * E2_7_1_51 * C00002*C00309)/(${Variables:E2_7_1_51_km} + (E2_7_1_51 * C00002*C00309))</v>
      </c>
      <c r="K301" s="79" t="str">
        <f t="shared" si="5"/>
        <v>r300: C00002+C00309 -&gt; C00008+C22337 | (${Variables:E2_7_1_51_kcat} * E2_7_1_51 * C00002*C00309)/(${Variables:E2_7_1_51_km} + (E2_7_1_51 * C00002*C00309))</v>
      </c>
    </row>
    <row r="302" spans="1:11" ht="26" x14ac:dyDescent="0.35">
      <c r="A302" s="78" t="s">
        <v>2671</v>
      </c>
      <c r="B302" s="49" t="s">
        <v>2672</v>
      </c>
      <c r="C302" s="49" t="s">
        <v>14724</v>
      </c>
      <c r="D302" s="49">
        <v>301</v>
      </c>
      <c r="E302" s="78" t="str">
        <f t="shared" si="3"/>
        <v>E5_3_1_25</v>
      </c>
      <c r="F302" s="78" t="s">
        <v>7441</v>
      </c>
      <c r="G302" s="78" t="s">
        <v>7441</v>
      </c>
      <c r="H302" s="78" t="s">
        <v>7442</v>
      </c>
      <c r="I302" s="78" t="s">
        <v>7442</v>
      </c>
      <c r="J302" s="78" t="str">
        <f t="shared" si="4"/>
        <v>(${Variables:E5_3_1_25_kcat} * E5_3_1_25 * C01019)/(${Variables:E5_3_1_25_km} + (E5_3_1_25 * C01019))</v>
      </c>
      <c r="K302" s="79" t="str">
        <f t="shared" si="5"/>
        <v>r301: C01019 -&gt; C01721 | (${Variables:E5_3_1_25_kcat} * E5_3_1_25 * C01019)/(${Variables:E5_3_1_25_km} + (E5_3_1_25 * C01019))</v>
      </c>
    </row>
    <row r="303" spans="1:11" ht="26.5" x14ac:dyDescent="0.35">
      <c r="A303" s="78" t="s">
        <v>2701</v>
      </c>
      <c r="B303" s="49" t="s">
        <v>2702</v>
      </c>
      <c r="C303" s="49" t="s">
        <v>14725</v>
      </c>
      <c r="D303" s="49">
        <v>302</v>
      </c>
      <c r="E303" s="78" t="str">
        <f t="shared" si="3"/>
        <v>E3_1_3_82</v>
      </c>
      <c r="F303" s="49" t="s">
        <v>13247</v>
      </c>
      <c r="G303" s="49" t="s">
        <v>13248</v>
      </c>
      <c r="H303" s="78" t="s">
        <v>13249</v>
      </c>
      <c r="I303" s="78" t="s">
        <v>13250</v>
      </c>
      <c r="J303" s="78" t="str">
        <f t="shared" si="4"/>
        <v>(${Variables:E3_1_3_82_kcat} * E3_1_3_82 * C11472*C00001)/(${Variables:E3_1_3_82_km} + (E3_1_3_82 * C11472*C00001))</v>
      </c>
      <c r="K303" s="79" t="str">
        <f t="shared" si="5"/>
        <v>r302: C11472+C00001 -&gt; C07838+C00009 | (${Variables:E3_1_3_82_kcat} * E3_1_3_82 * C11472*C00001)/(${Variables:E3_1_3_82_km} + (E3_1_3_82 * C11472*C00001))</v>
      </c>
    </row>
    <row r="304" spans="1:11" ht="26" x14ac:dyDescent="0.35">
      <c r="A304" s="78" t="s">
        <v>2719</v>
      </c>
      <c r="B304" s="49" t="s">
        <v>2720</v>
      </c>
      <c r="C304" s="49" t="s">
        <v>14726</v>
      </c>
      <c r="D304" s="49">
        <v>303</v>
      </c>
      <c r="E304" s="78" t="str">
        <f t="shared" si="3"/>
        <v>E4_1_1_20</v>
      </c>
      <c r="F304" s="49" t="s">
        <v>7457</v>
      </c>
      <c r="G304" s="49" t="s">
        <v>7457</v>
      </c>
      <c r="H304" s="78" t="s">
        <v>13251</v>
      </c>
      <c r="I304" s="78" t="s">
        <v>13252</v>
      </c>
      <c r="J304" s="78" t="str">
        <f t="shared" si="4"/>
        <v>(${Variables:E4_1_1_20_kcat} * E4_1_1_20 * C00680)/(${Variables:E4_1_1_20_km} + (E4_1_1_20 * C00680))</v>
      </c>
      <c r="K304" s="79" t="str">
        <f t="shared" si="5"/>
        <v>r303: C00680 -&gt; C00047+C00011 | (${Variables:E4_1_1_20_kcat} * E4_1_1_20 * C00680)/(${Variables:E4_1_1_20_km} + (E4_1_1_20 * C00680))</v>
      </c>
    </row>
    <row r="305" spans="1:11" ht="26.5" x14ac:dyDescent="0.35">
      <c r="A305" s="78" t="s">
        <v>2734</v>
      </c>
      <c r="B305" s="49" t="s">
        <v>2735</v>
      </c>
      <c r="C305" s="49" t="s">
        <v>14727</v>
      </c>
      <c r="D305" s="49">
        <v>304</v>
      </c>
      <c r="E305" s="78" t="str">
        <f t="shared" si="3"/>
        <v>E6_1_1_15</v>
      </c>
      <c r="F305" s="78" t="s">
        <v>13253</v>
      </c>
      <c r="G305" s="78" t="s">
        <v>13254</v>
      </c>
      <c r="H305" s="78" t="s">
        <v>13255</v>
      </c>
      <c r="I305" s="78" t="s">
        <v>13256</v>
      </c>
      <c r="J305" s="78" t="str">
        <f t="shared" si="4"/>
        <v>(${Variables:E6_1_1_15_kcat} * E6_1_1_15 * C00002*C00148*C01649)/(${Variables:E6_1_1_15_km} + (E6_1_1_15 * C00002*C00148*C01649))</v>
      </c>
      <c r="K305" s="79" t="str">
        <f t="shared" si="5"/>
        <v>r304: C00002+C00148+C01649 -&gt; C00020+C00013+C02702 | (${Variables:E6_1_1_15_kcat} * E6_1_1_15 * C00002*C00148*C01649)/(${Variables:E6_1_1_15_km} + (E6_1_1_15 * C00002*C00148*C01649))</v>
      </c>
    </row>
    <row r="306" spans="1:11" ht="26.5" x14ac:dyDescent="0.35">
      <c r="A306" s="78" t="s">
        <v>2744</v>
      </c>
      <c r="B306" s="49" t="s">
        <v>2745</v>
      </c>
      <c r="C306" s="49" t="s">
        <v>14728</v>
      </c>
      <c r="D306" s="49">
        <v>305</v>
      </c>
      <c r="E306" s="78" t="str">
        <f t="shared" si="3"/>
        <v>E2_3_1_51</v>
      </c>
      <c r="F306" s="78" t="s">
        <v>13257</v>
      </c>
      <c r="G306" s="78" t="s">
        <v>13258</v>
      </c>
      <c r="H306" s="78" t="s">
        <v>13259</v>
      </c>
      <c r="I306" s="78" t="s">
        <v>13260</v>
      </c>
      <c r="J306" s="78" t="str">
        <f t="shared" si="4"/>
        <v>(${Variables:E2_3_1_51_kcat} * E2_3_1_51 * C00416*C00010)/(${Variables:E2_3_1_51_km} + (E2_3_1_51 * C00416*C00010))</v>
      </c>
      <c r="K306" s="79" t="str">
        <f t="shared" si="5"/>
        <v>r305: C00416+C00010 -&gt; C00681+C00040 | (${Variables:E2_3_1_51_kcat} * E2_3_1_51 * C00416*C00010)/(${Variables:E2_3_1_51_km} + (E2_3_1_51 * C00416*C00010))</v>
      </c>
    </row>
    <row r="307" spans="1:11" ht="26.5" x14ac:dyDescent="0.35">
      <c r="A307" s="78" t="s">
        <v>2744</v>
      </c>
      <c r="B307" s="49" t="s">
        <v>2745</v>
      </c>
      <c r="C307" s="49" t="s">
        <v>14728</v>
      </c>
      <c r="D307" s="49">
        <v>306</v>
      </c>
      <c r="E307" s="78" t="str">
        <f t="shared" si="3"/>
        <v>E2_3_1_51</v>
      </c>
      <c r="F307" s="78" t="s">
        <v>13261</v>
      </c>
      <c r="G307" s="78" t="s">
        <v>13262</v>
      </c>
      <c r="H307" s="78" t="s">
        <v>13263</v>
      </c>
      <c r="I307" s="78" t="s">
        <v>13264</v>
      </c>
      <c r="J307" s="78" t="str">
        <f t="shared" si="4"/>
        <v>(${Variables:E2_3_1_51_kcat} * E2_3_1_51 * C00605*C00681)/(${Variables:E2_3_1_51_km} + (E2_3_1_51 * C00605*C00681))</v>
      </c>
      <c r="K307" s="79" t="str">
        <f t="shared" si="5"/>
        <v>r306: C00605+C00681 -&gt; C00010+C00416 | (${Variables:E2_3_1_51_kcat} * E2_3_1_51 * C00605*C00681)/(${Variables:E2_3_1_51_km} + (E2_3_1_51 * C00605*C00681))</v>
      </c>
    </row>
    <row r="308" spans="1:11" ht="26.5" x14ac:dyDescent="0.35">
      <c r="A308" s="78" t="s">
        <v>2744</v>
      </c>
      <c r="B308" s="49" t="s">
        <v>2745</v>
      </c>
      <c r="C308" s="49" t="s">
        <v>14728</v>
      </c>
      <c r="D308" s="49">
        <v>307</v>
      </c>
      <c r="E308" s="78" t="str">
        <f t="shared" si="3"/>
        <v>E2_3_1_51</v>
      </c>
      <c r="F308" s="78" t="s">
        <v>13265</v>
      </c>
      <c r="G308" s="78" t="s">
        <v>13266</v>
      </c>
      <c r="H308" s="78" t="s">
        <v>13267</v>
      </c>
      <c r="I308" s="78" t="s">
        <v>13268</v>
      </c>
      <c r="J308" s="78" t="str">
        <f t="shared" si="4"/>
        <v>(${Variables:E2_3_1_51_kcat} * E2_3_1_51 * C00173*C00681)/(${Variables:E2_3_1_51_km} + (E2_3_1_51 * C00173*C00681))</v>
      </c>
      <c r="K308" s="79" t="str">
        <f t="shared" si="5"/>
        <v>r307: C00173+C00681 -&gt; C00229+C00416 | (${Variables:E2_3_1_51_kcat} * E2_3_1_51 * C00173*C00681)/(${Variables:E2_3_1_51_km} + (E2_3_1_51 * C00173*C00681))</v>
      </c>
    </row>
    <row r="309" spans="1:11" ht="26.5" x14ac:dyDescent="0.35">
      <c r="A309" s="78" t="s">
        <v>2748</v>
      </c>
      <c r="B309" s="49" t="s">
        <v>2749</v>
      </c>
      <c r="C309" s="49" t="s">
        <v>14729</v>
      </c>
      <c r="D309" s="49">
        <v>308</v>
      </c>
      <c r="E309" s="78" t="str">
        <f t="shared" si="3"/>
        <v>E3_6_1_54</v>
      </c>
      <c r="F309" s="49" t="s">
        <v>13269</v>
      </c>
      <c r="G309" s="49" t="s">
        <v>13270</v>
      </c>
      <c r="H309" s="78" t="s">
        <v>13271</v>
      </c>
      <c r="I309" s="78" t="s">
        <v>13272</v>
      </c>
      <c r="J309" s="78" t="str">
        <f t="shared" si="4"/>
        <v>(${Variables:E3_6_1_54_kcat} * E3_6_1_54 * C04652*C00001)/(${Variables:E3_6_1_54_km} + (E3_6_1_54 * C04652*C00001))</v>
      </c>
      <c r="K309" s="79" t="str">
        <f t="shared" si="5"/>
        <v>r308: C04652+C00001 -&gt; C00105+C04824 | (${Variables:E3_6_1_54_kcat} * E3_6_1_54 * C04652*C00001)/(${Variables:E3_6_1_54_km} + (E3_6_1_54 * C04652*C00001))</v>
      </c>
    </row>
    <row r="310" spans="1:11" ht="26" x14ac:dyDescent="0.35">
      <c r="A310" s="78" t="s">
        <v>2760</v>
      </c>
      <c r="B310" s="49" t="s">
        <v>2761</v>
      </c>
      <c r="C310" s="49" t="s">
        <v>14730</v>
      </c>
      <c r="D310" s="49">
        <v>309</v>
      </c>
      <c r="E310" s="78" t="str">
        <f t="shared" si="3"/>
        <v>E4_2_1_9</v>
      </c>
      <c r="F310" s="78" t="s">
        <v>7483</v>
      </c>
      <c r="G310" s="78" t="s">
        <v>7483</v>
      </c>
      <c r="H310" s="78" t="s">
        <v>13273</v>
      </c>
      <c r="I310" s="78" t="s">
        <v>13274</v>
      </c>
      <c r="J310" s="78" t="str">
        <f t="shared" si="4"/>
        <v>(${Variables:E4_2_1_9_kcat} * E4_2_1_9 * C04039)/(${Variables:E4_2_1_9_km} + (E4_2_1_9 * C04039))</v>
      </c>
      <c r="K310" s="79" t="str">
        <f t="shared" si="5"/>
        <v>r309: C04039 -&gt; C00141+C00001 | (${Variables:E4_2_1_9_kcat} * E4_2_1_9 * C04039)/(${Variables:E4_2_1_9_km} + (E4_2_1_9 * C04039))</v>
      </c>
    </row>
    <row r="311" spans="1:11" ht="26" x14ac:dyDescent="0.35">
      <c r="A311" s="78" t="s">
        <v>2760</v>
      </c>
      <c r="B311" s="49" t="s">
        <v>2761</v>
      </c>
      <c r="C311" s="49" t="s">
        <v>14730</v>
      </c>
      <c r="D311" s="49">
        <v>310</v>
      </c>
      <c r="E311" s="78" t="str">
        <f t="shared" si="3"/>
        <v>E4_2_1_9</v>
      </c>
      <c r="F311" s="49" t="s">
        <v>7486</v>
      </c>
      <c r="G311" s="49" t="s">
        <v>7486</v>
      </c>
      <c r="H311" s="78" t="s">
        <v>13273</v>
      </c>
      <c r="I311" s="78" t="s">
        <v>13274</v>
      </c>
      <c r="J311" s="78" t="str">
        <f t="shared" si="4"/>
        <v>(${Variables:E4_2_1_9_kcat} * E4_2_1_9 * C04272)/(${Variables:E4_2_1_9_km} + (E4_2_1_9 * C04272))</v>
      </c>
      <c r="K311" s="79" t="str">
        <f t="shared" si="5"/>
        <v>r310: C04272 -&gt; C00141+C00001 | (${Variables:E4_2_1_9_kcat} * E4_2_1_9 * C04272)/(${Variables:E4_2_1_9_km} + (E4_2_1_9 * C04272))</v>
      </c>
    </row>
    <row r="312" spans="1:11" ht="26" x14ac:dyDescent="0.35">
      <c r="A312" s="78" t="s">
        <v>2760</v>
      </c>
      <c r="B312" s="49" t="s">
        <v>2761</v>
      </c>
      <c r="C312" s="49" t="s">
        <v>14730</v>
      </c>
      <c r="D312" s="49">
        <v>311</v>
      </c>
      <c r="E312" s="78" t="str">
        <f t="shared" si="3"/>
        <v>E4_2_1_9</v>
      </c>
      <c r="F312" s="49" t="s">
        <v>7488</v>
      </c>
      <c r="G312" s="49" t="s">
        <v>7488</v>
      </c>
      <c r="H312" s="78" t="s">
        <v>13275</v>
      </c>
      <c r="I312" s="78" t="s">
        <v>13276</v>
      </c>
      <c r="J312" s="78" t="str">
        <f t="shared" si="4"/>
        <v>(${Variables:E4_2_1_9_kcat} * E4_2_1_9 * C06007)/(${Variables:E4_2_1_9_km} + (E4_2_1_9 * C06007))</v>
      </c>
      <c r="K312" s="79" t="str">
        <f t="shared" si="5"/>
        <v>r311: C06007 -&gt; C00671+C00001 | (${Variables:E4_2_1_9_kcat} * E4_2_1_9 * C06007)/(${Variables:E4_2_1_9_km} + (E4_2_1_9 * C06007))</v>
      </c>
    </row>
    <row r="313" spans="1:11" ht="26" x14ac:dyDescent="0.35">
      <c r="A313" s="78" t="s">
        <v>2764</v>
      </c>
      <c r="B313" s="49" t="s">
        <v>2765</v>
      </c>
      <c r="C313" s="49" t="s">
        <v>14731</v>
      </c>
      <c r="D313" s="49">
        <v>312</v>
      </c>
      <c r="E313" s="78" t="str">
        <f t="shared" si="3"/>
        <v>E4_3_1_19</v>
      </c>
      <c r="F313" s="78" t="s">
        <v>7493</v>
      </c>
      <c r="G313" s="78" t="s">
        <v>7493</v>
      </c>
      <c r="H313" s="78" t="s">
        <v>13277</v>
      </c>
      <c r="I313" s="78" t="s">
        <v>13278</v>
      </c>
      <c r="J313" s="78" t="str">
        <f t="shared" si="4"/>
        <v>(${Variables:E4_3_1_19_kcat} * E4_3_1_19 * C00188)/(${Variables:E4_3_1_19_km} + (E4_3_1_19 * C00188))</v>
      </c>
      <c r="K313" s="79" t="str">
        <f t="shared" si="5"/>
        <v>r312: C00188 -&gt; C00109+C00014 | (${Variables:E4_3_1_19_kcat} * E4_3_1_19 * C00188)/(${Variables:E4_3_1_19_km} + (E4_3_1_19 * C00188))</v>
      </c>
    </row>
    <row r="314" spans="1:11" ht="26.5" x14ac:dyDescent="0.35">
      <c r="A314" s="78" t="s">
        <v>2764</v>
      </c>
      <c r="B314" s="49" t="s">
        <v>2765</v>
      </c>
      <c r="C314" s="49" t="s">
        <v>14731</v>
      </c>
      <c r="D314" s="49">
        <v>313</v>
      </c>
      <c r="E314" s="78" t="str">
        <f t="shared" si="3"/>
        <v>E4_3_1_19</v>
      </c>
      <c r="F314" s="78" t="s">
        <v>13279</v>
      </c>
      <c r="G314" s="78" t="s">
        <v>13280</v>
      </c>
      <c r="H314" s="78" t="s">
        <v>13277</v>
      </c>
      <c r="I314" s="78" t="s">
        <v>13278</v>
      </c>
      <c r="J314" s="78" t="str">
        <f t="shared" si="4"/>
        <v>(${Variables:E4_3_1_19_kcat} * E4_3_1_19 * C20905*C00001)/(${Variables:E4_3_1_19_km} + (E4_3_1_19 * C20905*C00001))</v>
      </c>
      <c r="K314" s="79" t="str">
        <f t="shared" si="5"/>
        <v>r313: C20905+C00001 -&gt; C00109+C00014 | (${Variables:E4_3_1_19_kcat} * E4_3_1_19 * C20905*C00001)/(${Variables:E4_3_1_19_km} + (E4_3_1_19 * C20905*C00001))</v>
      </c>
    </row>
    <row r="315" spans="1:11" ht="26" x14ac:dyDescent="0.35">
      <c r="A315" s="78" t="s">
        <v>2764</v>
      </c>
      <c r="B315" s="49" t="s">
        <v>2765</v>
      </c>
      <c r="C315" s="49" t="s">
        <v>14731</v>
      </c>
      <c r="D315" s="49">
        <v>314</v>
      </c>
      <c r="E315" s="78" t="str">
        <f t="shared" si="3"/>
        <v>E4_3_1_19</v>
      </c>
      <c r="F315" s="49" t="s">
        <v>7498</v>
      </c>
      <c r="G315" s="49" t="s">
        <v>7498</v>
      </c>
      <c r="H315" s="78" t="s">
        <v>7499</v>
      </c>
      <c r="I315" s="78" t="s">
        <v>7499</v>
      </c>
      <c r="J315" s="78" t="str">
        <f t="shared" si="4"/>
        <v>(${Variables:E4_3_1_19_kcat} * E4_3_1_19 * C17234)/(${Variables:E4_3_1_19_km} + (E4_3_1_19 * C17234))</v>
      </c>
      <c r="K315" s="79" t="str">
        <f t="shared" si="5"/>
        <v>r314: C17234 -&gt; C20905 | (${Variables:E4_3_1_19_kcat} * E4_3_1_19 * C17234)/(${Variables:E4_3_1_19_km} + (E4_3_1_19 * C17234))</v>
      </c>
    </row>
    <row r="316" spans="1:11" ht="26" x14ac:dyDescent="0.35">
      <c r="A316" s="78" t="s">
        <v>2795</v>
      </c>
      <c r="B316" s="49" t="s">
        <v>2796</v>
      </c>
      <c r="C316" s="49" t="s">
        <v>14732</v>
      </c>
      <c r="D316" s="49">
        <v>315</v>
      </c>
      <c r="E316" s="78" t="str">
        <f t="shared" si="3"/>
        <v>E5_1_1_7</v>
      </c>
      <c r="F316" s="78" t="s">
        <v>7505</v>
      </c>
      <c r="G316" s="78" t="s">
        <v>7505</v>
      </c>
      <c r="H316" s="78" t="s">
        <v>7457</v>
      </c>
      <c r="I316" s="78" t="s">
        <v>7457</v>
      </c>
      <c r="J316" s="78" t="str">
        <f t="shared" si="4"/>
        <v>(${Variables:E5_1_1_7_kcat} * E5_1_1_7 * C00666)/(${Variables:E5_1_1_7_km} + (E5_1_1_7 * C00666))</v>
      </c>
      <c r="K316" s="79" t="str">
        <f t="shared" si="5"/>
        <v>r315: C00666 -&gt; C00680 | (${Variables:E5_1_1_7_kcat} * E5_1_1_7 * C00666)/(${Variables:E5_1_1_7_km} + (E5_1_1_7 * C00666))</v>
      </c>
    </row>
    <row r="317" spans="1:11" ht="38.5" x14ac:dyDescent="0.35">
      <c r="A317" s="78" t="s">
        <v>2804</v>
      </c>
      <c r="B317" s="49" t="s">
        <v>2805</v>
      </c>
      <c r="C317" s="49" t="s">
        <v>14733</v>
      </c>
      <c r="D317" s="49">
        <v>316</v>
      </c>
      <c r="E317" s="78" t="str">
        <f t="shared" si="3"/>
        <v>E6_3_5_3</v>
      </c>
      <c r="F317" s="78" t="s">
        <v>13281</v>
      </c>
      <c r="G317" s="78" t="s">
        <v>13282</v>
      </c>
      <c r="H317" s="78" t="s">
        <v>13283</v>
      </c>
      <c r="I317" s="78" t="s">
        <v>13284</v>
      </c>
      <c r="J317" s="78" t="str">
        <f t="shared" si="4"/>
        <v>(${Variables:E6_3_5_3_kcat} * E6_3_5_3 * C00002*C04376*C00064*C00001)/(${Variables:E6_3_5_3_km} + (E6_3_5_3 * C00002*C04376*C00064*C00001))</v>
      </c>
      <c r="K317" s="79" t="str">
        <f t="shared" si="5"/>
        <v>r316: C00002+C04376+C00064+C00001 -&gt; C00008+C00009+C04640+C00025 | (${Variables:E6_3_5_3_kcat} * E6_3_5_3 * C00002*C04376*C00064*C00001)/(${Variables:E6_3_5_3_km} + (E6_3_5_3 * C00002*C04376*C00064*C00001))</v>
      </c>
    </row>
    <row r="318" spans="1:11" ht="26.5" x14ac:dyDescent="0.35">
      <c r="A318" s="78" t="s">
        <v>2818</v>
      </c>
      <c r="B318" s="49" t="s">
        <v>2819</v>
      </c>
      <c r="C318" s="49" t="s">
        <v>14734</v>
      </c>
      <c r="D318" s="49">
        <v>317</v>
      </c>
      <c r="E318" s="78" t="str">
        <f t="shared" si="3"/>
        <v>E5_4_2_11</v>
      </c>
      <c r="F318" s="78" t="s">
        <v>13285</v>
      </c>
      <c r="G318" s="78" t="s">
        <v>13286</v>
      </c>
      <c r="H318" s="78" t="s">
        <v>13287</v>
      </c>
      <c r="I318" s="78" t="s">
        <v>13288</v>
      </c>
      <c r="J318" s="78" t="str">
        <f t="shared" si="4"/>
        <v>(${Variables:E5_4_2_11_kcat} * E5_4_2_11 * C01159*C00615)/(${Variables:E5_4_2_11_km} + (E5_4_2_11 * C01159*C00615))</v>
      </c>
      <c r="K318" s="79" t="str">
        <f t="shared" si="5"/>
        <v>r317: C01159+C00615 -&gt; C00197+C04262 | (${Variables:E5_4_2_11_kcat} * E5_4_2_11 * C01159*C00615)/(${Variables:E5_4_2_11_km} + (E5_4_2_11 * C01159*C00615))</v>
      </c>
    </row>
    <row r="319" spans="1:11" ht="26.5" x14ac:dyDescent="0.35">
      <c r="A319" s="78" t="s">
        <v>2844</v>
      </c>
      <c r="B319" s="49" t="s">
        <v>2845</v>
      </c>
      <c r="C319" s="49" t="s">
        <v>14735</v>
      </c>
      <c r="D319" s="49">
        <v>318</v>
      </c>
      <c r="E319" s="78" t="str">
        <f t="shared" si="3"/>
        <v>E2_7_1_22</v>
      </c>
      <c r="F319" s="78" t="s">
        <v>13289</v>
      </c>
      <c r="G319" s="78" t="s">
        <v>13290</v>
      </c>
      <c r="H319" s="78" t="s">
        <v>13291</v>
      </c>
      <c r="I319" s="78" t="s">
        <v>13292</v>
      </c>
      <c r="J319" s="78" t="str">
        <f t="shared" si="4"/>
        <v>(${Variables:E2_7_1_22_kcat} * E2_7_1_22 * C00002*C03150)/(${Variables:E2_7_1_22_km} + (E2_7_1_22 * C00002*C03150))</v>
      </c>
      <c r="K319" s="79" t="str">
        <f t="shared" si="5"/>
        <v>r318: C00002+C03150 -&gt; C00008+C00455 | (${Variables:E2_7_1_22_kcat} * E2_7_1_22 * C00002*C03150)/(${Variables:E2_7_1_22_km} + (E2_7_1_22 * C00002*C03150))</v>
      </c>
    </row>
    <row r="320" spans="1:11" ht="26.5" x14ac:dyDescent="0.35">
      <c r="A320" s="78" t="s">
        <v>2844</v>
      </c>
      <c r="B320" s="49" t="s">
        <v>2845</v>
      </c>
      <c r="C320" s="49" t="s">
        <v>14736</v>
      </c>
      <c r="D320" s="49">
        <v>319</v>
      </c>
      <c r="E320" s="78" t="str">
        <f t="shared" si="3"/>
        <v>E2_7_7_1</v>
      </c>
      <c r="F320" s="78" t="s">
        <v>13293</v>
      </c>
      <c r="G320" s="78" t="s">
        <v>13294</v>
      </c>
      <c r="H320" s="78" t="s">
        <v>13295</v>
      </c>
      <c r="I320" s="78" t="s">
        <v>13296</v>
      </c>
      <c r="J320" s="78" t="str">
        <f t="shared" si="4"/>
        <v>(${Variables:E2_7_7_1_kcat} * E2_7_7_1 * C00002*C00455)/(${Variables:E2_7_7_1_km} + (E2_7_7_1 * C00002*C00455))</v>
      </c>
      <c r="K320" s="79" t="str">
        <f t="shared" si="5"/>
        <v>r319: C00002+C00455 -&gt; C00013+C00003 | (${Variables:E2_7_7_1_kcat} * E2_7_7_1 * C00002*C00455)/(${Variables:E2_7_7_1_km} + (E2_7_7_1 * C00002*C00455))</v>
      </c>
    </row>
    <row r="321" spans="1:11" ht="26.5" x14ac:dyDescent="0.35">
      <c r="A321" s="78" t="s">
        <v>2844</v>
      </c>
      <c r="B321" s="49" t="s">
        <v>2845</v>
      </c>
      <c r="C321" s="49" t="s">
        <v>14736</v>
      </c>
      <c r="D321" s="49">
        <v>320</v>
      </c>
      <c r="E321" s="78" t="str">
        <f t="shared" si="3"/>
        <v>E2_7_7_1</v>
      </c>
      <c r="F321" s="78" t="s">
        <v>13297</v>
      </c>
      <c r="G321" s="78" t="s">
        <v>13298</v>
      </c>
      <c r="H321" s="78" t="s">
        <v>13299</v>
      </c>
      <c r="I321" s="78" t="s">
        <v>13300</v>
      </c>
      <c r="J321" s="78" t="str">
        <f t="shared" si="4"/>
        <v>(${Variables:E2_7_7_1_kcat} * E2_7_7_1 * C00002*C01185)/(${Variables:E2_7_7_1_km} + (E2_7_7_1 * C00002*C01185))</v>
      </c>
      <c r="K321" s="79" t="str">
        <f t="shared" si="5"/>
        <v>r320: C00002+C01185 -&gt; C00013+C00857 | (${Variables:E2_7_7_1_kcat} * E2_7_7_1 * C00002*C01185)/(${Variables:E2_7_7_1_km} + (E2_7_7_1 * C00002*C01185))</v>
      </c>
    </row>
    <row r="322" spans="1:11" ht="26" x14ac:dyDescent="0.35">
      <c r="A322" s="78" t="s">
        <v>2848</v>
      </c>
      <c r="B322" s="49" t="s">
        <v>2849</v>
      </c>
      <c r="C322" s="49" t="s">
        <v>14737</v>
      </c>
      <c r="D322" s="49">
        <v>321</v>
      </c>
      <c r="E322" s="78" t="str">
        <f t="shared" si="3"/>
        <v>E4_1_99_12</v>
      </c>
      <c r="F322" s="78" t="s">
        <v>6912</v>
      </c>
      <c r="G322" s="78" t="s">
        <v>6912</v>
      </c>
      <c r="H322" s="78" t="s">
        <v>13301</v>
      </c>
      <c r="I322" s="78" t="s">
        <v>13302</v>
      </c>
      <c r="J322" s="78" t="str">
        <f t="shared" si="4"/>
        <v>(${Variables:E4_1_99_12_kcat} * E4_1_99_12 * C00199)/(${Variables:E4_1_99_12_km} + (E4_1_99_12 * C00199))</v>
      </c>
      <c r="K322" s="79" t="str">
        <f t="shared" si="5"/>
        <v>r321: C00199 -&gt; C15556+C00058 | (${Variables:E4_1_99_12_kcat} * E4_1_99_12 * C00199)/(${Variables:E4_1_99_12_km} + (E4_1_99_12 * C00199))</v>
      </c>
    </row>
    <row r="323" spans="1:11" ht="26.5" x14ac:dyDescent="0.35">
      <c r="A323" s="78" t="s">
        <v>3010</v>
      </c>
      <c r="B323" s="49" t="s">
        <v>3011</v>
      </c>
      <c r="C323" s="49" t="s">
        <v>14738</v>
      </c>
      <c r="D323" s="49">
        <v>322</v>
      </c>
      <c r="E323" s="78" t="str">
        <f t="shared" si="3"/>
        <v>E1_1_1_267</v>
      </c>
      <c r="F323" s="78" t="s">
        <v>13303</v>
      </c>
      <c r="G323" s="78" t="s">
        <v>13304</v>
      </c>
      <c r="H323" s="78" t="s">
        <v>13305</v>
      </c>
      <c r="I323" s="78" t="s">
        <v>13306</v>
      </c>
      <c r="J323" s="78" t="str">
        <f t="shared" si="4"/>
        <v>(${Variables:E1_1_1_267_kcat} * E1_1_1_267 * C11434*C00006)/(${Variables:E1_1_1_267_km} + (E1_1_1_267 * C11434*C00006))</v>
      </c>
      <c r="K323" s="79" t="str">
        <f t="shared" si="5"/>
        <v>r322: C11434+C00006 -&gt; C11437+C00005+C00080 | (${Variables:E1_1_1_267_kcat} * E1_1_1_267 * C11434*C00006)/(${Variables:E1_1_1_267_km} + (E1_1_1_267 * C11434*C00006))</v>
      </c>
    </row>
    <row r="324" spans="1:11" ht="26.5" x14ac:dyDescent="0.35">
      <c r="A324" s="78" t="s">
        <v>3018</v>
      </c>
      <c r="B324" s="49" t="s">
        <v>3019</v>
      </c>
      <c r="C324" s="49" t="s">
        <v>14739</v>
      </c>
      <c r="D324" s="49">
        <v>323</v>
      </c>
      <c r="E324" s="78" t="str">
        <f t="shared" si="3"/>
        <v>E4_1_1_49</v>
      </c>
      <c r="F324" s="78" t="s">
        <v>13307</v>
      </c>
      <c r="G324" s="78" t="s">
        <v>13308</v>
      </c>
      <c r="H324" s="78" t="s">
        <v>13309</v>
      </c>
      <c r="I324" s="78" t="s">
        <v>13310</v>
      </c>
      <c r="J324" s="78" t="str">
        <f t="shared" si="4"/>
        <v>(${Variables:E4_1_1_49_kcat} * E4_1_1_49 * C00002*C00036)/(${Variables:E4_1_1_49_km} + (E4_1_1_49 * C00002*C00036))</v>
      </c>
      <c r="K324" s="79" t="str">
        <f t="shared" si="5"/>
        <v>r323: C00002+C00036 -&gt; C00008+C00074+C00011 | (${Variables:E4_1_1_49_kcat} * E4_1_1_49 * C00002*C00036)/(${Variables:E4_1_1_49_km} + (E4_1_1_49 * C00002*C00036))</v>
      </c>
    </row>
    <row r="325" spans="1:11" ht="26" x14ac:dyDescent="0.35">
      <c r="A325" s="78" t="s">
        <v>3026</v>
      </c>
      <c r="B325" s="49" t="s">
        <v>3027</v>
      </c>
      <c r="C325" s="49" t="s">
        <v>14740</v>
      </c>
      <c r="D325" s="49">
        <v>324</v>
      </c>
      <c r="E325" s="78" t="str">
        <f t="shared" si="3"/>
        <v>E4_3_2_1</v>
      </c>
      <c r="F325" s="78" t="s">
        <v>7553</v>
      </c>
      <c r="G325" s="78" t="s">
        <v>7553</v>
      </c>
      <c r="H325" s="78" t="s">
        <v>13311</v>
      </c>
      <c r="I325" s="78" t="s">
        <v>13312</v>
      </c>
      <c r="J325" s="78" t="str">
        <f t="shared" si="4"/>
        <v>(${Variables:E4_3_2_1_kcat} * E4_3_2_1 * C03406)/(${Variables:E4_3_2_1_km} + (E4_3_2_1 * C03406))</v>
      </c>
      <c r="K325" s="79" t="str">
        <f t="shared" si="5"/>
        <v>r324: C03406 -&gt; C00122+C00062 | (${Variables:E4_3_2_1_kcat} * E4_3_2_1 * C03406)/(${Variables:E4_3_2_1_km} + (E4_3_2_1 * C03406))</v>
      </c>
    </row>
    <row r="326" spans="1:11" ht="26.5" x14ac:dyDescent="0.35">
      <c r="A326" s="78" t="s">
        <v>3030</v>
      </c>
      <c r="B326" s="49" t="s">
        <v>3031</v>
      </c>
      <c r="C326" s="49" t="s">
        <v>14741</v>
      </c>
      <c r="D326" s="49">
        <v>325</v>
      </c>
      <c r="E326" s="78" t="str">
        <f t="shared" si="3"/>
        <v>E2_7_7_9</v>
      </c>
      <c r="F326" s="78" t="s">
        <v>13313</v>
      </c>
      <c r="G326" s="78" t="s">
        <v>13314</v>
      </c>
      <c r="H326" s="78" t="s">
        <v>13315</v>
      </c>
      <c r="I326" s="78" t="s">
        <v>13316</v>
      </c>
      <c r="J326" s="78" t="str">
        <f t="shared" si="4"/>
        <v>(${Variables:E2_7_7_9_kcat} * E2_7_7_9 * C00075*C00103)/(${Variables:E2_7_7_9_km} + (E2_7_7_9 * C00075*C00103))</v>
      </c>
      <c r="K326" s="79" t="str">
        <f t="shared" si="5"/>
        <v>r325: C00075+C00103 -&gt; C00013+C00029 | (${Variables:E2_7_7_9_kcat} * E2_7_7_9 * C00075*C00103)/(${Variables:E2_7_7_9_km} + (E2_7_7_9 * C00075*C00103))</v>
      </c>
    </row>
    <row r="327" spans="1:11" ht="26.5" x14ac:dyDescent="0.35">
      <c r="A327" s="78" t="s">
        <v>3038</v>
      </c>
      <c r="B327" s="49" t="s">
        <v>3039</v>
      </c>
      <c r="C327" s="49" t="s">
        <v>14742</v>
      </c>
      <c r="D327" s="49">
        <v>326</v>
      </c>
      <c r="E327" s="78" t="str">
        <f t="shared" si="3"/>
        <v>E6_1_1_7</v>
      </c>
      <c r="F327" s="78" t="s">
        <v>13317</v>
      </c>
      <c r="G327" s="78" t="s">
        <v>13318</v>
      </c>
      <c r="H327" s="78" t="s">
        <v>13319</v>
      </c>
      <c r="I327" s="78" t="s">
        <v>13320</v>
      </c>
      <c r="J327" s="78" t="str">
        <f t="shared" si="4"/>
        <v>(${Variables:E6_1_1_7_kcat} * E6_1_1_7 * C00002*C00041*C01635)/(${Variables:E6_1_1_7_km} + (E6_1_1_7 * C00002*C00041*C01635))</v>
      </c>
      <c r="K327" s="79" t="str">
        <f t="shared" si="5"/>
        <v>r326: C00002+C00041+C01635 -&gt; C00020+C00013+C00886 | (${Variables:E6_1_1_7_kcat} * E6_1_1_7 * C00002*C00041*C01635)/(${Variables:E6_1_1_7_km} + (E6_1_1_7 * C00002*C00041*C01635))</v>
      </c>
    </row>
    <row r="328" spans="1:11" ht="26.5" x14ac:dyDescent="0.35">
      <c r="A328" s="78" t="s">
        <v>3057</v>
      </c>
      <c r="B328" s="49" t="s">
        <v>3058</v>
      </c>
      <c r="C328" s="49" t="s">
        <v>14743</v>
      </c>
      <c r="D328" s="49">
        <v>327</v>
      </c>
      <c r="E328" s="78" t="str">
        <f t="shared" si="3"/>
        <v>E2_7_1_6</v>
      </c>
      <c r="F328" s="78" t="s">
        <v>13321</v>
      </c>
      <c r="G328" s="78" t="s">
        <v>13322</v>
      </c>
      <c r="H328" s="78" t="s">
        <v>13323</v>
      </c>
      <c r="I328" s="78" t="s">
        <v>13324</v>
      </c>
      <c r="J328" s="78" t="str">
        <f t="shared" si="4"/>
        <v>(${Variables:E2_7_1_6_kcat} * E2_7_1_6 * C00002*C00984)/(${Variables:E2_7_1_6_km} + (E2_7_1_6 * C00002*C00984))</v>
      </c>
      <c r="K328" s="79" t="str">
        <f t="shared" si="5"/>
        <v>r327: C00002+C00984 -&gt; C00008+C00446 | (${Variables:E2_7_1_6_kcat} * E2_7_1_6 * C00002*C00984)/(${Variables:E2_7_1_6_km} + (E2_7_1_6 * C00002*C00984))</v>
      </c>
    </row>
    <row r="329" spans="1:11" ht="26.5" x14ac:dyDescent="0.35">
      <c r="A329" s="78" t="s">
        <v>3084</v>
      </c>
      <c r="B329" s="49" t="s">
        <v>3085</v>
      </c>
      <c r="C329" s="49" t="s">
        <v>14744</v>
      </c>
      <c r="D329" s="49">
        <v>328</v>
      </c>
      <c r="E329" s="78" t="str">
        <f t="shared" si="3"/>
        <v>E3_1_2_20</v>
      </c>
      <c r="F329" s="78" t="s">
        <v>13325</v>
      </c>
      <c r="G329" s="78" t="s">
        <v>13326</v>
      </c>
      <c r="H329" s="78" t="s">
        <v>13327</v>
      </c>
      <c r="I329" s="78" t="s">
        <v>13328</v>
      </c>
      <c r="J329" s="78" t="str">
        <f t="shared" si="4"/>
        <v>(${Variables:E3_1_2_20_kcat} * E3_1_2_20 * C00040*C00001)/(${Variables:E3_1_2_20_km} + (E3_1_2_20 * C00040*C00001))</v>
      </c>
      <c r="K329" s="79" t="str">
        <f t="shared" si="5"/>
        <v>r328: C00040+C00001 -&gt; C00010+C00060 | (${Variables:E3_1_2_20_kcat} * E3_1_2_20 * C00040*C00001)/(${Variables:E3_1_2_20_km} + (E3_1_2_20 * C00040*C00001))</v>
      </c>
    </row>
    <row r="330" spans="1:11" ht="26.5" x14ac:dyDescent="0.35">
      <c r="A330" s="78" t="s">
        <v>3143</v>
      </c>
      <c r="B330" s="49" t="s">
        <v>3144</v>
      </c>
      <c r="C330" s="49" t="s">
        <v>14745</v>
      </c>
      <c r="D330" s="49">
        <v>329</v>
      </c>
      <c r="E330" s="78" t="str">
        <f t="shared" si="3"/>
        <v>E2_7_7_77</v>
      </c>
      <c r="F330" s="78" t="s">
        <v>13329</v>
      </c>
      <c r="G330" s="78" t="s">
        <v>13330</v>
      </c>
      <c r="H330" s="78" t="s">
        <v>13331</v>
      </c>
      <c r="I330" s="78" t="s">
        <v>13332</v>
      </c>
      <c r="J330" s="78" t="str">
        <f t="shared" si="4"/>
        <v>(${Variables:E2_7_7_77_kcat} * E2_7_7_77 * C18237*C00044)/(${Variables:E2_7_7_77_km} + (E2_7_7_77 * C18237*C00044))</v>
      </c>
      <c r="K330" s="79" t="str">
        <f t="shared" si="5"/>
        <v>r329: C18237+C00044 -&gt; C19871+C00013 | (${Variables:E2_7_7_77_kcat} * E2_7_7_77 * C18237*C00044)/(${Variables:E2_7_7_77_km} + (E2_7_7_77 * C18237*C00044))</v>
      </c>
    </row>
    <row r="331" spans="1:11" ht="26.5" x14ac:dyDescent="0.35">
      <c r="A331" s="78" t="s">
        <v>3153</v>
      </c>
      <c r="B331" s="49" t="s">
        <v>3154</v>
      </c>
      <c r="C331" s="49" t="s">
        <v>14746</v>
      </c>
      <c r="D331" s="49">
        <v>330</v>
      </c>
      <c r="E331" s="78" t="str">
        <f t="shared" si="3"/>
        <v>E2_1_1_35</v>
      </c>
      <c r="F331" s="78" t="s">
        <v>13333</v>
      </c>
      <c r="G331" s="78" t="s">
        <v>13334</v>
      </c>
      <c r="H331" s="78" t="s">
        <v>13335</v>
      </c>
      <c r="I331" s="78" t="s">
        <v>13336</v>
      </c>
      <c r="J331" s="78" t="str">
        <f t="shared" si="4"/>
        <v>(${Variables:E2_1_1_35_kcat} * E2_1_1_35 * C00019*C01764)/(${Variables:E2_1_1_35_km} + (E2_1_1_35 * C00019*C01764))</v>
      </c>
      <c r="K331" s="79" t="str">
        <f t="shared" si="5"/>
        <v>r330: C00019+C01764 -&gt; C00021+C03446 | (${Variables:E2_1_1_35_kcat} * E2_1_1_35 * C00019*C01764)/(${Variables:E2_1_1_35_km} + (E2_1_1_35 * C00019*C01764))</v>
      </c>
    </row>
    <row r="332" spans="1:11" ht="38.5" x14ac:dyDescent="0.35">
      <c r="A332" s="78" t="s">
        <v>3171</v>
      </c>
      <c r="B332" s="49" t="s">
        <v>3172</v>
      </c>
      <c r="C332" s="49" t="s">
        <v>14747</v>
      </c>
      <c r="D332" s="49">
        <v>331</v>
      </c>
      <c r="E332" s="78" t="str">
        <f t="shared" si="3"/>
        <v>E1_14_14_18</v>
      </c>
      <c r="F332" s="78" t="s">
        <v>13337</v>
      </c>
      <c r="G332" s="78" t="s">
        <v>13338</v>
      </c>
      <c r="H332" s="78" t="s">
        <v>13339</v>
      </c>
      <c r="I332" s="78" t="s">
        <v>13340</v>
      </c>
      <c r="J332" s="78" t="str">
        <f t="shared" si="4"/>
        <v>(${Variables:E1_14_14_18_kcat} * E1_14_14_18 * C00032*C03024*C00007)/(${Variables:E1_14_14_18_km} + (E1_14_14_18 * C00032*C03024*C00007))</v>
      </c>
      <c r="K332" s="79" t="str">
        <f t="shared" si="5"/>
        <v>r331: C00032+C03024+C00007 -&gt; C00500+C00237+C14818+C03161+C00001 | (${Variables:E1_14_14_18_kcat} * E1_14_14_18 * C00032*C03024*C00007)/(${Variables:E1_14_14_18_km} + (E1_14_14_18 * C00032*C03024*C00007))</v>
      </c>
    </row>
    <row r="333" spans="1:11" ht="26.5" x14ac:dyDescent="0.35">
      <c r="A333" s="78" t="s">
        <v>3188</v>
      </c>
      <c r="B333" s="49" t="s">
        <v>3189</v>
      </c>
      <c r="C333" s="49" t="s">
        <v>14748</v>
      </c>
      <c r="D333" s="49">
        <v>332</v>
      </c>
      <c r="E333" s="78" t="str">
        <f t="shared" si="3"/>
        <v>E6_3_3_2</v>
      </c>
      <c r="F333" s="78" t="s">
        <v>13341</v>
      </c>
      <c r="G333" s="78" t="s">
        <v>13342</v>
      </c>
      <c r="H333" s="78" t="s">
        <v>13343</v>
      </c>
      <c r="I333" s="78" t="s">
        <v>13344</v>
      </c>
      <c r="J333" s="78" t="str">
        <f t="shared" si="4"/>
        <v>(${Variables:E6_3_3_2_kcat} * E6_3_3_2 * C00002*C03479*C00080)/(${Variables:E6_3_3_2_km} + (E6_3_3_2 * C00002*C03479*C00080))</v>
      </c>
      <c r="K333" s="79" t="str">
        <f t="shared" si="5"/>
        <v>r332: C00002+C03479+C00080 -&gt; C00008+C00009+C00445 | (${Variables:E6_3_3_2_kcat} * E6_3_3_2 * C00002*C03479*C00080)/(${Variables:E6_3_3_2_km} + (E6_3_3_2 * C00002*C03479*C00080))</v>
      </c>
    </row>
    <row r="334" spans="1:11" ht="26.5" x14ac:dyDescent="0.35">
      <c r="A334" s="78" t="s">
        <v>3207</v>
      </c>
      <c r="B334" s="49" t="s">
        <v>3208</v>
      </c>
      <c r="C334" s="49" t="s">
        <v>14749</v>
      </c>
      <c r="D334" s="49">
        <v>333</v>
      </c>
      <c r="E334" s="78" t="str">
        <f t="shared" si="3"/>
        <v>E1_4_3_5</v>
      </c>
      <c r="F334" s="78" t="s">
        <v>13345</v>
      </c>
      <c r="G334" s="78" t="s">
        <v>13346</v>
      </c>
      <c r="H334" s="78" t="s">
        <v>13347</v>
      </c>
      <c r="I334" s="78" t="s">
        <v>13348</v>
      </c>
      <c r="J334" s="78" t="str">
        <f t="shared" si="4"/>
        <v>(${Variables:E1_4_3_5_kcat} * E1_4_3_5 * C00647*C00001*C00007)/(${Variables:E1_4_3_5_km} + (E1_4_3_5 * C00647*C00001*C00007))</v>
      </c>
      <c r="K334" s="79" t="str">
        <f t="shared" si="5"/>
        <v>r333: C00647+C00001+C00007 -&gt; C00018+C00014+C00027 | (${Variables:E1_4_3_5_kcat} * E1_4_3_5 * C00647*C00001*C00007)/(${Variables:E1_4_3_5_km} + (E1_4_3_5 * C00647*C00001*C00007))</v>
      </c>
    </row>
    <row r="335" spans="1:11" ht="26.5" x14ac:dyDescent="0.35">
      <c r="A335" s="78" t="s">
        <v>3207</v>
      </c>
      <c r="B335" s="49" t="s">
        <v>3208</v>
      </c>
      <c r="C335" s="49" t="s">
        <v>14749</v>
      </c>
      <c r="D335" s="49">
        <v>334</v>
      </c>
      <c r="E335" s="78" t="str">
        <f t="shared" si="3"/>
        <v>E1_4_3_5</v>
      </c>
      <c r="F335" s="78" t="s">
        <v>13349</v>
      </c>
      <c r="G335" s="78" t="s">
        <v>13350</v>
      </c>
      <c r="H335" s="78" t="s">
        <v>13351</v>
      </c>
      <c r="I335" s="78" t="s">
        <v>13352</v>
      </c>
      <c r="J335" s="78" t="str">
        <f t="shared" si="4"/>
        <v>(${Variables:E1_4_3_5_kcat} * E1_4_3_5 * C00627*C00007)/(${Variables:E1_4_3_5_km} + (E1_4_3_5 * C00627*C00007))</v>
      </c>
      <c r="K335" s="79" t="str">
        <f t="shared" si="5"/>
        <v>r334: C00627+C00007 -&gt; C00027+C00018 | (${Variables:E1_4_3_5_kcat} * E1_4_3_5 * C00627*C00007)/(${Variables:E1_4_3_5_km} + (E1_4_3_5 * C00627*C00007))</v>
      </c>
    </row>
    <row r="336" spans="1:11" ht="26.5" x14ac:dyDescent="0.35">
      <c r="A336" s="78" t="s">
        <v>3207</v>
      </c>
      <c r="B336" s="49" t="s">
        <v>3208</v>
      </c>
      <c r="C336" s="49" t="s">
        <v>14749</v>
      </c>
      <c r="D336" s="49">
        <v>335</v>
      </c>
      <c r="E336" s="78" t="str">
        <f t="shared" si="3"/>
        <v>E1_4_3_5</v>
      </c>
      <c r="F336" s="78" t="s">
        <v>13353</v>
      </c>
      <c r="G336" s="78" t="s">
        <v>13354</v>
      </c>
      <c r="H336" s="78" t="s">
        <v>13355</v>
      </c>
      <c r="I336" s="78" t="s">
        <v>13356</v>
      </c>
      <c r="J336" s="78" t="str">
        <f t="shared" si="4"/>
        <v>(${Variables:E1_4_3_5_kcat} * E1_4_3_5 * C00534*C00001*C00007)/(${Variables:E1_4_3_5_km} + (E1_4_3_5 * C00534*C00001*C00007))</v>
      </c>
      <c r="K336" s="79" t="str">
        <f t="shared" si="5"/>
        <v>r335: C00534+C00001+C00007 -&gt; C00250+C00014+C00027 | (${Variables:E1_4_3_5_kcat} * E1_4_3_5 * C00534*C00001*C00007)/(${Variables:E1_4_3_5_km} + (E1_4_3_5 * C00534*C00001*C00007))</v>
      </c>
    </row>
    <row r="337" spans="1:11" ht="26.5" x14ac:dyDescent="0.35">
      <c r="A337" s="78" t="s">
        <v>3207</v>
      </c>
      <c r="B337" s="49" t="s">
        <v>3208</v>
      </c>
      <c r="C337" s="49" t="s">
        <v>14749</v>
      </c>
      <c r="D337" s="49">
        <v>336</v>
      </c>
      <c r="E337" s="78" t="str">
        <f t="shared" si="3"/>
        <v>E1_4_3_5</v>
      </c>
      <c r="F337" s="78" t="s">
        <v>13357</v>
      </c>
      <c r="G337" s="78" t="s">
        <v>13358</v>
      </c>
      <c r="H337" s="78" t="s">
        <v>13359</v>
      </c>
      <c r="I337" s="78" t="s">
        <v>13360</v>
      </c>
      <c r="J337" s="78" t="str">
        <f t="shared" si="4"/>
        <v>(${Variables:E1_4_3_5_kcat} * E1_4_3_5 * C00314*C00007)/(${Variables:E1_4_3_5_km} + (E1_4_3_5 * C00314*C00007))</v>
      </c>
      <c r="K337" s="79" t="str">
        <f t="shared" si="5"/>
        <v>r336: C00314+C00007 -&gt; C00250+C00027 | (${Variables:E1_4_3_5_kcat} * E1_4_3_5 * C00314*C00007)/(${Variables:E1_4_3_5_km} + (E1_4_3_5 * C00314*C00007))</v>
      </c>
    </row>
    <row r="338" spans="1:11" ht="26.5" x14ac:dyDescent="0.35">
      <c r="A338" s="78" t="s">
        <v>3219</v>
      </c>
      <c r="B338" s="49" t="s">
        <v>3220</v>
      </c>
      <c r="C338" s="49" t="s">
        <v>14750</v>
      </c>
      <c r="D338" s="49">
        <v>337</v>
      </c>
      <c r="E338" s="78" t="str">
        <f t="shared" si="3"/>
        <v>E6_3_1_2</v>
      </c>
      <c r="F338" s="78" t="s">
        <v>13361</v>
      </c>
      <c r="G338" s="78" t="s">
        <v>13362</v>
      </c>
      <c r="H338" s="78" t="s">
        <v>13363</v>
      </c>
      <c r="I338" s="78" t="s">
        <v>13364</v>
      </c>
      <c r="J338" s="78" t="str">
        <f t="shared" si="4"/>
        <v>(${Variables:E6_3_1_2_kcat} * E6_3_1_2 * C00002*C00025*C00014)/(${Variables:E6_3_1_2_km} + (E6_3_1_2 * C00002*C00025*C00014))</v>
      </c>
      <c r="K338" s="79" t="str">
        <f t="shared" si="5"/>
        <v>r337: C00002+C00025+C00014 -&gt; C00008+C00009+C00064 | (${Variables:E6_3_1_2_kcat} * E6_3_1_2 * C00002*C00025*C00014)/(${Variables:E6_3_1_2_km} + (E6_3_1_2 * C00002*C00025*C00014))</v>
      </c>
    </row>
    <row r="339" spans="1:11" ht="26" x14ac:dyDescent="0.35">
      <c r="A339" s="78" t="s">
        <v>3223</v>
      </c>
      <c r="B339" s="49" t="s">
        <v>3224</v>
      </c>
      <c r="C339" s="49" t="s">
        <v>14751</v>
      </c>
      <c r="D339" s="49">
        <v>338</v>
      </c>
      <c r="E339" s="78" t="str">
        <f t="shared" si="3"/>
        <v>E4_2_1_46</v>
      </c>
      <c r="F339" s="78" t="s">
        <v>6748</v>
      </c>
      <c r="G339" s="78" t="s">
        <v>6748</v>
      </c>
      <c r="H339" s="78" t="s">
        <v>13365</v>
      </c>
      <c r="I339" s="78" t="s">
        <v>13366</v>
      </c>
      <c r="J339" s="78" t="str">
        <f t="shared" si="4"/>
        <v>(${Variables:E4_2_1_46_kcat} * E4_2_1_46 * C00842)/(${Variables:E4_2_1_46_km} + (E4_2_1_46 * C00842))</v>
      </c>
      <c r="K339" s="79" t="str">
        <f t="shared" si="5"/>
        <v>r338: C00842 -&gt; C11907+C00001 | (${Variables:E4_2_1_46_kcat} * E4_2_1_46 * C00842)/(${Variables:E4_2_1_46_km} + (E4_2_1_46 * C00842))</v>
      </c>
    </row>
    <row r="340" spans="1:11" ht="26.5" x14ac:dyDescent="0.35">
      <c r="A340" s="78" t="s">
        <v>3227</v>
      </c>
      <c r="B340" s="49" t="s">
        <v>3228</v>
      </c>
      <c r="C340" s="49" t="s">
        <v>14752</v>
      </c>
      <c r="D340" s="49">
        <v>339</v>
      </c>
      <c r="E340" s="78" t="str">
        <f t="shared" si="3"/>
        <v>E3_4_11_23</v>
      </c>
      <c r="F340" s="78" t="s">
        <v>13367</v>
      </c>
      <c r="G340" s="78" t="s">
        <v>13368</v>
      </c>
      <c r="H340" s="78" t="s">
        <v>13369</v>
      </c>
      <c r="I340" s="78" t="s">
        <v>13370</v>
      </c>
      <c r="J340" s="78" t="str">
        <f t="shared" si="4"/>
        <v>(${Variables:E3_4_11_23_kcat} * E3_4_11_23 * C01419*C00001)/(${Variables:E3_4_11_23_km} + (E3_4_11_23 * C01419*C00001))</v>
      </c>
      <c r="K340" s="79" t="str">
        <f t="shared" si="5"/>
        <v>r339: C01419+C00001 -&gt; C00097+C00037 | (${Variables:E3_4_11_23_kcat} * E3_4_11_23 * C01419*C00001)/(${Variables:E3_4_11_23_km} + (E3_4_11_23 * C01419*C00001))</v>
      </c>
    </row>
    <row r="341" spans="1:11" ht="26.5" x14ac:dyDescent="0.35">
      <c r="A341" s="78" t="s">
        <v>3227</v>
      </c>
      <c r="B341" s="49" t="s">
        <v>3228</v>
      </c>
      <c r="C341" s="49" t="s">
        <v>14752</v>
      </c>
      <c r="D341" s="49">
        <v>340</v>
      </c>
      <c r="E341" s="78" t="str">
        <f t="shared" si="3"/>
        <v>E3_4_11_23</v>
      </c>
      <c r="F341" s="78" t="s">
        <v>13371</v>
      </c>
      <c r="G341" s="78" t="s">
        <v>13372</v>
      </c>
      <c r="H341" s="78" t="s">
        <v>13373</v>
      </c>
      <c r="I341" s="78" t="s">
        <v>13374</v>
      </c>
      <c r="J341" s="78" t="str">
        <f t="shared" si="4"/>
        <v>(${Variables:E3_4_11_23_kcat} * E3_4_11_23 * C05729*C00001)/(${Variables:E3_4_11_23_km} + (E3_4_11_23 * C05729*C00001))</v>
      </c>
      <c r="K341" s="79" t="str">
        <f t="shared" si="5"/>
        <v>r340: C05729+C00001 -&gt; C05726+C00037 | (${Variables:E3_4_11_23_kcat} * E3_4_11_23 * C05729*C00001)/(${Variables:E3_4_11_23_km} + (E3_4_11_23 * C05729*C00001))</v>
      </c>
    </row>
    <row r="342" spans="1:11" ht="26.5" x14ac:dyDescent="0.35">
      <c r="A342" s="78" t="s">
        <v>3231</v>
      </c>
      <c r="B342" s="49" t="s">
        <v>3232</v>
      </c>
      <c r="C342" s="49" t="s">
        <v>14753</v>
      </c>
      <c r="D342" s="49">
        <v>341</v>
      </c>
      <c r="E342" s="78" t="str">
        <f t="shared" si="3"/>
        <v>E2_7_4_6</v>
      </c>
      <c r="F342" s="78" t="s">
        <v>13375</v>
      </c>
      <c r="G342" s="78" t="s">
        <v>13376</v>
      </c>
      <c r="H342" s="78" t="s">
        <v>13377</v>
      </c>
      <c r="I342" s="78" t="s">
        <v>13378</v>
      </c>
      <c r="J342" s="78" t="str">
        <f t="shared" si="4"/>
        <v>(${Variables:E2_7_4_6_kcat} * E2_7_4_6 * C00002*C00454)/(${Variables:E2_7_4_6_km} + (E2_7_4_6 * C00002*C00454))</v>
      </c>
      <c r="K342" s="79" t="str">
        <f t="shared" si="5"/>
        <v>r341: C00002+C00454 -&gt; C00008+C00201 | (${Variables:E2_7_4_6_kcat} * E2_7_4_6 * C00002*C00454)/(${Variables:E2_7_4_6_km} + (E2_7_4_6 * C00002*C00454))</v>
      </c>
    </row>
    <row r="343" spans="1:11" ht="26.5" x14ac:dyDescent="0.35">
      <c r="A343" s="78" t="s">
        <v>3231</v>
      </c>
      <c r="B343" s="49" t="s">
        <v>3232</v>
      </c>
      <c r="C343" s="49" t="s">
        <v>14753</v>
      </c>
      <c r="D343" s="49">
        <v>342</v>
      </c>
      <c r="E343" s="78" t="str">
        <f t="shared" si="3"/>
        <v>E2_7_4_6</v>
      </c>
      <c r="F343" s="78" t="s">
        <v>13379</v>
      </c>
      <c r="G343" s="78" t="s">
        <v>13380</v>
      </c>
      <c r="H343" s="78" t="s">
        <v>13381</v>
      </c>
      <c r="I343" s="78" t="s">
        <v>13382</v>
      </c>
      <c r="J343" s="78" t="str">
        <f t="shared" si="4"/>
        <v>(${Variables:E2_7_4_6_kcat} * E2_7_4_6 * C00002*C00008)/(${Variables:E2_7_4_6_km} + (E2_7_4_6 * C00002*C00008))</v>
      </c>
      <c r="K343" s="79" t="str">
        <f t="shared" si="5"/>
        <v>r342: C00002+C00008 -&gt; C00008+C00002 | (${Variables:E2_7_4_6_kcat} * E2_7_4_6 * C00002*C00008)/(${Variables:E2_7_4_6_km} + (E2_7_4_6 * C00002*C00008))</v>
      </c>
    </row>
    <row r="344" spans="1:11" ht="26.5" x14ac:dyDescent="0.35">
      <c r="A344" s="78" t="s">
        <v>3231</v>
      </c>
      <c r="B344" s="49" t="s">
        <v>3232</v>
      </c>
      <c r="C344" s="49" t="s">
        <v>14753</v>
      </c>
      <c r="D344" s="49">
        <v>343</v>
      </c>
      <c r="E344" s="78" t="str">
        <f t="shared" si="3"/>
        <v>E2_7_4_6</v>
      </c>
      <c r="F344" s="78" t="s">
        <v>13383</v>
      </c>
      <c r="G344" s="78" t="s">
        <v>13384</v>
      </c>
      <c r="H344" s="49" t="s">
        <v>13385</v>
      </c>
      <c r="I344" s="49" t="s">
        <v>13386</v>
      </c>
      <c r="J344" s="78" t="str">
        <f t="shared" si="4"/>
        <v>(${Variables:E2_7_4_6_kcat} * E2_7_4_6 * C11038*C00002)/(${Variables:E2_7_4_6_km} + (E2_7_4_6 * C11038*C00002))</v>
      </c>
      <c r="K344" s="79" t="str">
        <f t="shared" si="5"/>
        <v>r343: C11038+C00002 -&gt; C11039+C00008 | (${Variables:E2_7_4_6_kcat} * E2_7_4_6 * C11038*C00002)/(${Variables:E2_7_4_6_km} + (E2_7_4_6 * C11038*C00002))</v>
      </c>
    </row>
    <row r="345" spans="1:11" ht="26.5" x14ac:dyDescent="0.35">
      <c r="A345" s="78" t="s">
        <v>3231</v>
      </c>
      <c r="B345" s="49" t="s">
        <v>3232</v>
      </c>
      <c r="C345" s="49" t="s">
        <v>14753</v>
      </c>
      <c r="D345" s="49">
        <v>344</v>
      </c>
      <c r="E345" s="78" t="str">
        <f t="shared" si="3"/>
        <v>E2_7_4_6</v>
      </c>
      <c r="F345" s="78" t="s">
        <v>13387</v>
      </c>
      <c r="G345" s="78" t="s">
        <v>13388</v>
      </c>
      <c r="H345" s="78" t="s">
        <v>13389</v>
      </c>
      <c r="I345" s="78" t="s">
        <v>13390</v>
      </c>
      <c r="J345" s="78" t="str">
        <f t="shared" si="4"/>
        <v>(${Variables:E2_7_4_6_kcat} * E2_7_4_6 * C00002*C00015)/(${Variables:E2_7_4_6_km} + (E2_7_4_6 * C00002*C00015))</v>
      </c>
      <c r="K345" s="79" t="str">
        <f t="shared" si="5"/>
        <v>r344: C00002+C00015 -&gt; C00008+C00075 | (${Variables:E2_7_4_6_kcat} * E2_7_4_6 * C00002*C00015)/(${Variables:E2_7_4_6_km} + (E2_7_4_6 * C00002*C00015))</v>
      </c>
    </row>
    <row r="346" spans="1:11" ht="26.5" x14ac:dyDescent="0.35">
      <c r="A346" s="78" t="s">
        <v>3231</v>
      </c>
      <c r="B346" s="49" t="s">
        <v>3232</v>
      </c>
      <c r="C346" s="49" t="s">
        <v>14753</v>
      </c>
      <c r="D346" s="49">
        <v>345</v>
      </c>
      <c r="E346" s="78" t="str">
        <f t="shared" si="3"/>
        <v>E2_7_4_6</v>
      </c>
      <c r="F346" s="78" t="s">
        <v>13391</v>
      </c>
      <c r="G346" s="78" t="s">
        <v>13392</v>
      </c>
      <c r="H346" s="78" t="s">
        <v>13393</v>
      </c>
      <c r="I346" s="78" t="s">
        <v>13394</v>
      </c>
      <c r="J346" s="78" t="str">
        <f t="shared" si="4"/>
        <v>(${Variables:E2_7_4_6_kcat} * E2_7_4_6 * C00002*C00035)/(${Variables:E2_7_4_6_km} + (E2_7_4_6 * C00002*C00035))</v>
      </c>
      <c r="K346" s="79" t="str">
        <f t="shared" si="5"/>
        <v>r345: C00002+C00035 -&gt; C00008+C00044 | (${Variables:E2_7_4_6_kcat} * E2_7_4_6 * C00002*C00035)/(${Variables:E2_7_4_6_km} + (E2_7_4_6 * C00002*C00035))</v>
      </c>
    </row>
    <row r="347" spans="1:11" ht="26.5" x14ac:dyDescent="0.35">
      <c r="A347" s="78" t="s">
        <v>3231</v>
      </c>
      <c r="B347" s="49" t="s">
        <v>3232</v>
      </c>
      <c r="C347" s="49" t="s">
        <v>14753</v>
      </c>
      <c r="D347" s="49">
        <v>346</v>
      </c>
      <c r="E347" s="78" t="str">
        <f t="shared" si="3"/>
        <v>E2_7_4_6</v>
      </c>
      <c r="F347" s="78" t="s">
        <v>13395</v>
      </c>
      <c r="G347" s="78" t="s">
        <v>13396</v>
      </c>
      <c r="H347" s="78" t="s">
        <v>13397</v>
      </c>
      <c r="I347" s="78" t="s">
        <v>13398</v>
      </c>
      <c r="J347" s="78" t="str">
        <f t="shared" si="4"/>
        <v>(${Variables:E2_7_4_6_kcat} * E2_7_4_6 * C00002*C00112)/(${Variables:E2_7_4_6_km} + (E2_7_4_6 * C00002*C00112))</v>
      </c>
      <c r="K347" s="79" t="str">
        <f t="shared" si="5"/>
        <v>r346: C00002+C00112 -&gt; C00008+C00063 | (${Variables:E2_7_4_6_kcat} * E2_7_4_6 * C00002*C00112)/(${Variables:E2_7_4_6_km} + (E2_7_4_6 * C00002*C00112))</v>
      </c>
    </row>
    <row r="348" spans="1:11" ht="26.5" x14ac:dyDescent="0.35">
      <c r="A348" s="78" t="s">
        <v>3231</v>
      </c>
      <c r="B348" s="49" t="s">
        <v>3232</v>
      </c>
      <c r="C348" s="49" t="s">
        <v>14753</v>
      </c>
      <c r="D348" s="49">
        <v>347</v>
      </c>
      <c r="E348" s="78" t="str">
        <f t="shared" si="3"/>
        <v>E2_7_4_6</v>
      </c>
      <c r="F348" s="78" t="s">
        <v>13399</v>
      </c>
      <c r="G348" s="78" t="s">
        <v>13400</v>
      </c>
      <c r="H348" s="78" t="s">
        <v>13401</v>
      </c>
      <c r="I348" s="78" t="s">
        <v>13402</v>
      </c>
      <c r="J348" s="78" t="str">
        <f t="shared" si="4"/>
        <v>(${Variables:E2_7_4_6_kcat} * E2_7_4_6 * C00002*C00104)/(${Variables:E2_7_4_6_km} + (E2_7_4_6 * C00002*C00104))</v>
      </c>
      <c r="K348" s="79" t="str">
        <f t="shared" si="5"/>
        <v>r347: C00002+C00104 -&gt; C00008+C00081 | (${Variables:E2_7_4_6_kcat} * E2_7_4_6 * C00002*C00104)/(${Variables:E2_7_4_6_km} + (E2_7_4_6 * C00002*C00104))</v>
      </c>
    </row>
    <row r="349" spans="1:11" ht="26.5" x14ac:dyDescent="0.35">
      <c r="A349" s="78" t="s">
        <v>3231</v>
      </c>
      <c r="B349" s="49" t="s">
        <v>3232</v>
      </c>
      <c r="C349" s="49" t="s">
        <v>14753</v>
      </c>
      <c r="D349" s="49">
        <v>348</v>
      </c>
      <c r="E349" s="78" t="str">
        <f t="shared" si="3"/>
        <v>E2_7_4_6</v>
      </c>
      <c r="F349" s="78" t="s">
        <v>13403</v>
      </c>
      <c r="G349" s="78" t="s">
        <v>13404</v>
      </c>
      <c r="H349" s="78" t="s">
        <v>13405</v>
      </c>
      <c r="I349" s="78" t="s">
        <v>13406</v>
      </c>
      <c r="J349" s="78" t="str">
        <f t="shared" si="4"/>
        <v>(${Variables:E2_7_4_6_kcat} * E2_7_4_6 * C00002*C00206)/(${Variables:E2_7_4_6_km} + (E2_7_4_6 * C00002*C00206))</v>
      </c>
      <c r="K349" s="79" t="str">
        <f t="shared" si="5"/>
        <v>r348: C00002+C00206 -&gt; C00008+C00131 | (${Variables:E2_7_4_6_kcat} * E2_7_4_6 * C00002*C00206)/(${Variables:E2_7_4_6_km} + (E2_7_4_6 * C00002*C00206))</v>
      </c>
    </row>
    <row r="350" spans="1:11" ht="26.5" x14ac:dyDescent="0.35">
      <c r="A350" s="78" t="s">
        <v>3231</v>
      </c>
      <c r="B350" s="49" t="s">
        <v>3232</v>
      </c>
      <c r="C350" s="49" t="s">
        <v>14753</v>
      </c>
      <c r="D350" s="49">
        <v>349</v>
      </c>
      <c r="E350" s="78" t="str">
        <f t="shared" si="3"/>
        <v>E2_7_4_6</v>
      </c>
      <c r="F350" s="78" t="s">
        <v>13407</v>
      </c>
      <c r="G350" s="78" t="s">
        <v>13408</v>
      </c>
      <c r="H350" s="78" t="s">
        <v>13409</v>
      </c>
      <c r="I350" s="78" t="s">
        <v>13410</v>
      </c>
      <c r="J350" s="78" t="str">
        <f t="shared" si="4"/>
        <v>(${Variables:E2_7_4_6_kcat} * E2_7_4_6 * C00002*C00361)/(${Variables:E2_7_4_6_km} + (E2_7_4_6 * C00002*C00361))</v>
      </c>
      <c r="K350" s="79" t="str">
        <f t="shared" si="5"/>
        <v>r349: C00002+C00361 -&gt; C00008+C00286 | (${Variables:E2_7_4_6_kcat} * E2_7_4_6 * C00002*C00361)/(${Variables:E2_7_4_6_km} + (E2_7_4_6 * C00002*C00361))</v>
      </c>
    </row>
    <row r="351" spans="1:11" ht="26.5" x14ac:dyDescent="0.35">
      <c r="A351" s="78" t="s">
        <v>3231</v>
      </c>
      <c r="B351" s="49" t="s">
        <v>3232</v>
      </c>
      <c r="C351" s="49" t="s">
        <v>14753</v>
      </c>
      <c r="D351" s="49">
        <v>350</v>
      </c>
      <c r="E351" s="78" t="str">
        <f t="shared" si="3"/>
        <v>E2_7_4_6</v>
      </c>
      <c r="F351" s="78" t="s">
        <v>13411</v>
      </c>
      <c r="G351" s="78" t="s">
        <v>13412</v>
      </c>
      <c r="H351" s="78" t="s">
        <v>13413</v>
      </c>
      <c r="I351" s="78" t="s">
        <v>13414</v>
      </c>
      <c r="J351" s="78" t="str">
        <f t="shared" si="4"/>
        <v>(${Variables:E2_7_4_6_kcat} * E2_7_4_6 * C00002*C00363)/(${Variables:E2_7_4_6_km} + (E2_7_4_6 * C00002*C00363))</v>
      </c>
      <c r="K351" s="79" t="str">
        <f t="shared" si="5"/>
        <v>r350: C00002+C00363 -&gt; C00008+C00459 | (${Variables:E2_7_4_6_kcat} * E2_7_4_6 * C00002*C00363)/(${Variables:E2_7_4_6_km} + (E2_7_4_6 * C00002*C00363))</v>
      </c>
    </row>
    <row r="352" spans="1:11" ht="26.5" x14ac:dyDescent="0.35">
      <c r="A352" s="78" t="s">
        <v>3231</v>
      </c>
      <c r="B352" s="49" t="s">
        <v>3232</v>
      </c>
      <c r="C352" s="49" t="s">
        <v>14753</v>
      </c>
      <c r="D352" s="49">
        <v>351</v>
      </c>
      <c r="E352" s="78" t="str">
        <f t="shared" si="3"/>
        <v>E2_7_4_6</v>
      </c>
      <c r="F352" s="78" t="s">
        <v>13415</v>
      </c>
      <c r="G352" s="78" t="s">
        <v>13416</v>
      </c>
      <c r="H352" s="78" t="s">
        <v>13417</v>
      </c>
      <c r="I352" s="78" t="s">
        <v>13418</v>
      </c>
      <c r="J352" s="78" t="str">
        <f t="shared" si="4"/>
        <v>(${Variables:E2_7_4_6_kcat} * E2_7_4_6 * C00002*C00705)/(${Variables:E2_7_4_6_km} + (E2_7_4_6 * C00002*C00705))</v>
      </c>
      <c r="K352" s="79" t="str">
        <f t="shared" si="5"/>
        <v>r351: C00002+C00705 -&gt; C00008+C00458 | (${Variables:E2_7_4_6_kcat} * E2_7_4_6 * C00002*C00705)/(${Variables:E2_7_4_6_km} + (E2_7_4_6 * C00002*C00705))</v>
      </c>
    </row>
    <row r="353" spans="1:11" ht="26.5" x14ac:dyDescent="0.35">
      <c r="A353" s="78" t="s">
        <v>3231</v>
      </c>
      <c r="B353" s="49" t="s">
        <v>3232</v>
      </c>
      <c r="C353" s="49" t="s">
        <v>14753</v>
      </c>
      <c r="D353" s="49">
        <v>352</v>
      </c>
      <c r="E353" s="78" t="str">
        <f t="shared" si="3"/>
        <v>E2_7_4_6</v>
      </c>
      <c r="F353" s="78" t="s">
        <v>13419</v>
      </c>
      <c r="G353" s="78" t="s">
        <v>13420</v>
      </c>
      <c r="H353" s="78" t="s">
        <v>13421</v>
      </c>
      <c r="I353" s="78" t="s">
        <v>13422</v>
      </c>
      <c r="J353" s="78" t="str">
        <f t="shared" si="4"/>
        <v>(${Variables:E2_7_4_6_kcat} * E2_7_4_6 * C00002*C01346)/(${Variables:E2_7_4_6_km} + (E2_7_4_6 * C00002*C01346))</v>
      </c>
      <c r="K353" s="79" t="str">
        <f t="shared" si="5"/>
        <v>r352: C00002+C01346 -&gt; C00008+C00460 | (${Variables:E2_7_4_6_kcat} * E2_7_4_6 * C00002*C01346)/(${Variables:E2_7_4_6_km} + (E2_7_4_6 * C00002*C01346))</v>
      </c>
    </row>
    <row r="354" spans="1:11" ht="26.5" x14ac:dyDescent="0.35">
      <c r="A354" s="78" t="s">
        <v>3231</v>
      </c>
      <c r="B354" s="49" t="s">
        <v>3232</v>
      </c>
      <c r="C354" s="49" t="s">
        <v>14753</v>
      </c>
      <c r="D354" s="49">
        <v>353</v>
      </c>
      <c r="E354" s="78" t="str">
        <f t="shared" si="3"/>
        <v>E2_7_4_6</v>
      </c>
      <c r="F354" s="78" t="s">
        <v>13423</v>
      </c>
      <c r="G354" s="78" t="s">
        <v>13424</v>
      </c>
      <c r="H354" s="78" t="s">
        <v>13425</v>
      </c>
      <c r="I354" s="78" t="s">
        <v>13426</v>
      </c>
      <c r="J354" s="78" t="str">
        <f t="shared" si="4"/>
        <v>(${Variables:E2_7_4_6_kcat} * E2_7_4_6 * C00002*C01344)/(${Variables:E2_7_4_6_km} + (E2_7_4_6 * C00002*C01344))</v>
      </c>
      <c r="K354" s="79" t="str">
        <f t="shared" si="5"/>
        <v>r353: C00002+C01344 -&gt; C00008+C01345 | (${Variables:E2_7_4_6_kcat} * E2_7_4_6 * C00002*C01344)/(${Variables:E2_7_4_6_km} + (E2_7_4_6 * C00002*C01344))</v>
      </c>
    </row>
    <row r="355" spans="1:11" ht="26.5" x14ac:dyDescent="0.35">
      <c r="A355" s="78" t="s">
        <v>3231</v>
      </c>
      <c r="B355" s="49" t="s">
        <v>3232</v>
      </c>
      <c r="C355" s="49" t="s">
        <v>14753</v>
      </c>
      <c r="D355" s="49">
        <v>354</v>
      </c>
      <c r="E355" s="78" t="str">
        <f t="shared" si="3"/>
        <v>E2_7_4_6</v>
      </c>
      <c r="F355" s="78" t="s">
        <v>13427</v>
      </c>
      <c r="G355" s="78" t="s">
        <v>13428</v>
      </c>
      <c r="H355" s="78" t="s">
        <v>13429</v>
      </c>
      <c r="I355" s="78" t="s">
        <v>13430</v>
      </c>
      <c r="J355" s="78" t="str">
        <f t="shared" si="4"/>
        <v>(${Variables:E2_7_4_6_kcat} * E2_7_4_6 * C22442*C00002)/(${Variables:E2_7_4_6_km} + (E2_7_4_6 * C22442*C00002))</v>
      </c>
      <c r="K355" s="79" t="str">
        <f t="shared" si="5"/>
        <v>r354: C22442+C00002 -&gt; C22443+C00008 | (${Variables:E2_7_4_6_kcat} * E2_7_4_6 * C22442*C00002)/(${Variables:E2_7_4_6_km} + (E2_7_4_6 * C22442*C00002))</v>
      </c>
    </row>
    <row r="356" spans="1:11" ht="26.5" x14ac:dyDescent="0.35">
      <c r="A356" s="78" t="s">
        <v>3231</v>
      </c>
      <c r="B356" s="49" t="s">
        <v>3232</v>
      </c>
      <c r="C356" s="49" t="s">
        <v>14753</v>
      </c>
      <c r="D356" s="49">
        <v>355</v>
      </c>
      <c r="E356" s="78" t="str">
        <f t="shared" si="3"/>
        <v>E2_7_4_6</v>
      </c>
      <c r="F356" s="78" t="s">
        <v>13431</v>
      </c>
      <c r="G356" s="78" t="s">
        <v>13432</v>
      </c>
      <c r="H356" s="78" t="s">
        <v>13433</v>
      </c>
      <c r="I356" s="78" t="s">
        <v>13434</v>
      </c>
      <c r="J356" s="78" t="str">
        <f t="shared" si="4"/>
        <v>(${Variables:E2_7_4_6_kcat} * E2_7_4_6 * C00002*C21748)/(${Variables:E2_7_4_6_km} + (E2_7_4_6 * C00002*C21748))</v>
      </c>
      <c r="K356" s="79" t="str">
        <f t="shared" si="5"/>
        <v>r355: C00002+C21748 -&gt; C00008+C21749 | (${Variables:E2_7_4_6_kcat} * E2_7_4_6 * C00002*C21748)/(${Variables:E2_7_4_6_km} + (E2_7_4_6 * C00002*C21748))</v>
      </c>
    </row>
    <row r="357" spans="1:11" ht="26.5" x14ac:dyDescent="0.35">
      <c r="A357" s="78" t="s">
        <v>3231</v>
      </c>
      <c r="B357" s="49" t="s">
        <v>3232</v>
      </c>
      <c r="C357" s="49" t="s">
        <v>14753</v>
      </c>
      <c r="D357" s="49">
        <v>356</v>
      </c>
      <c r="E357" s="78" t="str">
        <f t="shared" si="3"/>
        <v>E2_7_4_6</v>
      </c>
      <c r="F357" s="78" t="s">
        <v>13435</v>
      </c>
      <c r="G357" s="78" t="s">
        <v>13436</v>
      </c>
      <c r="H357" s="78" t="s">
        <v>13437</v>
      </c>
      <c r="I357" s="78" t="s">
        <v>13438</v>
      </c>
      <c r="J357" s="78" t="str">
        <f t="shared" si="4"/>
        <v>(${Variables:E2_7_4_6_kcat} * E2_7_4_6 * C00002*C21750)/(${Variables:E2_7_4_6_km} + (E2_7_4_6 * C00002*C21750))</v>
      </c>
      <c r="K357" s="79" t="str">
        <f t="shared" si="5"/>
        <v>r356: C00002+C21750 -&gt; C00008+C21751 | (${Variables:E2_7_4_6_kcat} * E2_7_4_6 * C00002*C21750)/(${Variables:E2_7_4_6_km} + (E2_7_4_6 * C00002*C21750))</v>
      </c>
    </row>
    <row r="358" spans="1:11" ht="26.5" x14ac:dyDescent="0.35">
      <c r="A358" s="78" t="s">
        <v>3250</v>
      </c>
      <c r="B358" s="49" t="s">
        <v>3251</v>
      </c>
      <c r="C358" s="49" t="s">
        <v>14754</v>
      </c>
      <c r="D358" s="49">
        <v>357</v>
      </c>
      <c r="E358" s="78" t="str">
        <f t="shared" si="3"/>
        <v>E2_5_1_90</v>
      </c>
      <c r="F358" s="49" t="s">
        <v>13439</v>
      </c>
      <c r="G358" s="49" t="s">
        <v>13440</v>
      </c>
      <c r="H358" s="49" t="s">
        <v>13441</v>
      </c>
      <c r="I358" s="49" t="s">
        <v>13442</v>
      </c>
      <c r="J358" s="78" t="str">
        <f t="shared" si="4"/>
        <v>(${Variables:E2_5_1_90_kcat} * E2_5_1_90 * C00448*C00129)/(${Variables:E2_5_1_90_km} + (E2_5_1_90 * C00448*C00129))</v>
      </c>
      <c r="K358" s="79" t="str">
        <f t="shared" si="5"/>
        <v>r357: C00448+C00129 -&gt; C04146+C00013 | (${Variables:E2_5_1_90_kcat} * E2_5_1_90 * C00448*C00129)/(${Variables:E2_5_1_90_km} + (E2_5_1_90 * C00448*C00129))</v>
      </c>
    </row>
    <row r="359" spans="1:11" ht="26.5" x14ac:dyDescent="0.35">
      <c r="A359" s="78" t="s">
        <v>3269</v>
      </c>
      <c r="B359" s="49" t="s">
        <v>3270</v>
      </c>
      <c r="C359" s="49" t="s">
        <v>14755</v>
      </c>
      <c r="D359" s="49">
        <v>358</v>
      </c>
      <c r="E359" s="78" t="str">
        <f t="shared" si="3"/>
        <v>E2_1_2_3</v>
      </c>
      <c r="F359" s="78" t="s">
        <v>13443</v>
      </c>
      <c r="G359" s="78" t="s">
        <v>13444</v>
      </c>
      <c r="H359" s="78" t="s">
        <v>13445</v>
      </c>
      <c r="I359" s="78" t="s">
        <v>13446</v>
      </c>
      <c r="J359" s="78" t="str">
        <f t="shared" si="4"/>
        <v>(${Variables:E2_1_2_3_kcat} * E2_1_2_3 * C00234*C04677)/(${Variables:E2_1_2_3_km} + (E2_1_2_3 * C00234*C04677))</v>
      </c>
      <c r="K359" s="79" t="str">
        <f t="shared" si="5"/>
        <v>r358: C00234+C04677 -&gt; C00101+C04734 | (${Variables:E2_1_2_3_kcat} * E2_1_2_3 * C00234*C04677)/(${Variables:E2_1_2_3_km} + (E2_1_2_3 * C00234*C04677))</v>
      </c>
    </row>
    <row r="360" spans="1:11" ht="26.5" x14ac:dyDescent="0.35">
      <c r="A360" s="78" t="s">
        <v>3269</v>
      </c>
      <c r="B360" s="49" t="s">
        <v>3270</v>
      </c>
      <c r="C360" s="49" t="s">
        <v>14756</v>
      </c>
      <c r="D360" s="49">
        <v>359</v>
      </c>
      <c r="E360" s="78" t="str">
        <f t="shared" si="3"/>
        <v>E3_5_4_10</v>
      </c>
      <c r="F360" s="78" t="s">
        <v>13447</v>
      </c>
      <c r="G360" s="78" t="s">
        <v>13448</v>
      </c>
      <c r="H360" s="78" t="s">
        <v>7701</v>
      </c>
      <c r="I360" s="78" t="s">
        <v>7701</v>
      </c>
      <c r="J360" s="78" t="str">
        <f t="shared" si="4"/>
        <v>(${Variables:E3_5_4_10_kcat} * E3_5_4_10 * C00130*C00001)/(${Variables:E3_5_4_10_km} + (E3_5_4_10 * C00130*C00001))</v>
      </c>
      <c r="K360" s="79" t="str">
        <f t="shared" si="5"/>
        <v>r359: C00130+C00001 -&gt; C04734 | (${Variables:E3_5_4_10_kcat} * E3_5_4_10 * C00130*C00001)/(${Variables:E3_5_4_10_km} + (E3_5_4_10 * C00130*C00001))</v>
      </c>
    </row>
    <row r="361" spans="1:11" ht="26.5" x14ac:dyDescent="0.35">
      <c r="A361" s="78" t="s">
        <v>3283</v>
      </c>
      <c r="B361" s="49" t="s">
        <v>3284</v>
      </c>
      <c r="C361" s="49" t="s">
        <v>14757</v>
      </c>
      <c r="D361" s="49">
        <v>360</v>
      </c>
      <c r="E361" s="78" t="str">
        <f t="shared" si="3"/>
        <v>E2_7_1_24</v>
      </c>
      <c r="F361" s="78" t="s">
        <v>13449</v>
      </c>
      <c r="G361" s="78" t="s">
        <v>13450</v>
      </c>
      <c r="H361" s="78" t="s">
        <v>13451</v>
      </c>
      <c r="I361" s="78" t="s">
        <v>13452</v>
      </c>
      <c r="J361" s="78" t="str">
        <f t="shared" si="4"/>
        <v>(${Variables:E2_7_1_24_kcat} * E2_7_1_24 * C00002*C00882)/(${Variables:E2_7_1_24_km} + (E2_7_1_24 * C00002*C00882))</v>
      </c>
      <c r="K361" s="79" t="str">
        <f t="shared" si="5"/>
        <v>r360: C00002+C00882 -&gt; C00008+C00010 | (${Variables:E2_7_1_24_kcat} * E2_7_1_24 * C00002*C00882)/(${Variables:E2_7_1_24_km} + (E2_7_1_24 * C00002*C00882))</v>
      </c>
    </row>
    <row r="362" spans="1:11" ht="26.5" x14ac:dyDescent="0.35">
      <c r="A362" s="78" t="s">
        <v>3318</v>
      </c>
      <c r="B362" s="49" t="s">
        <v>3319</v>
      </c>
      <c r="C362" s="49" t="s">
        <v>14758</v>
      </c>
      <c r="D362" s="49">
        <v>361</v>
      </c>
      <c r="E362" s="78" t="str">
        <f t="shared" si="3"/>
        <v>E2_7_2_11</v>
      </c>
      <c r="F362" s="78" t="s">
        <v>13453</v>
      </c>
      <c r="G362" s="78" t="s">
        <v>13454</v>
      </c>
      <c r="H362" s="78" t="s">
        <v>13455</v>
      </c>
      <c r="I362" s="78" t="s">
        <v>13456</v>
      </c>
      <c r="J362" s="78" t="str">
        <f t="shared" si="4"/>
        <v>(${Variables:E2_7_2_11_kcat} * E2_7_2_11 * C00002*C00025)/(${Variables:E2_7_2_11_km} + (E2_7_2_11 * C00002*C00025))</v>
      </c>
      <c r="K362" s="79" t="str">
        <f t="shared" si="5"/>
        <v>r361: C00002+C00025 -&gt; C00008+C03287 | (${Variables:E2_7_2_11_kcat} * E2_7_2_11 * C00002*C00025)/(${Variables:E2_7_2_11_km} + (E2_7_2_11 * C00002*C00025))</v>
      </c>
    </row>
    <row r="363" spans="1:11" ht="26.5" x14ac:dyDescent="0.35">
      <c r="A363" s="78" t="s">
        <v>3331</v>
      </c>
      <c r="B363" s="49" t="s">
        <v>3332</v>
      </c>
      <c r="C363" s="49" t="s">
        <v>14759</v>
      </c>
      <c r="D363" s="49">
        <v>362</v>
      </c>
      <c r="E363" s="78" t="str">
        <f t="shared" si="3"/>
        <v>E2_1_1_45</v>
      </c>
      <c r="F363" s="78" t="s">
        <v>13457</v>
      </c>
      <c r="G363" s="78" t="s">
        <v>13458</v>
      </c>
      <c r="H363" s="78" t="s">
        <v>13459</v>
      </c>
      <c r="I363" s="78" t="s">
        <v>13460</v>
      </c>
      <c r="J363" s="78" t="str">
        <f t="shared" si="4"/>
        <v>(${Variables:E2_1_1_45_kcat} * E2_1_1_45 * C00365*C00143)/(${Variables:E2_1_1_45_km} + (E2_1_1_45 * C00365*C00143))</v>
      </c>
      <c r="K363" s="79" t="str">
        <f t="shared" si="5"/>
        <v>r362: C00365+C00143 -&gt; C00415+C00364 | (${Variables:E2_1_1_45_kcat} * E2_1_1_45 * C00365*C00143)/(${Variables:E2_1_1_45_km} + (E2_1_1_45 * C00365*C00143))</v>
      </c>
    </row>
    <row r="364" spans="1:11" ht="26.5" x14ac:dyDescent="0.35">
      <c r="A364" s="78" t="s">
        <v>3368</v>
      </c>
      <c r="B364" s="49" t="s">
        <v>3369</v>
      </c>
      <c r="C364" s="49" t="s">
        <v>14760</v>
      </c>
      <c r="D364" s="49">
        <v>363</v>
      </c>
      <c r="E364" s="78" t="str">
        <f t="shared" si="3"/>
        <v>E2_3_1_191</v>
      </c>
      <c r="F364" s="78" t="s">
        <v>13461</v>
      </c>
      <c r="G364" s="78" t="s">
        <v>13462</v>
      </c>
      <c r="H364" s="49" t="s">
        <v>13463</v>
      </c>
      <c r="I364" s="49" t="s">
        <v>13464</v>
      </c>
      <c r="J364" s="78" t="str">
        <f t="shared" si="4"/>
        <v>(${Variables:E2_3_1_191_kcat} * E2_3_1_191 * C01271*C22409)/(${Variables:E2_3_1_191_km} + (E2_3_1_191 * C01271*C22409))</v>
      </c>
      <c r="K364" s="79" t="str">
        <f t="shared" si="5"/>
        <v>r363: C01271+C22409 -&gt; C22410+C00229 | (${Variables:E2_3_1_191_kcat} * E2_3_1_191 * C01271*C22409)/(${Variables:E2_3_1_191_km} + (E2_3_1_191 * C01271*C22409))</v>
      </c>
    </row>
    <row r="365" spans="1:11" ht="26.5" x14ac:dyDescent="0.35">
      <c r="A365" s="78" t="s">
        <v>3368</v>
      </c>
      <c r="B365" s="49" t="s">
        <v>3369</v>
      </c>
      <c r="C365" s="49" t="s">
        <v>14760</v>
      </c>
      <c r="D365" s="49">
        <v>364</v>
      </c>
      <c r="E365" s="78" t="str">
        <f t="shared" si="3"/>
        <v>E2_3_1_191</v>
      </c>
      <c r="F365" s="78" t="s">
        <v>13465</v>
      </c>
      <c r="G365" s="78" t="s">
        <v>13466</v>
      </c>
      <c r="H365" s="78" t="s">
        <v>13467</v>
      </c>
      <c r="I365" s="78" t="s">
        <v>13468</v>
      </c>
      <c r="J365" s="78" t="str">
        <f t="shared" si="4"/>
        <v>(${Variables:E2_3_1_191_kcat} * E2_3_1_191 * C06022*C04688)/(${Variables:E2_3_1_191_km} + (E2_3_1_191 * C06022*C04688))</v>
      </c>
      <c r="K365" s="79" t="str">
        <f t="shared" si="5"/>
        <v>r364: C06022+C04688 -&gt; C04652+C00229 | (${Variables:E2_3_1_191_kcat} * E2_3_1_191 * C06022*C04688)/(${Variables:E2_3_1_191_km} + (E2_3_1_191 * C06022*C04688))</v>
      </c>
    </row>
    <row r="366" spans="1:11" ht="26.5" x14ac:dyDescent="0.35">
      <c r="A366" s="78" t="s">
        <v>3382</v>
      </c>
      <c r="B366" s="49" t="s">
        <v>3383</v>
      </c>
      <c r="C366" s="49" t="s">
        <v>14761</v>
      </c>
      <c r="D366" s="49">
        <v>365</v>
      </c>
      <c r="E366" s="78" t="str">
        <f t="shared" si="3"/>
        <v>E2_7_7_41</v>
      </c>
      <c r="F366" s="78" t="s">
        <v>13469</v>
      </c>
      <c r="G366" s="78" t="s">
        <v>13470</v>
      </c>
      <c r="H366" s="78" t="s">
        <v>13471</v>
      </c>
      <c r="I366" s="78" t="s">
        <v>13472</v>
      </c>
      <c r="J366" s="78" t="str">
        <f t="shared" si="4"/>
        <v>(${Variables:E2_7_7_41_kcat} * E2_7_7_41 * C00063*C00416)/(${Variables:E2_7_7_41_km} + (E2_7_7_41 * C00063*C00416))</v>
      </c>
      <c r="K366" s="79" t="str">
        <f t="shared" si="5"/>
        <v>r365: C00063+C00416 -&gt; C00013+C00269 | (${Variables:E2_7_7_41_kcat} * E2_7_7_41 * C00063*C00416)/(${Variables:E2_7_7_41_km} + (E2_7_7_41 * C00063*C00416))</v>
      </c>
    </row>
    <row r="367" spans="1:11" ht="26.5" x14ac:dyDescent="0.35">
      <c r="A367" s="78" t="s">
        <v>3386</v>
      </c>
      <c r="B367" s="49" t="s">
        <v>3387</v>
      </c>
      <c r="C367" s="49" t="s">
        <v>14762</v>
      </c>
      <c r="D367" s="49">
        <v>366</v>
      </c>
      <c r="E367" s="78" t="str">
        <f t="shared" si="3"/>
        <v>E2_5_1_31</v>
      </c>
      <c r="F367" s="78" t="s">
        <v>13439</v>
      </c>
      <c r="G367" s="78" t="s">
        <v>13440</v>
      </c>
      <c r="H367" s="78" t="s">
        <v>13473</v>
      </c>
      <c r="I367" s="78" t="s">
        <v>13474</v>
      </c>
      <c r="J367" s="78" t="str">
        <f t="shared" si="4"/>
        <v>(${Variables:E2_5_1_31_kcat} * E2_5_1_31 * C00448*C00129)/(${Variables:E2_5_1_31_km} + (E2_5_1_31 * C00448*C00129))</v>
      </c>
      <c r="K367" s="79" t="str">
        <f t="shared" si="5"/>
        <v>r366: C00448+C00129 -&gt; C04574+C00013 | (${Variables:E2_5_1_31_kcat} * E2_5_1_31 * C00448*C00129)/(${Variables:E2_5_1_31_km} + (E2_5_1_31 * C00448*C00129))</v>
      </c>
    </row>
    <row r="368" spans="1:11" ht="26.5" x14ac:dyDescent="0.35">
      <c r="A368" s="78" t="s">
        <v>3390</v>
      </c>
      <c r="B368" s="49" t="s">
        <v>3391</v>
      </c>
      <c r="C368" s="49" t="s">
        <v>14763</v>
      </c>
      <c r="D368" s="49">
        <v>367</v>
      </c>
      <c r="E368" s="78" t="str">
        <f t="shared" si="3"/>
        <v>E6_1_1_4</v>
      </c>
      <c r="F368" s="78" t="s">
        <v>13475</v>
      </c>
      <c r="G368" s="78" t="s">
        <v>13476</v>
      </c>
      <c r="H368" s="78" t="s">
        <v>13477</v>
      </c>
      <c r="I368" s="78" t="s">
        <v>13478</v>
      </c>
      <c r="J368" s="78" t="str">
        <f t="shared" si="4"/>
        <v>(${Variables:E6_1_1_4_kcat} * E6_1_1_4 * C00002*C00123*C01645)/(${Variables:E6_1_1_4_km} + (E6_1_1_4 * C00002*C00123*C01645))</v>
      </c>
      <c r="K368" s="79" t="str">
        <f t="shared" si="5"/>
        <v>r367: C00002+C00123+C01645 -&gt; C00020+C00013+C02047 | (${Variables:E6_1_1_4_kcat} * E6_1_1_4 * C00002*C00123*C01645)/(${Variables:E6_1_1_4_km} + (E6_1_1_4 * C00002*C00123*C01645))</v>
      </c>
    </row>
    <row r="369" spans="1:11" ht="26.5" x14ac:dyDescent="0.35">
      <c r="A369" s="78" t="s">
        <v>3403</v>
      </c>
      <c r="B369" s="49" t="s">
        <v>3404</v>
      </c>
      <c r="C369" s="49" t="s">
        <v>14764</v>
      </c>
      <c r="D369" s="49">
        <v>368</v>
      </c>
      <c r="E369" s="78" t="str">
        <f t="shared" si="3"/>
        <v>E6_1_1_14</v>
      </c>
      <c r="F369" s="78" t="s">
        <v>13479</v>
      </c>
      <c r="G369" s="78" t="s">
        <v>13480</v>
      </c>
      <c r="H369" s="78" t="s">
        <v>13481</v>
      </c>
      <c r="I369" s="78" t="s">
        <v>13482</v>
      </c>
      <c r="J369" s="78" t="str">
        <f t="shared" si="4"/>
        <v>(${Variables:E6_1_1_14_kcat} * E6_1_1_14 * C00002*C00037*C01642)/(${Variables:E6_1_1_14_km} + (E6_1_1_14 * C00002*C00037*C01642))</v>
      </c>
      <c r="K369" s="79" t="str">
        <f t="shared" si="5"/>
        <v>r368: C00002+C00037+C01642 -&gt; C00020+C00013+C02412 | (${Variables:E6_1_1_14_kcat} * E6_1_1_14 * C00002*C00037*C01642)/(${Variables:E6_1_1_14_km} + (E6_1_1_14 * C00002*C00037*C01642))</v>
      </c>
    </row>
    <row r="370" spans="1:11" ht="26" x14ac:dyDescent="0.35">
      <c r="A370" s="78" t="s">
        <v>3429</v>
      </c>
      <c r="B370" s="49" t="s">
        <v>3430</v>
      </c>
      <c r="C370" s="49" t="s">
        <v>14765</v>
      </c>
      <c r="D370" s="49">
        <v>369</v>
      </c>
      <c r="E370" s="78" t="str">
        <f t="shared" si="3"/>
        <v>E4_2_1_11</v>
      </c>
      <c r="F370" s="78" t="s">
        <v>7752</v>
      </c>
      <c r="G370" s="78" t="s">
        <v>7752</v>
      </c>
      <c r="H370" s="78" t="s">
        <v>13483</v>
      </c>
      <c r="I370" s="78" t="s">
        <v>13484</v>
      </c>
      <c r="J370" s="78" t="str">
        <f t="shared" si="4"/>
        <v>(${Variables:E4_2_1_11_kcat} * E4_2_1_11 * C00631)/(${Variables:E4_2_1_11_km} + (E4_2_1_11 * C00631))</v>
      </c>
      <c r="K370" s="79" t="str">
        <f t="shared" si="5"/>
        <v>r369: C00631 -&gt; C00074+C00001 | (${Variables:E4_2_1_11_kcat} * E4_2_1_11 * C00631)/(${Variables:E4_2_1_11_km} + (E4_2_1_11 * C00631))</v>
      </c>
    </row>
    <row r="371" spans="1:11" ht="26" x14ac:dyDescent="0.35">
      <c r="A371" s="78" t="s">
        <v>3429</v>
      </c>
      <c r="B371" s="49" t="s">
        <v>3430</v>
      </c>
      <c r="C371" s="49" t="s">
        <v>14765</v>
      </c>
      <c r="D371" s="49">
        <v>370</v>
      </c>
      <c r="E371" s="78" t="str">
        <f t="shared" si="3"/>
        <v>E4_2_1_11</v>
      </c>
      <c r="F371" s="78" t="s">
        <v>7755</v>
      </c>
      <c r="G371" s="78" t="s">
        <v>7755</v>
      </c>
      <c r="H371" s="78" t="s">
        <v>13485</v>
      </c>
      <c r="I371" s="78" t="s">
        <v>13486</v>
      </c>
      <c r="J371" s="78" t="str">
        <f t="shared" si="4"/>
        <v>(${Variables:E4_2_1_11_kcat} * E4_2_1_11 * C03356)/(${Variables:E4_2_1_11_km} + (E4_2_1_11 * C03356))</v>
      </c>
      <c r="K371" s="79" t="str">
        <f t="shared" si="5"/>
        <v>r370: C03356 -&gt; C04309+C00001 | (${Variables:E4_2_1_11_kcat} * E4_2_1_11 * C03356)/(${Variables:E4_2_1_11_km} + (E4_2_1_11 * C03356))</v>
      </c>
    </row>
    <row r="372" spans="1:11" ht="26.5" x14ac:dyDescent="0.35">
      <c r="A372" s="78" t="s">
        <v>3446</v>
      </c>
      <c r="B372" s="49" t="s">
        <v>3447</v>
      </c>
      <c r="C372" s="49" t="s">
        <v>14766</v>
      </c>
      <c r="D372" s="49">
        <v>371</v>
      </c>
      <c r="E372" s="78" t="str">
        <f t="shared" si="3"/>
        <v>E3_1_3_25</v>
      </c>
      <c r="F372" s="78" t="s">
        <v>13487</v>
      </c>
      <c r="G372" s="78" t="s">
        <v>13488</v>
      </c>
      <c r="H372" s="78" t="s">
        <v>13489</v>
      </c>
      <c r="I372" s="78" t="s">
        <v>13490</v>
      </c>
      <c r="J372" s="78" t="str">
        <f t="shared" si="4"/>
        <v>(${Variables:E3_1_3_25_kcat} * E3_1_3_25 * C15585*C00001)/(${Variables:E3_1_3_25_km} + (E3_1_3_25 * C15585*C00001))</v>
      </c>
      <c r="K372" s="79" t="str">
        <f t="shared" si="5"/>
        <v>r371: C15585+C00001 -&gt; C00137+C00009 | (${Variables:E3_1_3_25_kcat} * E3_1_3_25 * C15585*C00001)/(${Variables:E3_1_3_25_km} + (E3_1_3_25 * C15585*C00001))</v>
      </c>
    </row>
    <row r="373" spans="1:11" ht="26.5" x14ac:dyDescent="0.35">
      <c r="A373" s="78" t="s">
        <v>3446</v>
      </c>
      <c r="B373" s="49" t="s">
        <v>3447</v>
      </c>
      <c r="C373" s="49" t="s">
        <v>14766</v>
      </c>
      <c r="D373" s="49">
        <v>372</v>
      </c>
      <c r="E373" s="78" t="str">
        <f t="shared" si="3"/>
        <v>E3_1_3_25</v>
      </c>
      <c r="F373" s="78" t="s">
        <v>13491</v>
      </c>
      <c r="G373" s="78" t="s">
        <v>13492</v>
      </c>
      <c r="H373" s="78" t="s">
        <v>13489</v>
      </c>
      <c r="I373" s="78" t="s">
        <v>13490</v>
      </c>
      <c r="J373" s="78" t="str">
        <f t="shared" si="4"/>
        <v>(${Variables:E3_1_3_25_kcat} * E3_1_3_25 * C01177*C00001)/(${Variables:E3_1_3_25_km} + (E3_1_3_25 * C01177*C00001))</v>
      </c>
      <c r="K373" s="79" t="str">
        <f t="shared" si="5"/>
        <v>r372: C01177+C00001 -&gt; C00137+C00009 | (${Variables:E3_1_3_25_kcat} * E3_1_3_25 * C01177*C00001)/(${Variables:E3_1_3_25_km} + (E3_1_3_25 * C01177*C00001))</v>
      </c>
    </row>
    <row r="374" spans="1:11" ht="26.5" x14ac:dyDescent="0.35">
      <c r="A374" s="78" t="s">
        <v>3446</v>
      </c>
      <c r="B374" s="49" t="s">
        <v>3447</v>
      </c>
      <c r="C374" s="49" t="s">
        <v>14766</v>
      </c>
      <c r="D374" s="49">
        <v>373</v>
      </c>
      <c r="E374" s="78" t="str">
        <f t="shared" si="3"/>
        <v>E3_1_3_25</v>
      </c>
      <c r="F374" s="78" t="s">
        <v>13493</v>
      </c>
      <c r="G374" s="78" t="s">
        <v>13494</v>
      </c>
      <c r="H374" s="78" t="s">
        <v>13489</v>
      </c>
      <c r="I374" s="78" t="s">
        <v>13490</v>
      </c>
      <c r="J374" s="78" t="str">
        <f t="shared" si="4"/>
        <v>(${Variables:E3_1_3_25_kcat} * E3_1_3_25 * C03546*C00001)/(${Variables:E3_1_3_25_km} + (E3_1_3_25 * C03546*C00001))</v>
      </c>
      <c r="K374" s="79" t="str">
        <f t="shared" si="5"/>
        <v>r373: C03546+C00001 -&gt; C00137+C00009 | (${Variables:E3_1_3_25_kcat} * E3_1_3_25 * C03546*C00001)/(${Variables:E3_1_3_25_km} + (E3_1_3_25 * C03546*C00001))</v>
      </c>
    </row>
    <row r="375" spans="1:11" ht="26.5" x14ac:dyDescent="0.35">
      <c r="A375" s="78" t="s">
        <v>3446</v>
      </c>
      <c r="B375" s="49" t="s">
        <v>3447</v>
      </c>
      <c r="C375" s="49" t="s">
        <v>14766</v>
      </c>
      <c r="D375" s="49">
        <v>374</v>
      </c>
      <c r="E375" s="78" t="str">
        <f t="shared" si="3"/>
        <v>E3_1_3_25</v>
      </c>
      <c r="F375" s="78" t="s">
        <v>13495</v>
      </c>
      <c r="G375" s="78" t="s">
        <v>13496</v>
      </c>
      <c r="H375" s="78" t="s">
        <v>13489</v>
      </c>
      <c r="I375" s="78" t="s">
        <v>13490</v>
      </c>
      <c r="J375" s="78" t="str">
        <f t="shared" si="4"/>
        <v>(${Variables:E3_1_3_25_kcat} * E3_1_3_25 * C04006*C00001)/(${Variables:E3_1_3_25_km} + (E3_1_3_25 * C04006*C00001))</v>
      </c>
      <c r="K375" s="79" t="str">
        <f t="shared" si="5"/>
        <v>r374: C04006+C00001 -&gt; C00137+C00009 | (${Variables:E3_1_3_25_kcat} * E3_1_3_25 * C04006*C00001)/(${Variables:E3_1_3_25_km} + (E3_1_3_25 * C04006*C00001))</v>
      </c>
    </row>
    <row r="376" spans="1:11" ht="26" x14ac:dyDescent="0.35">
      <c r="A376" s="78" t="s">
        <v>3482</v>
      </c>
      <c r="B376" s="49" t="s">
        <v>3483</v>
      </c>
      <c r="C376" s="49" t="s">
        <v>14767</v>
      </c>
      <c r="D376" s="49">
        <v>375</v>
      </c>
      <c r="E376" s="78" t="str">
        <f t="shared" si="3"/>
        <v>E4_1_1_86</v>
      </c>
      <c r="F376" s="78" t="s">
        <v>7775</v>
      </c>
      <c r="G376" s="78" t="s">
        <v>7775</v>
      </c>
      <c r="H376" s="78" t="s">
        <v>13497</v>
      </c>
      <c r="I376" s="78" t="s">
        <v>13498</v>
      </c>
      <c r="J376" s="78" t="str">
        <f t="shared" si="4"/>
        <v>(${Variables:E4_1_1_86_kcat} * E4_1_1_86 * C03283)/(${Variables:E4_1_1_86_km} + (E4_1_1_86 * C03283))</v>
      </c>
      <c r="K376" s="79" t="str">
        <f t="shared" si="5"/>
        <v>r375: C03283 -&gt; C00986+C00011 | (${Variables:E4_1_1_86_kcat} * E4_1_1_86 * C03283)/(${Variables:E4_1_1_86_km} + (E4_1_1_86 * C03283))</v>
      </c>
    </row>
    <row r="377" spans="1:11" ht="26.5" x14ac:dyDescent="0.35">
      <c r="A377" s="78" t="s">
        <v>3493</v>
      </c>
      <c r="B377" s="49" t="s">
        <v>3494</v>
      </c>
      <c r="C377" s="49" t="s">
        <v>14768</v>
      </c>
      <c r="D377" s="49">
        <v>376</v>
      </c>
      <c r="E377" s="78" t="str">
        <f t="shared" si="3"/>
        <v>E2_6_1_76</v>
      </c>
      <c r="F377" s="78" t="s">
        <v>13499</v>
      </c>
      <c r="G377" s="78" t="s">
        <v>13500</v>
      </c>
      <c r="H377" s="78" t="s">
        <v>13501</v>
      </c>
      <c r="I377" s="78" t="s">
        <v>13502</v>
      </c>
      <c r="J377" s="78" t="str">
        <f t="shared" si="4"/>
        <v>(${Variables:E2_6_1_76_kcat} * E2_6_1_76 * C00025*C00441)/(${Variables:E2_6_1_76_km} + (E2_6_1_76 * C00025*C00441))</v>
      </c>
      <c r="K377" s="79" t="str">
        <f t="shared" si="5"/>
        <v>r376: C00025+C00441 -&gt; C00026+C03283 | (${Variables:E2_6_1_76_kcat} * E2_6_1_76 * C00025*C00441)/(${Variables:E2_6_1_76_km} + (E2_6_1_76 * C00025*C00441))</v>
      </c>
    </row>
    <row r="378" spans="1:11" ht="26" x14ac:dyDescent="0.35">
      <c r="A378" s="78" t="s">
        <v>3509</v>
      </c>
      <c r="B378" s="49" t="s">
        <v>3510</v>
      </c>
      <c r="C378" s="49" t="s">
        <v>14769</v>
      </c>
      <c r="D378" s="49">
        <v>377</v>
      </c>
      <c r="E378" s="78" t="str">
        <f t="shared" si="3"/>
        <v>E4_1_1_36</v>
      </c>
      <c r="F378" s="78" t="s">
        <v>7785</v>
      </c>
      <c r="G378" s="78" t="s">
        <v>7785</v>
      </c>
      <c r="H378" s="78" t="s">
        <v>13503</v>
      </c>
      <c r="I378" s="78" t="s">
        <v>13504</v>
      </c>
      <c r="J378" s="78" t="str">
        <f t="shared" si="4"/>
        <v>(${Variables:E4_1_1_36_kcat} * E4_1_1_36 * C04352)/(${Variables:E4_1_1_36_km} + (E4_1_1_36 * C04352))</v>
      </c>
      <c r="K378" s="79" t="str">
        <f t="shared" si="5"/>
        <v>r377: C04352 -&gt; C01134+C00011 | (${Variables:E4_1_1_36_kcat} * E4_1_1_36 * C04352)/(${Variables:E4_1_1_36_km} + (E4_1_1_36 * C04352))</v>
      </c>
    </row>
    <row r="379" spans="1:11" ht="26.5" x14ac:dyDescent="0.35">
      <c r="A379" s="78" t="s">
        <v>3509</v>
      </c>
      <c r="B379" s="49" t="s">
        <v>3510</v>
      </c>
      <c r="C379" s="49" t="s">
        <v>14770</v>
      </c>
      <c r="D379" s="49">
        <v>378</v>
      </c>
      <c r="E379" s="78" t="str">
        <f t="shared" si="3"/>
        <v>E6_3_2_5</v>
      </c>
      <c r="F379" s="78" t="s">
        <v>13505</v>
      </c>
      <c r="G379" s="78" t="s">
        <v>13506</v>
      </c>
      <c r="H379" s="78" t="s">
        <v>13507</v>
      </c>
      <c r="I379" s="78" t="s">
        <v>13508</v>
      </c>
      <c r="J379" s="78" t="str">
        <f t="shared" si="4"/>
        <v>(${Variables:E6_3_2_5_kcat} * E6_3_2_5 * C00063*C03492*C00097)/(${Variables:E6_3_2_5_km} + (E6_3_2_5 * C00063*C03492*C00097))</v>
      </c>
      <c r="K379" s="79" t="str">
        <f t="shared" si="5"/>
        <v>r378: C00063+C03492+C00097 -&gt; C00055+C00013+C04352 | (${Variables:E6_3_2_5_kcat} * E6_3_2_5 * C00063*C03492*C00097)/(${Variables:E6_3_2_5_km} + (E6_3_2_5 * C00063*C03492*C00097))</v>
      </c>
    </row>
    <row r="380" spans="1:11" ht="26.5" x14ac:dyDescent="0.35">
      <c r="A380" s="78" t="s">
        <v>3513</v>
      </c>
      <c r="B380" s="49" t="s">
        <v>3514</v>
      </c>
      <c r="C380" s="49" t="s">
        <v>14771</v>
      </c>
      <c r="D380" s="49">
        <v>379</v>
      </c>
      <c r="E380" s="78" t="str">
        <f t="shared" si="3"/>
        <v>E3_6_1_23</v>
      </c>
      <c r="F380" s="78" t="s">
        <v>13509</v>
      </c>
      <c r="G380" s="78" t="s">
        <v>13510</v>
      </c>
      <c r="H380" s="78" t="s">
        <v>13511</v>
      </c>
      <c r="I380" s="78" t="s">
        <v>13512</v>
      </c>
      <c r="J380" s="78" t="str">
        <f t="shared" si="4"/>
        <v>(${Variables:E3_6_1_23_kcat} * E3_6_1_23 * C00460*C00001)/(${Variables:E3_6_1_23_km} + (E3_6_1_23 * C00460*C00001))</v>
      </c>
      <c r="K380" s="79" t="str">
        <f t="shared" si="5"/>
        <v>r379: C00460+C00001 -&gt; C00365+C00013 | (${Variables:E3_6_1_23_kcat} * E3_6_1_23 * C00460*C00001)/(${Variables:E3_6_1_23_km} + (E3_6_1_23 * C00460*C00001))</v>
      </c>
    </row>
    <row r="381" spans="1:11" ht="26.5" x14ac:dyDescent="0.35">
      <c r="A381" s="78" t="s">
        <v>3513</v>
      </c>
      <c r="B381" s="49" t="s">
        <v>3514</v>
      </c>
      <c r="C381" s="49" t="s">
        <v>14771</v>
      </c>
      <c r="D381" s="49">
        <v>380</v>
      </c>
      <c r="E381" s="78" t="str">
        <f t="shared" si="3"/>
        <v>E3_6_1_23</v>
      </c>
      <c r="F381" s="78" t="s">
        <v>13513</v>
      </c>
      <c r="G381" s="78" t="s">
        <v>13514</v>
      </c>
      <c r="H381" s="78" t="s">
        <v>13515</v>
      </c>
      <c r="I381" s="78" t="s">
        <v>13516</v>
      </c>
      <c r="J381" s="78" t="str">
        <f t="shared" si="4"/>
        <v>(${Variables:E3_6_1_23_kcat} * E3_6_1_23 * C21751*C00001)/(${Variables:E3_6_1_23_km} + (E3_6_1_23 * C21751*C00001))</v>
      </c>
      <c r="K381" s="79" t="str">
        <f t="shared" si="5"/>
        <v>r380: C21751+C00001 -&gt; C04242+C00013 | (${Variables:E3_6_1_23_kcat} * E3_6_1_23 * C21751*C00001)/(${Variables:E3_6_1_23_km} + (E3_6_1_23 * C21751*C00001))</v>
      </c>
    </row>
    <row r="382" spans="1:11" ht="26.5" x14ac:dyDescent="0.35">
      <c r="A382" s="78" t="s">
        <v>3532</v>
      </c>
      <c r="B382" s="49" t="s">
        <v>3533</v>
      </c>
      <c r="C382" s="49" t="s">
        <v>14772</v>
      </c>
      <c r="D382" s="49">
        <v>381</v>
      </c>
      <c r="E382" s="78" t="str">
        <f t="shared" si="3"/>
        <v>E3_2_1_52</v>
      </c>
      <c r="F382" s="78" t="s">
        <v>13517</v>
      </c>
      <c r="G382" s="78" t="s">
        <v>13518</v>
      </c>
      <c r="H382" s="78" t="s">
        <v>7806</v>
      </c>
      <c r="I382" s="78" t="s">
        <v>7806</v>
      </c>
      <c r="J382" s="78" t="str">
        <f t="shared" si="4"/>
        <v>(${Variables:E3_2_1_52_kcat} * E3_2_1_52 * C01674*C00001)/(${Variables:E3_2_1_52_km} + (E3_2_1_52 * C01674*C00001))</v>
      </c>
      <c r="K382" s="79" t="str">
        <f t="shared" si="5"/>
        <v>r381: C01674+C00001 -&gt; C00140 | (${Variables:E3_2_1_52_kcat} * E3_2_1_52 * C01674*C00001)/(${Variables:E3_2_1_52_km} + (E3_2_1_52 * C01674*C00001))</v>
      </c>
    </row>
    <row r="383" spans="1:11" ht="26.5" x14ac:dyDescent="0.35">
      <c r="A383" s="78" t="s">
        <v>3532</v>
      </c>
      <c r="B383" s="49" t="s">
        <v>3533</v>
      </c>
      <c r="C383" s="49" t="s">
        <v>14772</v>
      </c>
      <c r="D383" s="49">
        <v>382</v>
      </c>
      <c r="E383" s="78" t="str">
        <f t="shared" si="3"/>
        <v>E3_2_1_52</v>
      </c>
      <c r="F383" s="78" t="s">
        <v>13519</v>
      </c>
      <c r="G383" s="78" t="s">
        <v>13520</v>
      </c>
      <c r="H383" s="78" t="s">
        <v>13521</v>
      </c>
      <c r="I383" s="78" t="s">
        <v>13522</v>
      </c>
      <c r="J383" s="78" t="str">
        <f t="shared" si="4"/>
        <v>(${Variables:E3_2_1_52_kcat} * E3_2_1_52 * C06135*C00001)/(${Variables:E3_2_1_52_km} + (E3_2_1_52 * C06135*C00001))</v>
      </c>
      <c r="K383" s="79" t="str">
        <f t="shared" si="5"/>
        <v>r382: C06135+C00001 -&gt; C01290+C01132 | (${Variables:E3_2_1_52_kcat} * E3_2_1_52 * C06135*C00001)/(${Variables:E3_2_1_52_km} + (E3_2_1_52 * C06135*C00001))</v>
      </c>
    </row>
    <row r="384" spans="1:11" ht="26.5" x14ac:dyDescent="0.35">
      <c r="A384" s="78" t="s">
        <v>3532</v>
      </c>
      <c r="B384" s="49" t="s">
        <v>3533</v>
      </c>
      <c r="C384" s="49" t="s">
        <v>14772</v>
      </c>
      <c r="D384" s="49">
        <v>383</v>
      </c>
      <c r="E384" s="78" t="str">
        <f t="shared" si="3"/>
        <v>E3_2_1_52</v>
      </c>
      <c r="F384" s="78" t="s">
        <v>13523</v>
      </c>
      <c r="G384" s="78" t="s">
        <v>13524</v>
      </c>
      <c r="H384" s="78" t="s">
        <v>13525</v>
      </c>
      <c r="I384" s="78" t="s">
        <v>13526</v>
      </c>
      <c r="J384" s="78" t="str">
        <f t="shared" si="4"/>
        <v>(${Variables:E3_2_1_52_kcat} * E3_2_1_52 * C04737*C01132)/(${Variables:E3_2_1_52_km} + (E3_2_1_52 * C04737*C01132))</v>
      </c>
      <c r="K384" s="79" t="str">
        <f t="shared" si="5"/>
        <v>r383: C04737+C01132 -&gt; C03272+C00001 | (${Variables:E3_2_1_52_kcat} * E3_2_1_52 * C04737*C01132)/(${Variables:E3_2_1_52_km} + (E3_2_1_52 * C04737*C01132))</v>
      </c>
    </row>
    <row r="385" spans="1:11" ht="26.5" x14ac:dyDescent="0.35">
      <c r="A385" s="78" t="s">
        <v>3532</v>
      </c>
      <c r="B385" s="49" t="s">
        <v>3533</v>
      </c>
      <c r="C385" s="49" t="s">
        <v>14772</v>
      </c>
      <c r="D385" s="49">
        <v>384</v>
      </c>
      <c r="E385" s="78" t="str">
        <f t="shared" si="3"/>
        <v>E3_2_1_52</v>
      </c>
      <c r="F385" s="78" t="s">
        <v>13527</v>
      </c>
      <c r="G385" s="78" t="s">
        <v>13528</v>
      </c>
      <c r="H385" s="78" t="s">
        <v>13529</v>
      </c>
      <c r="I385" s="78" t="s">
        <v>13530</v>
      </c>
      <c r="J385" s="78" t="str">
        <f t="shared" si="4"/>
        <v>(${Variables:E3_2_1_52_kcat} * E3_2_1_52 * C04884*C00001)/(${Variables:E3_2_1_52_km} + (E3_2_1_52 * C04884*C00001))</v>
      </c>
      <c r="K385" s="79" t="str">
        <f t="shared" si="5"/>
        <v>r384: C04884+C00001 -&gt; C04730+C01132 | (${Variables:E3_2_1_52_kcat} * E3_2_1_52 * C04884*C00001)/(${Variables:E3_2_1_52_km} + (E3_2_1_52 * C04884*C00001))</v>
      </c>
    </row>
    <row r="386" spans="1:11" ht="26.5" x14ac:dyDescent="0.35">
      <c r="A386" s="78" t="s">
        <v>3532</v>
      </c>
      <c r="B386" s="49" t="s">
        <v>3533</v>
      </c>
      <c r="C386" s="49" t="s">
        <v>14772</v>
      </c>
      <c r="D386" s="49">
        <v>385</v>
      </c>
      <c r="E386" s="78" t="str">
        <f t="shared" si="3"/>
        <v>E3_2_1_52</v>
      </c>
      <c r="F386" s="78" t="s">
        <v>13531</v>
      </c>
      <c r="G386" s="78" t="s">
        <v>13532</v>
      </c>
      <c r="H386" s="78" t="s">
        <v>13533</v>
      </c>
      <c r="I386" s="78" t="s">
        <v>13534</v>
      </c>
      <c r="J386" s="78" t="str">
        <f t="shared" si="4"/>
        <v>(${Variables:E3_2_1_52_kcat} * E3_2_1_52 * C00001*G00094)/(${Variables:E3_2_1_52_km} + (E3_2_1_52 * C00001*G00094))</v>
      </c>
      <c r="K386" s="79" t="str">
        <f t="shared" si="5"/>
        <v>r385: C00001+G00094 -&gt; C01132+G00093 | (${Variables:E3_2_1_52_kcat} * E3_2_1_52 * C00001*G00094)/(${Variables:E3_2_1_52_km} + (E3_2_1_52 * C00001*G00094))</v>
      </c>
    </row>
    <row r="387" spans="1:11" ht="26.5" x14ac:dyDescent="0.35">
      <c r="A387" s="78" t="s">
        <v>3532</v>
      </c>
      <c r="B387" s="49" t="s">
        <v>3533</v>
      </c>
      <c r="C387" s="49" t="s">
        <v>14772</v>
      </c>
      <c r="D387" s="49">
        <v>386</v>
      </c>
      <c r="E387" s="78" t="str">
        <f t="shared" si="3"/>
        <v>E3_2_1_52</v>
      </c>
      <c r="F387" s="78" t="s">
        <v>13535</v>
      </c>
      <c r="G387" s="78" t="s">
        <v>13536</v>
      </c>
      <c r="H387" s="78" t="s">
        <v>13537</v>
      </c>
      <c r="I387" s="78" t="s">
        <v>13538</v>
      </c>
      <c r="J387" s="78" t="str">
        <f t="shared" si="4"/>
        <v>(${Variables:E3_2_1_52_kcat} * E3_2_1_52 * G00123*C00001)/(${Variables:E3_2_1_52_km} + (E3_2_1_52 * G00123*C00001))</v>
      </c>
      <c r="K387" s="79" t="str">
        <f t="shared" si="5"/>
        <v>r386: G00123+C00001 -&gt; G00092+C01132 | (${Variables:E3_2_1_52_kcat} * E3_2_1_52 * G00123*C00001)/(${Variables:E3_2_1_52_km} + (E3_2_1_52 * G00123*C00001))</v>
      </c>
    </row>
    <row r="388" spans="1:11" ht="26.5" x14ac:dyDescent="0.35">
      <c r="A388" s="78" t="s">
        <v>3532</v>
      </c>
      <c r="B388" s="49" t="s">
        <v>3533</v>
      </c>
      <c r="C388" s="49" t="s">
        <v>14772</v>
      </c>
      <c r="D388" s="49">
        <v>387</v>
      </c>
      <c r="E388" s="78" t="str">
        <f t="shared" si="3"/>
        <v>E3_2_1_52</v>
      </c>
      <c r="F388" s="78" t="s">
        <v>13539</v>
      </c>
      <c r="G388" s="78" t="s">
        <v>13540</v>
      </c>
      <c r="H388" s="78" t="s">
        <v>13541</v>
      </c>
      <c r="I388" s="78" t="s">
        <v>13542</v>
      </c>
      <c r="J388" s="78" t="str">
        <f t="shared" si="4"/>
        <v>(${Variables:E3_2_1_52_kcat} * E3_2_1_52 * G00109*C00001)/(${Variables:E3_2_1_52_km} + (E3_2_1_52 * G00109*C00001))</v>
      </c>
      <c r="K388" s="79" t="str">
        <f t="shared" si="5"/>
        <v>r387: G00109+C00001 -&gt; G00108+C01132 | (${Variables:E3_2_1_52_kcat} * E3_2_1_52 * G00109*C00001)/(${Variables:E3_2_1_52_km} + (E3_2_1_52 * G00109*C00001))</v>
      </c>
    </row>
    <row r="389" spans="1:11" ht="26.5" x14ac:dyDescent="0.35">
      <c r="A389" s="78" t="s">
        <v>3532</v>
      </c>
      <c r="B389" s="49" t="s">
        <v>3533</v>
      </c>
      <c r="C389" s="49" t="s">
        <v>14772</v>
      </c>
      <c r="D389" s="49">
        <v>388</v>
      </c>
      <c r="E389" s="78" t="str">
        <f t="shared" si="3"/>
        <v>E3_2_1_52</v>
      </c>
      <c r="F389" s="78" t="s">
        <v>13543</v>
      </c>
      <c r="G389" s="78" t="s">
        <v>13544</v>
      </c>
      <c r="H389" s="78" t="s">
        <v>7806</v>
      </c>
      <c r="I389" s="78" t="s">
        <v>7806</v>
      </c>
      <c r="J389" s="78" t="str">
        <f t="shared" si="4"/>
        <v>(${Variables:E3_2_1_52_kcat} * E3_2_1_52 * G10336*C00001)/(${Variables:E3_2_1_52_km} + (E3_2_1_52 * G10336*C00001))</v>
      </c>
      <c r="K389" s="79" t="str">
        <f t="shared" si="5"/>
        <v>r388: G10336+C00001 -&gt; C00140 | (${Variables:E3_2_1_52_kcat} * E3_2_1_52 * G10336*C00001)/(${Variables:E3_2_1_52_km} + (E3_2_1_52 * G10336*C00001))</v>
      </c>
    </row>
    <row r="390" spans="1:11" ht="26.5" x14ac:dyDescent="0.35">
      <c r="A390" s="78" t="s">
        <v>3532</v>
      </c>
      <c r="B390" s="49" t="s">
        <v>3533</v>
      </c>
      <c r="C390" s="49" t="s">
        <v>14772</v>
      </c>
      <c r="D390" s="49">
        <v>389</v>
      </c>
      <c r="E390" s="78" t="str">
        <f t="shared" si="3"/>
        <v>E3_2_1_52</v>
      </c>
      <c r="F390" s="78" t="s">
        <v>13545</v>
      </c>
      <c r="G390" s="78" t="s">
        <v>13546</v>
      </c>
      <c r="H390" s="78" t="s">
        <v>13547</v>
      </c>
      <c r="I390" s="78" t="s">
        <v>13548</v>
      </c>
      <c r="J390" s="78" t="str">
        <f t="shared" si="4"/>
        <v>(${Variables:E3_2_1_52_kcat} * E3_2_1_52 * G13074*C00001)/(${Variables:E3_2_1_52_km} + (E3_2_1_52 * G13074*C00001))</v>
      </c>
      <c r="K390" s="79" t="str">
        <f t="shared" si="5"/>
        <v>r389: G13074+C00001 -&gt; G01391+C00140 | (${Variables:E3_2_1_52_kcat} * E3_2_1_52 * G13074*C00001)/(${Variables:E3_2_1_52_km} + (E3_2_1_52 * G13074*C00001))</v>
      </c>
    </row>
    <row r="391" spans="1:11" ht="26.5" x14ac:dyDescent="0.35">
      <c r="A391" s="78" t="s">
        <v>3532</v>
      </c>
      <c r="B391" s="49" t="s">
        <v>3533</v>
      </c>
      <c r="C391" s="49" t="s">
        <v>14772</v>
      </c>
      <c r="D391" s="49">
        <v>390</v>
      </c>
      <c r="E391" s="78" t="str">
        <f t="shared" si="3"/>
        <v>E3_2_1_52</v>
      </c>
      <c r="F391" s="78" t="s">
        <v>13549</v>
      </c>
      <c r="G391" s="78" t="s">
        <v>13550</v>
      </c>
      <c r="H391" s="78" t="s">
        <v>13551</v>
      </c>
      <c r="I391" s="78" t="s">
        <v>13552</v>
      </c>
      <c r="J391" s="78" t="str">
        <f t="shared" si="4"/>
        <v>(${Variables:E3_2_1_52_kcat} * E3_2_1_52 * G13073*C00001)/(${Variables:E3_2_1_52_km} + (E3_2_1_52 * G13073*C00001))</v>
      </c>
      <c r="K391" s="79" t="str">
        <f t="shared" si="5"/>
        <v>r390: G13073+C00001 -&gt; G01391+C04132 | (${Variables:E3_2_1_52_kcat} * E3_2_1_52 * G13073*C00001)/(${Variables:E3_2_1_52_km} + (E3_2_1_52 * G13073*C00001))</v>
      </c>
    </row>
    <row r="392" spans="1:11" ht="26.5" x14ac:dyDescent="0.35">
      <c r="A392" s="78" t="s">
        <v>3532</v>
      </c>
      <c r="B392" s="49" t="s">
        <v>3533</v>
      </c>
      <c r="C392" s="49" t="s">
        <v>14772</v>
      </c>
      <c r="D392" s="49">
        <v>391</v>
      </c>
      <c r="E392" s="78" t="str">
        <f t="shared" si="3"/>
        <v>E3_2_1_52</v>
      </c>
      <c r="F392" s="78" t="s">
        <v>13553</v>
      </c>
      <c r="G392" s="78" t="s">
        <v>13554</v>
      </c>
      <c r="H392" s="78" t="s">
        <v>13555</v>
      </c>
      <c r="I392" s="78" t="s">
        <v>13556</v>
      </c>
      <c r="J392" s="78" t="str">
        <f t="shared" si="4"/>
        <v>(${Variables:E3_2_1_52_kcat} * E3_2_1_52 * G13057*C00001)/(${Variables:E3_2_1_52_km} + (E3_2_1_52 * G13057*C00001))</v>
      </c>
      <c r="K392" s="79" t="str">
        <f t="shared" si="5"/>
        <v>r391: G13057+C00001 -&gt; C00140+G13058 | (${Variables:E3_2_1_52_kcat} * E3_2_1_52 * G13057*C00001)/(${Variables:E3_2_1_52_km} + (E3_2_1_52 * G13057*C00001))</v>
      </c>
    </row>
    <row r="393" spans="1:11" ht="26.5" x14ac:dyDescent="0.35">
      <c r="A393" s="78" t="s">
        <v>3532</v>
      </c>
      <c r="B393" s="49" t="s">
        <v>3533</v>
      </c>
      <c r="C393" s="49" t="s">
        <v>14772</v>
      </c>
      <c r="D393" s="49">
        <v>392</v>
      </c>
      <c r="E393" s="78" t="str">
        <f t="shared" si="3"/>
        <v>E3_2_1_52</v>
      </c>
      <c r="F393" s="78" t="s">
        <v>13557</v>
      </c>
      <c r="G393" s="78" t="s">
        <v>13558</v>
      </c>
      <c r="H393" s="78" t="s">
        <v>13559</v>
      </c>
      <c r="I393" s="78" t="s">
        <v>13560</v>
      </c>
      <c r="J393" s="78" t="str">
        <f t="shared" si="4"/>
        <v>(${Variables:E3_2_1_52_kcat} * E3_2_1_52 * G00711*C00001)/(${Variables:E3_2_1_52_km} + (E3_2_1_52 * G00711*C00001))</v>
      </c>
      <c r="K393" s="79" t="str">
        <f t="shared" si="5"/>
        <v>r392: G00711+C00001 -&gt; G10008+C00140 | (${Variables:E3_2_1_52_kcat} * E3_2_1_52 * G00711*C00001)/(${Variables:E3_2_1_52_km} + (E3_2_1_52 * G00711*C00001))</v>
      </c>
    </row>
    <row r="394" spans="1:11" ht="26.5" x14ac:dyDescent="0.35">
      <c r="A394" s="78" t="s">
        <v>3532</v>
      </c>
      <c r="B394" s="49" t="s">
        <v>3533</v>
      </c>
      <c r="C394" s="49" t="s">
        <v>14772</v>
      </c>
      <c r="D394" s="49">
        <v>393</v>
      </c>
      <c r="E394" s="78" t="str">
        <f t="shared" si="3"/>
        <v>E3_2_1_52</v>
      </c>
      <c r="F394" s="78" t="s">
        <v>13561</v>
      </c>
      <c r="G394" s="78" t="s">
        <v>13562</v>
      </c>
      <c r="H394" s="78" t="s">
        <v>13563</v>
      </c>
      <c r="I394" s="78" t="s">
        <v>13564</v>
      </c>
      <c r="J394" s="78" t="str">
        <f t="shared" si="4"/>
        <v>(${Variables:E3_2_1_52_kcat} * E3_2_1_52 * G13056*C00001)/(${Variables:E3_2_1_52_km} + (E3_2_1_52 * G13056*C00001))</v>
      </c>
      <c r="K394" s="79" t="str">
        <f t="shared" si="5"/>
        <v>r393: G13056+C00001 -&gt; C00140+G10665 | (${Variables:E3_2_1_52_kcat} * E3_2_1_52 * G13056*C00001)/(${Variables:E3_2_1_52_km} + (E3_2_1_52 * G13056*C00001))</v>
      </c>
    </row>
    <row r="395" spans="1:11" ht="26.5" x14ac:dyDescent="0.35">
      <c r="A395" s="78" t="s">
        <v>3532</v>
      </c>
      <c r="B395" s="49" t="s">
        <v>3533</v>
      </c>
      <c r="C395" s="49" t="s">
        <v>14772</v>
      </c>
      <c r="D395" s="49">
        <v>394</v>
      </c>
      <c r="E395" s="78" t="str">
        <f t="shared" si="3"/>
        <v>E3_2_1_52</v>
      </c>
      <c r="F395" s="78" t="s">
        <v>13565</v>
      </c>
      <c r="G395" s="78" t="s">
        <v>13566</v>
      </c>
      <c r="H395" s="78" t="s">
        <v>13567</v>
      </c>
      <c r="I395" s="78" t="s">
        <v>13568</v>
      </c>
      <c r="J395" s="78" t="str">
        <f t="shared" si="4"/>
        <v>(${Variables:E3_2_1_52_kcat} * E3_2_1_52 * G05477*C00001)/(${Variables:E3_2_1_52_km} + (E3_2_1_52 * G05477*C00001))</v>
      </c>
      <c r="K395" s="79" t="str">
        <f t="shared" si="5"/>
        <v>r394: G05477+C00001 -&gt; G10920+C00140 | (${Variables:E3_2_1_52_kcat} * E3_2_1_52 * G05477*C00001)/(${Variables:E3_2_1_52_km} + (E3_2_1_52 * G05477*C00001))</v>
      </c>
    </row>
    <row r="396" spans="1:11" ht="26.5" x14ac:dyDescent="0.35">
      <c r="A396" s="78" t="s">
        <v>3532</v>
      </c>
      <c r="B396" s="49" t="s">
        <v>3533</v>
      </c>
      <c r="C396" s="49" t="s">
        <v>14772</v>
      </c>
      <c r="D396" s="49">
        <v>395</v>
      </c>
      <c r="E396" s="78" t="str">
        <f t="shared" si="3"/>
        <v>E3_2_1_52</v>
      </c>
      <c r="F396" s="78" t="s">
        <v>13569</v>
      </c>
      <c r="G396" s="78" t="s">
        <v>13570</v>
      </c>
      <c r="H396" s="78" t="s">
        <v>13571</v>
      </c>
      <c r="I396" s="78" t="s">
        <v>13572</v>
      </c>
      <c r="J396" s="78" t="str">
        <f t="shared" si="4"/>
        <v>(${Variables:E3_2_1_52_kcat} * E3_2_1_52 * C22467*C00001)/(${Variables:E3_2_1_52_km} + (E3_2_1_52 * C22467*C00001))</v>
      </c>
      <c r="K396" s="79" t="str">
        <f t="shared" si="5"/>
        <v>r395: C22467+C00001 -&gt; C03405+C01132 | (${Variables:E3_2_1_52_kcat} * E3_2_1_52 * C22467*C00001)/(${Variables:E3_2_1_52_km} + (E3_2_1_52 * C22467*C00001))</v>
      </c>
    </row>
    <row r="397" spans="1:11" ht="26.5" x14ac:dyDescent="0.35">
      <c r="A397" s="78" t="s">
        <v>3543</v>
      </c>
      <c r="B397" s="49" t="s">
        <v>3544</v>
      </c>
      <c r="C397" s="49" t="s">
        <v>14773</v>
      </c>
      <c r="D397" s="49">
        <v>396</v>
      </c>
      <c r="E397" s="78" t="str">
        <f t="shared" si="3"/>
        <v>E6_1_1_5</v>
      </c>
      <c r="F397" s="78" t="s">
        <v>13573</v>
      </c>
      <c r="G397" s="78" t="s">
        <v>13574</v>
      </c>
      <c r="H397" s="78" t="s">
        <v>13575</v>
      </c>
      <c r="I397" s="78" t="s">
        <v>13576</v>
      </c>
      <c r="J397" s="78" t="str">
        <f t="shared" si="4"/>
        <v>(${Variables:E6_1_1_5_kcat} * E6_1_1_5 * C00002*C00407*C01644)/(${Variables:E6_1_1_5_km} + (E6_1_1_5 * C00002*C00407*C01644))</v>
      </c>
      <c r="K397" s="79" t="str">
        <f t="shared" si="5"/>
        <v>r396: C00002+C00407+C01644 -&gt; C00020+C00013+C03127 | (${Variables:E6_1_1_5_kcat} * E6_1_1_5 * C00002*C00407*C01644)/(${Variables:E6_1_1_5_km} + (E6_1_1_5 * C00002*C00407*C01644))</v>
      </c>
    </row>
    <row r="398" spans="1:11" ht="26.5" x14ac:dyDescent="0.35">
      <c r="A398" s="78" t="s">
        <v>3547</v>
      </c>
      <c r="B398" s="49" t="s">
        <v>3548</v>
      </c>
      <c r="C398" s="49" t="s">
        <v>14774</v>
      </c>
      <c r="D398" s="49">
        <v>397</v>
      </c>
      <c r="E398" s="78" t="str">
        <f t="shared" si="3"/>
        <v>E2_7_1_26</v>
      </c>
      <c r="F398" s="78" t="s">
        <v>13577</v>
      </c>
      <c r="G398" s="78" t="s">
        <v>13578</v>
      </c>
      <c r="H398" s="78" t="s">
        <v>13579</v>
      </c>
      <c r="I398" s="78" t="s">
        <v>13580</v>
      </c>
      <c r="J398" s="78" t="str">
        <f t="shared" si="4"/>
        <v>(${Variables:E2_7_1_26_kcat} * E2_7_1_26 * C00002*C00255)/(${Variables:E2_7_1_26_km} + (E2_7_1_26 * C00002*C00255))</v>
      </c>
      <c r="K398" s="79" t="str">
        <f t="shared" si="5"/>
        <v>r397: C00002+C00255 -&gt; C00008+C00061 | (${Variables:E2_7_1_26_kcat} * E2_7_1_26 * C00002*C00255)/(${Variables:E2_7_1_26_km} + (E2_7_1_26 * C00002*C00255))</v>
      </c>
    </row>
    <row r="399" spans="1:11" ht="26.5" x14ac:dyDescent="0.35">
      <c r="A399" s="78" t="s">
        <v>3547</v>
      </c>
      <c r="B399" s="49" t="s">
        <v>3548</v>
      </c>
      <c r="C399" s="49" t="s">
        <v>14775</v>
      </c>
      <c r="D399" s="49">
        <v>398</v>
      </c>
      <c r="E399" s="78" t="str">
        <f t="shared" si="3"/>
        <v>E2_7_7_2</v>
      </c>
      <c r="F399" s="78" t="s">
        <v>13581</v>
      </c>
      <c r="G399" s="78" t="s">
        <v>13582</v>
      </c>
      <c r="H399" s="78" t="s">
        <v>13583</v>
      </c>
      <c r="I399" s="78" t="s">
        <v>13584</v>
      </c>
      <c r="J399" s="78" t="str">
        <f t="shared" si="4"/>
        <v>(${Variables:E2_7_7_2_kcat} * E2_7_7_2 * C00002*C00061)/(${Variables:E2_7_7_2_km} + (E2_7_7_2 * C00002*C00061))</v>
      </c>
      <c r="K399" s="79" t="str">
        <f t="shared" si="5"/>
        <v>r398: C00002+C00061 -&gt; C00013+C00016 | (${Variables:E2_7_7_2_kcat} * E2_7_7_2 * C00002*C00061)/(${Variables:E2_7_7_2_km} + (E2_7_7_2 * C00002*C00061))</v>
      </c>
    </row>
    <row r="400" spans="1:11" ht="26" x14ac:dyDescent="0.35">
      <c r="A400" s="78" t="s">
        <v>3562</v>
      </c>
      <c r="B400" s="49" t="s">
        <v>3563</v>
      </c>
      <c r="C400" s="49" t="s">
        <v>14776</v>
      </c>
      <c r="D400" s="49">
        <v>399</v>
      </c>
      <c r="E400" s="78" t="str">
        <f t="shared" si="3"/>
        <v>E4_1_3_36</v>
      </c>
      <c r="F400" s="78" t="s">
        <v>7867</v>
      </c>
      <c r="G400" s="78" t="s">
        <v>7867</v>
      </c>
      <c r="H400" s="78" t="s">
        <v>13585</v>
      </c>
      <c r="I400" s="78" t="s">
        <v>13586</v>
      </c>
      <c r="J400" s="78" t="str">
        <f t="shared" si="4"/>
        <v>(${Variables:E4_1_3_36_kcat} * E4_1_3_36 * C03160)/(${Variables:E4_1_3_36_km} + (E4_1_3_36 * C03160))</v>
      </c>
      <c r="K400" s="79" t="str">
        <f t="shared" si="5"/>
        <v>r399: C03160 -&gt; C03657+C00010 | (${Variables:E4_1_3_36_kcat} * E4_1_3_36 * C03160)/(${Variables:E4_1_3_36_km} + (E4_1_3_36 * C03160))</v>
      </c>
    </row>
    <row r="401" spans="1:11" ht="26" x14ac:dyDescent="0.35">
      <c r="A401" s="78" t="s">
        <v>3562</v>
      </c>
      <c r="B401" s="49" t="s">
        <v>3563</v>
      </c>
      <c r="C401" s="49" t="s">
        <v>14776</v>
      </c>
      <c r="D401" s="49">
        <v>400</v>
      </c>
      <c r="E401" s="78" t="str">
        <f t="shared" si="3"/>
        <v>E4_1_3_36</v>
      </c>
      <c r="F401" s="78" t="s">
        <v>7867</v>
      </c>
      <c r="G401" s="78" t="s">
        <v>7867</v>
      </c>
      <c r="H401" s="78" t="s">
        <v>13587</v>
      </c>
      <c r="I401" s="78" t="s">
        <v>13588</v>
      </c>
      <c r="J401" s="78" t="str">
        <f t="shared" si="4"/>
        <v>(${Variables:E4_1_3_36_kcat} * E4_1_3_36 * C03160)/(${Variables:E4_1_3_36_km} + (E4_1_3_36 * C03160))</v>
      </c>
      <c r="K401" s="79" t="str">
        <f t="shared" si="5"/>
        <v>r400: C03160 -&gt; C15547+C00001 | (${Variables:E4_1_3_36_kcat} * E4_1_3_36 * C03160)/(${Variables:E4_1_3_36_km} + (E4_1_3_36 * C03160))</v>
      </c>
    </row>
    <row r="402" spans="1:11" ht="26.5" x14ac:dyDescent="0.35">
      <c r="A402" s="78" t="s">
        <v>3566</v>
      </c>
      <c r="B402" s="49" t="s">
        <v>3567</v>
      </c>
      <c r="C402" s="49" t="s">
        <v>14777</v>
      </c>
      <c r="D402" s="49">
        <v>401</v>
      </c>
      <c r="E402" s="78" t="str">
        <f t="shared" si="3"/>
        <v>E4_2_1_113</v>
      </c>
      <c r="F402" s="78" t="s">
        <v>13589</v>
      </c>
      <c r="G402" s="78" t="s">
        <v>13590</v>
      </c>
      <c r="H402" s="78" t="s">
        <v>7875</v>
      </c>
      <c r="I402" s="78" t="s">
        <v>7875</v>
      </c>
      <c r="J402" s="78" t="str">
        <f t="shared" si="4"/>
        <v>(${Variables:E4_2_1_113_kcat} * E4_2_1_113 * C02730*C00001)/(${Variables:E4_2_1_113_km} + (E4_2_1_113 * C02730*C00001))</v>
      </c>
      <c r="K402" s="79" t="str">
        <f t="shared" si="5"/>
        <v>r401: C02730+C00001 -&gt; C05817 | (${Variables:E4_2_1_113_kcat} * E4_2_1_113 * C02730*C00001)/(${Variables:E4_2_1_113_km} + (E4_2_1_113 * C02730*C00001))</v>
      </c>
    </row>
    <row r="403" spans="1:11" ht="26" x14ac:dyDescent="0.35">
      <c r="A403" s="78" t="s">
        <v>3570</v>
      </c>
      <c r="B403" s="49" t="s">
        <v>3571</v>
      </c>
      <c r="C403" s="49" t="s">
        <v>14778</v>
      </c>
      <c r="D403" s="49">
        <v>402</v>
      </c>
      <c r="E403" s="78" t="str">
        <f t="shared" si="3"/>
        <v>E4_2_1_10</v>
      </c>
      <c r="F403" s="78" t="s">
        <v>7879</v>
      </c>
      <c r="G403" s="78" t="s">
        <v>7879</v>
      </c>
      <c r="H403" s="78" t="s">
        <v>13591</v>
      </c>
      <c r="I403" s="78" t="s">
        <v>13592</v>
      </c>
      <c r="J403" s="78" t="str">
        <f t="shared" si="4"/>
        <v>(${Variables:E4_2_1_10_kcat} * E4_2_1_10 * C00944)/(${Variables:E4_2_1_10_km} + (E4_2_1_10 * C00944))</v>
      </c>
      <c r="K403" s="79" t="str">
        <f t="shared" si="5"/>
        <v>r402: C00944 -&gt; C02637+C00001 | (${Variables:E4_2_1_10_kcat} * E4_2_1_10 * C00944)/(${Variables:E4_2_1_10_km} + (E4_2_1_10 * C00944))</v>
      </c>
    </row>
    <row r="404" spans="1:11" ht="26.5" x14ac:dyDescent="0.35">
      <c r="A404" s="78" t="s">
        <v>3574</v>
      </c>
      <c r="B404" s="49" t="s">
        <v>3575</v>
      </c>
      <c r="C404" s="49" t="s">
        <v>14779</v>
      </c>
      <c r="D404" s="49">
        <v>403</v>
      </c>
      <c r="E404" s="78" t="str">
        <f t="shared" si="3"/>
        <v>E6_4_1_2</v>
      </c>
      <c r="F404" s="78" t="s">
        <v>13593</v>
      </c>
      <c r="G404" s="78" t="s">
        <v>13594</v>
      </c>
      <c r="H404" s="78" t="s">
        <v>13595</v>
      </c>
      <c r="I404" s="78" t="s">
        <v>13596</v>
      </c>
      <c r="J404" s="78" t="str">
        <f t="shared" si="4"/>
        <v>(${Variables:E6_4_1_2_kcat} * E6_4_1_2 * C00002*C00024*C00288)/(${Variables:E6_4_1_2_km} + (E6_4_1_2 * C00002*C00024*C00288))</v>
      </c>
      <c r="K404" s="79" t="str">
        <f t="shared" si="5"/>
        <v>r403: C00002+C00024+C00288 -&gt; C00008+C00009+C00083 | (${Variables:E6_4_1_2_kcat} * E6_4_1_2 * C00002*C00024*C00288)/(${Variables:E6_4_1_2_km} + (E6_4_1_2 * C00002*C00024*C00288))</v>
      </c>
    </row>
    <row r="405" spans="1:11" ht="26.5" x14ac:dyDescent="0.35">
      <c r="A405" s="78" t="s">
        <v>3578</v>
      </c>
      <c r="B405" s="49" t="s">
        <v>3579</v>
      </c>
      <c r="C405" s="49" t="s">
        <v>14780</v>
      </c>
      <c r="D405" s="49">
        <v>404</v>
      </c>
      <c r="E405" s="78" t="str">
        <f t="shared" si="3"/>
        <v>E6_3_4_14</v>
      </c>
      <c r="F405" s="78" t="s">
        <v>13597</v>
      </c>
      <c r="G405" s="78" t="s">
        <v>13598</v>
      </c>
      <c r="H405" s="78" t="s">
        <v>13599</v>
      </c>
      <c r="I405" s="78" t="s">
        <v>13600</v>
      </c>
      <c r="J405" s="78" t="str">
        <f t="shared" si="4"/>
        <v>(${Variables:E6_3_4_14_kcat} * E6_3_4_14 * C00002*C06250*C00288)/(${Variables:E6_3_4_14_km} + (E6_3_4_14 * C00002*C06250*C00288))</v>
      </c>
      <c r="K405" s="79" t="str">
        <f t="shared" si="5"/>
        <v>r404: C00002+C06250+C00288 -&gt; C00008+C00009+C04419 | (${Variables:E6_3_4_14_kcat} * E6_3_4_14 * C00002*C06250*C00288)/(${Variables:E6_3_4_14_km} + (E6_3_4_14 * C00002*C06250*C00288))</v>
      </c>
    </row>
    <row r="406" spans="1:11" ht="26.5" x14ac:dyDescent="0.35">
      <c r="A406" s="78" t="s">
        <v>3608</v>
      </c>
      <c r="B406" s="49" t="s">
        <v>3609</v>
      </c>
      <c r="C406" s="49" t="s">
        <v>14781</v>
      </c>
      <c r="D406" s="49">
        <v>405</v>
      </c>
      <c r="E406" s="78" t="str">
        <f t="shared" si="3"/>
        <v>E2_7_1_11</v>
      </c>
      <c r="F406" s="78" t="s">
        <v>13601</v>
      </c>
      <c r="G406" s="78" t="s">
        <v>13602</v>
      </c>
      <c r="H406" s="78" t="s">
        <v>12783</v>
      </c>
      <c r="I406" s="78" t="s">
        <v>12784</v>
      </c>
      <c r="J406" s="78" t="str">
        <f t="shared" si="4"/>
        <v>(${Variables:E2_7_1_11_kcat} * E2_7_1_11 * C00002*C05345)/(${Variables:E2_7_1_11_km} + (E2_7_1_11 * C00002*C05345))</v>
      </c>
      <c r="K406" s="79" t="str">
        <f t="shared" si="5"/>
        <v>r405: C00002+C05345 -&gt; C00008+C05378 | (${Variables:E2_7_1_11_kcat} * E2_7_1_11 * C00002*C05345)/(${Variables:E2_7_1_11_km} + (E2_7_1_11 * C00002*C05345))</v>
      </c>
    </row>
    <row r="407" spans="1:11" ht="26.5" x14ac:dyDescent="0.35">
      <c r="A407" s="78" t="s">
        <v>3608</v>
      </c>
      <c r="B407" s="49" t="s">
        <v>3609</v>
      </c>
      <c r="C407" s="49" t="s">
        <v>14781</v>
      </c>
      <c r="D407" s="49">
        <v>406</v>
      </c>
      <c r="E407" s="78" t="str">
        <f t="shared" si="3"/>
        <v>E2_7_1_11</v>
      </c>
      <c r="F407" s="78" t="s">
        <v>13603</v>
      </c>
      <c r="G407" s="78" t="s">
        <v>13604</v>
      </c>
      <c r="H407" s="78" t="s">
        <v>12781</v>
      </c>
      <c r="I407" s="78" t="s">
        <v>12782</v>
      </c>
      <c r="J407" s="78" t="str">
        <f t="shared" si="4"/>
        <v>(${Variables:E2_7_1_11_kcat} * E2_7_1_11 * C00002*C00085)/(${Variables:E2_7_1_11_km} + (E2_7_1_11 * C00002*C00085))</v>
      </c>
      <c r="K407" s="79" t="str">
        <f t="shared" si="5"/>
        <v>r406: C00002+C00085 -&gt; C00008+C00354 | (${Variables:E2_7_1_11_kcat} * E2_7_1_11 * C00002*C00085)/(${Variables:E2_7_1_11_km} + (E2_7_1_11 * C00002*C00085))</v>
      </c>
    </row>
    <row r="408" spans="1:11" ht="26.5" x14ac:dyDescent="0.35">
      <c r="A408" s="78" t="s">
        <v>3608</v>
      </c>
      <c r="B408" s="49" t="s">
        <v>3609</v>
      </c>
      <c r="C408" s="49" t="s">
        <v>14781</v>
      </c>
      <c r="D408" s="49">
        <v>407</v>
      </c>
      <c r="E408" s="78" t="str">
        <f t="shared" si="3"/>
        <v>E2_7_1_11</v>
      </c>
      <c r="F408" s="78" t="s">
        <v>13605</v>
      </c>
      <c r="G408" s="78" t="s">
        <v>13606</v>
      </c>
      <c r="H408" s="78" t="s">
        <v>13607</v>
      </c>
      <c r="I408" s="78" t="s">
        <v>13608</v>
      </c>
      <c r="J408" s="78" t="str">
        <f t="shared" si="4"/>
        <v>(${Variables:E2_7_1_11_kcat} * E2_7_1_11 * C00063*C00085)/(${Variables:E2_7_1_11_km} + (E2_7_1_11 * C00063*C00085))</v>
      </c>
      <c r="K408" s="79" t="str">
        <f t="shared" si="5"/>
        <v>r407: C00063+C00085 -&gt; C00112+C00354 | (${Variables:E2_7_1_11_kcat} * E2_7_1_11 * C00063*C00085)/(${Variables:E2_7_1_11_km} + (E2_7_1_11 * C00063*C00085))</v>
      </c>
    </row>
    <row r="409" spans="1:11" ht="26.5" x14ac:dyDescent="0.35">
      <c r="A409" s="78" t="s">
        <v>3608</v>
      </c>
      <c r="B409" s="49" t="s">
        <v>3609</v>
      </c>
      <c r="C409" s="49" t="s">
        <v>14781</v>
      </c>
      <c r="D409" s="49">
        <v>408</v>
      </c>
      <c r="E409" s="78" t="str">
        <f t="shared" si="3"/>
        <v>E2_7_1_11</v>
      </c>
      <c r="F409" s="78" t="s">
        <v>13609</v>
      </c>
      <c r="G409" s="78" t="s">
        <v>13610</v>
      </c>
      <c r="H409" s="78" t="s">
        <v>13611</v>
      </c>
      <c r="I409" s="78" t="s">
        <v>13612</v>
      </c>
      <c r="J409" s="78" t="str">
        <f t="shared" si="4"/>
        <v>(${Variables:E2_7_1_11_kcat} * E2_7_1_11 * C00075*C00085)/(${Variables:E2_7_1_11_km} + (E2_7_1_11 * C00075*C00085))</v>
      </c>
      <c r="K409" s="79" t="str">
        <f t="shared" si="5"/>
        <v>r408: C00075+C00085 -&gt; C00015+C00354 | (${Variables:E2_7_1_11_kcat} * E2_7_1_11 * C00075*C00085)/(${Variables:E2_7_1_11_km} + (E2_7_1_11 * C00075*C00085))</v>
      </c>
    </row>
    <row r="410" spans="1:11" ht="26.5" x14ac:dyDescent="0.35">
      <c r="A410" s="78" t="s">
        <v>3608</v>
      </c>
      <c r="B410" s="49" t="s">
        <v>3609</v>
      </c>
      <c r="C410" s="49" t="s">
        <v>14781</v>
      </c>
      <c r="D410" s="49">
        <v>409</v>
      </c>
      <c r="E410" s="78" t="str">
        <f t="shared" si="3"/>
        <v>E2_7_1_11</v>
      </c>
      <c r="F410" s="78" t="s">
        <v>13613</v>
      </c>
      <c r="G410" s="78" t="s">
        <v>13614</v>
      </c>
      <c r="H410" s="78" t="s">
        <v>13615</v>
      </c>
      <c r="I410" s="78" t="s">
        <v>13616</v>
      </c>
      <c r="J410" s="78" t="str">
        <f t="shared" si="4"/>
        <v>(${Variables:E2_7_1_11_kcat} * E2_7_1_11 * C00081*C00085)/(${Variables:E2_7_1_11_km} + (E2_7_1_11 * C00081*C00085))</v>
      </c>
      <c r="K410" s="79" t="str">
        <f t="shared" si="5"/>
        <v>r409: C00081+C00085 -&gt; C00104+C00354 | (${Variables:E2_7_1_11_kcat} * E2_7_1_11 * C00081*C00085)/(${Variables:E2_7_1_11_km} + (E2_7_1_11 * C00081*C00085))</v>
      </c>
    </row>
    <row r="411" spans="1:11" ht="26.5" x14ac:dyDescent="0.35">
      <c r="A411" s="78" t="s">
        <v>3608</v>
      </c>
      <c r="B411" s="49" t="s">
        <v>3609</v>
      </c>
      <c r="C411" s="49" t="s">
        <v>14781</v>
      </c>
      <c r="D411" s="49">
        <v>410</v>
      </c>
      <c r="E411" s="78" t="str">
        <f t="shared" si="3"/>
        <v>E2_7_1_11</v>
      </c>
      <c r="F411" s="78" t="s">
        <v>13617</v>
      </c>
      <c r="G411" s="78" t="s">
        <v>13618</v>
      </c>
      <c r="H411" s="78" t="s">
        <v>13619</v>
      </c>
      <c r="I411" s="78" t="s">
        <v>13620</v>
      </c>
      <c r="J411" s="78" t="str">
        <f t="shared" si="4"/>
        <v>(${Variables:E2_7_1_11_kcat} * E2_7_1_11 * C00002*C05382)/(${Variables:E2_7_1_11_km} + (E2_7_1_11 * C00002*C05382))</v>
      </c>
      <c r="K411" s="79" t="str">
        <f t="shared" si="5"/>
        <v>r410: C00002+C05382 -&gt; C00008+C00447 | (${Variables:E2_7_1_11_kcat} * E2_7_1_11 * C00002*C05382)/(${Variables:E2_7_1_11_km} + (E2_7_1_11 * C00002*C05382))</v>
      </c>
    </row>
    <row r="412" spans="1:11" ht="26.5" x14ac:dyDescent="0.35">
      <c r="A412" s="78" t="s">
        <v>3608</v>
      </c>
      <c r="B412" s="49" t="s">
        <v>3609</v>
      </c>
      <c r="C412" s="49" t="s">
        <v>14781</v>
      </c>
      <c r="D412" s="49">
        <v>411</v>
      </c>
      <c r="E412" s="78" t="str">
        <f t="shared" si="3"/>
        <v>E2_7_1_11</v>
      </c>
      <c r="F412" s="78" t="s">
        <v>13621</v>
      </c>
      <c r="G412" s="78" t="s">
        <v>13622</v>
      </c>
      <c r="H412" s="78" t="s">
        <v>13623</v>
      </c>
      <c r="I412" s="78" t="s">
        <v>13624</v>
      </c>
      <c r="J412" s="78" t="str">
        <f t="shared" si="4"/>
        <v>(${Variables:E2_7_1_11_kcat} * E2_7_1_11 * C00063*C01097)/(${Variables:E2_7_1_11_km} + (E2_7_1_11 * C00063*C01097))</v>
      </c>
      <c r="K412" s="79" t="str">
        <f t="shared" si="5"/>
        <v>r411: C00063+C01097 -&gt; C00112+C03785 | (${Variables:E2_7_1_11_kcat} * E2_7_1_11 * C00063*C01097)/(${Variables:E2_7_1_11_km} + (E2_7_1_11 * C00063*C01097))</v>
      </c>
    </row>
    <row r="413" spans="1:11" ht="26.5" x14ac:dyDescent="0.35">
      <c r="A413" s="78" t="s">
        <v>3608</v>
      </c>
      <c r="B413" s="49" t="s">
        <v>3609</v>
      </c>
      <c r="C413" s="49" t="s">
        <v>14781</v>
      </c>
      <c r="D413" s="49">
        <v>412</v>
      </c>
      <c r="E413" s="78" t="str">
        <f t="shared" si="3"/>
        <v>E2_7_1_11</v>
      </c>
      <c r="F413" s="78" t="s">
        <v>13625</v>
      </c>
      <c r="G413" s="78" t="s">
        <v>13626</v>
      </c>
      <c r="H413" s="78" t="s">
        <v>13627</v>
      </c>
      <c r="I413" s="78" t="s">
        <v>13628</v>
      </c>
      <c r="J413" s="78" t="str">
        <f t="shared" si="4"/>
        <v>(${Variables:E2_7_1_11_kcat} * E2_7_1_11 * C00075*C01097)/(${Variables:E2_7_1_11_km} + (E2_7_1_11 * C00075*C01097))</v>
      </c>
      <c r="K413" s="79" t="str">
        <f t="shared" si="5"/>
        <v>r412: C00075+C01097 -&gt; C00015+C03785 | (${Variables:E2_7_1_11_kcat} * E2_7_1_11 * C00075*C01097)/(${Variables:E2_7_1_11_km} + (E2_7_1_11 * C00075*C01097))</v>
      </c>
    </row>
    <row r="414" spans="1:11" ht="26.5" x14ac:dyDescent="0.35">
      <c r="A414" s="78" t="s">
        <v>3608</v>
      </c>
      <c r="B414" s="49" t="s">
        <v>3609</v>
      </c>
      <c r="C414" s="49" t="s">
        <v>14781</v>
      </c>
      <c r="D414" s="49">
        <v>413</v>
      </c>
      <c r="E414" s="78" t="str">
        <f t="shared" si="3"/>
        <v>E2_7_1_11</v>
      </c>
      <c r="F414" s="78" t="s">
        <v>13629</v>
      </c>
      <c r="G414" s="78" t="s">
        <v>13630</v>
      </c>
      <c r="H414" s="78" t="s">
        <v>13631</v>
      </c>
      <c r="I414" s="78" t="s">
        <v>13632</v>
      </c>
      <c r="J414" s="78" t="str">
        <f t="shared" si="4"/>
        <v>(${Variables:E2_7_1_11_kcat} * E2_7_1_11 * C00081*C01097)/(${Variables:E2_7_1_11_km} + (E2_7_1_11 * C00081*C01097))</v>
      </c>
      <c r="K414" s="79" t="str">
        <f t="shared" si="5"/>
        <v>r413: C00081+C01097 -&gt; C00104+C03785 | (${Variables:E2_7_1_11_kcat} * E2_7_1_11 * C00081*C01097)/(${Variables:E2_7_1_11_km} + (E2_7_1_11 * C00081*C01097))</v>
      </c>
    </row>
    <row r="415" spans="1:11" ht="26.5" x14ac:dyDescent="0.35">
      <c r="A415" s="78" t="s">
        <v>3622</v>
      </c>
      <c r="B415" s="49" t="s">
        <v>3623</v>
      </c>
      <c r="C415" s="49" t="s">
        <v>14782</v>
      </c>
      <c r="D415" s="49">
        <v>414</v>
      </c>
      <c r="E415" s="78" t="str">
        <f t="shared" si="3"/>
        <v>E2_3_3_13</v>
      </c>
      <c r="F415" s="78" t="s">
        <v>13633</v>
      </c>
      <c r="G415" s="78" t="s">
        <v>13634</v>
      </c>
      <c r="H415" s="78" t="s">
        <v>13635</v>
      </c>
      <c r="I415" s="78" t="s">
        <v>13636</v>
      </c>
      <c r="J415" s="78" t="str">
        <f t="shared" si="4"/>
        <v>(${Variables:E2_3_3_13_kcat} * E2_3_3_13 * C02504*C00010)/(${Variables:E2_3_3_13_km} + (E2_3_3_13 * C02504*C00010))</v>
      </c>
      <c r="K415" s="79" t="str">
        <f t="shared" si="5"/>
        <v>r414: C02504+C00010 -&gt; C00024+C00141+C00001 | (${Variables:E2_3_3_13_kcat} * E2_3_3_13 * C02504*C00010)/(${Variables:E2_3_3_13_km} + (E2_3_3_13 * C02504*C00010))</v>
      </c>
    </row>
    <row r="416" spans="1:11" ht="26.5" x14ac:dyDescent="0.35">
      <c r="A416" s="78" t="s">
        <v>3626</v>
      </c>
      <c r="B416" s="49" t="s">
        <v>3627</v>
      </c>
      <c r="C416" s="49" t="s">
        <v>14783</v>
      </c>
      <c r="D416" s="49">
        <v>415</v>
      </c>
      <c r="E416" s="78" t="str">
        <f t="shared" si="3"/>
        <v>E1_1_1_85</v>
      </c>
      <c r="F416" s="78" t="s">
        <v>13637</v>
      </c>
      <c r="G416" s="78" t="s">
        <v>13638</v>
      </c>
      <c r="H416" s="78" t="s">
        <v>7927</v>
      </c>
      <c r="I416" s="78" t="s">
        <v>7927</v>
      </c>
      <c r="J416" s="78" t="str">
        <f t="shared" si="4"/>
        <v>(${Variables:E1_1_1_85_kcat} * E1_1_1_85 * C00233*C00011)/(${Variables:E1_1_1_85_km} + (E1_1_1_85 * C00233*C00011))</v>
      </c>
      <c r="K416" s="79" t="str">
        <f t="shared" si="5"/>
        <v>r415: C00233+C00011 -&gt; C04236 | (${Variables:E1_1_1_85_kcat} * E1_1_1_85 * C00233*C00011)/(${Variables:E1_1_1_85_km} + (E1_1_1_85 * C00233*C00011))</v>
      </c>
    </row>
    <row r="417" spans="1:11" ht="26.5" x14ac:dyDescent="0.35">
      <c r="A417" s="78" t="s">
        <v>3626</v>
      </c>
      <c r="B417" s="49" t="s">
        <v>3627</v>
      </c>
      <c r="C417" s="49" t="s">
        <v>14783</v>
      </c>
      <c r="D417" s="49">
        <v>416</v>
      </c>
      <c r="E417" s="78" t="str">
        <f t="shared" si="3"/>
        <v>E1_1_1_85</v>
      </c>
      <c r="F417" s="78" t="s">
        <v>13639</v>
      </c>
      <c r="G417" s="78" t="s">
        <v>13640</v>
      </c>
      <c r="H417" s="78" t="s">
        <v>13641</v>
      </c>
      <c r="I417" s="78" t="s">
        <v>13642</v>
      </c>
      <c r="J417" s="78" t="str">
        <f t="shared" si="4"/>
        <v>(${Variables:E1_1_1_85_kcat} * E1_1_1_85 * C04411*C00003)/(${Variables:E1_1_1_85_km} + (E1_1_1_85 * C04411*C00003))</v>
      </c>
      <c r="K417" s="79" t="str">
        <f t="shared" si="5"/>
        <v>r416: C04411+C00003 -&gt; C04236+C00004+C00080 | (${Variables:E1_1_1_85_kcat} * E1_1_1_85 * C04411*C00003)/(${Variables:E1_1_1_85_km} + (E1_1_1_85 * C04411*C00003))</v>
      </c>
    </row>
    <row r="418" spans="1:11" ht="26.5" x14ac:dyDescent="0.35">
      <c r="A418" s="78" t="s">
        <v>3626</v>
      </c>
      <c r="B418" s="49" t="s">
        <v>3627</v>
      </c>
      <c r="C418" s="49" t="s">
        <v>14783</v>
      </c>
      <c r="D418" s="49">
        <v>417</v>
      </c>
      <c r="E418" s="78" t="str">
        <f t="shared" si="3"/>
        <v>E1_1_1_85</v>
      </c>
      <c r="F418" s="78" t="s">
        <v>13639</v>
      </c>
      <c r="G418" s="78" t="s">
        <v>13640</v>
      </c>
      <c r="H418" s="78" t="s">
        <v>13643</v>
      </c>
      <c r="I418" s="78" t="s">
        <v>13644</v>
      </c>
      <c r="J418" s="78" t="str">
        <f t="shared" si="4"/>
        <v>(${Variables:E1_1_1_85_kcat} * E1_1_1_85 * C04411*C00003)/(${Variables:E1_1_1_85_km} + (E1_1_1_85 * C04411*C00003))</v>
      </c>
      <c r="K418" s="79" t="str">
        <f t="shared" si="5"/>
        <v>r417: C04411+C00003 -&gt; C00233+C00011+C00004+C00080 | (${Variables:E1_1_1_85_kcat} * E1_1_1_85 * C04411*C00003)/(${Variables:E1_1_1_85_km} + (E1_1_1_85 * C04411*C00003))</v>
      </c>
    </row>
    <row r="419" spans="1:11" ht="38.5" x14ac:dyDescent="0.35">
      <c r="A419" s="78" t="s">
        <v>3626</v>
      </c>
      <c r="B419" s="49" t="s">
        <v>3627</v>
      </c>
      <c r="C419" s="49" t="s">
        <v>14783</v>
      </c>
      <c r="D419" s="49">
        <v>418</v>
      </c>
      <c r="E419" s="78" t="str">
        <f t="shared" si="3"/>
        <v>E1_1_1_85</v>
      </c>
      <c r="F419" s="78" t="s">
        <v>13645</v>
      </c>
      <c r="G419" s="78" t="s">
        <v>13646</v>
      </c>
      <c r="H419" s="78" t="s">
        <v>13647</v>
      </c>
      <c r="I419" s="78" t="s">
        <v>13648</v>
      </c>
      <c r="J419" s="78" t="str">
        <f t="shared" si="4"/>
        <v>(${Variables:E1_1_1_85_kcat} * E1_1_1_85 * C00109*C00011*C00004*C00080)/(${Variables:E1_1_1_85_km} + (E1_1_1_85 * C00109*C00011*C00004*C00080))</v>
      </c>
      <c r="K419" s="79" t="str">
        <f t="shared" si="5"/>
        <v>r418: C00109+C00011+C00004+C00080 -&gt; C06032+C00003 | (${Variables:E1_1_1_85_kcat} * E1_1_1_85 * C00109*C00011*C00004*C00080)/(${Variables:E1_1_1_85_km} + (E1_1_1_85 * C00109*C00011*C00004*C00080))</v>
      </c>
    </row>
    <row r="420" spans="1:11" ht="26" x14ac:dyDescent="0.35">
      <c r="A420" s="78" t="s">
        <v>3630</v>
      </c>
      <c r="B420" s="49" t="s">
        <v>3631</v>
      </c>
      <c r="C420" s="49" t="s">
        <v>14784</v>
      </c>
      <c r="D420" s="49">
        <v>419</v>
      </c>
      <c r="E420" s="78" t="str">
        <f t="shared" si="3"/>
        <v>E4_2_1_33</v>
      </c>
      <c r="F420" s="78" t="s">
        <v>7939</v>
      </c>
      <c r="G420" s="78" t="s">
        <v>7939</v>
      </c>
      <c r="H420" s="78" t="s">
        <v>13649</v>
      </c>
      <c r="I420" s="78" t="s">
        <v>13650</v>
      </c>
      <c r="J420" s="78" t="str">
        <f t="shared" si="4"/>
        <v>(${Variables:E4_2_1_33_kcat} * E4_2_1_33 * C02504)/(${Variables:E4_2_1_33_km} + (E4_2_1_33 * C02504))</v>
      </c>
      <c r="K420" s="79" t="str">
        <f t="shared" si="5"/>
        <v>r419: C02504 -&gt; C02631+C00001 | (${Variables:E4_2_1_33_kcat} * E4_2_1_33 * C02504)/(${Variables:E4_2_1_33_km} + (E4_2_1_33 * C02504))</v>
      </c>
    </row>
    <row r="421" spans="1:11" ht="26" x14ac:dyDescent="0.35">
      <c r="A421" s="78" t="s">
        <v>3630</v>
      </c>
      <c r="B421" s="49" t="s">
        <v>3631</v>
      </c>
      <c r="C421" s="49" t="s">
        <v>14784</v>
      </c>
      <c r="D421" s="49">
        <v>420</v>
      </c>
      <c r="E421" s="78" t="str">
        <f t="shared" si="3"/>
        <v>E4_2_1_33</v>
      </c>
      <c r="F421" s="78" t="s">
        <v>7942</v>
      </c>
      <c r="G421" s="78" t="s">
        <v>7942</v>
      </c>
      <c r="H421" s="78" t="s">
        <v>13649</v>
      </c>
      <c r="I421" s="78" t="s">
        <v>13650</v>
      </c>
      <c r="J421" s="78" t="str">
        <f t="shared" si="4"/>
        <v>(${Variables:E4_2_1_33_kcat} * E4_2_1_33 * C04411)/(${Variables:E4_2_1_33_km} + (E4_2_1_33 * C04411))</v>
      </c>
      <c r="K421" s="79" t="str">
        <f t="shared" si="5"/>
        <v>r420: C04411 -&gt; C02631+C00001 | (${Variables:E4_2_1_33_kcat} * E4_2_1_33 * C04411)/(${Variables:E4_2_1_33_km} + (E4_2_1_33 * C04411))</v>
      </c>
    </row>
    <row r="422" spans="1:11" ht="26" x14ac:dyDescent="0.35">
      <c r="A422" s="78" t="s">
        <v>3630</v>
      </c>
      <c r="B422" s="49" t="s">
        <v>3631</v>
      </c>
      <c r="C422" s="49" t="s">
        <v>14784</v>
      </c>
      <c r="D422" s="49">
        <v>421</v>
      </c>
      <c r="E422" s="78" t="str">
        <f t="shared" si="3"/>
        <v>E4_2_1_33</v>
      </c>
      <c r="F422" s="78" t="s">
        <v>7942</v>
      </c>
      <c r="G422" s="78" t="s">
        <v>7942</v>
      </c>
      <c r="H422" s="78" t="s">
        <v>7939</v>
      </c>
      <c r="I422" s="78" t="s">
        <v>7939</v>
      </c>
      <c r="J422" s="78" t="str">
        <f t="shared" si="4"/>
        <v>(${Variables:E4_2_1_33_kcat} * E4_2_1_33 * C04411)/(${Variables:E4_2_1_33_km} + (E4_2_1_33 * C04411))</v>
      </c>
      <c r="K422" s="79" t="str">
        <f t="shared" si="5"/>
        <v>r421: C04411 -&gt; C02504 | (${Variables:E4_2_1_33_kcat} * E4_2_1_33 * C04411)/(${Variables:E4_2_1_33_km} + (E4_2_1_33 * C04411))</v>
      </c>
    </row>
    <row r="423" spans="1:11" ht="26.5" x14ac:dyDescent="0.35">
      <c r="A423" s="78" t="s">
        <v>3693</v>
      </c>
      <c r="B423" s="49" t="s">
        <v>3694</v>
      </c>
      <c r="C423" s="49" t="s">
        <v>14785</v>
      </c>
      <c r="D423" s="49">
        <v>422</v>
      </c>
      <c r="E423" s="78" t="str">
        <f t="shared" si="3"/>
        <v>E1_17_7_4</v>
      </c>
      <c r="F423" s="78" t="s">
        <v>13651</v>
      </c>
      <c r="G423" s="78" t="s">
        <v>13652</v>
      </c>
      <c r="H423" s="78" t="s">
        <v>13653</v>
      </c>
      <c r="I423" s="78" t="s">
        <v>13654</v>
      </c>
      <c r="J423" s="78" t="str">
        <f t="shared" si="4"/>
        <v>(${Variables:E1_17_7_4_kcat} * E1_17_7_4 * C11811*C00138*C00080)/(${Variables:E1_17_7_4_km} + (E1_17_7_4 * C11811*C00138*C00080))</v>
      </c>
      <c r="K423" s="79" t="str">
        <f t="shared" si="5"/>
        <v>r422: C11811+C00138+C00080 -&gt; C00129+C00139+C00001 | (${Variables:E1_17_7_4_kcat} * E1_17_7_4 * C11811*C00138*C00080)/(${Variables:E1_17_7_4_km} + (E1_17_7_4 * C11811*C00138*C00080))</v>
      </c>
    </row>
    <row r="424" spans="1:11" ht="26.5" x14ac:dyDescent="0.35">
      <c r="A424" s="78" t="s">
        <v>3693</v>
      </c>
      <c r="B424" s="49" t="s">
        <v>3694</v>
      </c>
      <c r="C424" s="49" t="s">
        <v>14785</v>
      </c>
      <c r="D424" s="49">
        <v>423</v>
      </c>
      <c r="E424" s="78" t="str">
        <f t="shared" si="3"/>
        <v>E1_17_7_4</v>
      </c>
      <c r="F424" s="78" t="s">
        <v>13655</v>
      </c>
      <c r="G424" s="78" t="s">
        <v>13656</v>
      </c>
      <c r="H424" s="78" t="s">
        <v>13651</v>
      </c>
      <c r="I424" s="78" t="s">
        <v>13652</v>
      </c>
      <c r="J424" s="78" t="str">
        <f t="shared" si="4"/>
        <v>(${Variables:E1_17_7_4_kcat} * E1_17_7_4 * C00235*C00139*C00001)/(${Variables:E1_17_7_4_km} + (E1_17_7_4 * C00235*C00139*C00001))</v>
      </c>
      <c r="K424" s="79" t="str">
        <f t="shared" si="5"/>
        <v>r423: C00235+C00139+C00001 -&gt; C11811+C00138+C00080 | (${Variables:E1_17_7_4_kcat} * E1_17_7_4 * C00235*C00139*C00001)/(${Variables:E1_17_7_4_km} + (E1_17_7_4 * C00235*C00139*C00001))</v>
      </c>
    </row>
    <row r="425" spans="1:11" ht="51" x14ac:dyDescent="0.35">
      <c r="A425" s="78" t="s">
        <v>3712</v>
      </c>
      <c r="B425" s="49" t="s">
        <v>3713</v>
      </c>
      <c r="C425" s="49" t="s">
        <v>14786</v>
      </c>
      <c r="D425" s="49">
        <v>424</v>
      </c>
      <c r="E425" s="78" t="str">
        <f t="shared" si="3"/>
        <v>E2_8_1_6</v>
      </c>
      <c r="F425" s="78" t="s">
        <v>13657</v>
      </c>
      <c r="G425" s="78" t="s">
        <v>13658</v>
      </c>
      <c r="H425" s="78" t="s">
        <v>13659</v>
      </c>
      <c r="I425" s="78" t="s">
        <v>13660</v>
      </c>
      <c r="J425" s="78" t="str">
        <f t="shared" si="4"/>
        <v>(${Variables:E2_8_1_6_kcat} * E2_8_1_6 * C01909*C17023*C00019*C05359*C00080)/(${Variables:E2_8_1_6_km} + (E2_8_1_6 * C01909*C17023*C00019*C05359*C00080))</v>
      </c>
      <c r="K425" s="79" t="str">
        <f t="shared" si="5"/>
        <v>r424: C01909+C17023+C00019+C05359+C00080 -&gt; C00120+C00073+C05198 | (${Variables:E2_8_1_6_kcat} * E2_8_1_6 * C01909*C17023*C00019*C05359*C00080)/(${Variables:E2_8_1_6_km} + (E2_8_1_6 * C01909*C17023*C00019*C05359*C00080))</v>
      </c>
    </row>
    <row r="426" spans="1:11" ht="26.5" x14ac:dyDescent="0.35">
      <c r="A426" s="78" t="s">
        <v>3716</v>
      </c>
      <c r="B426" s="49" t="s">
        <v>3717</v>
      </c>
      <c r="C426" s="49" t="s">
        <v>14787</v>
      </c>
      <c r="D426" s="49">
        <v>425</v>
      </c>
      <c r="E426" s="78" t="str">
        <f t="shared" si="3"/>
        <v>E2_2_1_1</v>
      </c>
      <c r="F426" s="78" t="s">
        <v>13661</v>
      </c>
      <c r="G426" s="78" t="s">
        <v>13662</v>
      </c>
      <c r="H426" s="78" t="s">
        <v>13663</v>
      </c>
      <c r="I426" s="78" t="s">
        <v>13664</v>
      </c>
      <c r="J426" s="78" t="str">
        <f t="shared" si="4"/>
        <v>(${Variables:E2_2_1_1_kcat} * E2_2_1_1 * C05382*C00118)/(${Variables:E2_2_1_1_km} + (E2_2_1_1 * C05382*C00118))</v>
      </c>
      <c r="K426" s="79" t="str">
        <f t="shared" si="5"/>
        <v>r425: C05382+C00118 -&gt; C00117+C00231 | (${Variables:E2_2_1_1_kcat} * E2_2_1_1 * C05382*C00118)/(${Variables:E2_2_1_1_km} + (E2_2_1_1 * C05382*C00118))</v>
      </c>
    </row>
    <row r="427" spans="1:11" ht="26.5" x14ac:dyDescent="0.35">
      <c r="A427" s="78" t="s">
        <v>3716</v>
      </c>
      <c r="B427" s="49" t="s">
        <v>3717</v>
      </c>
      <c r="C427" s="49" t="s">
        <v>14787</v>
      </c>
      <c r="D427" s="49">
        <v>426</v>
      </c>
      <c r="E427" s="78" t="str">
        <f t="shared" si="3"/>
        <v>E2_2_1_1</v>
      </c>
      <c r="F427" s="78" t="s">
        <v>13665</v>
      </c>
      <c r="G427" s="78" t="s">
        <v>13666</v>
      </c>
      <c r="H427" s="78" t="s">
        <v>13667</v>
      </c>
      <c r="I427" s="78" t="s">
        <v>13668</v>
      </c>
      <c r="J427" s="78" t="str">
        <f t="shared" si="4"/>
        <v>(${Variables:E2_2_1_1_kcat} * E2_2_1_1 * C00085*C00118)/(${Variables:E2_2_1_1_km} + (E2_2_1_1 * C00085*C00118))</v>
      </c>
      <c r="K427" s="79" t="str">
        <f t="shared" si="5"/>
        <v>r426: C00085+C00118 -&gt; C00279+C00231 | (${Variables:E2_2_1_1_kcat} * E2_2_1_1 * C00085*C00118)/(${Variables:E2_2_1_1_km} + (E2_2_1_1 * C00085*C00118))</v>
      </c>
    </row>
    <row r="428" spans="1:11" ht="26.5" x14ac:dyDescent="0.35">
      <c r="A428" s="78" t="s">
        <v>3716</v>
      </c>
      <c r="B428" s="49" t="s">
        <v>3717</v>
      </c>
      <c r="C428" s="49" t="s">
        <v>14787</v>
      </c>
      <c r="D428" s="49">
        <v>427</v>
      </c>
      <c r="E428" s="78" t="str">
        <f t="shared" si="3"/>
        <v>E2_2_1_1</v>
      </c>
      <c r="F428" s="78" t="s">
        <v>13669</v>
      </c>
      <c r="G428" s="78" t="s">
        <v>13670</v>
      </c>
      <c r="H428" s="78" t="s">
        <v>13667</v>
      </c>
      <c r="I428" s="78" t="s">
        <v>13668</v>
      </c>
      <c r="J428" s="78" t="str">
        <f t="shared" si="4"/>
        <v>(${Variables:E2_2_1_1_kcat} * E2_2_1_1 * C05345*C00118)/(${Variables:E2_2_1_1_km} + (E2_2_1_1 * C05345*C00118))</v>
      </c>
      <c r="K428" s="79" t="str">
        <f t="shared" si="5"/>
        <v>r427: C05345+C00118 -&gt; C00279+C00231 | (${Variables:E2_2_1_1_kcat} * E2_2_1_1 * C05345*C00118)/(${Variables:E2_2_1_1_km} + (E2_2_1_1 * C05345*C00118))</v>
      </c>
    </row>
    <row r="429" spans="1:11" ht="26.5" x14ac:dyDescent="0.35">
      <c r="A429" s="78" t="s">
        <v>3716</v>
      </c>
      <c r="B429" s="49" t="s">
        <v>3717</v>
      </c>
      <c r="C429" s="49" t="s">
        <v>14787</v>
      </c>
      <c r="D429" s="49">
        <v>428</v>
      </c>
      <c r="E429" s="78" t="str">
        <f t="shared" si="3"/>
        <v>E2_2_1_1</v>
      </c>
      <c r="F429" s="78" t="s">
        <v>13671</v>
      </c>
      <c r="G429" s="78" t="s">
        <v>13672</v>
      </c>
      <c r="H429" s="78" t="s">
        <v>13673</v>
      </c>
      <c r="I429" s="78" t="s">
        <v>13674</v>
      </c>
      <c r="J429" s="78" t="str">
        <f t="shared" si="4"/>
        <v>(${Variables:E2_2_1_1_kcat} * E2_2_1_1 * C12214*C00117)/(${Variables:E2_2_1_1_km} + (E2_2_1_1 * C12214*C00117))</v>
      </c>
      <c r="K429" s="79" t="str">
        <f t="shared" si="5"/>
        <v>r428: C12214+C00117 -&gt; C12215+C05382 | (${Variables:E2_2_1_1_kcat} * E2_2_1_1 * C12214*C00117)/(${Variables:E2_2_1_1_km} + (E2_2_1_1 * C12214*C00117))</v>
      </c>
    </row>
    <row r="430" spans="1:11" ht="26.5" x14ac:dyDescent="0.35">
      <c r="A430" s="78" t="s">
        <v>3716</v>
      </c>
      <c r="B430" s="49" t="s">
        <v>3717</v>
      </c>
      <c r="C430" s="49" t="s">
        <v>14787</v>
      </c>
      <c r="D430" s="49">
        <v>429</v>
      </c>
      <c r="E430" s="78" t="str">
        <f t="shared" si="3"/>
        <v>E2_2_1_1</v>
      </c>
      <c r="F430" s="78" t="s">
        <v>13675</v>
      </c>
      <c r="G430" s="78" t="s">
        <v>13676</v>
      </c>
      <c r="H430" s="78" t="s">
        <v>13677</v>
      </c>
      <c r="I430" s="78" t="s">
        <v>13678</v>
      </c>
      <c r="J430" s="78" t="str">
        <f t="shared" si="4"/>
        <v>(${Variables:E2_2_1_1_kcat} * E2_2_1_1 * C00231*C00068)/(${Variables:E2_2_1_1_km} + (E2_2_1_1 * C00231*C00068))</v>
      </c>
      <c r="K430" s="79" t="str">
        <f t="shared" si="5"/>
        <v>r429: C00231+C00068 -&gt; C13378+C00118 | (${Variables:E2_2_1_1_kcat} * E2_2_1_1 * C00231*C00068)/(${Variables:E2_2_1_1_km} + (E2_2_1_1 * C00231*C00068))</v>
      </c>
    </row>
    <row r="431" spans="1:11" ht="26.5" x14ac:dyDescent="0.35">
      <c r="A431" s="78" t="s">
        <v>3716</v>
      </c>
      <c r="B431" s="49" t="s">
        <v>3717</v>
      </c>
      <c r="C431" s="49" t="s">
        <v>14787</v>
      </c>
      <c r="D431" s="49">
        <v>430</v>
      </c>
      <c r="E431" s="78" t="str">
        <f t="shared" si="3"/>
        <v>E2_2_1_1</v>
      </c>
      <c r="F431" s="78" t="s">
        <v>13679</v>
      </c>
      <c r="G431" s="78" t="s">
        <v>13680</v>
      </c>
      <c r="H431" s="78" t="s">
        <v>13681</v>
      </c>
      <c r="I431" s="78" t="s">
        <v>13682</v>
      </c>
      <c r="J431" s="78" t="str">
        <f t="shared" si="4"/>
        <v>(${Variables:E2_2_1_1_kcat} * E2_2_1_1 * C05382*C00068)/(${Variables:E2_2_1_1_km} + (E2_2_1_1 * C05382*C00068))</v>
      </c>
      <c r="K431" s="79" t="str">
        <f t="shared" si="5"/>
        <v>r430: C05382+C00068 -&gt; C13378+C00117 | (${Variables:E2_2_1_1_kcat} * E2_2_1_1 * C05382*C00068)/(${Variables:E2_2_1_1_km} + (E2_2_1_1 * C05382*C00068))</v>
      </c>
    </row>
    <row r="432" spans="1:11" ht="26.5" x14ac:dyDescent="0.35">
      <c r="A432" s="78" t="s">
        <v>3720</v>
      </c>
      <c r="B432" s="49" t="s">
        <v>3721</v>
      </c>
      <c r="C432" s="49" t="s">
        <v>14788</v>
      </c>
      <c r="D432" s="49">
        <v>431</v>
      </c>
      <c r="E432" s="78" t="str">
        <f t="shared" si="3"/>
        <v>E3_1_3_3</v>
      </c>
      <c r="F432" s="78" t="s">
        <v>13683</v>
      </c>
      <c r="G432" s="78" t="s">
        <v>13684</v>
      </c>
      <c r="H432" s="78" t="s">
        <v>13685</v>
      </c>
      <c r="I432" s="78" t="s">
        <v>13686</v>
      </c>
      <c r="J432" s="78" t="str">
        <f t="shared" si="4"/>
        <v>(${Variables:E3_1_3_3_kcat} * E3_1_3_3 * C01005*C00001)/(${Variables:E3_1_3_3_km} + (E3_1_3_3 * C01005*C00001))</v>
      </c>
      <c r="K432" s="79" t="str">
        <f t="shared" si="5"/>
        <v>r431: C01005+C00001 -&gt; C00065+C00009 | (${Variables:E3_1_3_3_kcat} * E3_1_3_3 * C01005*C00001)/(${Variables:E3_1_3_3_km} + (E3_1_3_3 * C01005*C00001))</v>
      </c>
    </row>
    <row r="433" spans="1:11" ht="26.5" x14ac:dyDescent="0.35">
      <c r="A433" s="78" t="s">
        <v>3720</v>
      </c>
      <c r="B433" s="49" t="s">
        <v>3721</v>
      </c>
      <c r="C433" s="49" t="s">
        <v>14788</v>
      </c>
      <c r="D433" s="49">
        <v>432</v>
      </c>
      <c r="E433" s="78" t="str">
        <f t="shared" si="3"/>
        <v>E3_1_3_3</v>
      </c>
      <c r="F433" s="78" t="s">
        <v>13687</v>
      </c>
      <c r="G433" s="78" t="s">
        <v>13688</v>
      </c>
      <c r="H433" s="78" t="s">
        <v>13689</v>
      </c>
      <c r="I433" s="78" t="s">
        <v>13690</v>
      </c>
      <c r="J433" s="78" t="str">
        <f t="shared" si="4"/>
        <v>(${Variables:E3_1_3_3_kcat} * E3_1_3_3 * C02532*C00001)/(${Variables:E3_1_3_3_km} + (E3_1_3_3 * C02532*C00001))</v>
      </c>
      <c r="K433" s="79" t="str">
        <f t="shared" si="5"/>
        <v>r432: C02532+C00001 -&gt; C00740+C00009 | (${Variables:E3_1_3_3_kcat} * E3_1_3_3 * C02532*C00001)/(${Variables:E3_1_3_3_km} + (E3_1_3_3 * C02532*C00001))</v>
      </c>
    </row>
    <row r="434" spans="1:11" ht="26.5" x14ac:dyDescent="0.35">
      <c r="A434" s="78" t="s">
        <v>3753</v>
      </c>
      <c r="B434" s="49" t="s">
        <v>3754</v>
      </c>
      <c r="C434" s="49" t="s">
        <v>14789</v>
      </c>
      <c r="D434" s="49">
        <v>433</v>
      </c>
      <c r="E434" s="78" t="str">
        <f t="shared" si="3"/>
        <v>E1_8_5_3</v>
      </c>
      <c r="F434" s="78" t="s">
        <v>13691</v>
      </c>
      <c r="G434" s="78" t="s">
        <v>13692</v>
      </c>
      <c r="H434" s="78" t="s">
        <v>13693</v>
      </c>
      <c r="I434" s="78" t="s">
        <v>13694</v>
      </c>
      <c r="J434" s="78" t="str">
        <f t="shared" si="4"/>
        <v>(${Variables:E1_8_5_3_kcat} * E1_8_5_3 * C00580*C00828*C00001)/(${Variables:E1_8_5_3_km} + (E1_8_5_3 * C00580*C00828*C00001))</v>
      </c>
      <c r="K434" s="79" t="str">
        <f t="shared" si="5"/>
        <v>r433: C00580+C00828+C00001 -&gt; C11143+C05819 | (${Variables:E1_8_5_3_kcat} * E1_8_5_3 * C00580*C00828*C00001)/(${Variables:E1_8_5_3_km} + (E1_8_5_3 * C00580*C00828*C00001))</v>
      </c>
    </row>
    <row r="435" spans="1:11" ht="26.5" x14ac:dyDescent="0.35">
      <c r="A435" s="78" t="s">
        <v>3787</v>
      </c>
      <c r="B435" s="49" t="s">
        <v>3788</v>
      </c>
      <c r="C435" s="49" t="s">
        <v>14790</v>
      </c>
      <c r="D435" s="49">
        <v>434</v>
      </c>
      <c r="E435" s="78" t="str">
        <f t="shared" si="3"/>
        <v>E2_4_1_182</v>
      </c>
      <c r="F435" s="78" t="s">
        <v>13695</v>
      </c>
      <c r="G435" s="78" t="s">
        <v>13696</v>
      </c>
      <c r="H435" s="78" t="s">
        <v>13697</v>
      </c>
      <c r="I435" s="78" t="s">
        <v>13698</v>
      </c>
      <c r="J435" s="78" t="str">
        <f t="shared" si="4"/>
        <v>(${Variables:E2_4_1_182_kcat} * E2_4_1_182 * C04652*C04824)/(${Variables:E2_4_1_182_km} + (E2_4_1_182 * C04652*C04824))</v>
      </c>
      <c r="K435" s="79" t="str">
        <f t="shared" si="5"/>
        <v>r434: C04652+C04824 -&gt; C00015+C04932 | (${Variables:E2_4_1_182_kcat} * E2_4_1_182 * C04652*C04824)/(${Variables:E2_4_1_182_km} + (E2_4_1_182 * C04652*C04824))</v>
      </c>
    </row>
    <row r="436" spans="1:11" ht="26.5" x14ac:dyDescent="0.35">
      <c r="A436" s="78" t="s">
        <v>3791</v>
      </c>
      <c r="B436" s="49" t="s">
        <v>3792</v>
      </c>
      <c r="C436" s="49" t="s">
        <v>14791</v>
      </c>
      <c r="D436" s="49">
        <v>435</v>
      </c>
      <c r="E436" s="78" t="str">
        <f t="shared" si="3"/>
        <v>E2_3_1_129</v>
      </c>
      <c r="F436" s="78" t="s">
        <v>13699</v>
      </c>
      <c r="G436" s="78" t="s">
        <v>13700</v>
      </c>
      <c r="H436" s="78" t="s">
        <v>13701</v>
      </c>
      <c r="I436" s="78" t="s">
        <v>13702</v>
      </c>
      <c r="J436" s="78" t="str">
        <f t="shared" si="4"/>
        <v>(${Variables:E2_3_1_129_kcat} * E2_3_1_129 * C01271*C00043)/(${Variables:E2_3_1_129_km} + (E2_3_1_129 * C01271*C00043))</v>
      </c>
      <c r="K436" s="79" t="str">
        <f t="shared" si="5"/>
        <v>r435: C01271+C00043 -&gt; C00229+C22418 | (${Variables:E2_3_1_129_kcat} * E2_3_1_129 * C01271*C00043)/(${Variables:E2_3_1_129_km} + (E2_3_1_129 * C01271*C00043))</v>
      </c>
    </row>
    <row r="437" spans="1:11" ht="26.5" x14ac:dyDescent="0.35">
      <c r="A437" s="78" t="s">
        <v>3791</v>
      </c>
      <c r="B437" s="49" t="s">
        <v>3792</v>
      </c>
      <c r="C437" s="49" t="s">
        <v>14791</v>
      </c>
      <c r="D437" s="49">
        <v>436</v>
      </c>
      <c r="E437" s="78" t="str">
        <f t="shared" si="3"/>
        <v>E2_3_1_129</v>
      </c>
      <c r="F437" s="78" t="s">
        <v>13703</v>
      </c>
      <c r="G437" s="78" t="s">
        <v>13704</v>
      </c>
      <c r="H437" s="78" t="s">
        <v>13705</v>
      </c>
      <c r="I437" s="78" t="s">
        <v>13706</v>
      </c>
      <c r="J437" s="78" t="str">
        <f t="shared" si="4"/>
        <v>(${Variables:E2_3_1_129_kcat} * E2_3_1_129 * C04688*C00043)/(${Variables:E2_3_1_129_km} + (E2_3_1_129 * C04688*C00043))</v>
      </c>
      <c r="K437" s="79" t="str">
        <f t="shared" si="5"/>
        <v>r436: C04688+C00043 -&gt; C00229+C04738 | (${Variables:E2_3_1_129_kcat} * E2_3_1_129 * C04688*C00043)/(${Variables:E2_3_1_129_km} + (E2_3_1_129 * C04688*C00043))</v>
      </c>
    </row>
    <row r="438" spans="1:11" ht="26" x14ac:dyDescent="0.35">
      <c r="A438" s="78" t="s">
        <v>3795</v>
      </c>
      <c r="B438" s="49" t="s">
        <v>3796</v>
      </c>
      <c r="C438" s="49" t="s">
        <v>14792</v>
      </c>
      <c r="D438" s="49">
        <v>437</v>
      </c>
      <c r="E438" s="78" t="str">
        <f t="shared" si="3"/>
        <v>E4_2_1_59</v>
      </c>
      <c r="F438" s="78" t="s">
        <v>8011</v>
      </c>
      <c r="G438" s="78" t="s">
        <v>8011</v>
      </c>
      <c r="H438" s="78" t="s">
        <v>13707</v>
      </c>
      <c r="I438" s="78" t="s">
        <v>13708</v>
      </c>
      <c r="J438" s="78" t="str">
        <f t="shared" si="4"/>
        <v>(${Variables:E4_2_1_59_kcat} * E4_2_1_59 * C01271)/(${Variables:E4_2_1_59_km} + (E4_2_1_59 * C01271))</v>
      </c>
      <c r="K438" s="79" t="str">
        <f t="shared" si="5"/>
        <v>r437: C01271 -&gt; C00693+C00001 | (${Variables:E4_2_1_59_kcat} * E4_2_1_59 * C01271)/(${Variables:E4_2_1_59_km} + (E4_2_1_59 * C01271))</v>
      </c>
    </row>
    <row r="439" spans="1:11" ht="26" x14ac:dyDescent="0.35">
      <c r="A439" s="78" t="s">
        <v>3795</v>
      </c>
      <c r="B439" s="49" t="s">
        <v>3796</v>
      </c>
      <c r="C439" s="49" t="s">
        <v>14792</v>
      </c>
      <c r="D439" s="49">
        <v>438</v>
      </c>
      <c r="E439" s="78" t="str">
        <f t="shared" si="3"/>
        <v>E4_2_1_59</v>
      </c>
      <c r="F439" s="78" t="s">
        <v>8014</v>
      </c>
      <c r="G439" s="78" t="s">
        <v>8014</v>
      </c>
      <c r="H439" s="78" t="s">
        <v>13709</v>
      </c>
      <c r="I439" s="78" t="s">
        <v>13710</v>
      </c>
      <c r="J439" s="78" t="str">
        <f t="shared" si="4"/>
        <v>(${Variables:E4_2_1_59_kcat} * E4_2_1_59 * C04618)/(${Variables:E4_2_1_59_km} + (E4_2_1_59 * C04618))</v>
      </c>
      <c r="K439" s="79" t="str">
        <f t="shared" si="5"/>
        <v>r438: C04618 -&gt; C04246+C00001 | (${Variables:E4_2_1_59_kcat} * E4_2_1_59 * C04618)/(${Variables:E4_2_1_59_km} + (E4_2_1_59 * C04618))</v>
      </c>
    </row>
    <row r="440" spans="1:11" ht="26" x14ac:dyDescent="0.35">
      <c r="A440" s="78" t="s">
        <v>3795</v>
      </c>
      <c r="B440" s="49" t="s">
        <v>3796</v>
      </c>
      <c r="C440" s="49" t="s">
        <v>14792</v>
      </c>
      <c r="D440" s="49">
        <v>439</v>
      </c>
      <c r="E440" s="78" t="str">
        <f t="shared" si="3"/>
        <v>E4_2_1_59</v>
      </c>
      <c r="F440" s="78" t="s">
        <v>8017</v>
      </c>
      <c r="G440" s="78" t="s">
        <v>8017</v>
      </c>
      <c r="H440" s="78" t="s">
        <v>13711</v>
      </c>
      <c r="I440" s="78" t="s">
        <v>13712</v>
      </c>
      <c r="J440" s="78" t="str">
        <f t="shared" si="4"/>
        <v>(${Variables:E4_2_1_59_kcat} * E4_2_1_59 * C04619)/(${Variables:E4_2_1_59_km} + (E4_2_1_59 * C04619))</v>
      </c>
      <c r="K440" s="79" t="str">
        <f t="shared" si="5"/>
        <v>r439: C04619 -&gt; C05754+C00001 | (${Variables:E4_2_1_59_kcat} * E4_2_1_59 * C04619)/(${Variables:E4_2_1_59_km} + (E4_2_1_59 * C04619))</v>
      </c>
    </row>
    <row r="441" spans="1:11" ht="26" x14ac:dyDescent="0.35">
      <c r="A441" s="78" t="s">
        <v>3795</v>
      </c>
      <c r="B441" s="49" t="s">
        <v>3796</v>
      </c>
      <c r="C441" s="49" t="s">
        <v>14792</v>
      </c>
      <c r="D441" s="49">
        <v>440</v>
      </c>
      <c r="E441" s="78" t="str">
        <f t="shared" si="3"/>
        <v>E4_2_1_59</v>
      </c>
      <c r="F441" s="78" t="s">
        <v>8020</v>
      </c>
      <c r="G441" s="78" t="s">
        <v>8020</v>
      </c>
      <c r="H441" s="78" t="s">
        <v>13713</v>
      </c>
      <c r="I441" s="78" t="s">
        <v>13714</v>
      </c>
      <c r="J441" s="78" t="str">
        <f t="shared" si="4"/>
        <v>(${Variables:E4_2_1_59_kcat} * E4_2_1_59 * C04620)/(${Variables:E4_2_1_59_km} + (E4_2_1_59 * C04620))</v>
      </c>
      <c r="K441" s="79" t="str">
        <f t="shared" si="5"/>
        <v>r440: C04620 -&gt; C05751+C00001 | (${Variables:E4_2_1_59_kcat} * E4_2_1_59 * C04620)/(${Variables:E4_2_1_59_km} + (E4_2_1_59 * C04620))</v>
      </c>
    </row>
    <row r="442" spans="1:11" ht="26" x14ac:dyDescent="0.35">
      <c r="A442" s="78" t="s">
        <v>3795</v>
      </c>
      <c r="B442" s="49" t="s">
        <v>3796</v>
      </c>
      <c r="C442" s="49" t="s">
        <v>14792</v>
      </c>
      <c r="D442" s="49">
        <v>441</v>
      </c>
      <c r="E442" s="78" t="str">
        <f t="shared" si="3"/>
        <v>E4_2_1_59</v>
      </c>
      <c r="F442" s="78" t="s">
        <v>8023</v>
      </c>
      <c r="G442" s="78" t="s">
        <v>8023</v>
      </c>
      <c r="H442" s="78" t="s">
        <v>13715</v>
      </c>
      <c r="I442" s="78" t="s">
        <v>13716</v>
      </c>
      <c r="J442" s="78" t="str">
        <f t="shared" si="4"/>
        <v>(${Variables:E4_2_1_59_kcat} * E4_2_1_59 * C04633)/(${Variables:E4_2_1_59_km} + (E4_2_1_59 * C04633))</v>
      </c>
      <c r="K442" s="79" t="str">
        <f t="shared" si="5"/>
        <v>r441: C04633 -&gt; C05763+C00001 | (${Variables:E4_2_1_59_kcat} * E4_2_1_59 * C04633)/(${Variables:E4_2_1_59_km} + (E4_2_1_59 * C04633))</v>
      </c>
    </row>
    <row r="443" spans="1:11" ht="26" x14ac:dyDescent="0.35">
      <c r="A443" s="78" t="s">
        <v>3795</v>
      </c>
      <c r="B443" s="49" t="s">
        <v>3796</v>
      </c>
      <c r="C443" s="49" t="s">
        <v>14792</v>
      </c>
      <c r="D443" s="49">
        <v>442</v>
      </c>
      <c r="E443" s="78" t="str">
        <f t="shared" si="3"/>
        <v>E4_2_1_59</v>
      </c>
      <c r="F443" s="78" t="s">
        <v>8026</v>
      </c>
      <c r="G443" s="78" t="s">
        <v>8026</v>
      </c>
      <c r="H443" s="78" t="s">
        <v>13717</v>
      </c>
      <c r="I443" s="78" t="s">
        <v>13718</v>
      </c>
      <c r="J443" s="78" t="str">
        <f t="shared" si="4"/>
        <v>(${Variables:E4_2_1_59_kcat} * E4_2_1_59 * C04688)/(${Variables:E4_2_1_59_km} + (E4_2_1_59 * C04688))</v>
      </c>
      <c r="K443" s="79" t="str">
        <f t="shared" si="5"/>
        <v>r442: C04688 -&gt; C05760+C00001 | (${Variables:E4_2_1_59_kcat} * E4_2_1_59 * C04688)/(${Variables:E4_2_1_59_km} + (E4_2_1_59 * C04688))</v>
      </c>
    </row>
    <row r="444" spans="1:11" ht="26" x14ac:dyDescent="0.35">
      <c r="A444" s="78" t="s">
        <v>3795</v>
      </c>
      <c r="B444" s="49" t="s">
        <v>3796</v>
      </c>
      <c r="C444" s="49" t="s">
        <v>14792</v>
      </c>
      <c r="D444" s="49">
        <v>443</v>
      </c>
      <c r="E444" s="78" t="str">
        <f t="shared" si="3"/>
        <v>E4_2_1_59</v>
      </c>
      <c r="F444" s="78" t="s">
        <v>8029</v>
      </c>
      <c r="G444" s="78" t="s">
        <v>8029</v>
      </c>
      <c r="H444" s="78" t="s">
        <v>13719</v>
      </c>
      <c r="I444" s="78" t="s">
        <v>13720</v>
      </c>
      <c r="J444" s="78" t="str">
        <f t="shared" si="4"/>
        <v>(${Variables:E4_2_1_59_kcat} * E4_2_1_59 * C05747)/(${Variables:E4_2_1_59_km} + (E4_2_1_59 * C05747))</v>
      </c>
      <c r="K444" s="79" t="str">
        <f t="shared" si="5"/>
        <v>r443: C05747 -&gt; C05748+C00001 | (${Variables:E4_2_1_59_kcat} * E4_2_1_59 * C05747)/(${Variables:E4_2_1_59_km} + (E4_2_1_59 * C05747))</v>
      </c>
    </row>
    <row r="445" spans="1:11" ht="26" x14ac:dyDescent="0.35">
      <c r="A445" s="78" t="s">
        <v>3795</v>
      </c>
      <c r="B445" s="49" t="s">
        <v>3796</v>
      </c>
      <c r="C445" s="49" t="s">
        <v>14792</v>
      </c>
      <c r="D445" s="49">
        <v>444</v>
      </c>
      <c r="E445" s="78" t="str">
        <f t="shared" si="3"/>
        <v>E4_2_1_59</v>
      </c>
      <c r="F445" s="78" t="s">
        <v>8032</v>
      </c>
      <c r="G445" s="78" t="s">
        <v>8032</v>
      </c>
      <c r="H445" s="78" t="s">
        <v>13721</v>
      </c>
      <c r="I445" s="78" t="s">
        <v>13722</v>
      </c>
      <c r="J445" s="78" t="str">
        <f t="shared" si="4"/>
        <v>(${Variables:E4_2_1_59_kcat} * E4_2_1_59 * C05757)/(${Variables:E4_2_1_59_km} + (E4_2_1_59 * C05757))</v>
      </c>
      <c r="K445" s="79" t="str">
        <f t="shared" si="5"/>
        <v>r444: C05757 -&gt; C05758+C00001 | (${Variables:E4_2_1_59_kcat} * E4_2_1_59 * C05757)/(${Variables:E4_2_1_59_km} + (E4_2_1_59 * C05757))</v>
      </c>
    </row>
    <row r="446" spans="1:11" ht="26" x14ac:dyDescent="0.35">
      <c r="A446" s="78" t="s">
        <v>3795</v>
      </c>
      <c r="B446" s="49" t="s">
        <v>3796</v>
      </c>
      <c r="C446" s="49" t="s">
        <v>14792</v>
      </c>
      <c r="D446" s="49">
        <v>445</v>
      </c>
      <c r="E446" s="78" t="str">
        <f t="shared" si="3"/>
        <v>E4_2_1_59</v>
      </c>
      <c r="F446" s="78" t="s">
        <v>8035</v>
      </c>
      <c r="G446" s="78" t="s">
        <v>8035</v>
      </c>
      <c r="H446" s="78" t="s">
        <v>13723</v>
      </c>
      <c r="I446" s="78" t="s">
        <v>13724</v>
      </c>
      <c r="J446" s="78" t="str">
        <f t="shared" si="4"/>
        <v>(${Variables:E4_2_1_59_kcat} * E4_2_1_59 * C20373)/(${Variables:E4_2_1_59_km} + (E4_2_1_59 * C20373))</v>
      </c>
      <c r="K446" s="79" t="str">
        <f t="shared" si="5"/>
        <v>r445: C20373 -&gt; C20374+C00001 | (${Variables:E4_2_1_59_kcat} * E4_2_1_59 * C20373)/(${Variables:E4_2_1_59_km} + (E4_2_1_59 * C20373))</v>
      </c>
    </row>
    <row r="447" spans="1:11" ht="26" x14ac:dyDescent="0.35">
      <c r="A447" s="78" t="s">
        <v>3795</v>
      </c>
      <c r="B447" s="49" t="s">
        <v>3796</v>
      </c>
      <c r="C447" s="49" t="s">
        <v>14792</v>
      </c>
      <c r="D447" s="49">
        <v>446</v>
      </c>
      <c r="E447" s="78" t="str">
        <f t="shared" si="3"/>
        <v>E4_2_1_59</v>
      </c>
      <c r="F447" s="78" t="s">
        <v>8038</v>
      </c>
      <c r="G447" s="78" t="s">
        <v>8038</v>
      </c>
      <c r="H447" s="78" t="s">
        <v>13725</v>
      </c>
      <c r="I447" s="78" t="s">
        <v>13726</v>
      </c>
      <c r="J447" s="78" t="str">
        <f t="shared" si="4"/>
        <v>(${Variables:E4_2_1_59_kcat} * E4_2_1_59 * C20377)/(${Variables:E4_2_1_59_km} + (E4_2_1_59 * C20377))</v>
      </c>
      <c r="K447" s="79" t="str">
        <f t="shared" si="5"/>
        <v>r446: C20377 -&gt; C20378+C00001 | (${Variables:E4_2_1_59_kcat} * E4_2_1_59 * C20377)/(${Variables:E4_2_1_59_km} + (E4_2_1_59 * C20377))</v>
      </c>
    </row>
    <row r="448" spans="1:11" ht="26.5" x14ac:dyDescent="0.35">
      <c r="A448" s="78" t="s">
        <v>3801</v>
      </c>
      <c r="B448" s="49" t="s">
        <v>3802</v>
      </c>
      <c r="C448" s="49" t="s">
        <v>14793</v>
      </c>
      <c r="D448" s="49">
        <v>447</v>
      </c>
      <c r="E448" s="78" t="str">
        <f t="shared" si="3"/>
        <v>E2_7_4_22</v>
      </c>
      <c r="F448" s="78" t="s">
        <v>13727</v>
      </c>
      <c r="G448" s="78" t="s">
        <v>13728</v>
      </c>
      <c r="H448" s="78" t="s">
        <v>13729</v>
      </c>
      <c r="I448" s="78" t="s">
        <v>13730</v>
      </c>
      <c r="J448" s="78" t="str">
        <f t="shared" si="4"/>
        <v>(${Variables:E2_7_4_22_kcat} * E2_7_4_22 * C00002*C00105)/(${Variables:E2_7_4_22_km} + (E2_7_4_22 * C00002*C00105))</v>
      </c>
      <c r="K448" s="79" t="str">
        <f t="shared" si="5"/>
        <v>r447: C00002+C00105 -&gt; C00008+C00015 | (${Variables:E2_7_4_22_kcat} * E2_7_4_22 * C00002*C00105)/(${Variables:E2_7_4_22_km} + (E2_7_4_22 * C00002*C00105))</v>
      </c>
    </row>
    <row r="449" spans="1:11" ht="26.5" x14ac:dyDescent="0.35">
      <c r="A449" s="78" t="s">
        <v>3805</v>
      </c>
      <c r="B449" s="49" t="s">
        <v>3806</v>
      </c>
      <c r="C449" s="49" t="s">
        <v>14794</v>
      </c>
      <c r="D449" s="49">
        <v>448</v>
      </c>
      <c r="E449" s="78" t="str">
        <f t="shared" si="3"/>
        <v>E1_7_2_2</v>
      </c>
      <c r="F449" s="78" t="s">
        <v>13731</v>
      </c>
      <c r="G449" s="78" t="s">
        <v>13732</v>
      </c>
      <c r="H449" s="78" t="s">
        <v>13733</v>
      </c>
      <c r="I449" s="78" t="s">
        <v>13734</v>
      </c>
      <c r="J449" s="78" t="str">
        <f t="shared" si="4"/>
        <v>(${Variables:E1_7_2_2_kcat} * E1_7_2_2 * C00014*C00001*C00125)/(${Variables:E1_7_2_2_km} + (E1_7_2_2 * C00014*C00001*C00125))</v>
      </c>
      <c r="K449" s="79" t="str">
        <f t="shared" si="5"/>
        <v>r448: C00014+C00001+C00125 -&gt; C00088+C00126+C00080 | (${Variables:E1_7_2_2_kcat} * E1_7_2_2 * C00014*C00001*C00125)/(${Variables:E1_7_2_2_km} + (E1_7_2_2 * C00014*C00001*C00125))</v>
      </c>
    </row>
    <row r="450" spans="1:11" ht="26.5" x14ac:dyDescent="0.35">
      <c r="A450" s="78" t="s">
        <v>3838</v>
      </c>
      <c r="B450" s="49" t="s">
        <v>3839</v>
      </c>
      <c r="C450" s="49" t="s">
        <v>14795</v>
      </c>
      <c r="D450" s="49">
        <v>449</v>
      </c>
      <c r="E450" s="78" t="str">
        <f t="shared" si="3"/>
        <v>E6_3_4_2</v>
      </c>
      <c r="F450" s="78" t="s">
        <v>13735</v>
      </c>
      <c r="G450" s="78" t="s">
        <v>13736</v>
      </c>
      <c r="H450" s="78" t="s">
        <v>13737</v>
      </c>
      <c r="I450" s="78" t="s">
        <v>13738</v>
      </c>
      <c r="J450" s="78" t="str">
        <f t="shared" si="4"/>
        <v>(${Variables:E6_3_4_2_kcat} * E6_3_4_2 * C00002*C00075)/(${Variables:E6_3_4_2_km} + (E6_3_4_2 * C00002*C00075))</v>
      </c>
      <c r="K450" s="79" t="str">
        <f t="shared" si="5"/>
        <v>r449: C00002+C00075 -&gt; C00008+C00009+C00063 | (${Variables:E6_3_4_2_kcat} * E6_3_4_2 * C00002*C00075)/(${Variables:E6_3_4_2_km} + (E6_3_4_2 * C00002*C00075))</v>
      </c>
    </row>
    <row r="451" spans="1:11" ht="38.5" x14ac:dyDescent="0.35">
      <c r="A451" s="78" t="s">
        <v>3838</v>
      </c>
      <c r="B451" s="49" t="s">
        <v>3839</v>
      </c>
      <c r="C451" s="49" t="s">
        <v>14795</v>
      </c>
      <c r="D451" s="49">
        <v>450</v>
      </c>
      <c r="E451" s="78" t="str">
        <f t="shared" si="3"/>
        <v>E6_3_4_2</v>
      </c>
      <c r="F451" s="78" t="s">
        <v>13739</v>
      </c>
      <c r="G451" s="78" t="s">
        <v>13740</v>
      </c>
      <c r="H451" s="78" t="s">
        <v>13741</v>
      </c>
      <c r="I451" s="78" t="s">
        <v>13742</v>
      </c>
      <c r="J451" s="78" t="str">
        <f t="shared" si="4"/>
        <v>(${Variables:E6_3_4_2_kcat} * E6_3_4_2 * C00002*C00075*C00064*C00001)/(${Variables:E6_3_4_2_km} + (E6_3_4_2 * C00002*C00075*C00064*C00001))</v>
      </c>
      <c r="K451" s="79" t="str">
        <f t="shared" si="5"/>
        <v>r450: C00002+C00075+C00064+C00001 -&gt; C00008+C00009+C00063+C00025 | (${Variables:E6_3_4_2_kcat} * E6_3_4_2 * C00002*C00075*C00064*C00001)/(${Variables:E6_3_4_2_km} + (E6_3_4_2 * C00002*C00075*C00064*C00001))</v>
      </c>
    </row>
    <row r="452" spans="1:11" ht="26.5" x14ac:dyDescent="0.35">
      <c r="A452" s="78" t="s">
        <v>3855</v>
      </c>
      <c r="B452" s="49" t="s">
        <v>3856</v>
      </c>
      <c r="C452" s="49" t="s">
        <v>14796</v>
      </c>
      <c r="D452" s="49">
        <v>451</v>
      </c>
      <c r="E452" s="78" t="str">
        <f t="shared" si="3"/>
        <v>E2_5_1_7</v>
      </c>
      <c r="F452" s="78" t="s">
        <v>13743</v>
      </c>
      <c r="G452" s="78" t="s">
        <v>13744</v>
      </c>
      <c r="H452" s="78" t="s">
        <v>13745</v>
      </c>
      <c r="I452" s="78" t="s">
        <v>13746</v>
      </c>
      <c r="J452" s="78" t="str">
        <f t="shared" si="4"/>
        <v>(${Variables:E2_5_1_7_kcat} * E2_5_1_7 * C00074*C00043)/(${Variables:E2_5_1_7_km} + (E2_5_1_7 * C00074*C00043))</v>
      </c>
      <c r="K452" s="79" t="str">
        <f t="shared" si="5"/>
        <v>r451: C00074+C00043 -&gt; C04631+C00009 | (${Variables:E2_5_1_7_kcat} * E2_5_1_7 * C00074*C00043)/(${Variables:E2_5_1_7_km} + (E2_5_1_7 * C00074*C00043))</v>
      </c>
    </row>
    <row r="453" spans="1:11" ht="26.5" x14ac:dyDescent="0.35">
      <c r="A453" s="78" t="s">
        <v>3881</v>
      </c>
      <c r="B453" s="49" t="s">
        <v>3882</v>
      </c>
      <c r="C453" s="49" t="s">
        <v>14797</v>
      </c>
      <c r="D453" s="49">
        <v>452</v>
      </c>
      <c r="E453" s="78" t="str">
        <f t="shared" si="3"/>
        <v>E1_15_1_1</v>
      </c>
      <c r="F453" s="78" t="s">
        <v>13747</v>
      </c>
      <c r="G453" s="78" t="s">
        <v>13748</v>
      </c>
      <c r="H453" s="78" t="s">
        <v>13749</v>
      </c>
      <c r="I453" s="78" t="s">
        <v>13750</v>
      </c>
      <c r="J453" s="78" t="str">
        <f t="shared" si="4"/>
        <v>(${Variables:E1_15_1_1_kcat} * E1_15_1_1 * C00704*C00080)/(${Variables:E1_15_1_1_km} + (E1_15_1_1 * C00704*C00080))</v>
      </c>
      <c r="K453" s="79" t="str">
        <f t="shared" si="5"/>
        <v>r452: C00704+C00080 -&gt; C00027+C00007 | (${Variables:E1_15_1_1_kcat} * E1_15_1_1 * C00704*C00080)/(${Variables:E1_15_1_1_km} + (E1_15_1_1 * C00704*C00080))</v>
      </c>
    </row>
    <row r="454" spans="1:11" ht="26.5" x14ac:dyDescent="0.35">
      <c r="A454" s="78" t="s">
        <v>3920</v>
      </c>
      <c r="B454" s="49" t="s">
        <v>3921</v>
      </c>
      <c r="C454" s="49" t="s">
        <v>14798</v>
      </c>
      <c r="D454" s="49">
        <v>453</v>
      </c>
      <c r="E454" s="78" t="str">
        <f t="shared" si="3"/>
        <v>E6_5_1_2</v>
      </c>
      <c r="F454" s="78" t="s">
        <v>13751</v>
      </c>
      <c r="G454" s="78" t="s">
        <v>13752</v>
      </c>
      <c r="H454" s="78" t="s">
        <v>13753</v>
      </c>
      <c r="I454" s="78" t="s">
        <v>13754</v>
      </c>
      <c r="J454" s="78" t="str">
        <f t="shared" si="4"/>
        <v>(${Variables:E6_5_1_2_kcat} * E6_5_1_2 * C00003*C00039*C02128)/(${Variables:E6_5_1_2_km} + (E6_5_1_2 * C00003*C00039*C02128))</v>
      </c>
      <c r="K454" s="79" t="str">
        <f t="shared" si="5"/>
        <v>r453: C00003+C00039+C02128 -&gt; C00020+C00455+C00039 | (${Variables:E6_5_1_2_kcat} * E6_5_1_2 * C00003*C00039*C02128)/(${Variables:E6_5_1_2_km} + (E6_5_1_2 * C00003*C00039*C02128))</v>
      </c>
    </row>
    <row r="455" spans="1:11" ht="26.5" x14ac:dyDescent="0.35">
      <c r="A455" s="78" t="s">
        <v>3932</v>
      </c>
      <c r="B455" s="49" t="s">
        <v>3933</v>
      </c>
      <c r="C455" s="49" t="s">
        <v>14799</v>
      </c>
      <c r="D455" s="49">
        <v>454</v>
      </c>
      <c r="E455" s="78" t="str">
        <f t="shared" si="3"/>
        <v>E2_5_1_47</v>
      </c>
      <c r="F455" s="78" t="s">
        <v>13755</v>
      </c>
      <c r="G455" s="78" t="s">
        <v>13756</v>
      </c>
      <c r="H455" s="78" t="s">
        <v>13757</v>
      </c>
      <c r="I455" s="78" t="s">
        <v>13758</v>
      </c>
      <c r="J455" s="78" t="str">
        <f t="shared" si="4"/>
        <v>(${Variables:E2_5_1_47_kcat} * E2_5_1_47 * C00979*C00283)/(${Variables:E2_5_1_47_km} + (E2_5_1_47 * C00979*C00283))</v>
      </c>
      <c r="K455" s="79" t="str">
        <f t="shared" si="5"/>
        <v>r454: C00979+C00283 -&gt; C00097+C00033 | (${Variables:E2_5_1_47_kcat} * E2_5_1_47 * C00979*C00283)/(${Variables:E2_5_1_47_km} + (E2_5_1_47 * C00979*C00283))</v>
      </c>
    </row>
    <row r="456" spans="1:11" ht="26.5" x14ac:dyDescent="0.35">
      <c r="A456" s="78" t="s">
        <v>3932</v>
      </c>
      <c r="B456" s="49" t="s">
        <v>3933</v>
      </c>
      <c r="C456" s="49" t="s">
        <v>14799</v>
      </c>
      <c r="D456" s="49">
        <v>455</v>
      </c>
      <c r="E456" s="78" t="str">
        <f t="shared" si="3"/>
        <v>E2_5_1_47</v>
      </c>
      <c r="F456" s="78" t="s">
        <v>13759</v>
      </c>
      <c r="G456" s="78" t="s">
        <v>13760</v>
      </c>
      <c r="H456" s="78" t="s">
        <v>13761</v>
      </c>
      <c r="I456" s="78" t="s">
        <v>13762</v>
      </c>
      <c r="J456" s="78" t="str">
        <f t="shared" si="4"/>
        <v>(${Variables:E2_5_1_47_kcat} * E2_5_1_47 * C00979*C01528)/(${Variables:E2_5_1_47_km} + (E2_5_1_47 * C00979*C01528))</v>
      </c>
      <c r="K456" s="79" t="str">
        <f t="shared" si="5"/>
        <v>r455: C00979+C01528 -&gt; C05688+C00033 | (${Variables:E2_5_1_47_kcat} * E2_5_1_47 * C00979*C01528)/(${Variables:E2_5_1_47_km} + (E2_5_1_47 * C00979*C01528))</v>
      </c>
    </row>
    <row r="457" spans="1:11" ht="51" x14ac:dyDescent="0.35">
      <c r="A457" s="78" t="s">
        <v>3932</v>
      </c>
      <c r="B457" s="49" t="s">
        <v>3933</v>
      </c>
      <c r="C457" s="49" t="s">
        <v>14799</v>
      </c>
      <c r="D457" s="49">
        <v>456</v>
      </c>
      <c r="E457" s="78" t="str">
        <f t="shared" si="3"/>
        <v>E2_5_1_47</v>
      </c>
      <c r="F457" s="78" t="s">
        <v>13763</v>
      </c>
      <c r="G457" s="78" t="s">
        <v>13764</v>
      </c>
      <c r="H457" s="78" t="s">
        <v>13765</v>
      </c>
      <c r="I457" s="78" t="s">
        <v>13766</v>
      </c>
      <c r="J457" s="78" t="str">
        <f t="shared" si="4"/>
        <v>(${Variables:E2_5_1_47_kcat} * E2_5_1_47 * C00979*C00320*C00342*C00080)/(${Variables:E2_5_1_47_km} + (E2_5_1_47 * C00979*C00320*C00342*C00080))</v>
      </c>
      <c r="K457" s="79" t="str">
        <f t="shared" si="5"/>
        <v>r456: C00979+C00320+C00342+C00080 -&gt; C00097+C00094+C00343+C00033 | (${Variables:E2_5_1_47_kcat} * E2_5_1_47 * C00979*C00320*C00342*C00080)/(${Variables:E2_5_1_47_km} + (E2_5_1_47 * C00979*C00320*C00342*C00080))</v>
      </c>
    </row>
    <row r="458" spans="1:11" ht="26.5" x14ac:dyDescent="0.35">
      <c r="A458" s="78" t="s">
        <v>3932</v>
      </c>
      <c r="B458" s="49" t="s">
        <v>3933</v>
      </c>
      <c r="C458" s="49" t="s">
        <v>14799</v>
      </c>
      <c r="D458" s="49">
        <v>457</v>
      </c>
      <c r="E458" s="78" t="str">
        <f t="shared" si="3"/>
        <v>E2_5_1_47</v>
      </c>
      <c r="F458" s="78" t="s">
        <v>13767</v>
      </c>
      <c r="G458" s="78" t="s">
        <v>13768</v>
      </c>
      <c r="H458" s="78" t="s">
        <v>13769</v>
      </c>
      <c r="I458" s="78" t="s">
        <v>13770</v>
      </c>
      <c r="J458" s="78" t="str">
        <f t="shared" si="4"/>
        <v>(${Variables:E2_5_1_47_kcat} * E2_5_1_47 * C01005*C00283)/(${Variables:E2_5_1_47_km} + (E2_5_1_47 * C01005*C00283))</v>
      </c>
      <c r="K458" s="79" t="str">
        <f t="shared" si="5"/>
        <v>r457: C01005+C00283 -&gt; C00097+C00009 | (${Variables:E2_5_1_47_kcat} * E2_5_1_47 * C01005*C00283)/(${Variables:E2_5_1_47_km} + (E2_5_1_47 * C01005*C00283))</v>
      </c>
    </row>
    <row r="459" spans="1:11" ht="26" x14ac:dyDescent="0.35">
      <c r="A459" s="78" t="s">
        <v>3951</v>
      </c>
      <c r="B459" s="49" t="s">
        <v>3952</v>
      </c>
      <c r="C459" s="49" t="s">
        <v>14800</v>
      </c>
      <c r="D459" s="49">
        <v>458</v>
      </c>
      <c r="E459" s="78" t="str">
        <f t="shared" si="3"/>
        <v>E5_3_1_5</v>
      </c>
      <c r="F459" s="78" t="s">
        <v>8092</v>
      </c>
      <c r="G459" s="78" t="s">
        <v>8092</v>
      </c>
      <c r="H459" s="78" t="s">
        <v>8093</v>
      </c>
      <c r="I459" s="78" t="s">
        <v>8093</v>
      </c>
      <c r="J459" s="78" t="str">
        <f t="shared" si="4"/>
        <v>(${Variables:E5_3_1_5_kcat} * E5_3_1_5 * C02205)/(${Variables:E5_3_1_5_km} + (E5_3_1_5 * C02205))</v>
      </c>
      <c r="K459" s="79" t="str">
        <f t="shared" si="5"/>
        <v>r458: C02205 -&gt; C22501 | (${Variables:E5_3_1_5_kcat} * E5_3_1_5 * C02205)/(${Variables:E5_3_1_5_km} + (E5_3_1_5 * C02205))</v>
      </c>
    </row>
    <row r="460" spans="1:11" ht="26" x14ac:dyDescent="0.35">
      <c r="A460" s="78" t="s">
        <v>3951</v>
      </c>
      <c r="B460" s="49" t="s">
        <v>3952</v>
      </c>
      <c r="C460" s="49" t="s">
        <v>14800</v>
      </c>
      <c r="D460" s="49">
        <v>459</v>
      </c>
      <c r="E460" s="78" t="str">
        <f t="shared" si="3"/>
        <v>E5_3_1_5</v>
      </c>
      <c r="F460" s="78" t="s">
        <v>8095</v>
      </c>
      <c r="G460" s="78" t="s">
        <v>8095</v>
      </c>
      <c r="H460" s="78" t="s">
        <v>8096</v>
      </c>
      <c r="I460" s="78" t="s">
        <v>8096</v>
      </c>
      <c r="J460" s="78" t="str">
        <f t="shared" si="4"/>
        <v>(${Variables:E5_3_1_5_kcat} * E5_3_1_5 * C00267)/(${Variables:E5_3_1_5_km} + (E5_3_1_5 * C00267))</v>
      </c>
      <c r="K460" s="79" t="str">
        <f t="shared" si="5"/>
        <v>r459: C00267 -&gt; C22502 | (${Variables:E5_3_1_5_kcat} * E5_3_1_5 * C00267)/(${Variables:E5_3_1_5_km} + (E5_3_1_5 * C00267))</v>
      </c>
    </row>
    <row r="461" spans="1:11" ht="26" x14ac:dyDescent="0.35">
      <c r="A461" s="78" t="s">
        <v>3951</v>
      </c>
      <c r="B461" s="49" t="s">
        <v>3952</v>
      </c>
      <c r="C461" s="49" t="s">
        <v>14800</v>
      </c>
      <c r="D461" s="49">
        <v>460</v>
      </c>
      <c r="E461" s="78" t="str">
        <f t="shared" si="3"/>
        <v>E5_3_1_5</v>
      </c>
      <c r="F461" s="78" t="s">
        <v>8095</v>
      </c>
      <c r="G461" s="78" t="s">
        <v>8095</v>
      </c>
      <c r="H461" s="78" t="s">
        <v>8098</v>
      </c>
      <c r="I461" s="78" t="s">
        <v>8098</v>
      </c>
      <c r="J461" s="78" t="str">
        <f t="shared" si="4"/>
        <v>(${Variables:E5_3_1_5_kcat} * E5_3_1_5 * C00267)/(${Variables:E5_3_1_5_km} + (E5_3_1_5 * C00267))</v>
      </c>
      <c r="K461" s="79" t="str">
        <f t="shared" si="5"/>
        <v>r460: C00267 -&gt; C00095 | (${Variables:E5_3_1_5_kcat} * E5_3_1_5 * C00267)/(${Variables:E5_3_1_5_km} + (E5_3_1_5 * C00267))</v>
      </c>
    </row>
    <row r="462" spans="1:11" ht="26" x14ac:dyDescent="0.35">
      <c r="A462" s="78" t="s">
        <v>3951</v>
      </c>
      <c r="B462" s="49" t="s">
        <v>3952</v>
      </c>
      <c r="C462" s="49" t="s">
        <v>14800</v>
      </c>
      <c r="D462" s="49">
        <v>461</v>
      </c>
      <c r="E462" s="78" t="str">
        <f t="shared" si="3"/>
        <v>E5_3_1_5</v>
      </c>
      <c r="F462" s="78" t="s">
        <v>8100</v>
      </c>
      <c r="G462" s="78" t="s">
        <v>8100</v>
      </c>
      <c r="H462" s="78" t="s">
        <v>8101</v>
      </c>
      <c r="I462" s="78" t="s">
        <v>8101</v>
      </c>
      <c r="J462" s="78" t="str">
        <f t="shared" si="4"/>
        <v>(${Variables:E5_3_1_5_kcat} * E5_3_1_5 * C00181)/(${Variables:E5_3_1_5_km} + (E5_3_1_5 * C00181))</v>
      </c>
      <c r="K462" s="79" t="str">
        <f t="shared" si="5"/>
        <v>r461: C00181 -&gt; C00310 | (${Variables:E5_3_1_5_kcat} * E5_3_1_5 * C00181)/(${Variables:E5_3_1_5_km} + (E5_3_1_5 * C00181))</v>
      </c>
    </row>
    <row r="463" spans="1:11" ht="26.5" x14ac:dyDescent="0.35">
      <c r="A463" s="78" t="s">
        <v>3955</v>
      </c>
      <c r="B463" s="49" t="s">
        <v>3956</v>
      </c>
      <c r="C463" s="49" t="s">
        <v>14801</v>
      </c>
      <c r="D463" s="49">
        <v>462</v>
      </c>
      <c r="E463" s="78" t="str">
        <f t="shared" si="3"/>
        <v>E2_7_1_17</v>
      </c>
      <c r="F463" s="78" t="s">
        <v>13771</v>
      </c>
      <c r="G463" s="78" t="s">
        <v>13772</v>
      </c>
      <c r="H463" s="78" t="s">
        <v>13773</v>
      </c>
      <c r="I463" s="78" t="s">
        <v>13774</v>
      </c>
      <c r="J463" s="78" t="str">
        <f t="shared" si="4"/>
        <v>(${Variables:E2_7_1_17_kcat} * E2_7_1_17 * C00002*C00310)/(${Variables:E2_7_1_17_km} + (E2_7_1_17 * C00002*C00310))</v>
      </c>
      <c r="K463" s="79" t="str">
        <f t="shared" si="5"/>
        <v>r462: C00002+C00310 -&gt; C00008+C00231 | (${Variables:E2_7_1_17_kcat} * E2_7_1_17 * C00002*C00310)/(${Variables:E2_7_1_17_km} + (E2_7_1_17 * C00002*C00310))</v>
      </c>
    </row>
    <row r="464" spans="1:11" ht="26" x14ac:dyDescent="0.35">
      <c r="A464" s="78" t="s">
        <v>3959</v>
      </c>
      <c r="B464" s="49" t="s">
        <v>3960</v>
      </c>
      <c r="C464" s="49" t="s">
        <v>14802</v>
      </c>
      <c r="D464" s="49">
        <v>463</v>
      </c>
      <c r="E464" s="78" t="str">
        <f t="shared" si="3"/>
        <v>E5_1_3_20</v>
      </c>
      <c r="F464" s="78" t="s">
        <v>8110</v>
      </c>
      <c r="G464" s="78" t="s">
        <v>8110</v>
      </c>
      <c r="H464" s="78" t="s">
        <v>8111</v>
      </c>
      <c r="I464" s="78" t="s">
        <v>8111</v>
      </c>
      <c r="J464" s="78" t="str">
        <f t="shared" si="4"/>
        <v>(${Variables:E5_1_3_20_kcat} * E5_1_3_20 * C06397)/(${Variables:E5_1_3_20_km} + (E5_1_3_20 * C06397))</v>
      </c>
      <c r="K464" s="79" t="str">
        <f t="shared" si="5"/>
        <v>r463: C06397 -&gt; C06398 | (${Variables:E5_1_3_20_kcat} * E5_1_3_20 * C06397)/(${Variables:E5_1_3_20_km} + (E5_1_3_20 * C06397))</v>
      </c>
    </row>
    <row r="465" spans="1:11" ht="26" x14ac:dyDescent="0.35">
      <c r="A465" s="78" t="s">
        <v>3966</v>
      </c>
      <c r="B465" s="49" t="s">
        <v>3967</v>
      </c>
      <c r="C465" s="49" t="s">
        <v>14803</v>
      </c>
      <c r="D465" s="49">
        <v>464</v>
      </c>
      <c r="E465" s="78" t="str">
        <f t="shared" si="3"/>
        <v>E4_1_2_4</v>
      </c>
      <c r="F465" s="78" t="s">
        <v>8115</v>
      </c>
      <c r="G465" s="78" t="s">
        <v>8115</v>
      </c>
      <c r="H465" s="78" t="s">
        <v>13775</v>
      </c>
      <c r="I465" s="78" t="s">
        <v>13776</v>
      </c>
      <c r="J465" s="78" t="str">
        <f t="shared" si="4"/>
        <v>(${Variables:E4_1_2_4_kcat} * E4_1_2_4 * C00673)/(${Variables:E4_1_2_4_km} + (E4_1_2_4 * C00673))</v>
      </c>
      <c r="K465" s="79" t="str">
        <f t="shared" si="5"/>
        <v>r464: C00673 -&gt; C00118+C00084 | (${Variables:E4_1_2_4_kcat} * E4_1_2_4 * C00673)/(${Variables:E4_1_2_4_km} + (E4_1_2_4 * C00673))</v>
      </c>
    </row>
    <row r="466" spans="1:11" ht="26.5" x14ac:dyDescent="0.35">
      <c r="A466" s="78" t="s">
        <v>3995</v>
      </c>
      <c r="B466" s="49" t="s">
        <v>3996</v>
      </c>
      <c r="C466" s="49" t="s">
        <v>14804</v>
      </c>
      <c r="D466" s="49">
        <v>465</v>
      </c>
      <c r="E466" s="78" t="str">
        <f t="shared" si="3"/>
        <v>E2_2_1_2</v>
      </c>
      <c r="F466" s="78" t="s">
        <v>13661</v>
      </c>
      <c r="G466" s="78" t="s">
        <v>13662</v>
      </c>
      <c r="H466" s="78" t="s">
        <v>13777</v>
      </c>
      <c r="I466" s="78" t="s">
        <v>13778</v>
      </c>
      <c r="J466" s="78" t="str">
        <f t="shared" si="4"/>
        <v>(${Variables:E2_2_1_2_kcat} * E2_2_1_2 * C05382*C00118)/(${Variables:E2_2_1_2_km} + (E2_2_1_2 * C05382*C00118))</v>
      </c>
      <c r="K466" s="79" t="str">
        <f t="shared" si="5"/>
        <v>r465: C05382+C00118 -&gt; C00279+C00085 | (${Variables:E2_2_1_2_kcat} * E2_2_1_2 * C05382*C00118)/(${Variables:E2_2_1_2_km} + (E2_2_1_2 * C05382*C00118))</v>
      </c>
    </row>
    <row r="467" spans="1:11" ht="26.5" x14ac:dyDescent="0.35">
      <c r="A467" s="78" t="s">
        <v>3995</v>
      </c>
      <c r="B467" s="49" t="s">
        <v>3996</v>
      </c>
      <c r="C467" s="49" t="s">
        <v>14804</v>
      </c>
      <c r="D467" s="49">
        <v>466</v>
      </c>
      <c r="E467" s="78" t="str">
        <f t="shared" si="3"/>
        <v>E2_2_1_2</v>
      </c>
      <c r="F467" s="78" t="s">
        <v>13661</v>
      </c>
      <c r="G467" s="78" t="s">
        <v>13662</v>
      </c>
      <c r="H467" s="78" t="s">
        <v>13779</v>
      </c>
      <c r="I467" s="78" t="s">
        <v>13780</v>
      </c>
      <c r="J467" s="78" t="str">
        <f t="shared" si="4"/>
        <v>(${Variables:E2_2_1_2_kcat} * E2_2_1_2 * C05382*C00118)/(${Variables:E2_2_1_2_km} + (E2_2_1_2 * C05382*C00118))</v>
      </c>
      <c r="K467" s="79" t="str">
        <f t="shared" si="5"/>
        <v>r466: C05382+C00118 -&gt; C00279+C05345 | (${Variables:E2_2_1_2_kcat} * E2_2_1_2 * C05382*C00118)/(${Variables:E2_2_1_2_km} + (E2_2_1_2 * C05382*C00118))</v>
      </c>
    </row>
    <row r="468" spans="1:11" ht="26.5" x14ac:dyDescent="0.35">
      <c r="A468" s="78" t="s">
        <v>4020</v>
      </c>
      <c r="B468" s="49" t="s">
        <v>4021</v>
      </c>
      <c r="C468" s="49" t="s">
        <v>14805</v>
      </c>
      <c r="D468" s="49">
        <v>467</v>
      </c>
      <c r="E468" s="78" t="str">
        <f t="shared" si="3"/>
        <v>E6_3_2_13</v>
      </c>
      <c r="F468" s="78" t="s">
        <v>13781</v>
      </c>
      <c r="G468" s="78" t="s">
        <v>13782</v>
      </c>
      <c r="H468" s="78" t="s">
        <v>12347</v>
      </c>
      <c r="I468" s="78" t="s">
        <v>12348</v>
      </c>
      <c r="J468" s="78" t="str">
        <f t="shared" si="4"/>
        <v>(${Variables:E6_3_2_13_kcat} * E6_3_2_13 * C00002*C00692*C00680)/(${Variables:E6_3_2_13_km} + (E6_3_2_13 * C00002*C00692*C00680))</v>
      </c>
      <c r="K468" s="79" t="str">
        <f t="shared" si="5"/>
        <v>r467: C00002+C00692+C00680 -&gt; C00008+C00009+C04877 | (${Variables:E6_3_2_13_kcat} * E6_3_2_13 * C00002*C00692*C00680)/(${Variables:E6_3_2_13_km} + (E6_3_2_13 * C00002*C00692*C00680))</v>
      </c>
    </row>
    <row r="469" spans="1:11" ht="26.5" x14ac:dyDescent="0.35">
      <c r="A469" s="78" t="s">
        <v>4024</v>
      </c>
      <c r="B469" s="49" t="s">
        <v>4025</v>
      </c>
      <c r="C469" s="49" t="s">
        <v>14806</v>
      </c>
      <c r="D469" s="49">
        <v>468</v>
      </c>
      <c r="E469" s="78" t="str">
        <f t="shared" si="3"/>
        <v>E6_3_2_10</v>
      </c>
      <c r="F469" s="78" t="s">
        <v>13783</v>
      </c>
      <c r="G469" s="78" t="s">
        <v>13784</v>
      </c>
      <c r="H469" s="78" t="s">
        <v>13785</v>
      </c>
      <c r="I469" s="78" t="s">
        <v>13786</v>
      </c>
      <c r="J469" s="78" t="str">
        <f t="shared" si="4"/>
        <v>(${Variables:E6_3_2_10_kcat} * E6_3_2_10 * C00002*C05892*C00993)/(${Variables:E6_3_2_10_km} + (E6_3_2_10 * C00002*C05892*C00993))</v>
      </c>
      <c r="K469" s="79" t="str">
        <f t="shared" si="5"/>
        <v>r468: C00002+C05892+C00993 -&gt; C00008+C00009+C04702 | (${Variables:E6_3_2_10_kcat} * E6_3_2_10 * C00002*C05892*C00993)/(${Variables:E6_3_2_10_km} + (E6_3_2_10 * C00002*C05892*C00993))</v>
      </c>
    </row>
    <row r="470" spans="1:11" ht="26.5" x14ac:dyDescent="0.35">
      <c r="A470" s="78" t="s">
        <v>4024</v>
      </c>
      <c r="B470" s="49" t="s">
        <v>4025</v>
      </c>
      <c r="C470" s="49" t="s">
        <v>14806</v>
      </c>
      <c r="D470" s="49">
        <v>469</v>
      </c>
      <c r="E470" s="78" t="str">
        <f t="shared" si="3"/>
        <v>E6_3_2_10</v>
      </c>
      <c r="F470" s="78" t="s">
        <v>13787</v>
      </c>
      <c r="G470" s="78" t="s">
        <v>13788</v>
      </c>
      <c r="H470" s="78" t="s">
        <v>13789</v>
      </c>
      <c r="I470" s="78" t="s">
        <v>13790</v>
      </c>
      <c r="J470" s="78" t="str">
        <f t="shared" si="4"/>
        <v>(${Variables:E6_3_2_10_kcat} * E6_3_2_10 * C00002*C04877*C00993)/(${Variables:E6_3_2_10_km} + (E6_3_2_10 * C00002*C04877*C00993))</v>
      </c>
      <c r="K470" s="79" t="str">
        <f t="shared" si="5"/>
        <v>r469: C00002+C04877+C00993 -&gt; C00008+C00009+C04882 | (${Variables:E6_3_2_10_kcat} * E6_3_2_10 * C00002*C04877*C00993)/(${Variables:E6_3_2_10_km} + (E6_3_2_10 * C00002*C04877*C00993))</v>
      </c>
    </row>
    <row r="471" spans="1:11" ht="26.5" x14ac:dyDescent="0.35">
      <c r="A471" s="78" t="s">
        <v>4028</v>
      </c>
      <c r="B471" s="49" t="s">
        <v>4029</v>
      </c>
      <c r="C471" s="49" t="s">
        <v>14807</v>
      </c>
      <c r="D471" s="49">
        <v>470</v>
      </c>
      <c r="E471" s="78" t="str">
        <f t="shared" si="3"/>
        <v>E2_7_8_13</v>
      </c>
      <c r="F471" s="78" t="s">
        <v>13791</v>
      </c>
      <c r="G471" s="78" t="s">
        <v>13792</v>
      </c>
      <c r="H471" s="78" t="s">
        <v>13793</v>
      </c>
      <c r="I471" s="78" t="s">
        <v>13794</v>
      </c>
      <c r="J471" s="78" t="str">
        <f t="shared" si="4"/>
        <v>(${Variables:E2_7_8_13_kcat} * E2_7_8_13 * C04702*C17556)/(${Variables:E2_7_8_13_km} + (E2_7_8_13 * C04702*C17556))</v>
      </c>
      <c r="K471" s="79" t="str">
        <f t="shared" si="5"/>
        <v>r470: C04702+C17556 -&gt; C00105+C04851 | (${Variables:E2_7_8_13_kcat} * E2_7_8_13 * C04702*C17556)/(${Variables:E2_7_8_13_km} + (E2_7_8_13 * C04702*C17556))</v>
      </c>
    </row>
    <row r="472" spans="1:11" ht="26.5" x14ac:dyDescent="0.35">
      <c r="A472" s="78" t="s">
        <v>4028</v>
      </c>
      <c r="B472" s="49" t="s">
        <v>4029</v>
      </c>
      <c r="C472" s="49" t="s">
        <v>14807</v>
      </c>
      <c r="D472" s="49">
        <v>471</v>
      </c>
      <c r="E472" s="78" t="str">
        <f t="shared" si="3"/>
        <v>E2_7_8_13</v>
      </c>
      <c r="F472" s="78" t="s">
        <v>13795</v>
      </c>
      <c r="G472" s="78" t="s">
        <v>13796</v>
      </c>
      <c r="H472" s="78" t="s">
        <v>13797</v>
      </c>
      <c r="I472" s="78" t="s">
        <v>13798</v>
      </c>
      <c r="J472" s="78" t="str">
        <f t="shared" si="4"/>
        <v>(${Variables:E2_7_8_13_kcat} * E2_7_8_13 * C04882*C17556)/(${Variables:E2_7_8_13_km} + (E2_7_8_13 * C04882*C17556))</v>
      </c>
      <c r="K472" s="79" t="str">
        <f t="shared" si="5"/>
        <v>r471: C04882+C17556 -&gt; C00105+C05897 | (${Variables:E2_7_8_13_kcat} * E2_7_8_13 * C04882*C17556)/(${Variables:E2_7_8_13_km} + (E2_7_8_13 * C04882*C17556))</v>
      </c>
    </row>
    <row r="473" spans="1:11" ht="26.5" x14ac:dyDescent="0.35">
      <c r="A473" s="78" t="s">
        <v>4032</v>
      </c>
      <c r="B473" s="49" t="s">
        <v>4033</v>
      </c>
      <c r="C473" s="49" t="s">
        <v>14808</v>
      </c>
      <c r="D473" s="49">
        <v>472</v>
      </c>
      <c r="E473" s="78" t="str">
        <f t="shared" si="3"/>
        <v>E6_3_2_9</v>
      </c>
      <c r="F473" s="78" t="s">
        <v>13799</v>
      </c>
      <c r="G473" s="78" t="s">
        <v>13800</v>
      </c>
      <c r="H473" s="78" t="s">
        <v>13801</v>
      </c>
      <c r="I473" s="78" t="s">
        <v>13802</v>
      </c>
      <c r="J473" s="78" t="str">
        <f t="shared" si="4"/>
        <v>(${Variables:E6_3_2_9_kcat} * E6_3_2_9 * C00002*C01212*C00217)/(${Variables:E6_3_2_9_km} + (E6_3_2_9 * C00002*C01212*C00217))</v>
      </c>
      <c r="K473" s="79" t="str">
        <f t="shared" si="5"/>
        <v>r472: C00002+C01212+C00217 -&gt; C00008+C00009+C00692 | (${Variables:E6_3_2_9_kcat} * E6_3_2_9 * C00002*C01212*C00217)/(${Variables:E6_3_2_9_km} + (E6_3_2_9 * C00002*C01212*C00217))</v>
      </c>
    </row>
    <row r="474" spans="1:11" ht="26.5" x14ac:dyDescent="0.35">
      <c r="A474" s="78" t="s">
        <v>4040</v>
      </c>
      <c r="B474" s="49" t="s">
        <v>4041</v>
      </c>
      <c r="C474" s="49" t="s">
        <v>14809</v>
      </c>
      <c r="D474" s="49">
        <v>473</v>
      </c>
      <c r="E474" s="78" t="str">
        <f t="shared" si="3"/>
        <v>E2_4_1_227</v>
      </c>
      <c r="F474" s="78" t="s">
        <v>13803</v>
      </c>
      <c r="G474" s="78" t="s">
        <v>13804</v>
      </c>
      <c r="H474" s="78" t="s">
        <v>13805</v>
      </c>
      <c r="I474" s="78" t="s">
        <v>13806</v>
      </c>
      <c r="J474" s="78" t="str">
        <f t="shared" si="4"/>
        <v>(${Variables:E2_4_1_227_kcat} * E2_4_1_227 * C04851*C00043)/(${Variables:E2_4_1_227_km} + (E2_4_1_227 * C04851*C00043))</v>
      </c>
      <c r="K474" s="79" t="str">
        <f t="shared" si="5"/>
        <v>r473: C04851+C00043 -&gt; C05893+C00015 | (${Variables:E2_4_1_227_kcat} * E2_4_1_227 * C04851*C00043)/(${Variables:E2_4_1_227_km} + (E2_4_1_227 * C04851*C00043))</v>
      </c>
    </row>
    <row r="475" spans="1:11" ht="26.5" x14ac:dyDescent="0.35">
      <c r="A475" s="78" t="s">
        <v>4040</v>
      </c>
      <c r="B475" s="49" t="s">
        <v>4041</v>
      </c>
      <c r="C475" s="49" t="s">
        <v>14809</v>
      </c>
      <c r="D475" s="49">
        <v>474</v>
      </c>
      <c r="E475" s="78" t="str">
        <f t="shared" si="3"/>
        <v>E2_4_1_227</v>
      </c>
      <c r="F475" s="78" t="s">
        <v>13807</v>
      </c>
      <c r="G475" s="78" t="s">
        <v>13808</v>
      </c>
      <c r="H475" s="78" t="s">
        <v>13809</v>
      </c>
      <c r="I475" s="78" t="s">
        <v>13810</v>
      </c>
      <c r="J475" s="78" t="str">
        <f t="shared" si="4"/>
        <v>(${Variables:E2_4_1_227_kcat} * E2_4_1_227 * G10552*G10610)/(${Variables:E2_4_1_227_km} + (E2_4_1_227 * G10552*G10610))</v>
      </c>
      <c r="K475" s="79" t="str">
        <f t="shared" si="5"/>
        <v>r474: G10552+G10610 -&gt; G10553+G10619 | (${Variables:E2_4_1_227_kcat} * E2_4_1_227 * G10552*G10610)/(${Variables:E2_4_1_227_km} + (E2_4_1_227 * G10552*G10610))</v>
      </c>
    </row>
    <row r="476" spans="1:11" ht="26.5" x14ac:dyDescent="0.35">
      <c r="A476" s="78" t="s">
        <v>4040</v>
      </c>
      <c r="B476" s="49" t="s">
        <v>4041</v>
      </c>
      <c r="C476" s="49" t="s">
        <v>14809</v>
      </c>
      <c r="D476" s="49">
        <v>475</v>
      </c>
      <c r="E476" s="78" t="str">
        <f t="shared" si="3"/>
        <v>E2_4_1_227</v>
      </c>
      <c r="F476" s="78" t="s">
        <v>13811</v>
      </c>
      <c r="G476" s="78" t="s">
        <v>13812</v>
      </c>
      <c r="H476" s="78" t="s">
        <v>13813</v>
      </c>
      <c r="I476" s="78" t="s">
        <v>13814</v>
      </c>
      <c r="J476" s="78" t="str">
        <f t="shared" si="4"/>
        <v>(${Variables:E2_4_1_227_kcat} * E2_4_1_227 * C05897*C00043)/(${Variables:E2_4_1_227_km} + (E2_4_1_227 * C05897*C00043))</v>
      </c>
      <c r="K476" s="79" t="str">
        <f t="shared" si="5"/>
        <v>r475: C05897+C00043 -&gt; C05898+C00015 | (${Variables:E2_4_1_227_kcat} * E2_4_1_227 * C05897*C00043)/(${Variables:E2_4_1_227_km} + (E2_4_1_227 * C05897*C00043))</v>
      </c>
    </row>
    <row r="477" spans="1:11" ht="26.5" x14ac:dyDescent="0.35">
      <c r="A477" s="78" t="s">
        <v>4040</v>
      </c>
      <c r="B477" s="49" t="s">
        <v>4041</v>
      </c>
      <c r="C477" s="49" t="s">
        <v>14809</v>
      </c>
      <c r="D477" s="49">
        <v>476</v>
      </c>
      <c r="E477" s="78" t="str">
        <f t="shared" si="3"/>
        <v>E2_4_1_227</v>
      </c>
      <c r="F477" s="78" t="s">
        <v>13815</v>
      </c>
      <c r="G477" s="78" t="s">
        <v>13816</v>
      </c>
      <c r="H477" s="78" t="s">
        <v>13817</v>
      </c>
      <c r="I477" s="78" t="s">
        <v>13818</v>
      </c>
      <c r="J477" s="78" t="str">
        <f t="shared" si="4"/>
        <v>(${Variables:E2_4_1_227_kcat} * E2_4_1_227 * G10551*G10610)/(${Variables:E2_4_1_227_km} + (E2_4_1_227 * G10551*G10610))</v>
      </c>
      <c r="K477" s="79" t="str">
        <f t="shared" si="5"/>
        <v>r476: G10551+G10610 -&gt; G10550+G10619 | (${Variables:E2_4_1_227_kcat} * E2_4_1_227 * G10551*G10610)/(${Variables:E2_4_1_227_km} + (E2_4_1_227 * G10551*G10610))</v>
      </c>
    </row>
    <row r="478" spans="1:11" ht="26.5" x14ac:dyDescent="0.35">
      <c r="A478" s="78" t="s">
        <v>4040</v>
      </c>
      <c r="B478" s="49" t="s">
        <v>4041</v>
      </c>
      <c r="C478" s="49" t="s">
        <v>14809</v>
      </c>
      <c r="D478" s="49">
        <v>477</v>
      </c>
      <c r="E478" s="78" t="str">
        <f t="shared" si="3"/>
        <v>E2_4_1_227</v>
      </c>
      <c r="F478" s="78" t="s">
        <v>13819</v>
      </c>
      <c r="G478" s="78" t="s">
        <v>13820</v>
      </c>
      <c r="H478" s="78" t="s">
        <v>13821</v>
      </c>
      <c r="I478" s="78" t="s">
        <v>13822</v>
      </c>
      <c r="J478" s="78" t="str">
        <f t="shared" si="4"/>
        <v>(${Variables:E2_4_1_227_kcat} * E2_4_1_227 * G10556*G10610)/(${Variables:E2_4_1_227_km} + (E2_4_1_227 * G10556*G10610))</v>
      </c>
      <c r="K478" s="79" t="str">
        <f t="shared" si="5"/>
        <v>r477: G10556+G10610 -&gt; G10555+G10619 | (${Variables:E2_4_1_227_kcat} * E2_4_1_227 * G10556*G10610)/(${Variables:E2_4_1_227_km} + (E2_4_1_227 * G10556*G10610))</v>
      </c>
    </row>
    <row r="479" spans="1:11" ht="26.5" x14ac:dyDescent="0.35">
      <c r="A479" s="78" t="s">
        <v>4044</v>
      </c>
      <c r="B479" s="49" t="s">
        <v>4045</v>
      </c>
      <c r="C479" s="49" t="s">
        <v>14810</v>
      </c>
      <c r="D479" s="49">
        <v>478</v>
      </c>
      <c r="E479" s="78" t="str">
        <f t="shared" si="3"/>
        <v>E6_3_2_8</v>
      </c>
      <c r="F479" s="78" t="s">
        <v>13823</v>
      </c>
      <c r="G479" s="78" t="s">
        <v>13824</v>
      </c>
      <c r="H479" s="78" t="s">
        <v>13825</v>
      </c>
      <c r="I479" s="78" t="s">
        <v>13826</v>
      </c>
      <c r="J479" s="78" t="str">
        <f t="shared" si="4"/>
        <v>(${Variables:E6_3_2_8_kcat} * E6_3_2_8 * C00002*C01050*C00041)/(${Variables:E6_3_2_8_km} + (E6_3_2_8 * C00002*C01050*C00041))</v>
      </c>
      <c r="K479" s="79" t="str">
        <f t="shared" si="5"/>
        <v>r478: C00002+C01050+C00041 -&gt; C00008+C00009+C01212 | (${Variables:E6_3_2_8_kcat} * E6_3_2_8 * C00002*C01050*C00041)/(${Variables:E6_3_2_8_km} + (E6_3_2_8 * C00002*C01050*C00041))</v>
      </c>
    </row>
    <row r="480" spans="1:11" ht="26.5" x14ac:dyDescent="0.35">
      <c r="A480" s="78" t="s">
        <v>4062</v>
      </c>
      <c r="B480" s="49" t="s">
        <v>4063</v>
      </c>
      <c r="C480" s="49" t="s">
        <v>14811</v>
      </c>
      <c r="D480" s="49">
        <v>479</v>
      </c>
      <c r="E480" s="78" t="str">
        <f t="shared" si="3"/>
        <v>E3_5_1_108</v>
      </c>
      <c r="F480" s="78" t="s">
        <v>13827</v>
      </c>
      <c r="G480" s="78" t="s">
        <v>13828</v>
      </c>
      <c r="H480" s="78" t="s">
        <v>13829</v>
      </c>
      <c r="I480" s="78" t="s">
        <v>13830</v>
      </c>
      <c r="J480" s="78" t="str">
        <f t="shared" si="4"/>
        <v>(${Variables:E3_5_1_108_kcat} * E3_5_1_108 * C22418*C00001)/(${Variables:E3_5_1_108_km} + (E3_5_1_108 * C22418*C00001))</v>
      </c>
      <c r="K480" s="79" t="str">
        <f t="shared" si="5"/>
        <v>r479: C22418+C00001 -&gt; C22409+C00033 | (${Variables:E3_5_1_108_kcat} * E3_5_1_108 * C22418*C00001)/(${Variables:E3_5_1_108_km} + (E3_5_1_108 * C22418*C00001))</v>
      </c>
    </row>
    <row r="481" spans="1:11" ht="26" x14ac:dyDescent="0.35">
      <c r="A481" s="78" t="s">
        <v>4062</v>
      </c>
      <c r="B481" s="49" t="s">
        <v>4063</v>
      </c>
      <c r="C481" s="49" t="s">
        <v>14812</v>
      </c>
      <c r="D481" s="49">
        <v>480</v>
      </c>
      <c r="E481" s="78" t="str">
        <f t="shared" si="3"/>
        <v>E4_2_1_51</v>
      </c>
      <c r="F481" s="78" t="s">
        <v>8183</v>
      </c>
      <c r="G481" s="78" t="s">
        <v>8183</v>
      </c>
      <c r="H481" s="78" t="s">
        <v>13831</v>
      </c>
      <c r="I481" s="78" t="s">
        <v>13832</v>
      </c>
      <c r="J481" s="78" t="str">
        <f t="shared" si="4"/>
        <v>(${Variables:E4_2_1_51_kcat} * E4_2_1_51 * C00254)/(${Variables:E4_2_1_51_km} + (E4_2_1_51 * C00254))</v>
      </c>
      <c r="K481" s="79" t="str">
        <f t="shared" si="5"/>
        <v>r480: C00254 -&gt; C00166+C00001+C00011 | (${Variables:E4_2_1_51_kcat} * E4_2_1_51 * C00254)/(${Variables:E4_2_1_51_km} + (E4_2_1_51 * C00254))</v>
      </c>
    </row>
    <row r="482" spans="1:11" ht="26" x14ac:dyDescent="0.35">
      <c r="A482" s="78" t="s">
        <v>4066</v>
      </c>
      <c r="B482" s="49" t="s">
        <v>4067</v>
      </c>
      <c r="C482" s="49" t="s">
        <v>14812</v>
      </c>
      <c r="D482" s="49">
        <v>481</v>
      </c>
      <c r="E482" s="78" t="str">
        <f t="shared" si="3"/>
        <v>E4_2_1_51</v>
      </c>
      <c r="F482" s="78" t="s">
        <v>8186</v>
      </c>
      <c r="G482" s="78" t="s">
        <v>8186</v>
      </c>
      <c r="H482" s="78" t="s">
        <v>13833</v>
      </c>
      <c r="I482" s="78" t="s">
        <v>13834</v>
      </c>
      <c r="J482" s="78" t="str">
        <f t="shared" si="4"/>
        <v>(${Variables:E4_2_1_51_kcat} * E4_2_1_51 * C00826)/(${Variables:E4_2_1_51_km} + (E4_2_1_51 * C00826))</v>
      </c>
      <c r="K482" s="79" t="str">
        <f t="shared" si="5"/>
        <v>r481: C00826 -&gt; C00079+C00001+C00011 | (${Variables:E4_2_1_51_kcat} * E4_2_1_51 * C00826)/(${Variables:E4_2_1_51_km} + (E4_2_1_51 * C00826))</v>
      </c>
    </row>
    <row r="483" spans="1:11" ht="26.5" x14ac:dyDescent="0.35">
      <c r="A483" s="78" t="s">
        <v>4066</v>
      </c>
      <c r="B483" s="49" t="s">
        <v>4067</v>
      </c>
      <c r="C483" s="49" t="s">
        <v>14813</v>
      </c>
      <c r="D483" s="49">
        <v>482</v>
      </c>
      <c r="E483" s="78" t="str">
        <f t="shared" si="3"/>
        <v>E2_4_2_8</v>
      </c>
      <c r="F483" s="78" t="s">
        <v>13835</v>
      </c>
      <c r="G483" s="78" t="s">
        <v>13836</v>
      </c>
      <c r="H483" s="78" t="s">
        <v>13837</v>
      </c>
      <c r="I483" s="78" t="s">
        <v>13838</v>
      </c>
      <c r="J483" s="78" t="str">
        <f t="shared" si="4"/>
        <v>(${Variables:E2_4_2_8_kcat} * E2_4_2_8 * C00130*C00013)/(${Variables:E2_4_2_8_km} + (E2_4_2_8 * C00130*C00013))</v>
      </c>
      <c r="K483" s="79" t="str">
        <f t="shared" si="5"/>
        <v>r482: C00130+C00013 -&gt; C00262+C00119 | (${Variables:E2_4_2_8_kcat} * E2_4_2_8 * C00130*C00013)/(${Variables:E2_4_2_8_km} + (E2_4_2_8 * C00130*C00013))</v>
      </c>
    </row>
    <row r="484" spans="1:11" ht="26.5" x14ac:dyDescent="0.35">
      <c r="A484" s="78" t="s">
        <v>4097</v>
      </c>
      <c r="B484" s="49" t="s">
        <v>4098</v>
      </c>
      <c r="C484" s="49" t="s">
        <v>14814</v>
      </c>
      <c r="D484" s="49">
        <v>483</v>
      </c>
      <c r="E484" s="78" t="str">
        <f t="shared" si="3"/>
        <v>E1_8_1_9</v>
      </c>
      <c r="F484" s="78" t="s">
        <v>13839</v>
      </c>
      <c r="G484" s="78" t="s">
        <v>13840</v>
      </c>
      <c r="H484" s="78" t="s">
        <v>13841</v>
      </c>
      <c r="I484" s="78" t="s">
        <v>13842</v>
      </c>
      <c r="J484" s="78" t="str">
        <f t="shared" si="4"/>
        <v>(${Variables:E1_8_1_9_kcat} * E1_8_1_9 * C00342*C00006)/(${Variables:E1_8_1_9_km} + (E1_8_1_9 * C00342*C00006))</v>
      </c>
      <c r="K484" s="79" t="str">
        <f t="shared" si="5"/>
        <v>r483: C00342+C00006 -&gt; C00343 +C00005+C00080 | (${Variables:E1_8_1_9_kcat} * E1_8_1_9 * C00342*C00006)/(${Variables:E1_8_1_9_km} + (E1_8_1_9 * C00342*C00006))</v>
      </c>
    </row>
    <row r="485" spans="1:11" ht="26.5" x14ac:dyDescent="0.35">
      <c r="A485" s="78" t="s">
        <v>4119</v>
      </c>
      <c r="B485" s="49" t="s">
        <v>4120</v>
      </c>
      <c r="C485" s="49" t="s">
        <v>14814</v>
      </c>
      <c r="D485" s="49">
        <v>484</v>
      </c>
      <c r="E485" s="78" t="str">
        <f t="shared" si="3"/>
        <v>E1_8_1_9</v>
      </c>
      <c r="F485" s="78" t="s">
        <v>13843</v>
      </c>
      <c r="G485" s="78" t="s">
        <v>13844</v>
      </c>
      <c r="H485" s="78" t="s">
        <v>13845</v>
      </c>
      <c r="I485" s="78" t="s">
        <v>13846</v>
      </c>
      <c r="J485" s="78" t="str">
        <f t="shared" si="4"/>
        <v>(${Variables:E1_8_1_9_kcat} * E1_8_1_9 * C00097*C00051*C00006)/(${Variables:E1_8_1_9_km} + (E1_8_1_9 * C00097*C00051*C00006))</v>
      </c>
      <c r="K485" s="79" t="str">
        <f t="shared" si="5"/>
        <v>r484: C00097+C00051+C00006 -&gt; C05526+C00005 | (${Variables:E1_8_1_9_kcat} * E1_8_1_9 * C00097*C00051*C00006)/(${Variables:E1_8_1_9_km} + (E1_8_1_9 * C00097*C00051*C00006))</v>
      </c>
    </row>
    <row r="486" spans="1:11" ht="26.5" x14ac:dyDescent="0.35">
      <c r="A486" s="78" t="s">
        <v>4119</v>
      </c>
      <c r="B486" s="49" t="s">
        <v>4120</v>
      </c>
      <c r="C486" s="49" t="s">
        <v>14814</v>
      </c>
      <c r="D486" s="49">
        <v>485</v>
      </c>
      <c r="E486" s="78" t="str">
        <f t="shared" si="3"/>
        <v>E1_8_1_9</v>
      </c>
      <c r="F486" s="49" t="s">
        <v>13847</v>
      </c>
      <c r="G486" s="49" t="s">
        <v>13848</v>
      </c>
      <c r="H486" s="78" t="s">
        <v>13849</v>
      </c>
      <c r="I486" s="78" t="s">
        <v>13850</v>
      </c>
      <c r="J486" s="78" t="str">
        <f t="shared" si="4"/>
        <v>(${Variables:E1_8_1_9_kcat} * E1_8_1_9 * C01528*C00006*C00001)/(${Variables:E1_8_1_9_km} + (E1_8_1_9 * C01528*C00006*C00001))</v>
      </c>
      <c r="K486" s="79" t="str">
        <f t="shared" si="5"/>
        <v>r485: C01528+C00006+C00001 -&gt; C05684+C00005+C00080 | (${Variables:E1_8_1_9_kcat} * E1_8_1_9 * C01528*C00006*C00001)/(${Variables:E1_8_1_9_km} + (E1_8_1_9 * C01528*C00006*C00001))</v>
      </c>
    </row>
    <row r="487" spans="1:11" ht="26.5" x14ac:dyDescent="0.35">
      <c r="A487" s="78" t="s">
        <v>4119</v>
      </c>
      <c r="B487" s="49" t="s">
        <v>4120</v>
      </c>
      <c r="C487" s="49" t="s">
        <v>14814</v>
      </c>
      <c r="D487" s="49">
        <v>486</v>
      </c>
      <c r="E487" s="78" t="str">
        <f t="shared" si="3"/>
        <v>E1_8_1_9</v>
      </c>
      <c r="F487" s="49" t="s">
        <v>13851</v>
      </c>
      <c r="G487" s="49" t="s">
        <v>13852</v>
      </c>
      <c r="H487" s="78" t="s">
        <v>13853</v>
      </c>
      <c r="I487" s="78" t="s">
        <v>13854</v>
      </c>
      <c r="J487" s="78" t="str">
        <f t="shared" si="4"/>
        <v>(${Variables:E1_8_1_9_kcat} * E1_8_1_9 * C00005*C00080*C18902)/(${Variables:E1_8_1_9_km} + (E1_8_1_9 * C00005*C00080*C18902))</v>
      </c>
      <c r="K487" s="79" t="str">
        <f t="shared" si="5"/>
        <v>r486: C00005+C00080+C18902 -&gt; C00006+C00001+C05703 | (${Variables:E1_8_1_9_kcat} * E1_8_1_9 * C00005*C00080*C18902)/(${Variables:E1_8_1_9_km} + (E1_8_1_9 * C00005*C00080*C18902))</v>
      </c>
    </row>
    <row r="488" spans="1:11" ht="26.5" x14ac:dyDescent="0.35">
      <c r="A488" s="78" t="s">
        <v>4119</v>
      </c>
      <c r="B488" s="49" t="s">
        <v>4120</v>
      </c>
      <c r="C488" s="49" t="s">
        <v>14815</v>
      </c>
      <c r="D488" s="49">
        <v>487</v>
      </c>
      <c r="E488" s="78" t="str">
        <f t="shared" si="3"/>
        <v>E2_6_1_52</v>
      </c>
      <c r="F488" s="78" t="s">
        <v>13855</v>
      </c>
      <c r="G488" s="78" t="s">
        <v>13856</v>
      </c>
      <c r="H488" s="78" t="s">
        <v>13857</v>
      </c>
      <c r="I488" s="78" t="s">
        <v>13858</v>
      </c>
      <c r="J488" s="78" t="str">
        <f t="shared" si="4"/>
        <v>(${Variables:E2_6_1_52_kcat} * E2_6_1_52 * C01005*C00026)/(${Variables:E2_6_1_52_km} + (E2_6_1_52 * C01005*C00026))</v>
      </c>
      <c r="K488" s="79" t="str">
        <f t="shared" si="5"/>
        <v>r487: C01005+C00026 -&gt; C03232+C00025 | (${Variables:E2_6_1_52_kcat} * E2_6_1_52 * C01005*C00026)/(${Variables:E2_6_1_52_km} + (E2_6_1_52 * C01005*C00026))</v>
      </c>
    </row>
    <row r="489" spans="1:11" ht="26.5" x14ac:dyDescent="0.35">
      <c r="A489" s="78" t="s">
        <v>4145</v>
      </c>
      <c r="B489" s="49" t="s">
        <v>4146</v>
      </c>
      <c r="C489" s="49" t="s">
        <v>14815</v>
      </c>
      <c r="D489" s="49">
        <v>488</v>
      </c>
      <c r="E489" s="78" t="str">
        <f t="shared" si="3"/>
        <v>E2_6_1_52</v>
      </c>
      <c r="F489" s="49" t="s">
        <v>13859</v>
      </c>
      <c r="G489" s="49" t="s">
        <v>13860</v>
      </c>
      <c r="H489" s="78" t="s">
        <v>13861</v>
      </c>
      <c r="I489" s="78" t="s">
        <v>13862</v>
      </c>
      <c r="J489" s="78" t="str">
        <f t="shared" si="4"/>
        <v>(${Variables:E2_6_1_52_kcat} * E2_6_1_52 * C06055*C00026)/(${Variables:E2_6_1_52_km} + (E2_6_1_52 * C06055*C00026))</v>
      </c>
      <c r="K489" s="79" t="str">
        <f t="shared" si="5"/>
        <v>r488: C06055+C00026 -&gt; C06054+C00025 | (${Variables:E2_6_1_52_kcat} * E2_6_1_52 * C06055*C00026)/(${Variables:E2_6_1_52_km} + (E2_6_1_52 * C06055*C00026))</v>
      </c>
    </row>
    <row r="490" spans="1:11" ht="26.5" x14ac:dyDescent="0.35">
      <c r="A490" s="78" t="s">
        <v>4145</v>
      </c>
      <c r="B490" s="49" t="s">
        <v>4146</v>
      </c>
      <c r="C490" s="49" t="s">
        <v>14816</v>
      </c>
      <c r="D490" s="49">
        <v>489</v>
      </c>
      <c r="E490" s="78" t="str">
        <f t="shared" si="3"/>
        <v>E2_6_1_85</v>
      </c>
      <c r="F490" s="78" t="s">
        <v>13863</v>
      </c>
      <c r="G490" s="78" t="s">
        <v>13864</v>
      </c>
      <c r="H490" s="78" t="s">
        <v>13865</v>
      </c>
      <c r="I490" s="78" t="s">
        <v>13866</v>
      </c>
      <c r="J490" s="78" t="str">
        <f t="shared" si="4"/>
        <v>(${Variables:E2_6_1_85_kcat} * E2_6_1_85 * C00251*C00064)/(${Variables:E2_6_1_85_km} + (E2_6_1_85 * C00251*C00064))</v>
      </c>
      <c r="K490" s="79" t="str">
        <f t="shared" si="5"/>
        <v>r489: C00251+C00064 -&gt; C11355+C00025 | (${Variables:E2_6_1_85_kcat} * E2_6_1_85 * C00251*C00064)/(${Variables:E2_6_1_85_km} + (E2_6_1_85 * C00251*C00064))</v>
      </c>
    </row>
    <row r="491" spans="1:11" ht="26.5" x14ac:dyDescent="0.35">
      <c r="A491" s="78" t="s">
        <v>4156</v>
      </c>
      <c r="B491" s="49" t="s">
        <v>4157</v>
      </c>
      <c r="C491" s="49" t="s">
        <v>14816</v>
      </c>
      <c r="D491" s="49">
        <v>490</v>
      </c>
      <c r="E491" s="78" t="str">
        <f t="shared" si="3"/>
        <v>E2_6_1_85</v>
      </c>
      <c r="F491" s="78" t="s">
        <v>13867</v>
      </c>
      <c r="G491" s="78" t="s">
        <v>13868</v>
      </c>
      <c r="H491" s="78" t="s">
        <v>13869</v>
      </c>
      <c r="I491" s="78" t="s">
        <v>13870</v>
      </c>
      <c r="J491" s="78" t="str">
        <f t="shared" si="4"/>
        <v>(${Variables:E2_6_1_85_kcat} * E2_6_1_85 * C00251*C00014)/(${Variables:E2_6_1_85_km} + (E2_6_1_85 * C00251*C00014))</v>
      </c>
      <c r="K491" s="79" t="str">
        <f t="shared" si="5"/>
        <v>r490: C00251+C00014 -&gt; C11355+C00001 | (${Variables:E2_6_1_85_kcat} * E2_6_1_85 * C00251*C00014)/(${Variables:E2_6_1_85_km} + (E2_6_1_85 * C00251*C00014))</v>
      </c>
    </row>
    <row r="492" spans="1:11" ht="26.5" x14ac:dyDescent="0.35">
      <c r="A492" s="78" t="s">
        <v>4156</v>
      </c>
      <c r="B492" s="49" t="s">
        <v>4157</v>
      </c>
      <c r="C492" s="49" t="s">
        <v>14817</v>
      </c>
      <c r="D492" s="49">
        <v>491</v>
      </c>
      <c r="E492" s="78" t="str">
        <f t="shared" si="3"/>
        <v>E2_5_1_6</v>
      </c>
      <c r="F492" s="78" t="s">
        <v>13871</v>
      </c>
      <c r="G492" s="78" t="s">
        <v>13872</v>
      </c>
      <c r="H492" s="78" t="s">
        <v>13873</v>
      </c>
      <c r="I492" s="78" t="s">
        <v>13874</v>
      </c>
      <c r="J492" s="78" t="str">
        <f t="shared" si="4"/>
        <v>(${Variables:E2_5_1_6_kcat} * E2_5_1_6 * C00009*C00013*C00019)/(${Variables:E2_5_1_6_km} + (E2_5_1_6 * C00009*C00013*C00019))</v>
      </c>
      <c r="K492" s="79" t="str">
        <f t="shared" si="5"/>
        <v>r491: C00009+C00013+C00019 -&gt; C00002+C00073+C00001 | (${Variables:E2_5_1_6_kcat} * E2_5_1_6 * C00009*C00013*C00019)/(${Variables:E2_5_1_6_km} + (E2_5_1_6 * C00009*C00013*C00019))</v>
      </c>
    </row>
    <row r="493" spans="1:11" ht="26.5" x14ac:dyDescent="0.35">
      <c r="A493" s="78" t="s">
        <v>4163</v>
      </c>
      <c r="B493" s="49" t="s">
        <v>4164</v>
      </c>
      <c r="C493" s="49" t="s">
        <v>14817</v>
      </c>
      <c r="D493" s="49">
        <v>492</v>
      </c>
      <c r="E493" s="78" t="str">
        <f t="shared" si="3"/>
        <v>E2_5_1_6</v>
      </c>
      <c r="F493" s="78" t="s">
        <v>13875</v>
      </c>
      <c r="G493" s="78" t="s">
        <v>13876</v>
      </c>
      <c r="H493" s="78" t="s">
        <v>13877</v>
      </c>
      <c r="I493" s="78" t="s">
        <v>13878</v>
      </c>
      <c r="J493" s="78" t="str">
        <f t="shared" si="4"/>
        <v>(${Variables:E2_5_1_6_kcat} * E2_5_1_6 * C00002*C05335*C00001)/(${Variables:E2_5_1_6_km} + (E2_5_1_6 * C00002*C05335*C00001))</v>
      </c>
      <c r="K493" s="79" t="str">
        <f t="shared" si="5"/>
        <v>r492: C00002+C05335+C00001 -&gt; C00009+C00013+C05691 | (${Variables:E2_5_1_6_kcat} * E2_5_1_6 * C00002*C05335*C00001)/(${Variables:E2_5_1_6_km} + (E2_5_1_6 * C00002*C05335*C00001))</v>
      </c>
    </row>
    <row r="494" spans="1:11" ht="26" x14ac:dyDescent="0.35">
      <c r="A494" s="78" t="s">
        <v>4163</v>
      </c>
      <c r="B494" s="49" t="s">
        <v>4164</v>
      </c>
      <c r="C494" s="49" t="s">
        <v>14818</v>
      </c>
      <c r="D494" s="49">
        <v>493</v>
      </c>
      <c r="E494" s="78" t="str">
        <f t="shared" si="3"/>
        <v>E5_3_1_28</v>
      </c>
      <c r="F494" s="78" t="s">
        <v>8239</v>
      </c>
      <c r="G494" s="78" t="s">
        <v>8239</v>
      </c>
      <c r="H494" s="78" t="s">
        <v>8240</v>
      </c>
      <c r="I494" s="78" t="s">
        <v>8240</v>
      </c>
      <c r="J494" s="78" t="str">
        <f t="shared" si="4"/>
        <v>(${Variables:E5_3_1_28_kcat} * E5_3_1_28 * C05382)/(${Variables:E5_3_1_28_km} + (E5_3_1_28 * C05382))</v>
      </c>
      <c r="K494" s="79" t="str">
        <f t="shared" si="5"/>
        <v>r493: C05382 -&gt; C19882 | (${Variables:E5_3_1_28_kcat} * E5_3_1_28 * C05382)/(${Variables:E5_3_1_28_km} + (E5_3_1_28 * C05382))</v>
      </c>
    </row>
    <row r="495" spans="1:11" ht="26" x14ac:dyDescent="0.35">
      <c r="A495" s="78" t="s">
        <v>4190</v>
      </c>
      <c r="B495" s="49" t="s">
        <v>4191</v>
      </c>
      <c r="C495" s="49" t="s">
        <v>14818</v>
      </c>
      <c r="D495" s="49">
        <v>494</v>
      </c>
      <c r="E495" s="78" t="str">
        <f t="shared" si="3"/>
        <v>E5_3_1_28</v>
      </c>
      <c r="F495" s="78" t="s">
        <v>8239</v>
      </c>
      <c r="G495" s="78" t="s">
        <v>8239</v>
      </c>
      <c r="H495" s="78" t="s">
        <v>8242</v>
      </c>
      <c r="I495" s="78" t="s">
        <v>8242</v>
      </c>
      <c r="J495" s="78" t="str">
        <f t="shared" si="4"/>
        <v>(${Variables:E5_3_1_28_kcat} * E5_3_1_28 * C05382)/(${Variables:E5_3_1_28_km} + (E5_3_1_28 * C05382))</v>
      </c>
      <c r="K495" s="79" t="str">
        <f t="shared" si="5"/>
        <v>r494: C05382 -&gt; C07836 | (${Variables:E5_3_1_28_kcat} * E5_3_1_28 * C05382)/(${Variables:E5_3_1_28_km} + (E5_3_1_28 * C05382))</v>
      </c>
    </row>
    <row r="496" spans="1:11" ht="26" x14ac:dyDescent="0.35">
      <c r="A496" s="78" t="s">
        <v>4190</v>
      </c>
      <c r="B496" s="49" t="s">
        <v>4191</v>
      </c>
      <c r="C496" s="49" t="s">
        <v>14818</v>
      </c>
      <c r="D496" s="49">
        <v>495</v>
      </c>
      <c r="E496" s="78" t="str">
        <f t="shared" si="3"/>
        <v>E5_3_1_28</v>
      </c>
      <c r="F496" s="49" t="s">
        <v>8239</v>
      </c>
      <c r="G496" s="49" t="s">
        <v>8239</v>
      </c>
      <c r="H496" s="78" t="s">
        <v>8244</v>
      </c>
      <c r="I496" s="78" t="s">
        <v>8244</v>
      </c>
      <c r="J496" s="78" t="str">
        <f t="shared" si="4"/>
        <v>(${Variables:E5_3_1_28_kcat} * E5_3_1_28 * C05382)/(${Variables:E5_3_1_28_km} + (E5_3_1_28 * C05382))</v>
      </c>
      <c r="K496" s="79" t="str">
        <f t="shared" si="5"/>
        <v>r495: C05382 -&gt; C19878 | (${Variables:E5_3_1_28_kcat} * E5_3_1_28 * C05382)/(${Variables:E5_3_1_28_km} + (E5_3_1_28 * C05382))</v>
      </c>
    </row>
    <row r="497" spans="1:11" ht="26.5" x14ac:dyDescent="0.35">
      <c r="A497" s="78" t="s">
        <v>4190</v>
      </c>
      <c r="B497" s="49" t="s">
        <v>4191</v>
      </c>
      <c r="C497" s="49" t="s">
        <v>14819</v>
      </c>
      <c r="D497" s="49">
        <v>496</v>
      </c>
      <c r="E497" s="78" t="str">
        <f t="shared" si="3"/>
        <v>E6_5_1_1</v>
      </c>
      <c r="F497" s="78" t="s">
        <v>13879</v>
      </c>
      <c r="G497" s="78" t="s">
        <v>13880</v>
      </c>
      <c r="H497" s="78" t="s">
        <v>13881</v>
      </c>
      <c r="I497" s="78" t="s">
        <v>13882</v>
      </c>
      <c r="J497" s="78" t="str">
        <f t="shared" si="4"/>
        <v>(${Variables:E6_5_1_1_kcat} * E6_5_1_1 * C00002*C00039*C02128)/(${Variables:E6_5_1_1_km} + (E6_5_1_1 * C00002*C00039*C02128))</v>
      </c>
      <c r="K497" s="79" t="str">
        <f t="shared" si="5"/>
        <v>r496: C00002+C00039+C02128 -&gt; C00020+C00013+C00039 | (${Variables:E6_5_1_1_kcat} * E6_5_1_1 * C00002*C00039*C02128)/(${Variables:E6_5_1_1_km} + (E6_5_1_1 * C00002*C00039*C02128))</v>
      </c>
    </row>
    <row r="498" spans="1:11" ht="26.5" x14ac:dyDescent="0.35">
      <c r="A498" s="78" t="s">
        <v>4193</v>
      </c>
      <c r="B498" s="49" t="s">
        <v>4194</v>
      </c>
      <c r="C498" s="49" t="s">
        <v>14820</v>
      </c>
      <c r="D498" s="49">
        <v>497</v>
      </c>
      <c r="E498" s="78" t="str">
        <f t="shared" si="3"/>
        <v>E4_1_2_50</v>
      </c>
      <c r="F498" s="78" t="s">
        <v>13883</v>
      </c>
      <c r="G498" s="78" t="s">
        <v>13884</v>
      </c>
      <c r="H498" s="78" t="s">
        <v>13885</v>
      </c>
      <c r="I498" s="78" t="s">
        <v>13886</v>
      </c>
      <c r="J498" s="78" t="str">
        <f t="shared" si="4"/>
        <v>(${Variables:E4_1_2_50_kcat} * E4_1_2_50 * C04895*C00001)/(${Variables:E4_1_2_50_km} + (E4_1_2_50 * C04895*C00001))</v>
      </c>
      <c r="K498" s="79" t="str">
        <f t="shared" si="5"/>
        <v>r497: C04895+C00001 -&gt; C20239+C00084+C00536 | (${Variables:E4_1_2_50_kcat} * E4_1_2_50 * C04895*C00001)/(${Variables:E4_1_2_50_km} + (E4_1_2_50 * C04895*C00001))</v>
      </c>
    </row>
    <row r="499" spans="1:11" ht="38.5" x14ac:dyDescent="0.35">
      <c r="A499" s="78" t="s">
        <v>4215</v>
      </c>
      <c r="B499" s="49" t="s">
        <v>4216</v>
      </c>
      <c r="C499" s="49" t="s">
        <v>14821</v>
      </c>
      <c r="D499" s="49">
        <v>498</v>
      </c>
      <c r="E499" s="78" t="str">
        <f t="shared" si="3"/>
        <v>E6_3_4_20</v>
      </c>
      <c r="F499" s="78" t="s">
        <v>13887</v>
      </c>
      <c r="G499" s="78" t="s">
        <v>13888</v>
      </c>
      <c r="H499" s="78" t="s">
        <v>13889</v>
      </c>
      <c r="I499" s="78" t="s">
        <v>13890</v>
      </c>
      <c r="J499" s="78" t="str">
        <f t="shared" si="4"/>
        <v>(${Variables:E6_3_4_20_kcat} * E6_3_4_20 * C20248*C00014*C00002)/(${Variables:E6_3_4_20_km} + (E6_3_4_20 * C20248*C00014*C00002))</v>
      </c>
      <c r="K499" s="79" t="str">
        <f t="shared" si="5"/>
        <v>r498: C20248+C00014+C00002 -&gt; C15996+C00008+C00009+C00001 | (${Variables:E6_3_4_20_kcat} * E6_3_4_20 * C20248*C00014*C00002)/(${Variables:E6_3_4_20_km} + (E6_3_4_20 * C20248*C00014*C00002))</v>
      </c>
    </row>
    <row r="500" spans="1:11" ht="26.5" x14ac:dyDescent="0.35">
      <c r="A500" s="78" t="s">
        <v>4219</v>
      </c>
      <c r="B500" s="49" t="s">
        <v>4220</v>
      </c>
      <c r="C500" s="49" t="s">
        <v>14822</v>
      </c>
      <c r="D500" s="49">
        <v>499</v>
      </c>
      <c r="E500" s="78" t="str">
        <f t="shared" si="3"/>
        <v>E2_6_1_42</v>
      </c>
      <c r="F500" s="49" t="s">
        <v>13891</v>
      </c>
      <c r="G500" s="49" t="s">
        <v>13892</v>
      </c>
      <c r="H500" s="78" t="s">
        <v>13893</v>
      </c>
      <c r="I500" s="78" t="s">
        <v>13894</v>
      </c>
      <c r="J500" s="78" t="str">
        <f t="shared" si="4"/>
        <v>(${Variables:E2_6_1_42_kcat} * E2_6_1_42 * C00123*C00026)/(${Variables:E2_6_1_42_km} + (E2_6_1_42 * C00123*C00026))</v>
      </c>
      <c r="K500" s="79" t="str">
        <f t="shared" si="5"/>
        <v>r499: C00123+C00026 -&gt; C00233+C00025 | (${Variables:E2_6_1_42_kcat} * E2_6_1_42 * C00123*C00026)/(${Variables:E2_6_1_42_km} + (E2_6_1_42 * C00123*C00026))</v>
      </c>
    </row>
    <row r="501" spans="1:11" ht="26.5" x14ac:dyDescent="0.35">
      <c r="A501" s="78" t="s">
        <v>4225</v>
      </c>
      <c r="B501" s="49" t="s">
        <v>4226</v>
      </c>
      <c r="C501" s="49" t="s">
        <v>14822</v>
      </c>
      <c r="D501" s="49">
        <v>500</v>
      </c>
      <c r="E501" s="78" t="str">
        <f t="shared" si="3"/>
        <v>E2_6_1_42</v>
      </c>
      <c r="F501" s="78" t="s">
        <v>13895</v>
      </c>
      <c r="G501" s="78" t="s">
        <v>13896</v>
      </c>
      <c r="H501" s="78" t="s">
        <v>13897</v>
      </c>
      <c r="I501" s="78" t="s">
        <v>13898</v>
      </c>
      <c r="J501" s="78" t="str">
        <f t="shared" si="4"/>
        <v>(${Variables:E2_6_1_42_kcat} * E2_6_1_42 * C00183*C00026)/(${Variables:E2_6_1_42_km} + (E2_6_1_42 * C00183*C00026))</v>
      </c>
      <c r="K501" s="79" t="str">
        <f t="shared" si="5"/>
        <v>r500: C00183+C00026 -&gt; C00141+C00025 | (${Variables:E2_6_1_42_kcat} * E2_6_1_42 * C00183*C00026)/(${Variables:E2_6_1_42_km} + (E2_6_1_42 * C00183*C00026))</v>
      </c>
    </row>
    <row r="502" spans="1:11" ht="26.5" x14ac:dyDescent="0.35">
      <c r="A502" s="78" t="s">
        <v>4225</v>
      </c>
      <c r="B502" s="49" t="s">
        <v>4226</v>
      </c>
      <c r="C502" s="49" t="s">
        <v>14822</v>
      </c>
      <c r="D502" s="49">
        <v>501</v>
      </c>
      <c r="E502" s="78" t="str">
        <f t="shared" si="3"/>
        <v>E2_6_1_42</v>
      </c>
      <c r="F502" s="78" t="s">
        <v>13899</v>
      </c>
      <c r="G502" s="78" t="s">
        <v>13900</v>
      </c>
      <c r="H502" s="78" t="s">
        <v>13901</v>
      </c>
      <c r="I502" s="78" t="s">
        <v>13902</v>
      </c>
      <c r="J502" s="78" t="str">
        <f t="shared" si="4"/>
        <v>(${Variables:E2_6_1_42_kcat} * E2_6_1_42 * C00407*C00026)/(${Variables:E2_6_1_42_km} + (E2_6_1_42 * C00407*C00026))</v>
      </c>
      <c r="K502" s="79" t="str">
        <f t="shared" si="5"/>
        <v>r501: C00407+C00026 -&gt; C00671+C00025 | (${Variables:E2_6_1_42_kcat} * E2_6_1_42 * C00407*C00026)/(${Variables:E2_6_1_42_km} + (E2_6_1_42 * C00407*C00026))</v>
      </c>
    </row>
    <row r="503" spans="1:11" ht="26.5" x14ac:dyDescent="0.35">
      <c r="A503" s="78" t="s">
        <v>4225</v>
      </c>
      <c r="B503" s="49" t="s">
        <v>4226</v>
      </c>
      <c r="C503" s="49" t="s">
        <v>14822</v>
      </c>
      <c r="D503" s="49">
        <v>502</v>
      </c>
      <c r="E503" s="78" t="str">
        <f t="shared" si="3"/>
        <v>E2_6_1_42</v>
      </c>
      <c r="F503" s="78" t="s">
        <v>13903</v>
      </c>
      <c r="G503" s="78" t="s">
        <v>13904</v>
      </c>
      <c r="H503" s="78" t="s">
        <v>13905</v>
      </c>
      <c r="I503" s="78" t="s">
        <v>13906</v>
      </c>
      <c r="J503" s="78" t="str">
        <f t="shared" si="4"/>
        <v>(${Variables:E2_6_1_42_kcat} * E2_6_1_42 * C02356*C00026)/(${Variables:E2_6_1_42_km} + (E2_6_1_42 * C02356*C00026))</v>
      </c>
      <c r="K503" s="79" t="str">
        <f t="shared" si="5"/>
        <v>r502: C02356+C00026 -&gt; C00109+C00025 | (${Variables:E2_6_1_42_kcat} * E2_6_1_42 * C02356*C00026)/(${Variables:E2_6_1_42_km} + (E2_6_1_42 * C02356*C00026))</v>
      </c>
    </row>
    <row r="504" spans="1:11" ht="26.5" x14ac:dyDescent="0.35">
      <c r="A504" s="78" t="s">
        <v>4225</v>
      </c>
      <c r="B504" s="49" t="s">
        <v>4226</v>
      </c>
      <c r="C504" s="49" t="s">
        <v>14823</v>
      </c>
      <c r="D504" s="49">
        <v>503</v>
      </c>
      <c r="E504" s="78" t="str">
        <f t="shared" si="3"/>
        <v>E6_2_1_5</v>
      </c>
      <c r="F504" s="78" t="s">
        <v>13907</v>
      </c>
      <c r="G504" s="78" t="s">
        <v>13908</v>
      </c>
      <c r="H504" s="78" t="s">
        <v>13909</v>
      </c>
      <c r="I504" s="78" t="s">
        <v>13910</v>
      </c>
      <c r="J504" s="78" t="str">
        <f t="shared" si="4"/>
        <v>(${Variables:E6_2_1_5_kcat} * E6_2_1_5 * C00002*C00042*C00010)/(${Variables:E6_2_1_5_km} + (E6_2_1_5 * C00002*C00042*C00010))</v>
      </c>
      <c r="K504" s="79" t="str">
        <f t="shared" si="5"/>
        <v>r503: C00002+C00042+C00010 -&gt; C00008+C00009+C00091 | (${Variables:E6_2_1_5_kcat} * E6_2_1_5 * C00002*C00042*C00010)/(${Variables:E6_2_1_5_km} + (E6_2_1_5 * C00002*C00042*C00010))</v>
      </c>
    </row>
    <row r="505" spans="1:11" ht="26.5" x14ac:dyDescent="0.35">
      <c r="A505" s="78" t="s">
        <v>4236</v>
      </c>
      <c r="B505" s="49" t="s">
        <v>4237</v>
      </c>
      <c r="C505" s="49" t="s">
        <v>14823</v>
      </c>
      <c r="D505" s="49">
        <v>504</v>
      </c>
      <c r="E505" s="78" t="str">
        <f t="shared" si="3"/>
        <v>E6_2_1_5</v>
      </c>
      <c r="F505" s="78" t="s">
        <v>13911</v>
      </c>
      <c r="G505" s="78" t="s">
        <v>13912</v>
      </c>
      <c r="H505" s="78" t="s">
        <v>13913</v>
      </c>
      <c r="I505" s="78" t="s">
        <v>13914</v>
      </c>
      <c r="J505" s="78" t="str">
        <f t="shared" si="4"/>
        <v>(${Variables:E6_2_1_5_kcat} * E6_2_1_5 * C00002*C00490*C00010)/(${Variables:E6_2_1_5_km} + (E6_2_1_5 * C00002*C00490*C00010))</v>
      </c>
      <c r="K505" s="79" t="str">
        <f t="shared" si="5"/>
        <v>r504: C00002+C00490+C00010 -&gt; C00008+C00009+C00531 | (${Variables:E6_2_1_5_kcat} * E6_2_1_5 * C00002*C00490*C00010)/(${Variables:E6_2_1_5_km} + (E6_2_1_5 * C00002*C00490*C00010))</v>
      </c>
    </row>
    <row r="506" spans="1:11" ht="26.5" x14ac:dyDescent="0.35">
      <c r="A506" s="78" t="s">
        <v>4236</v>
      </c>
      <c r="B506" s="49" t="s">
        <v>4237</v>
      </c>
      <c r="C506" s="49" t="s">
        <v>14824</v>
      </c>
      <c r="D506" s="49">
        <v>505</v>
      </c>
      <c r="E506" s="78" t="str">
        <f t="shared" si="3"/>
        <v>E2_1_1_298</v>
      </c>
      <c r="F506" s="78" t="s">
        <v>13915</v>
      </c>
      <c r="G506" s="78" t="s">
        <v>13916</v>
      </c>
      <c r="H506" s="78" t="s">
        <v>13917</v>
      </c>
      <c r="I506" s="78" t="s">
        <v>13918</v>
      </c>
      <c r="J506" s="78" t="str">
        <f t="shared" si="4"/>
        <v>(${Variables:E2_1_1_298_kcat} * E2_1_1_298 * C02583*C00019)/(${Variables:E2_1_1_298_km} + (E2_1_1_298 * C02583*C00019))</v>
      </c>
      <c r="K506" s="79" t="str">
        <f t="shared" si="5"/>
        <v>r505: C02583+C00019 -&gt; C20858+C00021 | (${Variables:E2_1_1_298_kcat} * E2_1_1_298 * C02583*C00019)/(${Variables:E2_1_1_298_km} + (E2_1_1_298 * C02583*C00019))</v>
      </c>
    </row>
    <row r="507" spans="1:11" ht="26.5" x14ac:dyDescent="0.35">
      <c r="A507" s="78" t="s">
        <v>4254</v>
      </c>
      <c r="B507" s="49" t="s">
        <v>4255</v>
      </c>
      <c r="C507" s="49" t="s">
        <v>14825</v>
      </c>
      <c r="D507" s="49">
        <v>506</v>
      </c>
      <c r="E507" s="78" t="str">
        <f t="shared" si="3"/>
        <v>E2_3_1_8</v>
      </c>
      <c r="F507" s="78" t="s">
        <v>13919</v>
      </c>
      <c r="G507" s="78" t="s">
        <v>13920</v>
      </c>
      <c r="H507" s="78" t="s">
        <v>13921</v>
      </c>
      <c r="I507" s="78" t="s">
        <v>13922</v>
      </c>
      <c r="J507" s="78" t="str">
        <f t="shared" si="4"/>
        <v>(${Variables:E2_3_1_8_kcat} * E2_3_1_8 * C00024*C00009)/(${Variables:E2_3_1_8_km} + (E2_3_1_8 * C00024*C00009))</v>
      </c>
      <c r="K507" s="79" t="str">
        <f t="shared" si="5"/>
        <v>r506: C00024+C00009 -&gt; C00010+C00227 | (${Variables:E2_3_1_8_kcat} * E2_3_1_8 * C00024*C00009)/(${Variables:E2_3_1_8_km} + (E2_3_1_8 * C00024*C00009))</v>
      </c>
    </row>
    <row r="508" spans="1:11" ht="26.5" x14ac:dyDescent="0.35">
      <c r="A508" s="78" t="s">
        <v>4262</v>
      </c>
      <c r="B508" s="49" t="s">
        <v>4263</v>
      </c>
      <c r="C508" s="49" t="s">
        <v>14826</v>
      </c>
      <c r="D508" s="49">
        <v>507</v>
      </c>
      <c r="E508" s="78" t="str">
        <f t="shared" si="3"/>
        <v>E2_4_2_14</v>
      </c>
      <c r="F508" s="78" t="s">
        <v>13923</v>
      </c>
      <c r="G508" s="78" t="s">
        <v>13924</v>
      </c>
      <c r="H508" s="78" t="s">
        <v>13925</v>
      </c>
      <c r="I508" s="78" t="s">
        <v>13926</v>
      </c>
      <c r="J508" s="78" t="str">
        <f t="shared" si="4"/>
        <v>(${Variables:E2_4_2_14_kcat} * E2_4_2_14 * C03090*C00013*C00025)/(${Variables:E2_4_2_14_km} + (E2_4_2_14 * C03090*C00013*C00025))</v>
      </c>
      <c r="K508" s="79" t="str">
        <f t="shared" si="5"/>
        <v>r507: C03090+C00013+C00025 -&gt; C00064+C00119+C00001 | (${Variables:E2_4_2_14_kcat} * E2_4_2_14 * C03090*C00013*C00025)/(${Variables:E2_4_2_14_km} + (E2_4_2_14 * C03090*C00013*C00025))</v>
      </c>
    </row>
    <row r="509" spans="1:11" ht="26.5" x14ac:dyDescent="0.35">
      <c r="A509" s="78" t="s">
        <v>4275</v>
      </c>
      <c r="B509" s="49" t="s">
        <v>4276</v>
      </c>
      <c r="C509" s="49" t="s">
        <v>14827</v>
      </c>
      <c r="D509" s="49">
        <v>508</v>
      </c>
      <c r="E509" s="78" t="str">
        <f t="shared" si="3"/>
        <v>E1_1_1_37</v>
      </c>
      <c r="F509" s="78" t="s">
        <v>13927</v>
      </c>
      <c r="G509" s="78" t="s">
        <v>13928</v>
      </c>
      <c r="H509" s="78" t="s">
        <v>13929</v>
      </c>
      <c r="I509" s="78" t="s">
        <v>13930</v>
      </c>
      <c r="J509" s="78" t="str">
        <f t="shared" si="4"/>
        <v>(${Variables:E1_1_1_37_kcat} * E1_1_1_37 * C00149*C00003)/(${Variables:E1_1_1_37_km} + (E1_1_1_37 * C00149*C00003))</v>
      </c>
      <c r="K509" s="79" t="str">
        <f t="shared" si="5"/>
        <v>r508: C00149+C00003 -&gt; C00036+C00004+C00080 | (${Variables:E1_1_1_37_kcat} * E1_1_1_37 * C00149*C00003)/(${Variables:E1_1_1_37_km} + (E1_1_1_37 * C00149*C00003))</v>
      </c>
    </row>
    <row r="510" spans="1:11" ht="26.5" x14ac:dyDescent="0.35">
      <c r="A510" s="78" t="s">
        <v>4286</v>
      </c>
      <c r="B510" s="49" t="s">
        <v>4287</v>
      </c>
      <c r="C510" s="49" t="s">
        <v>14827</v>
      </c>
      <c r="D510" s="49">
        <v>509</v>
      </c>
      <c r="E510" s="78" t="str">
        <f t="shared" si="3"/>
        <v>E1_1_1_37</v>
      </c>
      <c r="F510" s="78" t="s">
        <v>13931</v>
      </c>
      <c r="G510" s="78" t="s">
        <v>13932</v>
      </c>
      <c r="H510" s="78" t="s">
        <v>13933</v>
      </c>
      <c r="I510" s="78" t="s">
        <v>13934</v>
      </c>
      <c r="J510" s="78" t="str">
        <f t="shared" si="4"/>
        <v>(${Variables:E1_1_1_37_kcat} * E1_1_1_37 * C11537*C00003)/(${Variables:E1_1_1_37_km} + (E1_1_1_37 * C11537*C00003))</v>
      </c>
      <c r="K510" s="79" t="str">
        <f t="shared" si="5"/>
        <v>r509: C11537+C00003 -&gt; C05528+C00004+C00080 | (${Variables:E1_1_1_37_kcat} * E1_1_1_37 * C11537*C00003)/(${Variables:E1_1_1_37_km} + (E1_1_1_37 * C11537*C00003))</v>
      </c>
    </row>
    <row r="511" spans="1:11" ht="26.5" x14ac:dyDescent="0.35">
      <c r="A511" s="78" t="s">
        <v>4286</v>
      </c>
      <c r="B511" s="49" t="s">
        <v>4287</v>
      </c>
      <c r="C511" s="49" t="s">
        <v>14828</v>
      </c>
      <c r="D511" s="49">
        <v>510</v>
      </c>
      <c r="E511" s="78" t="str">
        <f t="shared" si="3"/>
        <v>E6_1_1_6</v>
      </c>
      <c r="F511" s="78" t="s">
        <v>13935</v>
      </c>
      <c r="G511" s="78" t="s">
        <v>13936</v>
      </c>
      <c r="H511" s="78" t="s">
        <v>13937</v>
      </c>
      <c r="I511" s="78" t="s">
        <v>13938</v>
      </c>
      <c r="J511" s="78" t="str">
        <f t="shared" si="4"/>
        <v>(${Variables:E6_1_1_6_kcat} * E6_1_1_6 * C00002*C00047*C01646)/(${Variables:E6_1_1_6_km} + (E6_1_1_6 * C00002*C00047*C01646))</v>
      </c>
      <c r="K511" s="79" t="str">
        <f t="shared" si="5"/>
        <v>r510: C00002+C00047+C01646 -&gt; C00020+C00013+C01931 | (${Variables:E6_1_1_6_kcat} * E6_1_1_6 * C00002*C00047*C01646)/(${Variables:E6_1_1_6_km} + (E6_1_1_6 * C00002*C00047*C01646))</v>
      </c>
    </row>
    <row r="512" spans="1:11" ht="26.5" x14ac:dyDescent="0.35">
      <c r="A512" s="78" t="s">
        <v>4290</v>
      </c>
      <c r="B512" s="49" t="s">
        <v>4291</v>
      </c>
      <c r="C512" s="49" t="s">
        <v>14829</v>
      </c>
      <c r="D512" s="49">
        <v>511</v>
      </c>
      <c r="E512" s="78" t="str">
        <f t="shared" ref="E512:E700" si="6">CONCATENATE("E",C512)</f>
        <v>E3_2_2_9</v>
      </c>
      <c r="F512" s="78" t="s">
        <v>13939</v>
      </c>
      <c r="G512" s="78" t="s">
        <v>13940</v>
      </c>
      <c r="H512" s="78" t="s">
        <v>13941</v>
      </c>
      <c r="I512" s="78" t="s">
        <v>13942</v>
      </c>
      <c r="J512" s="78" t="str">
        <f t="shared" ref="J512:J700" si="7">CONCATENATE("(${Variables:",E512,"_kcat","} * ",E512," * ",G512,")","/(${Variables:",E512,"_km","} + (",E512," * ",G512,"))")</f>
        <v>(${Variables:E3_2_2_9_kcat} * E3_2_2_9 * C00021*C00001)/(${Variables:E3_2_2_9_km} + (E3_2_2_9 * C00021*C00001))</v>
      </c>
      <c r="K512" s="79" t="str">
        <f t="shared" ref="K512:K700" si="8">CONCATENATE("r",D512,": ",F512," -&gt; ",H512," | ",J512)</f>
        <v>r511: C00021+C00001 -&gt; C03539+C00147 | (${Variables:E3_2_2_9_kcat} * E3_2_2_9 * C00021*C00001)/(${Variables:E3_2_2_9_km} + (E3_2_2_9 * C00021*C00001))</v>
      </c>
    </row>
    <row r="513" spans="1:11" ht="26.5" x14ac:dyDescent="0.35">
      <c r="A513" s="78" t="s">
        <v>4308</v>
      </c>
      <c r="B513" s="49" t="s">
        <v>4309</v>
      </c>
      <c r="C513" s="49" t="s">
        <v>14829</v>
      </c>
      <c r="D513" s="49">
        <v>512</v>
      </c>
      <c r="E513" s="78" t="str">
        <f t="shared" si="6"/>
        <v>E3_2_2_9</v>
      </c>
      <c r="F513" s="78" t="s">
        <v>13943</v>
      </c>
      <c r="G513" s="78" t="s">
        <v>13944</v>
      </c>
      <c r="H513" s="78" t="s">
        <v>13945</v>
      </c>
      <c r="I513" s="78" t="s">
        <v>13946</v>
      </c>
      <c r="J513" s="78" t="str">
        <f t="shared" si="7"/>
        <v>(${Variables:E3_2_2_9_kcat} * E3_2_2_9 * C00170*C00001)/(${Variables:E3_2_2_9_km} + (E3_2_2_9 * C00170*C00001))</v>
      </c>
      <c r="K513" s="79" t="str">
        <f t="shared" si="8"/>
        <v>r512: C00170+C00001 -&gt; C00147+C03089 | (${Variables:E3_2_2_9_kcat} * E3_2_2_9 * C00170*C00001)/(${Variables:E3_2_2_9_km} + (E3_2_2_9 * C00170*C00001))</v>
      </c>
    </row>
    <row r="514" spans="1:11" ht="26.5" x14ac:dyDescent="0.35">
      <c r="A514" s="78" t="s">
        <v>4308</v>
      </c>
      <c r="B514" s="49" t="s">
        <v>4309</v>
      </c>
      <c r="C514" s="49" t="s">
        <v>14829</v>
      </c>
      <c r="D514" s="49">
        <v>513</v>
      </c>
      <c r="E514" s="78" t="str">
        <f t="shared" si="6"/>
        <v>E3_2_2_9</v>
      </c>
      <c r="F514" s="78" t="s">
        <v>13947</v>
      </c>
      <c r="G514" s="78" t="s">
        <v>13948</v>
      </c>
      <c r="H514" s="78" t="s">
        <v>13949</v>
      </c>
      <c r="I514" s="78" t="s">
        <v>13950</v>
      </c>
      <c r="J514" s="78" t="str">
        <f t="shared" si="7"/>
        <v>(${Variables:E3_2_2_9_kcat} * E3_2_2_9 * C05198*C00001)/(${Variables:E3_2_2_9_km} + (E3_2_2_9 * C05198*C00001))</v>
      </c>
      <c r="K514" s="79" t="str">
        <f t="shared" si="8"/>
        <v>r513: C05198+C00001 -&gt; C22288+C00147 | (${Variables:E3_2_2_9_kcat} * E3_2_2_9 * C05198*C00001)/(${Variables:E3_2_2_9_km} + (E3_2_2_9 * C05198*C00001))</v>
      </c>
    </row>
    <row r="515" spans="1:11" ht="26" x14ac:dyDescent="0.35">
      <c r="A515" s="78" t="s">
        <v>4308</v>
      </c>
      <c r="B515" s="49" t="s">
        <v>4309</v>
      </c>
      <c r="C515" s="49" t="s">
        <v>14830</v>
      </c>
      <c r="D515" s="49">
        <v>514</v>
      </c>
      <c r="E515" s="78" t="str">
        <f t="shared" si="6"/>
        <v>E5_4_99_12</v>
      </c>
      <c r="F515" s="78" t="s">
        <v>8330</v>
      </c>
      <c r="G515" s="78" t="s">
        <v>8330</v>
      </c>
      <c r="H515" s="78" t="s">
        <v>8331</v>
      </c>
      <c r="I515" s="78" t="s">
        <v>8331</v>
      </c>
      <c r="J515" s="78" t="str">
        <f t="shared" si="7"/>
        <v>(${Variables:E5_4_99_12_kcat} * E5_4_99_12 * C00868)/(${Variables:E5_4_99_12_km} + (E5_4_99_12 * C00868))</v>
      </c>
      <c r="K515" s="79" t="str">
        <f t="shared" si="8"/>
        <v>r514: C00868 -&gt; C02764 | (${Variables:E5_4_99_12_kcat} * E5_4_99_12 * C00868)/(${Variables:E5_4_99_12_km} + (E5_4_99_12 * C00868))</v>
      </c>
    </row>
    <row r="516" spans="1:11" ht="26.5" x14ac:dyDescent="0.35">
      <c r="A516" s="78" t="s">
        <v>4323</v>
      </c>
      <c r="B516" s="49" t="s">
        <v>4324</v>
      </c>
      <c r="C516" s="49" t="s">
        <v>14831</v>
      </c>
      <c r="D516" s="49">
        <v>515</v>
      </c>
      <c r="E516" s="78" t="str">
        <f t="shared" si="6"/>
        <v>E4_1_1_31</v>
      </c>
      <c r="F516" s="78" t="s">
        <v>13951</v>
      </c>
      <c r="G516" s="78" t="s">
        <v>13952</v>
      </c>
      <c r="H516" s="78" t="s">
        <v>13953</v>
      </c>
      <c r="I516" s="78" t="s">
        <v>13954</v>
      </c>
      <c r="J516" s="78" t="str">
        <f t="shared" si="7"/>
        <v>(${Variables:E4_1_1_31_kcat} * E4_1_1_31 * C00009*C00036)/(${Variables:E4_1_1_31_km} + (E4_1_1_31 * C00009*C00036))</v>
      </c>
      <c r="K516" s="79" t="str">
        <f t="shared" si="8"/>
        <v>r515: C00009+C00036 -&gt; C00001+C00074+C00011 | (${Variables:E4_1_1_31_kcat} * E4_1_1_31 * C00009*C00036)/(${Variables:E4_1_1_31_km} + (E4_1_1_31 * C00009*C00036))</v>
      </c>
    </row>
    <row r="517" spans="1:11" ht="26.5" x14ac:dyDescent="0.35">
      <c r="A517" s="78" t="s">
        <v>4343</v>
      </c>
      <c r="B517" s="49" t="s">
        <v>4344</v>
      </c>
      <c r="C517" s="49" t="s">
        <v>14832</v>
      </c>
      <c r="D517" s="49">
        <v>516</v>
      </c>
      <c r="E517" s="78" t="str">
        <f t="shared" si="6"/>
        <v>E2_3_1_117</v>
      </c>
      <c r="F517" s="78" t="s">
        <v>13955</v>
      </c>
      <c r="G517" s="78" t="s">
        <v>13956</v>
      </c>
      <c r="H517" s="78" t="s">
        <v>13957</v>
      </c>
      <c r="I517" s="78" t="s">
        <v>13958</v>
      </c>
      <c r="J517" s="78" t="str">
        <f t="shared" si="7"/>
        <v>(${Variables:E2_3_1_117_kcat} * E2_3_1_117 * C00091*C03972*C00001)/(${Variables:E2_3_1_117_km} + (E2_3_1_117 * C00091*C03972*C00001))</v>
      </c>
      <c r="K517" s="79" t="str">
        <f t="shared" si="8"/>
        <v>r516: C00091+C03972+C00001 -&gt; C00010+C04462 | (${Variables:E2_3_1_117_kcat} * E2_3_1_117 * C00091*C03972*C00001)/(${Variables:E2_3_1_117_km} + (E2_3_1_117 * C00091*C03972*C00001))</v>
      </c>
    </row>
    <row r="518" spans="1:11" ht="26.5" x14ac:dyDescent="0.35">
      <c r="A518" s="78" t="s">
        <v>4351</v>
      </c>
      <c r="B518" s="49" t="s">
        <v>4352</v>
      </c>
      <c r="C518" s="49" t="s">
        <v>14833</v>
      </c>
      <c r="D518" s="49">
        <v>517</v>
      </c>
      <c r="E518" s="78" t="str">
        <f t="shared" si="6"/>
        <v>E6_3_4_4</v>
      </c>
      <c r="F518" s="78" t="s">
        <v>13959</v>
      </c>
      <c r="G518" s="78" t="s">
        <v>13960</v>
      </c>
      <c r="H518" s="78" t="s">
        <v>13961</v>
      </c>
      <c r="I518" s="78" t="s">
        <v>13962</v>
      </c>
      <c r="J518" s="78" t="str">
        <f t="shared" si="7"/>
        <v>(${Variables:E6_3_4_4_kcat} * E6_3_4_4 * C00044*C00130*C00049)/(${Variables:E6_3_4_4_km} + (E6_3_4_4 * C00044*C00130*C00049))</v>
      </c>
      <c r="K518" s="79" t="str">
        <f t="shared" si="8"/>
        <v>r517: C00044+C00130+C00049 -&gt; C00035+C00009+C03794 | (${Variables:E6_3_4_4_kcat} * E6_3_4_4 * C00044*C00130*C00049)/(${Variables:E6_3_4_4_km} + (E6_3_4_4 * C00044*C00130*C00049))</v>
      </c>
    </row>
    <row r="519" spans="1:11" ht="26.5" x14ac:dyDescent="0.35">
      <c r="A519" s="78" t="s">
        <v>4355</v>
      </c>
      <c r="B519" s="49" t="s">
        <v>4356</v>
      </c>
      <c r="C519" s="49" t="s">
        <v>14834</v>
      </c>
      <c r="D519" s="49">
        <v>518</v>
      </c>
      <c r="E519" s="78" t="str">
        <f t="shared" si="6"/>
        <v>E6_3_4_18</v>
      </c>
      <c r="F519" s="78" t="s">
        <v>13963</v>
      </c>
      <c r="G519" s="78" t="s">
        <v>13964</v>
      </c>
      <c r="H519" s="78" t="s">
        <v>13965</v>
      </c>
      <c r="I519" s="78" t="s">
        <v>13966</v>
      </c>
      <c r="J519" s="78" t="str">
        <f t="shared" si="7"/>
        <v>(${Variables:E6_3_4_18_kcat} * E6_3_4_18 * C00002*C03373*C00288)/(${Variables:E6_3_4_18_km} + (E6_3_4_18 * C00002*C03373*C00288))</v>
      </c>
      <c r="K519" s="79" t="str">
        <f t="shared" si="8"/>
        <v>r518: C00002+C03373+C00288 -&gt; C00008+C00009+C15667 | (${Variables:E6_3_4_18_kcat} * E6_3_4_18 * C00002*C03373*C00288)/(${Variables:E6_3_4_18_km} + (E6_3_4_18 * C00002*C03373*C00288))</v>
      </c>
    </row>
    <row r="520" spans="1:11" ht="26" x14ac:dyDescent="0.35">
      <c r="A520" s="78" t="s">
        <v>4406</v>
      </c>
      <c r="B520" s="49" t="s">
        <v>4407</v>
      </c>
      <c r="C520" s="49" t="s">
        <v>14835</v>
      </c>
      <c r="D520" s="49">
        <v>519</v>
      </c>
      <c r="E520" s="78" t="str">
        <f t="shared" si="6"/>
        <v>E4_1_1_21</v>
      </c>
      <c r="F520" s="78" t="s">
        <v>8355</v>
      </c>
      <c r="G520" s="78" t="s">
        <v>8355</v>
      </c>
      <c r="H520" s="78" t="s">
        <v>13967</v>
      </c>
      <c r="I520" s="78" t="s">
        <v>13968</v>
      </c>
      <c r="J520" s="78" t="str">
        <f t="shared" si="7"/>
        <v>(${Variables:E4_1_1_21_kcat} * E4_1_1_21 * C04751)/(${Variables:E4_1_1_21_km} + (E4_1_1_21 * C04751))</v>
      </c>
      <c r="K520" s="79" t="str">
        <f t="shared" si="8"/>
        <v>r519: C04751 -&gt; C03373+C00011 | (${Variables:E4_1_1_21_kcat} * E4_1_1_21 * C04751)/(${Variables:E4_1_1_21_km} + (E4_1_1_21 * C04751))</v>
      </c>
    </row>
    <row r="521" spans="1:11" ht="26" x14ac:dyDescent="0.35">
      <c r="A521" s="78" t="s">
        <v>4410</v>
      </c>
      <c r="B521" s="49" t="s">
        <v>4411</v>
      </c>
      <c r="C521" s="49" t="s">
        <v>14836</v>
      </c>
      <c r="D521" s="49">
        <v>520</v>
      </c>
      <c r="E521" s="78" t="str">
        <f t="shared" si="6"/>
        <v>E5_4_99_18</v>
      </c>
      <c r="F521" s="78" t="s">
        <v>8360</v>
      </c>
      <c r="G521" s="78" t="s">
        <v>8360</v>
      </c>
      <c r="H521" s="78" t="s">
        <v>8355</v>
      </c>
      <c r="I521" s="78" t="s">
        <v>8355</v>
      </c>
      <c r="J521" s="78" t="str">
        <f t="shared" si="7"/>
        <v>(${Variables:E5_4_99_18_kcat} * E5_4_99_18 * C15667)/(${Variables:E5_4_99_18_km} + (E5_4_99_18 * C15667))</v>
      </c>
      <c r="K521" s="79" t="str">
        <f t="shared" si="8"/>
        <v>r520: C15667 -&gt; C04751 | (${Variables:E5_4_99_18_kcat} * E5_4_99_18 * C15667)/(${Variables:E5_4_99_18_km} + (E5_4_99_18 * C15667))</v>
      </c>
    </row>
    <row r="522" spans="1:11" ht="26" x14ac:dyDescent="0.35">
      <c r="A522" s="78" t="s">
        <v>4410</v>
      </c>
      <c r="B522" s="49" t="s">
        <v>4411</v>
      </c>
      <c r="C522" s="49" t="s">
        <v>14837</v>
      </c>
      <c r="D522" s="49">
        <v>521</v>
      </c>
      <c r="E522" s="78" t="str">
        <f t="shared" si="6"/>
        <v>E2_5_1_9</v>
      </c>
      <c r="F522" s="49" t="s">
        <v>8366</v>
      </c>
      <c r="G522" s="49" t="s">
        <v>8366</v>
      </c>
      <c r="H522" s="78" t="s">
        <v>13969</v>
      </c>
      <c r="I522" s="78" t="s">
        <v>13970</v>
      </c>
      <c r="J522" s="78" t="str">
        <f t="shared" si="7"/>
        <v>(${Variables:E2_5_1_9_kcat} * E2_5_1_9 * C04332)/(${Variables:E2_5_1_9_km} + (E2_5_1_9 * C04332))</v>
      </c>
      <c r="K522" s="79" t="str">
        <f t="shared" si="8"/>
        <v>r521: C04332 -&gt; C00255+C04732 | (${Variables:E2_5_1_9_kcat} * E2_5_1_9 * C04332)/(${Variables:E2_5_1_9_km} + (E2_5_1_9 * C04332))</v>
      </c>
    </row>
    <row r="523" spans="1:11" ht="26.5" x14ac:dyDescent="0.35">
      <c r="A523" s="78" t="s">
        <v>4424</v>
      </c>
      <c r="B523" s="49" t="s">
        <v>4425</v>
      </c>
      <c r="C523" s="49" t="s">
        <v>14838</v>
      </c>
      <c r="D523" s="49">
        <v>522</v>
      </c>
      <c r="E523" s="78" t="str">
        <f t="shared" si="6"/>
        <v>E6_1_1_1</v>
      </c>
      <c r="F523" s="78" t="s">
        <v>13971</v>
      </c>
      <c r="G523" s="78" t="s">
        <v>13972</v>
      </c>
      <c r="H523" s="78" t="s">
        <v>13973</v>
      </c>
      <c r="I523" s="78" t="s">
        <v>13974</v>
      </c>
      <c r="J523" s="78" t="str">
        <f t="shared" si="7"/>
        <v>(${Variables:E6_1_1_1_kcat} * E6_1_1_1 * C00002*C00082*C00787)/(${Variables:E6_1_1_1_km} + (E6_1_1_1 * C00002*C00082*C00787))</v>
      </c>
      <c r="K523" s="79" t="str">
        <f t="shared" si="8"/>
        <v>r522: C00002+C00082+C00787 -&gt; C00020+C00013+C02839 | (${Variables:E6_1_1_1_kcat} * E6_1_1_1 * C00002*C00082*C00787)/(${Variables:E6_1_1_1_km} + (E6_1_1_1 * C00002*C00082*C00787))</v>
      </c>
    </row>
    <row r="524" spans="1:11" ht="26.5" x14ac:dyDescent="0.35">
      <c r="A524" s="78" t="s">
        <v>4436</v>
      </c>
      <c r="B524" s="49" t="s">
        <v>4437</v>
      </c>
      <c r="C524" s="49" t="s">
        <v>14839</v>
      </c>
      <c r="D524" s="49">
        <v>523</v>
      </c>
      <c r="E524" s="78" t="str">
        <f t="shared" si="6"/>
        <v>E2_7_1_148</v>
      </c>
      <c r="F524" s="78" t="s">
        <v>13975</v>
      </c>
      <c r="G524" s="78" t="s">
        <v>13976</v>
      </c>
      <c r="H524" s="78" t="s">
        <v>13977</v>
      </c>
      <c r="I524" s="78" t="s">
        <v>13978</v>
      </c>
      <c r="J524" s="78" t="str">
        <f t="shared" si="7"/>
        <v>(${Variables:E2_7_1_148_kcat} * E2_7_1_148 * C11435*C00002)/(${Variables:E2_7_1_148_km} + (E2_7_1_148 * C11435*C00002))</v>
      </c>
      <c r="K524" s="79" t="str">
        <f t="shared" si="8"/>
        <v>r523: C11435+C00002 -&gt; C11436+C00008 | (${Variables:E2_7_1_148_kcat} * E2_7_1_148 * C11435*C00002)/(${Variables:E2_7_1_148_km} + (E2_7_1_148 * C11435*C00002))</v>
      </c>
    </row>
    <row r="525" spans="1:11" ht="26.5" x14ac:dyDescent="0.35">
      <c r="A525" s="78" t="s">
        <v>4443</v>
      </c>
      <c r="B525" s="49" t="s">
        <v>4444</v>
      </c>
      <c r="C525" s="49" t="s">
        <v>14840</v>
      </c>
      <c r="D525" s="49">
        <v>524</v>
      </c>
      <c r="E525" s="78" t="str">
        <f t="shared" si="6"/>
        <v>E2_7_7_72</v>
      </c>
      <c r="F525" s="78" t="s">
        <v>13979</v>
      </c>
      <c r="G525" s="78" t="s">
        <v>13980</v>
      </c>
      <c r="H525" s="78" t="s">
        <v>13981</v>
      </c>
      <c r="I525" s="78" t="s">
        <v>13982</v>
      </c>
      <c r="J525" s="78" t="str">
        <f t="shared" si="7"/>
        <v>(${Variables:E2_7_7_72_kcat} * E2_7_7_72 * C02211*C00063*C00002)/(${Variables:E2_7_7_72_km} + (E2_7_7_72 * C02211*C00063*C00002))</v>
      </c>
      <c r="K525" s="79" t="str">
        <f t="shared" si="8"/>
        <v>r524: C02211+C00063+C00002 -&gt; C19085+C00013 | (${Variables:E2_7_7_72_kcat} * E2_7_7_72 * C02211*C00063*C00002)/(${Variables:E2_7_7_72_km} + (E2_7_7_72 * C02211*C00063*C00002))</v>
      </c>
    </row>
    <row r="526" spans="1:11" ht="26.5" x14ac:dyDescent="0.35">
      <c r="A526" s="78" t="s">
        <v>4450</v>
      </c>
      <c r="B526" s="49" t="s">
        <v>4451</v>
      </c>
      <c r="C526" s="49" t="s">
        <v>14840</v>
      </c>
      <c r="D526" s="49">
        <v>525</v>
      </c>
      <c r="E526" s="78" t="str">
        <f t="shared" si="6"/>
        <v>E2_7_7_72</v>
      </c>
      <c r="F526" s="78" t="s">
        <v>13983</v>
      </c>
      <c r="G526" s="78" t="s">
        <v>13984</v>
      </c>
      <c r="H526" s="78" t="s">
        <v>13985</v>
      </c>
      <c r="I526" s="78" t="s">
        <v>13986</v>
      </c>
      <c r="J526" s="78" t="str">
        <f t="shared" si="7"/>
        <v>(${Variables:E2_7_7_72_kcat} * E2_7_7_72 * C02211*C00063)/(${Variables:E2_7_7_72_km} + (E2_7_7_72 * C02211*C00063))</v>
      </c>
      <c r="K526" s="79" t="str">
        <f t="shared" si="8"/>
        <v>r525: C02211+C00063 -&gt; C19078+C00013 | (${Variables:E2_7_7_72_kcat} * E2_7_7_72 * C02211*C00063)/(${Variables:E2_7_7_72_km} + (E2_7_7_72 * C02211*C00063))</v>
      </c>
    </row>
    <row r="527" spans="1:11" ht="26.5" x14ac:dyDescent="0.35">
      <c r="A527" s="78" t="s">
        <v>4450</v>
      </c>
      <c r="B527" s="49" t="s">
        <v>4451</v>
      </c>
      <c r="C527" s="49" t="s">
        <v>14840</v>
      </c>
      <c r="D527" s="49">
        <v>526</v>
      </c>
      <c r="E527" s="78" t="str">
        <f t="shared" si="6"/>
        <v>E2_7_7_72</v>
      </c>
      <c r="F527" s="78" t="s">
        <v>13987</v>
      </c>
      <c r="G527" s="78" t="s">
        <v>13988</v>
      </c>
      <c r="H527" s="78" t="s">
        <v>13989</v>
      </c>
      <c r="I527" s="78" t="s">
        <v>13990</v>
      </c>
      <c r="J527" s="78" t="str">
        <f t="shared" si="7"/>
        <v>(${Variables:E2_7_7_72_kcat} * E2_7_7_72 * C19078*C00063)/(${Variables:E2_7_7_72_km} + (E2_7_7_72 * C19078*C00063))</v>
      </c>
      <c r="K527" s="79" t="str">
        <f t="shared" si="8"/>
        <v>r526: C19078+C00063 -&gt; C19080+C00013 | (${Variables:E2_7_7_72_kcat} * E2_7_7_72 * C19078*C00063)/(${Variables:E2_7_7_72_km} + (E2_7_7_72 * C19078*C00063))</v>
      </c>
    </row>
    <row r="528" spans="1:11" ht="26.5" x14ac:dyDescent="0.35">
      <c r="A528" s="78" t="s">
        <v>4450</v>
      </c>
      <c r="B528" s="49" t="s">
        <v>4451</v>
      </c>
      <c r="C528" s="49" t="s">
        <v>14840</v>
      </c>
      <c r="D528" s="49">
        <v>527</v>
      </c>
      <c r="E528" s="78" t="str">
        <f t="shared" si="6"/>
        <v>E2_7_7_72</v>
      </c>
      <c r="F528" s="78" t="s">
        <v>13991</v>
      </c>
      <c r="G528" s="78" t="s">
        <v>13992</v>
      </c>
      <c r="H528" s="78" t="s">
        <v>13981</v>
      </c>
      <c r="I528" s="78" t="s">
        <v>13982</v>
      </c>
      <c r="J528" s="78" t="str">
        <f t="shared" si="7"/>
        <v>(${Variables:E2_7_7_72_kcat} * E2_7_7_72 * C19080*C00002)/(${Variables:E2_7_7_72_km} + (E2_7_7_72 * C19080*C00002))</v>
      </c>
      <c r="K528" s="79" t="str">
        <f t="shared" si="8"/>
        <v>r527: C19080+C00002 -&gt; C19085+C00013 | (${Variables:E2_7_7_72_kcat} * E2_7_7_72 * C19080*C00002)/(${Variables:E2_7_7_72_km} + (E2_7_7_72 * C19080*C00002))</v>
      </c>
    </row>
    <row r="529" spans="1:11" ht="26.5" x14ac:dyDescent="0.35">
      <c r="A529" s="78" t="s">
        <v>4450</v>
      </c>
      <c r="B529" s="49" t="s">
        <v>4451</v>
      </c>
      <c r="C529" s="49" t="s">
        <v>14841</v>
      </c>
      <c r="D529" s="49">
        <v>528</v>
      </c>
      <c r="E529" s="78" t="str">
        <f t="shared" si="6"/>
        <v>E2_5_1_19</v>
      </c>
      <c r="F529" s="78" t="s">
        <v>13993</v>
      </c>
      <c r="G529" s="78" t="s">
        <v>13994</v>
      </c>
      <c r="H529" s="78" t="s">
        <v>13995</v>
      </c>
      <c r="I529" s="78" t="s">
        <v>13996</v>
      </c>
      <c r="J529" s="78" t="str">
        <f t="shared" si="7"/>
        <v>(${Variables:E2_5_1_19_kcat} * E2_5_1_19 * C00074*C03175)/(${Variables:E2_5_1_19_km} + (E2_5_1_19 * C00074*C03175))</v>
      </c>
      <c r="K529" s="79" t="str">
        <f t="shared" si="8"/>
        <v>r528: C00074+C03175 -&gt; C00009+C01269 | (${Variables:E2_5_1_19_kcat} * E2_5_1_19 * C00074*C03175)/(${Variables:E2_5_1_19_km} + (E2_5_1_19 * C00074*C03175))</v>
      </c>
    </row>
    <row r="530" spans="1:11" ht="26.5" x14ac:dyDescent="0.35">
      <c r="A530" s="78" t="s">
        <v>4511</v>
      </c>
      <c r="B530" s="49" t="s">
        <v>4512</v>
      </c>
      <c r="C530" s="49" t="s">
        <v>14842</v>
      </c>
      <c r="D530" s="49">
        <v>529</v>
      </c>
      <c r="E530" s="78" t="str">
        <f t="shared" si="6"/>
        <v>E3_5_1_10</v>
      </c>
      <c r="F530" s="78" t="s">
        <v>13997</v>
      </c>
      <c r="G530" s="78" t="s">
        <v>13998</v>
      </c>
      <c r="H530" s="78" t="s">
        <v>13999</v>
      </c>
      <c r="I530" s="78" t="s">
        <v>14000</v>
      </c>
      <c r="J530" s="78" t="str">
        <f t="shared" si="7"/>
        <v>(${Variables:E3_5_1_10_kcat} * E3_5_1_10 * C00234*C00001)/(${Variables:E3_5_1_10_km} + (E3_5_1_10 * C00234*C00001))</v>
      </c>
      <c r="K530" s="79" t="str">
        <f t="shared" si="8"/>
        <v>r529: C00234+C00001 -&gt; C00058+C00101 | (${Variables:E3_5_1_10_kcat} * E3_5_1_10 * C00234*C00001)/(${Variables:E3_5_1_10_km} + (E3_5_1_10 * C00234*C00001))</v>
      </c>
    </row>
    <row r="531" spans="1:11" ht="26.5" x14ac:dyDescent="0.35">
      <c r="A531" s="78" t="s">
        <v>4515</v>
      </c>
      <c r="B531" s="49" t="s">
        <v>4516</v>
      </c>
      <c r="C531" s="49" t="s">
        <v>14843</v>
      </c>
      <c r="D531" s="49">
        <v>530</v>
      </c>
      <c r="E531" s="78" t="str">
        <f t="shared" si="6"/>
        <v>E2_2_1_6</v>
      </c>
      <c r="F531" s="78" t="s">
        <v>14001</v>
      </c>
      <c r="G531" s="78" t="s">
        <v>14002</v>
      </c>
      <c r="H531" s="78" t="s">
        <v>8407</v>
      </c>
      <c r="I531" s="78" t="s">
        <v>8407</v>
      </c>
      <c r="J531" s="78" t="str">
        <f t="shared" si="7"/>
        <v>(${Variables:E2_2_1_6_kcat} * E2_2_1_6 * C00900*C00011)/(${Variables:E2_2_1_6_km} + (E2_2_1_6 * C00900*C00011))</v>
      </c>
      <c r="K531" s="79" t="str">
        <f t="shared" si="8"/>
        <v>r530: C00900+C00011 -&gt; C00022 | (${Variables:E2_2_1_6_kcat} * E2_2_1_6 * C00900*C00011)/(${Variables:E2_2_1_6_km} + (E2_2_1_6 * C00900*C00011))</v>
      </c>
    </row>
    <row r="532" spans="1:11" ht="26.5" x14ac:dyDescent="0.35">
      <c r="A532" s="78" t="s">
        <v>4528</v>
      </c>
      <c r="B532" s="49" t="s">
        <v>4529</v>
      </c>
      <c r="C532" s="49" t="s">
        <v>14843</v>
      </c>
      <c r="D532" s="49">
        <v>531</v>
      </c>
      <c r="E532" s="78" t="str">
        <f t="shared" si="6"/>
        <v>E2_2_1_6</v>
      </c>
      <c r="F532" s="78" t="s">
        <v>14003</v>
      </c>
      <c r="G532" s="78" t="s">
        <v>14004</v>
      </c>
      <c r="H532" s="78" t="s">
        <v>8407</v>
      </c>
      <c r="I532" s="78" t="s">
        <v>8407</v>
      </c>
      <c r="J532" s="78" t="str">
        <f t="shared" si="7"/>
        <v>(${Variables:E2_2_1_6_kcat} * E2_2_1_6 * C06010*C00011)/(${Variables:E2_2_1_6_km} + (E2_2_1_6 * C06010*C00011))</v>
      </c>
      <c r="K532" s="79" t="str">
        <f t="shared" si="8"/>
        <v>r531: C06010+C00011 -&gt; C00022 | (${Variables:E2_2_1_6_kcat} * E2_2_1_6 * C06010*C00011)/(${Variables:E2_2_1_6_km} + (E2_2_1_6 * C06010*C00011))</v>
      </c>
    </row>
    <row r="533" spans="1:11" ht="26.5" x14ac:dyDescent="0.35">
      <c r="A533" s="78" t="s">
        <v>4528</v>
      </c>
      <c r="B533" s="49" t="s">
        <v>4529</v>
      </c>
      <c r="C533" s="49" t="s">
        <v>14843</v>
      </c>
      <c r="D533" s="49">
        <v>532</v>
      </c>
      <c r="E533" s="78" t="str">
        <f t="shared" si="6"/>
        <v>E2_2_1_6</v>
      </c>
      <c r="F533" s="78" t="s">
        <v>14005</v>
      </c>
      <c r="G533" s="78" t="s">
        <v>14006</v>
      </c>
      <c r="H533" s="78" t="s">
        <v>14007</v>
      </c>
      <c r="I533" s="78" t="s">
        <v>14008</v>
      </c>
      <c r="J533" s="78" t="str">
        <f t="shared" si="7"/>
        <v>(${Variables:E2_2_1_6_kcat} * E2_2_1_6 * C00022*C00068)/(${Variables:E2_2_1_6_km} + (E2_2_1_6 * C00022*C00068))</v>
      </c>
      <c r="K533" s="79" t="str">
        <f t="shared" si="8"/>
        <v>r532: C00022+C00068 -&gt; C05125+C00011 | (${Variables:E2_2_1_6_kcat} * E2_2_1_6 * C00022*C00068)/(${Variables:E2_2_1_6_km} + (E2_2_1_6 * C00022*C00068))</v>
      </c>
    </row>
    <row r="534" spans="1:11" ht="26.5" x14ac:dyDescent="0.35">
      <c r="A534" s="78" t="s">
        <v>4528</v>
      </c>
      <c r="B534" s="49" t="s">
        <v>4529</v>
      </c>
      <c r="C534" s="49" t="s">
        <v>14843</v>
      </c>
      <c r="D534" s="49">
        <v>533</v>
      </c>
      <c r="E534" s="78" t="str">
        <f t="shared" si="6"/>
        <v>E2_2_1_6</v>
      </c>
      <c r="F534" s="78" t="s">
        <v>14009</v>
      </c>
      <c r="G534" s="78" t="s">
        <v>14010</v>
      </c>
      <c r="H534" s="78" t="s">
        <v>14011</v>
      </c>
      <c r="I534" s="78" t="s">
        <v>14012</v>
      </c>
      <c r="J534" s="78" t="str">
        <f t="shared" si="7"/>
        <v>(${Variables:E2_2_1_6_kcat} * E2_2_1_6 * C00900*C00068)/(${Variables:E2_2_1_6_km} + (E2_2_1_6 * C00900*C00068))</v>
      </c>
      <c r="K534" s="79" t="str">
        <f t="shared" si="8"/>
        <v>r533: C00900+C00068 -&gt; C05125+C00022 | (${Variables:E2_2_1_6_kcat} * E2_2_1_6 * C00900*C00068)/(${Variables:E2_2_1_6_km} + (E2_2_1_6 * C00900*C00068))</v>
      </c>
    </row>
    <row r="535" spans="1:11" ht="26.5" x14ac:dyDescent="0.35">
      <c r="A535" s="78" t="s">
        <v>4528</v>
      </c>
      <c r="B535" s="49" t="s">
        <v>4529</v>
      </c>
      <c r="C535" s="49" t="s">
        <v>14843</v>
      </c>
      <c r="D535" s="49">
        <v>534</v>
      </c>
      <c r="E535" s="78" t="str">
        <f t="shared" si="6"/>
        <v>E2_2_1_6</v>
      </c>
      <c r="F535" s="49" t="s">
        <v>14013</v>
      </c>
      <c r="G535" s="49" t="s">
        <v>14014</v>
      </c>
      <c r="H535" s="78" t="s">
        <v>14011</v>
      </c>
      <c r="I535" s="78" t="s">
        <v>14012</v>
      </c>
      <c r="J535" s="78" t="str">
        <f t="shared" si="7"/>
        <v>(${Variables:E2_2_1_6_kcat} * E2_2_1_6 * C06010*C00068)/(${Variables:E2_2_1_6_km} + (E2_2_1_6 * C06010*C00068))</v>
      </c>
      <c r="K535" s="79" t="str">
        <f t="shared" si="8"/>
        <v>r534: C06010+C00068 -&gt; C05125+C00022 | (${Variables:E2_2_1_6_kcat} * E2_2_1_6 * C06010*C00068)/(${Variables:E2_2_1_6_km} + (E2_2_1_6 * C06010*C00068))</v>
      </c>
    </row>
    <row r="536" spans="1:11" ht="26.5" x14ac:dyDescent="0.35">
      <c r="A536" s="78" t="s">
        <v>4528</v>
      </c>
      <c r="B536" s="49" t="s">
        <v>4529</v>
      </c>
      <c r="C536" s="49" t="s">
        <v>14843</v>
      </c>
      <c r="D536" s="49">
        <v>535</v>
      </c>
      <c r="E536" s="78" t="str">
        <f t="shared" si="6"/>
        <v>E2_2_1_6</v>
      </c>
      <c r="F536" s="78" t="s">
        <v>14015</v>
      </c>
      <c r="G536" s="78" t="s">
        <v>14016</v>
      </c>
      <c r="H536" s="78" t="s">
        <v>14017</v>
      </c>
      <c r="I536" s="78" t="s">
        <v>14018</v>
      </c>
      <c r="J536" s="78" t="str">
        <f t="shared" si="7"/>
        <v>(${Variables:E2_2_1_6_kcat} * E2_2_1_6 * C00109*C05125)/(${Variables:E2_2_1_6_km} + (E2_2_1_6 * C00109*C05125))</v>
      </c>
      <c r="K536" s="79" t="str">
        <f t="shared" si="8"/>
        <v>r535: C00109+C05125 -&gt; C06006+C00068 | (${Variables:E2_2_1_6_kcat} * E2_2_1_6 * C00109*C05125)/(${Variables:E2_2_1_6_km} + (E2_2_1_6 * C00109*C05125))</v>
      </c>
    </row>
    <row r="537" spans="1:11" ht="26.5" x14ac:dyDescent="0.35">
      <c r="A537" s="78" t="s">
        <v>4528</v>
      </c>
      <c r="B537" s="49" t="s">
        <v>4529</v>
      </c>
      <c r="C537" s="49" t="s">
        <v>14843</v>
      </c>
      <c r="D537" s="49">
        <v>536</v>
      </c>
      <c r="E537" s="78" t="str">
        <f t="shared" si="6"/>
        <v>E2_2_1_6</v>
      </c>
      <c r="F537" s="78" t="s">
        <v>14019</v>
      </c>
      <c r="G537" s="78" t="s">
        <v>14020</v>
      </c>
      <c r="H537" s="78" t="s">
        <v>14021</v>
      </c>
      <c r="I537" s="78" t="s">
        <v>14022</v>
      </c>
      <c r="J537" s="78" t="str">
        <f t="shared" si="7"/>
        <v>(${Variables:E2_2_1_6_kcat} * E2_2_1_6 * C00022*C00109)/(${Variables:E2_2_1_6_km} + (E2_2_1_6 * C00022*C00109))</v>
      </c>
      <c r="K537" s="79" t="str">
        <f t="shared" si="8"/>
        <v>r536: C00022+C00109 -&gt; C06006+C00011 | (${Variables:E2_2_1_6_kcat} * E2_2_1_6 * C00022*C00109)/(${Variables:E2_2_1_6_km} + (E2_2_1_6 * C00022*C00109))</v>
      </c>
    </row>
    <row r="538" spans="1:11" ht="26.5" x14ac:dyDescent="0.35">
      <c r="A538" s="78" t="s">
        <v>4528</v>
      </c>
      <c r="B538" s="49" t="s">
        <v>4529</v>
      </c>
      <c r="C538" s="49" t="s">
        <v>14844</v>
      </c>
      <c r="D538" s="49">
        <v>537</v>
      </c>
      <c r="E538" s="78" t="str">
        <f t="shared" si="6"/>
        <v>E6_1_1_19</v>
      </c>
      <c r="F538" s="78" t="s">
        <v>14023</v>
      </c>
      <c r="G538" s="78" t="s">
        <v>14024</v>
      </c>
      <c r="H538" s="78" t="s">
        <v>14025</v>
      </c>
      <c r="I538" s="78" t="s">
        <v>14026</v>
      </c>
      <c r="J538" s="78" t="str">
        <f t="shared" si="7"/>
        <v>(${Variables:E6_1_1_19_kcat} * E6_1_1_19 * C00002*C00062*C01636)/(${Variables:E6_1_1_19_km} + (E6_1_1_19 * C00002*C00062*C01636))</v>
      </c>
      <c r="K538" s="79" t="str">
        <f t="shared" si="8"/>
        <v>r537: C00002+C00062+C01636 -&gt; C00020+C00013+C02163 | (${Variables:E6_1_1_19_kcat} * E6_1_1_19 * C00002*C00062*C01636)/(${Variables:E6_1_1_19_km} + (E6_1_1_19 * C00002*C00062*C01636))</v>
      </c>
    </row>
    <row r="539" spans="1:11" ht="26" x14ac:dyDescent="0.35">
      <c r="A539" s="78" t="s">
        <v>4532</v>
      </c>
      <c r="B539" s="49" t="s">
        <v>4533</v>
      </c>
      <c r="C539" s="49" t="s">
        <v>14845</v>
      </c>
      <c r="D539" s="49">
        <v>538</v>
      </c>
      <c r="E539" s="78" t="str">
        <f t="shared" si="6"/>
        <v>E5_3_1_9</v>
      </c>
      <c r="F539" s="78" t="s">
        <v>8432</v>
      </c>
      <c r="G539" s="78" t="s">
        <v>8432</v>
      </c>
      <c r="H539" s="78" t="s">
        <v>8433</v>
      </c>
      <c r="I539" s="78" t="s">
        <v>8433</v>
      </c>
      <c r="J539" s="78" t="str">
        <f t="shared" si="7"/>
        <v>(${Variables:E5_3_1_9_kcat} * E5_3_1_9 * C00668)/(${Variables:E5_3_1_9_km} + (E5_3_1_9 * C00668))</v>
      </c>
      <c r="K539" s="79" t="str">
        <f t="shared" si="8"/>
        <v>r538: C00668 -&gt; C05345 | (${Variables:E5_3_1_9_kcat} * E5_3_1_9 * C00668)/(${Variables:E5_3_1_9_km} + (E5_3_1_9 * C00668))</v>
      </c>
    </row>
    <row r="540" spans="1:11" ht="26" x14ac:dyDescent="0.35">
      <c r="A540" s="78" t="s">
        <v>4547</v>
      </c>
      <c r="B540" s="49" t="s">
        <v>4548</v>
      </c>
      <c r="C540" s="49" t="s">
        <v>14845</v>
      </c>
      <c r="D540" s="49">
        <v>539</v>
      </c>
      <c r="E540" s="78" t="str">
        <f t="shared" si="6"/>
        <v>E5_3_1_9</v>
      </c>
      <c r="F540" s="49" t="s">
        <v>8435</v>
      </c>
      <c r="G540" s="49" t="s">
        <v>8435</v>
      </c>
      <c r="H540" s="78" t="s">
        <v>8436</v>
      </c>
      <c r="I540" s="78" t="s">
        <v>8436</v>
      </c>
      <c r="J540" s="78" t="str">
        <f t="shared" si="7"/>
        <v>(${Variables:E5_3_1_9_kcat} * E5_3_1_9 * C00092)/(${Variables:E5_3_1_9_km} + (E5_3_1_9 * C00092))</v>
      </c>
      <c r="K540" s="79" t="str">
        <f t="shared" si="8"/>
        <v>r539: C00092 -&gt; C00085 | (${Variables:E5_3_1_9_kcat} * E5_3_1_9 * C00092)/(${Variables:E5_3_1_9_km} + (E5_3_1_9 * C00092))</v>
      </c>
    </row>
    <row r="541" spans="1:11" ht="26" x14ac:dyDescent="0.35">
      <c r="A541" s="78" t="s">
        <v>4547</v>
      </c>
      <c r="B541" s="49" t="s">
        <v>4548</v>
      </c>
      <c r="C541" s="49" t="s">
        <v>14845</v>
      </c>
      <c r="D541" s="49">
        <v>540</v>
      </c>
      <c r="E541" s="78" t="str">
        <f t="shared" si="6"/>
        <v>E5_3_1_9</v>
      </c>
      <c r="F541" s="78" t="s">
        <v>8432</v>
      </c>
      <c r="G541" s="78" t="s">
        <v>8432</v>
      </c>
      <c r="H541" s="78" t="s">
        <v>8438</v>
      </c>
      <c r="I541" s="78" t="s">
        <v>8438</v>
      </c>
      <c r="J541" s="78" t="str">
        <f t="shared" si="7"/>
        <v>(${Variables:E5_3_1_9_kcat} * E5_3_1_9 * C00668)/(${Variables:E5_3_1_9_km} + (E5_3_1_9 * C00668))</v>
      </c>
      <c r="K541" s="79" t="str">
        <f t="shared" si="8"/>
        <v>r540: C00668 -&gt; C01172 | (${Variables:E5_3_1_9_kcat} * E5_3_1_9 * C00668)/(${Variables:E5_3_1_9_km} + (E5_3_1_9 * C00668))</v>
      </c>
    </row>
    <row r="542" spans="1:11" ht="26" x14ac:dyDescent="0.35">
      <c r="A542" s="78" t="s">
        <v>4547</v>
      </c>
      <c r="B542" s="49" t="s">
        <v>4548</v>
      </c>
      <c r="C542" s="49" t="s">
        <v>14845</v>
      </c>
      <c r="D542" s="49">
        <v>541</v>
      </c>
      <c r="E542" s="78" t="str">
        <f t="shared" si="6"/>
        <v>E5_3_1_9</v>
      </c>
      <c r="F542" s="78" t="s">
        <v>8438</v>
      </c>
      <c r="G542" s="78" t="s">
        <v>8438</v>
      </c>
      <c r="H542" s="78" t="s">
        <v>8433</v>
      </c>
      <c r="I542" s="78" t="s">
        <v>8433</v>
      </c>
      <c r="J542" s="78" t="str">
        <f t="shared" si="7"/>
        <v>(${Variables:E5_3_1_9_kcat} * E5_3_1_9 * C01172)/(${Variables:E5_3_1_9_km} + (E5_3_1_9 * C01172))</v>
      </c>
      <c r="K542" s="79" t="str">
        <f t="shared" si="8"/>
        <v>r541: C01172 -&gt; C05345 | (${Variables:E5_3_1_9_kcat} * E5_3_1_9 * C01172)/(${Variables:E5_3_1_9_km} + (E5_3_1_9 * C01172))</v>
      </c>
    </row>
    <row r="543" spans="1:11" ht="26" x14ac:dyDescent="0.35">
      <c r="A543" s="78" t="s">
        <v>4547</v>
      </c>
      <c r="B543" s="49" t="s">
        <v>4548</v>
      </c>
      <c r="C543" s="49" t="s">
        <v>14845</v>
      </c>
      <c r="D543" s="49">
        <v>542</v>
      </c>
      <c r="E543" s="78" t="str">
        <f t="shared" si="6"/>
        <v>E5_3_1_9</v>
      </c>
      <c r="F543" s="78" t="s">
        <v>8432</v>
      </c>
      <c r="G543" s="78" t="s">
        <v>8432</v>
      </c>
      <c r="H543" s="78" t="s">
        <v>8436</v>
      </c>
      <c r="I543" s="78" t="s">
        <v>8436</v>
      </c>
      <c r="J543" s="78" t="str">
        <f t="shared" si="7"/>
        <v>(${Variables:E5_3_1_9_kcat} * E5_3_1_9 * C00668)/(${Variables:E5_3_1_9_km} + (E5_3_1_9 * C00668))</v>
      </c>
      <c r="K543" s="79" t="str">
        <f t="shared" si="8"/>
        <v>r542: C00668 -&gt; C00085 | (${Variables:E5_3_1_9_kcat} * E5_3_1_9 * C00668)/(${Variables:E5_3_1_9_km} + (E5_3_1_9 * C00668))</v>
      </c>
    </row>
    <row r="544" spans="1:11" ht="26" x14ac:dyDescent="0.35">
      <c r="A544" s="78" t="s">
        <v>4547</v>
      </c>
      <c r="B544" s="49" t="s">
        <v>4548</v>
      </c>
      <c r="C544" s="49" t="s">
        <v>14846</v>
      </c>
      <c r="D544" s="49">
        <v>543</v>
      </c>
      <c r="E544" s="78" t="str">
        <f t="shared" si="6"/>
        <v>E5_1_1_1</v>
      </c>
      <c r="F544" s="78" t="s">
        <v>8444</v>
      </c>
      <c r="G544" s="78" t="s">
        <v>8444</v>
      </c>
      <c r="H544" s="78" t="s">
        <v>8445</v>
      </c>
      <c r="I544" s="78" t="s">
        <v>8445</v>
      </c>
      <c r="J544" s="78" t="str">
        <f t="shared" si="7"/>
        <v>(${Variables:E5_1_1_1_kcat} * E5_1_1_1 * C00041)/(${Variables:E5_1_1_1_km} + (E5_1_1_1 * C00041))</v>
      </c>
      <c r="K544" s="79" t="str">
        <f t="shared" si="8"/>
        <v>r543: C00041 -&gt; C00133 | (${Variables:E5_1_1_1_kcat} * E5_1_1_1 * C00041)/(${Variables:E5_1_1_1_km} + (E5_1_1_1 * C00041))</v>
      </c>
    </row>
    <row r="545" spans="1:11" ht="26.5" x14ac:dyDescent="0.35">
      <c r="A545" s="78" t="s">
        <v>4551</v>
      </c>
      <c r="B545" s="49" t="s">
        <v>4552</v>
      </c>
      <c r="C545" s="49" t="s">
        <v>14847</v>
      </c>
      <c r="D545" s="49">
        <v>544</v>
      </c>
      <c r="E545" s="78" t="str">
        <f t="shared" si="6"/>
        <v>E2_7_1_40</v>
      </c>
      <c r="F545" s="78" t="s">
        <v>14027</v>
      </c>
      <c r="G545" s="78" t="s">
        <v>14028</v>
      </c>
      <c r="H545" s="78" t="s">
        <v>14029</v>
      </c>
      <c r="I545" s="78" t="s">
        <v>14030</v>
      </c>
      <c r="J545" s="78" t="str">
        <f t="shared" si="7"/>
        <v>(${Variables:E2_7_1_40_kcat} * E2_7_1_40 * C00002*C00022)/(${Variables:E2_7_1_40_km} + (E2_7_1_40 * C00002*C00022))</v>
      </c>
      <c r="K545" s="79" t="str">
        <f t="shared" si="8"/>
        <v>r544: C00002+C00022 -&gt; C00008+C00074 | (${Variables:E2_7_1_40_kcat} * E2_7_1_40 * C00002*C00022)/(${Variables:E2_7_1_40_km} + (E2_7_1_40 * C00002*C00022))</v>
      </c>
    </row>
    <row r="546" spans="1:11" ht="26.5" x14ac:dyDescent="0.35">
      <c r="A546" s="78" t="s">
        <v>4558</v>
      </c>
      <c r="B546" s="49" t="s">
        <v>4559</v>
      </c>
      <c r="C546" s="49" t="s">
        <v>14847</v>
      </c>
      <c r="D546" s="49">
        <v>545</v>
      </c>
      <c r="E546" s="78" t="str">
        <f t="shared" si="6"/>
        <v>E2_7_1_40</v>
      </c>
      <c r="F546" s="78" t="s">
        <v>14031</v>
      </c>
      <c r="G546" s="78" t="s">
        <v>14032</v>
      </c>
      <c r="H546" s="78" t="s">
        <v>14033</v>
      </c>
      <c r="I546" s="78" t="s">
        <v>14034</v>
      </c>
      <c r="J546" s="78" t="str">
        <f t="shared" si="7"/>
        <v>(${Variables:E2_7_1_40_kcat} * E2_7_1_40 * C00044*C00022)/(${Variables:E2_7_1_40_km} + (E2_7_1_40 * C00044*C00022))</v>
      </c>
      <c r="K546" s="79" t="str">
        <f t="shared" si="8"/>
        <v>r545: C00044+C00022 -&gt; C00035+C00074 | (${Variables:E2_7_1_40_kcat} * E2_7_1_40 * C00044*C00022)/(${Variables:E2_7_1_40_km} + (E2_7_1_40 * C00044*C00022))</v>
      </c>
    </row>
    <row r="547" spans="1:11" ht="26.5" x14ac:dyDescent="0.35">
      <c r="A547" s="78" t="s">
        <v>4558</v>
      </c>
      <c r="B547" s="49" t="s">
        <v>4559</v>
      </c>
      <c r="C547" s="49" t="s">
        <v>14847</v>
      </c>
      <c r="D547" s="49">
        <v>546</v>
      </c>
      <c r="E547" s="78" t="str">
        <f t="shared" si="6"/>
        <v>E2_7_1_40</v>
      </c>
      <c r="F547" s="78" t="s">
        <v>14035</v>
      </c>
      <c r="G547" s="78" t="s">
        <v>14036</v>
      </c>
      <c r="H547" s="78" t="s">
        <v>14037</v>
      </c>
      <c r="I547" s="78" t="s">
        <v>14038</v>
      </c>
      <c r="J547" s="78" t="str">
        <f t="shared" si="7"/>
        <v>(${Variables:E2_7_1_40_kcat} * E2_7_1_40 * C00063*C00022)/(${Variables:E2_7_1_40_km} + (E2_7_1_40 * C00063*C00022))</v>
      </c>
      <c r="K547" s="79" t="str">
        <f t="shared" si="8"/>
        <v>r546: C00063+C00022 -&gt; C00112+C00074 | (${Variables:E2_7_1_40_kcat} * E2_7_1_40 * C00063*C00022)/(${Variables:E2_7_1_40_km} + (E2_7_1_40 * C00063*C00022))</v>
      </c>
    </row>
    <row r="548" spans="1:11" ht="26.5" x14ac:dyDescent="0.35">
      <c r="A548" s="78" t="s">
        <v>4558</v>
      </c>
      <c r="B548" s="49" t="s">
        <v>4559</v>
      </c>
      <c r="C548" s="49" t="s">
        <v>14847</v>
      </c>
      <c r="D548" s="49">
        <v>547</v>
      </c>
      <c r="E548" s="78" t="str">
        <f t="shared" si="6"/>
        <v>E2_7_1_40</v>
      </c>
      <c r="F548" s="78" t="s">
        <v>14039</v>
      </c>
      <c r="G548" s="78" t="s">
        <v>14040</v>
      </c>
      <c r="H548" s="78" t="s">
        <v>14041</v>
      </c>
      <c r="I548" s="78" t="s">
        <v>14042</v>
      </c>
      <c r="J548" s="78" t="str">
        <f t="shared" si="7"/>
        <v>(${Variables:E2_7_1_40_kcat} * E2_7_1_40 * C00075*C00022)/(${Variables:E2_7_1_40_km} + (E2_7_1_40 * C00075*C00022))</v>
      </c>
      <c r="K548" s="79" t="str">
        <f t="shared" si="8"/>
        <v>r547: C00075+C00022 -&gt; C00015+C00074 | (${Variables:E2_7_1_40_kcat} * E2_7_1_40 * C00075*C00022)/(${Variables:E2_7_1_40_km} + (E2_7_1_40 * C00075*C00022))</v>
      </c>
    </row>
    <row r="549" spans="1:11" ht="26.5" x14ac:dyDescent="0.35">
      <c r="A549" s="78" t="s">
        <v>4558</v>
      </c>
      <c r="B549" s="49" t="s">
        <v>4559</v>
      </c>
      <c r="C549" s="49" t="s">
        <v>14847</v>
      </c>
      <c r="D549" s="49">
        <v>548</v>
      </c>
      <c r="E549" s="78" t="str">
        <f t="shared" si="6"/>
        <v>E2_7_1_40</v>
      </c>
      <c r="F549" s="78" t="s">
        <v>14043</v>
      </c>
      <c r="G549" s="78" t="s">
        <v>14044</v>
      </c>
      <c r="H549" s="78" t="s">
        <v>14045</v>
      </c>
      <c r="I549" s="78" t="s">
        <v>14046</v>
      </c>
      <c r="J549" s="78" t="str">
        <f t="shared" si="7"/>
        <v>(${Variables:E2_7_1_40_kcat} * E2_7_1_40 * C00081*C00022)/(${Variables:E2_7_1_40_km} + (E2_7_1_40 * C00081*C00022))</v>
      </c>
      <c r="K549" s="79" t="str">
        <f t="shared" si="8"/>
        <v>r548: C00081+C00022 -&gt; C00104+C00074 | (${Variables:E2_7_1_40_kcat} * E2_7_1_40 * C00081*C00022)/(${Variables:E2_7_1_40_km} + (E2_7_1_40 * C00081*C00022))</v>
      </c>
    </row>
    <row r="550" spans="1:11" ht="26.5" x14ac:dyDescent="0.35">
      <c r="A550" s="78" t="s">
        <v>4558</v>
      </c>
      <c r="B550" s="49" t="s">
        <v>4559</v>
      </c>
      <c r="C550" s="49" t="s">
        <v>14847</v>
      </c>
      <c r="D550" s="49">
        <v>549</v>
      </c>
      <c r="E550" s="78" t="str">
        <f t="shared" si="6"/>
        <v>E2_7_1_40</v>
      </c>
      <c r="F550" s="78" t="s">
        <v>14047</v>
      </c>
      <c r="G550" s="78" t="s">
        <v>14048</v>
      </c>
      <c r="H550" s="78" t="s">
        <v>14049</v>
      </c>
      <c r="I550" s="78" t="s">
        <v>14050</v>
      </c>
      <c r="J550" s="78" t="str">
        <f t="shared" si="7"/>
        <v>(${Variables:E2_7_1_40_kcat} * E2_7_1_40 * C00131*C00022)/(${Variables:E2_7_1_40_km} + (E2_7_1_40 * C00131*C00022))</v>
      </c>
      <c r="K550" s="79" t="str">
        <f t="shared" si="8"/>
        <v>r549: C00131+C00022 -&gt; C00206+C00074 | (${Variables:E2_7_1_40_kcat} * E2_7_1_40 * C00131*C00022)/(${Variables:E2_7_1_40_km} + (E2_7_1_40 * C00131*C00022))</v>
      </c>
    </row>
    <row r="551" spans="1:11" ht="26.5" x14ac:dyDescent="0.35">
      <c r="A551" s="78" t="s">
        <v>4558</v>
      </c>
      <c r="B551" s="49" t="s">
        <v>4559</v>
      </c>
      <c r="C551" s="49" t="s">
        <v>14847</v>
      </c>
      <c r="D551" s="49">
        <v>550</v>
      </c>
      <c r="E551" s="78" t="str">
        <f t="shared" si="6"/>
        <v>E2_7_1_40</v>
      </c>
      <c r="F551" s="78" t="s">
        <v>14051</v>
      </c>
      <c r="G551" s="78" t="s">
        <v>14052</v>
      </c>
      <c r="H551" s="78" t="s">
        <v>14053</v>
      </c>
      <c r="I551" s="78" t="s">
        <v>14054</v>
      </c>
      <c r="J551" s="78" t="str">
        <f t="shared" si="7"/>
        <v>(${Variables:E2_7_1_40_kcat} * E2_7_1_40 * C00286*C00022)/(${Variables:E2_7_1_40_km} + (E2_7_1_40 * C00286*C00022))</v>
      </c>
      <c r="K551" s="79" t="str">
        <f t="shared" si="8"/>
        <v>r550: C00286+C00022 -&gt; C00361+C00074 | (${Variables:E2_7_1_40_kcat} * E2_7_1_40 * C00286*C00022)/(${Variables:E2_7_1_40_km} + (E2_7_1_40 * C00286*C00022))</v>
      </c>
    </row>
    <row r="552" spans="1:11" ht="26.5" x14ac:dyDescent="0.35">
      <c r="A552" s="78" t="s">
        <v>4558</v>
      </c>
      <c r="B552" s="49" t="s">
        <v>4559</v>
      </c>
      <c r="C552" s="49" t="s">
        <v>14847</v>
      </c>
      <c r="D552" s="49">
        <v>551</v>
      </c>
      <c r="E552" s="78" t="str">
        <f t="shared" si="6"/>
        <v>E2_7_1_40</v>
      </c>
      <c r="F552" s="78" t="s">
        <v>14055</v>
      </c>
      <c r="G552" s="78" t="s">
        <v>14056</v>
      </c>
      <c r="H552" s="78" t="s">
        <v>14057</v>
      </c>
      <c r="I552" s="78" t="s">
        <v>14058</v>
      </c>
      <c r="J552" s="78" t="str">
        <f t="shared" si="7"/>
        <v>(${Variables:E2_7_1_40_kcat} * E2_7_1_40 * C00201*C00022)/(${Variables:E2_7_1_40_km} + (E2_7_1_40 * C00201*C00022))</v>
      </c>
      <c r="K552" s="79" t="str">
        <f t="shared" si="8"/>
        <v>r551: C00201+C00022 -&gt; C00454+C00074 | (${Variables:E2_7_1_40_kcat} * E2_7_1_40 * C00201*C00022)/(${Variables:E2_7_1_40_km} + (E2_7_1_40 * C00201*C00022))</v>
      </c>
    </row>
    <row r="553" spans="1:11" ht="26.5" x14ac:dyDescent="0.35">
      <c r="A553" s="78" t="s">
        <v>4558</v>
      </c>
      <c r="B553" s="49" t="s">
        <v>4559</v>
      </c>
      <c r="C553" s="49" t="s">
        <v>14848</v>
      </c>
      <c r="D553" s="49">
        <v>552</v>
      </c>
      <c r="E553" s="78" t="str">
        <f t="shared" si="6"/>
        <v>E2_5_1_55</v>
      </c>
      <c r="F553" s="78" t="s">
        <v>14059</v>
      </c>
      <c r="G553" s="78" t="s">
        <v>14060</v>
      </c>
      <c r="H553" s="78" t="s">
        <v>14061</v>
      </c>
      <c r="I553" s="78" t="s">
        <v>14062</v>
      </c>
      <c r="J553" s="78" t="str">
        <f t="shared" si="7"/>
        <v>(${Variables:E2_5_1_55_kcat} * E2_5_1_55 * C04478*C00009)/(${Variables:E2_5_1_55_km} + (E2_5_1_55 * C04478*C00009))</v>
      </c>
      <c r="K553" s="79" t="str">
        <f t="shared" si="8"/>
        <v>r552: C04478+C00009 -&gt; C00074+C01112+C00001 | (${Variables:E2_5_1_55_kcat} * E2_5_1_55 * C04478*C00009)/(${Variables:E2_5_1_55_km} + (E2_5_1_55 * C04478*C00009))</v>
      </c>
    </row>
    <row r="554" spans="1:11" ht="26.5" x14ac:dyDescent="0.35">
      <c r="A554" s="78" t="s">
        <v>4600</v>
      </c>
      <c r="B554" s="49" t="s">
        <v>4601</v>
      </c>
      <c r="C554" s="49" t="s">
        <v>14849</v>
      </c>
      <c r="D554" s="49">
        <v>553</v>
      </c>
      <c r="E554" s="78" t="str">
        <f t="shared" si="6"/>
        <v>E2_6_1_62</v>
      </c>
      <c r="F554" s="78" t="s">
        <v>14063</v>
      </c>
      <c r="G554" s="78" t="s">
        <v>14064</v>
      </c>
      <c r="H554" s="78" t="s">
        <v>14065</v>
      </c>
      <c r="I554" s="78" t="s">
        <v>14066</v>
      </c>
      <c r="J554" s="78" t="str">
        <f t="shared" si="7"/>
        <v>(${Variables:E2_6_1_62_kcat} * E2_6_1_62 * C00019*C01092)/(${Variables:E2_6_1_62_km} + (E2_6_1_62 * C00019*C01092))</v>
      </c>
      <c r="K554" s="79" t="str">
        <f t="shared" si="8"/>
        <v>r553: C00019+C01092 -&gt; C04425+C01037 | (${Variables:E2_6_1_62_kcat} * E2_6_1_62 * C00019*C01092)/(${Variables:E2_6_1_62_km} + (E2_6_1_62 * C00019*C01092))</v>
      </c>
    </row>
    <row r="555" spans="1:11" ht="26.5" x14ac:dyDescent="0.35">
      <c r="A555" s="78" t="s">
        <v>4609</v>
      </c>
      <c r="B555" s="49" t="s">
        <v>4610</v>
      </c>
      <c r="C555" s="49" t="s">
        <v>14850</v>
      </c>
      <c r="D555" s="49">
        <v>554</v>
      </c>
      <c r="E555" s="78" t="str">
        <f t="shared" si="6"/>
        <v>E2_3_1_47</v>
      </c>
      <c r="F555" s="78" t="s">
        <v>14067</v>
      </c>
      <c r="G555" s="78" t="s">
        <v>14068</v>
      </c>
      <c r="H555" s="78" t="s">
        <v>14069</v>
      </c>
      <c r="I555" s="78" t="s">
        <v>14070</v>
      </c>
      <c r="J555" s="78" t="str">
        <f t="shared" si="7"/>
        <v>(${Variables:E2_3_1_47_kcat} * E2_3_1_47 * C01063*C00041)/(${Variables:E2_3_1_47_km} + (E2_3_1_47 * C01063*C00041))</v>
      </c>
      <c r="K555" s="79" t="str">
        <f t="shared" si="8"/>
        <v>r554: C01063+C00041 -&gt; C01092+C00010+C00011 | (${Variables:E2_3_1_47_kcat} * E2_3_1_47 * C01063*C00041)/(${Variables:E2_3_1_47_km} + (E2_3_1_47 * C01063*C00041))</v>
      </c>
    </row>
    <row r="556" spans="1:11" ht="26.5" x14ac:dyDescent="0.35">
      <c r="A556" s="78" t="s">
        <v>4613</v>
      </c>
      <c r="B556" s="49" t="s">
        <v>4614</v>
      </c>
      <c r="C556" s="49" t="s">
        <v>14850</v>
      </c>
      <c r="D556" s="49">
        <v>555</v>
      </c>
      <c r="E556" s="78" t="str">
        <f t="shared" si="6"/>
        <v>E2_3_1_47</v>
      </c>
      <c r="F556" s="78" t="s">
        <v>14071</v>
      </c>
      <c r="G556" s="78" t="s">
        <v>14072</v>
      </c>
      <c r="H556" s="78" t="s">
        <v>14073</v>
      </c>
      <c r="I556" s="78" t="s">
        <v>14074</v>
      </c>
      <c r="J556" s="78" t="str">
        <f t="shared" si="7"/>
        <v>(${Variables:E2_3_1_47_kcat} * E2_3_1_47 * C19845*C00041)/(${Variables:E2_3_1_47_km} + (E2_3_1_47 * C19845*C00041))</v>
      </c>
      <c r="K556" s="79" t="str">
        <f t="shared" si="8"/>
        <v>r555: C19845+C00041 -&gt; C01092+C00229+C00011 | (${Variables:E2_3_1_47_kcat} * E2_3_1_47 * C19845*C00041)/(${Variables:E2_3_1_47_km} + (E2_3_1_47 * C19845*C00041))</v>
      </c>
    </row>
    <row r="557" spans="1:11" ht="26.5" x14ac:dyDescent="0.35">
      <c r="A557" s="78" t="s">
        <v>4613</v>
      </c>
      <c r="B557" s="49" t="s">
        <v>4614</v>
      </c>
      <c r="C557" s="49" t="s">
        <v>14851</v>
      </c>
      <c r="D557" s="49">
        <v>556</v>
      </c>
      <c r="E557" s="78" t="str">
        <f t="shared" si="6"/>
        <v>E2_1_1_197</v>
      </c>
      <c r="F557" s="78" t="s">
        <v>14075</v>
      </c>
      <c r="G557" s="78" t="s">
        <v>14076</v>
      </c>
      <c r="H557" s="78" t="s">
        <v>14077</v>
      </c>
      <c r="I557" s="78" t="s">
        <v>14078</v>
      </c>
      <c r="J557" s="78" t="str">
        <f t="shared" si="7"/>
        <v>(${Variables:E2_1_1_197_kcat} * E2_1_1_197 * C00019*C01209)/(${Variables:E2_1_1_197_km} + (E2_1_1_197 * C00019*C01209))</v>
      </c>
      <c r="K557" s="79" t="str">
        <f t="shared" si="8"/>
        <v>r556: C00019+C01209 -&gt; C00021+C19673 | (${Variables:E2_1_1_197_kcat} * E2_1_1_197 * C00019*C01209)/(${Variables:E2_1_1_197_km} + (E2_1_1_197 * C00019*C01209))</v>
      </c>
    </row>
    <row r="558" spans="1:11" ht="26.5" x14ac:dyDescent="0.35">
      <c r="A558" s="78" t="s">
        <v>4620</v>
      </c>
      <c r="B558" s="49" t="s">
        <v>4621</v>
      </c>
      <c r="C558" s="49" t="s">
        <v>14852</v>
      </c>
      <c r="D558" s="49">
        <v>557</v>
      </c>
      <c r="E558" s="78" t="str">
        <f t="shared" si="6"/>
        <v>E6_3_3_3</v>
      </c>
      <c r="F558" s="78" t="s">
        <v>14079</v>
      </c>
      <c r="G558" s="78" t="s">
        <v>14080</v>
      </c>
      <c r="H558" s="78" t="s">
        <v>14081</v>
      </c>
      <c r="I558" s="78" t="s">
        <v>14082</v>
      </c>
      <c r="J558" s="78" t="str">
        <f t="shared" si="7"/>
        <v>(${Variables:E6_3_3_3_kcat} * E6_3_3_3 * C00002*C01037*C00011)/(${Variables:E6_3_3_3_km} + (E6_3_3_3 * C00002*C01037*C00011))</v>
      </c>
      <c r="K558" s="79" t="str">
        <f t="shared" si="8"/>
        <v>r557: C00002+C01037+C00011 -&gt; C00008+C00009+C01909 | (${Variables:E6_3_3_3_kcat} * E6_3_3_3 * C00002*C01037*C00011)/(${Variables:E6_3_3_3_km} + (E6_3_3_3 * C00002*C01037*C00011))</v>
      </c>
    </row>
    <row r="559" spans="1:11" ht="26.5" x14ac:dyDescent="0.35">
      <c r="A559" s="78" t="s">
        <v>4624</v>
      </c>
      <c r="B559" s="49" t="s">
        <v>4625</v>
      </c>
      <c r="C559" s="49" t="s">
        <v>14852</v>
      </c>
      <c r="D559" s="49">
        <v>558</v>
      </c>
      <c r="E559" s="78" t="str">
        <f t="shared" si="6"/>
        <v>E6_3_3_3</v>
      </c>
      <c r="F559" s="78" t="s">
        <v>14083</v>
      </c>
      <c r="G559" s="78" t="s">
        <v>14084</v>
      </c>
      <c r="H559" s="78" t="s">
        <v>8502</v>
      </c>
      <c r="I559" s="78" t="s">
        <v>8502</v>
      </c>
      <c r="J559" s="78" t="str">
        <f t="shared" si="7"/>
        <v>(${Variables:E6_3_3_3_kcat} * E6_3_3_3 * C01037*C00011)/(${Variables:E6_3_3_3_km} + (E6_3_3_3 * C01037*C00011))</v>
      </c>
      <c r="K559" s="79" t="str">
        <f t="shared" si="8"/>
        <v>r558: C01037+C00011 -&gt; C22458 | (${Variables:E6_3_3_3_kcat} * E6_3_3_3 * C01037*C00011)/(${Variables:E6_3_3_3_km} + (E6_3_3_3 * C01037*C00011))</v>
      </c>
    </row>
    <row r="560" spans="1:11" ht="26.5" x14ac:dyDescent="0.35">
      <c r="A560" s="78" t="s">
        <v>4624</v>
      </c>
      <c r="B560" s="49" t="s">
        <v>4625</v>
      </c>
      <c r="C560" s="49" t="s">
        <v>14852</v>
      </c>
      <c r="D560" s="49">
        <v>559</v>
      </c>
      <c r="E560" s="78" t="str">
        <f t="shared" si="6"/>
        <v>E6_3_3_3</v>
      </c>
      <c r="F560" s="78" t="s">
        <v>14085</v>
      </c>
      <c r="G560" s="78" t="s">
        <v>14086</v>
      </c>
      <c r="H560" s="78" t="s">
        <v>14087</v>
      </c>
      <c r="I560" s="78" t="s">
        <v>14088</v>
      </c>
      <c r="J560" s="78" t="str">
        <f t="shared" si="7"/>
        <v>(${Variables:E6_3_3_3_kcat} * E6_3_3_3 * C22458*C00002)/(${Variables:E6_3_3_3_km} + (E6_3_3_3 * C22458*C00002))</v>
      </c>
      <c r="K560" s="79" t="str">
        <f t="shared" si="8"/>
        <v>r559: C22458+C00002 -&gt; C01909+C00008+C00009 | (${Variables:E6_3_3_3_kcat} * E6_3_3_3 * C22458*C00002)/(${Variables:E6_3_3_3_km} + (E6_3_3_3 * C22458*C00002))</v>
      </c>
    </row>
    <row r="561" spans="1:11" ht="26.5" x14ac:dyDescent="0.35">
      <c r="A561" s="78" t="s">
        <v>4624</v>
      </c>
      <c r="B561" s="49" t="s">
        <v>4625</v>
      </c>
      <c r="C561" s="49" t="s">
        <v>14853</v>
      </c>
      <c r="D561" s="49">
        <v>560</v>
      </c>
      <c r="E561" s="78" t="str">
        <f t="shared" si="6"/>
        <v>E2_5_1_54</v>
      </c>
      <c r="F561" s="78" t="s">
        <v>14089</v>
      </c>
      <c r="G561" s="78" t="s">
        <v>14090</v>
      </c>
      <c r="H561" s="78" t="s">
        <v>14091</v>
      </c>
      <c r="I561" s="78" t="s">
        <v>14092</v>
      </c>
      <c r="J561" s="78" t="str">
        <f t="shared" si="7"/>
        <v>(${Variables:E2_5_1_54_kcat} * E2_5_1_54 * C00074*C00279*C00001)/(${Variables:E2_5_1_54_km} + (E2_5_1_54 * C00074*C00279*C00001))</v>
      </c>
      <c r="K561" s="79" t="str">
        <f t="shared" si="8"/>
        <v>r560: C00074+C00279+C00001 -&gt; C04691+C00009 | (${Variables:E2_5_1_54_kcat} * E2_5_1_54 * C00074*C00279*C00001)/(${Variables:E2_5_1_54_km} + (E2_5_1_54 * C00074*C00279*C00001))</v>
      </c>
    </row>
    <row r="562" spans="1:11" ht="26.5" x14ac:dyDescent="0.35">
      <c r="A562" s="78" t="s">
        <v>4636</v>
      </c>
      <c r="B562" s="49" t="s">
        <v>4637</v>
      </c>
      <c r="C562" s="49" t="s">
        <v>14854</v>
      </c>
      <c r="D562" s="49">
        <v>561</v>
      </c>
      <c r="E562" s="78" t="str">
        <f t="shared" si="6"/>
        <v>E2_3_1_41</v>
      </c>
      <c r="F562" s="78" t="s">
        <v>14093</v>
      </c>
      <c r="G562" s="78" t="s">
        <v>14094</v>
      </c>
      <c r="H562" s="78" t="s">
        <v>14095</v>
      </c>
      <c r="I562" s="78" t="s">
        <v>14096</v>
      </c>
      <c r="J562" s="78" t="str">
        <f t="shared" si="7"/>
        <v>(${Variables:E2_3_1_41_kcat} * E2_3_1_41 * C00173*C01209)/(${Variables:E2_3_1_41_km} + (E2_3_1_41 * C00173*C01209))</v>
      </c>
      <c r="K562" s="79" t="str">
        <f t="shared" si="8"/>
        <v>r561: C00173+C01209 -&gt; C00685+C00011+C00229 | (${Variables:E2_3_1_41_kcat} * E2_3_1_41 * C00173*C01209)/(${Variables:E2_3_1_41_km} + (E2_3_1_41 * C00173*C01209))</v>
      </c>
    </row>
    <row r="563" spans="1:11" ht="26.5" x14ac:dyDescent="0.35">
      <c r="A563" s="78" t="s">
        <v>4678</v>
      </c>
      <c r="B563" s="49" t="s">
        <v>4679</v>
      </c>
      <c r="C563" s="49" t="s">
        <v>14854</v>
      </c>
      <c r="D563" s="49">
        <v>562</v>
      </c>
      <c r="E563" s="78" t="str">
        <f t="shared" si="6"/>
        <v>E2_3_1_41</v>
      </c>
      <c r="F563" s="78" t="s">
        <v>14097</v>
      </c>
      <c r="G563" s="78" t="s">
        <v>14098</v>
      </c>
      <c r="H563" s="78" t="s">
        <v>14099</v>
      </c>
      <c r="I563" s="78" t="s">
        <v>14100</v>
      </c>
      <c r="J563" s="78" t="str">
        <f t="shared" si="7"/>
        <v>(${Variables:E2_3_1_41_kcat} * E2_3_1_41 * C03939*C01209)/(${Variables:E2_3_1_41_km} + (E2_3_1_41 * C03939*C01209))</v>
      </c>
      <c r="K563" s="79" t="str">
        <f t="shared" si="8"/>
        <v>r562: C03939+C01209 -&gt; C05744+C00011+C00229 | (${Variables:E2_3_1_41_kcat} * E2_3_1_41 * C03939*C01209)/(${Variables:E2_3_1_41_km} + (E2_3_1_41 * C03939*C01209))</v>
      </c>
    </row>
    <row r="564" spans="1:11" ht="26.5" x14ac:dyDescent="0.35">
      <c r="A564" s="78" t="s">
        <v>4678</v>
      </c>
      <c r="B564" s="49" t="s">
        <v>4679</v>
      </c>
      <c r="C564" s="49" t="s">
        <v>14854</v>
      </c>
      <c r="D564" s="49">
        <v>563</v>
      </c>
      <c r="E564" s="78" t="str">
        <f t="shared" si="6"/>
        <v>E2_3_1_41</v>
      </c>
      <c r="F564" s="78" t="s">
        <v>14101</v>
      </c>
      <c r="G564" s="78" t="s">
        <v>14102</v>
      </c>
      <c r="H564" s="78" t="s">
        <v>14103</v>
      </c>
      <c r="I564" s="78" t="s">
        <v>14104</v>
      </c>
      <c r="J564" s="78" t="str">
        <f t="shared" si="7"/>
        <v>(${Variables:E2_3_1_41_kcat} * E2_3_1_41 * C05223*C01209)/(${Variables:E2_3_1_41_km} + (E2_3_1_41 * C05223*C01209))</v>
      </c>
      <c r="K564" s="79" t="str">
        <f t="shared" si="8"/>
        <v>r563: C05223+C01209 -&gt; C05759+C00011+C00229 | (${Variables:E2_3_1_41_kcat} * E2_3_1_41 * C05223*C01209)/(${Variables:E2_3_1_41_km} + (E2_3_1_41 * C05223*C01209))</v>
      </c>
    </row>
    <row r="565" spans="1:11" ht="26.5" x14ac:dyDescent="0.35">
      <c r="A565" s="78" t="s">
        <v>4678</v>
      </c>
      <c r="B565" s="49" t="s">
        <v>4679</v>
      </c>
      <c r="C565" s="49" t="s">
        <v>14854</v>
      </c>
      <c r="D565" s="49">
        <v>564</v>
      </c>
      <c r="E565" s="78" t="str">
        <f t="shared" si="6"/>
        <v>E2_3_1_41</v>
      </c>
      <c r="F565" s="78" t="s">
        <v>14105</v>
      </c>
      <c r="G565" s="78" t="s">
        <v>14106</v>
      </c>
      <c r="H565" s="78" t="s">
        <v>14107</v>
      </c>
      <c r="I565" s="78" t="s">
        <v>14108</v>
      </c>
      <c r="J565" s="78" t="str">
        <f t="shared" si="7"/>
        <v>(${Variables:E2_3_1_41_kcat} * E2_3_1_41 * C05745*C01209)/(${Variables:E2_3_1_41_km} + (E2_3_1_41 * C05745*C01209))</v>
      </c>
      <c r="K565" s="79" t="str">
        <f t="shared" si="8"/>
        <v>r564: C05745+C01209 -&gt; C05746+C00011+C00229 | (${Variables:E2_3_1_41_kcat} * E2_3_1_41 * C05745*C01209)/(${Variables:E2_3_1_41_km} + (E2_3_1_41 * C05745*C01209))</v>
      </c>
    </row>
    <row r="566" spans="1:11" ht="26.5" x14ac:dyDescent="0.35">
      <c r="A566" s="78" t="s">
        <v>4678</v>
      </c>
      <c r="B566" s="49" t="s">
        <v>4679</v>
      </c>
      <c r="C566" s="49" t="s">
        <v>14854</v>
      </c>
      <c r="D566" s="49">
        <v>565</v>
      </c>
      <c r="E566" s="78" t="str">
        <f t="shared" si="6"/>
        <v>E2_3_1_41</v>
      </c>
      <c r="F566" s="78" t="s">
        <v>14109</v>
      </c>
      <c r="G566" s="78" t="s">
        <v>14110</v>
      </c>
      <c r="H566" s="78" t="s">
        <v>14111</v>
      </c>
      <c r="I566" s="78" t="s">
        <v>14112</v>
      </c>
      <c r="J566" s="78" t="str">
        <f t="shared" si="7"/>
        <v>(${Variables:E2_3_1_41_kcat} * E2_3_1_41 * C05749*C01209)/(${Variables:E2_3_1_41_km} + (E2_3_1_41 * C05749*C01209))</v>
      </c>
      <c r="K566" s="79" t="str">
        <f t="shared" si="8"/>
        <v>r565: C05749+C01209 -&gt; C05750+C00011+C00229 | (${Variables:E2_3_1_41_kcat} * E2_3_1_41 * C05749*C01209)/(${Variables:E2_3_1_41_km} + (E2_3_1_41 * C05749*C01209))</v>
      </c>
    </row>
    <row r="567" spans="1:11" ht="26.5" x14ac:dyDescent="0.35">
      <c r="A567" s="78" t="s">
        <v>4678</v>
      </c>
      <c r="B567" s="49" t="s">
        <v>4679</v>
      </c>
      <c r="C567" s="49" t="s">
        <v>14854</v>
      </c>
      <c r="D567" s="49">
        <v>566</v>
      </c>
      <c r="E567" s="78" t="str">
        <f t="shared" si="6"/>
        <v>E2_3_1_41</v>
      </c>
      <c r="F567" s="78" t="s">
        <v>14113</v>
      </c>
      <c r="G567" s="78" t="s">
        <v>14114</v>
      </c>
      <c r="H567" s="78" t="s">
        <v>14115</v>
      </c>
      <c r="I567" s="78" t="s">
        <v>14116</v>
      </c>
      <c r="J567" s="78" t="str">
        <f t="shared" si="7"/>
        <v>(${Variables:E2_3_1_41_kcat} * E2_3_1_41 * C05752*C01209)/(${Variables:E2_3_1_41_km} + (E2_3_1_41 * C05752*C01209))</v>
      </c>
      <c r="K567" s="79" t="str">
        <f t="shared" si="8"/>
        <v>r566: C05752+C01209 -&gt; C05753+C00011+C00229 | (${Variables:E2_3_1_41_kcat} * E2_3_1_41 * C05752*C01209)/(${Variables:E2_3_1_41_km} + (E2_3_1_41 * C05752*C01209))</v>
      </c>
    </row>
    <row r="568" spans="1:11" ht="26.5" x14ac:dyDescent="0.35">
      <c r="A568" s="78" t="s">
        <v>4678</v>
      </c>
      <c r="B568" s="49" t="s">
        <v>4679</v>
      </c>
      <c r="C568" s="49" t="s">
        <v>14854</v>
      </c>
      <c r="D568" s="49">
        <v>567</v>
      </c>
      <c r="E568" s="78" t="str">
        <f t="shared" si="6"/>
        <v>E2_3_1_41</v>
      </c>
      <c r="F568" s="78" t="s">
        <v>14117</v>
      </c>
      <c r="G568" s="78" t="s">
        <v>14118</v>
      </c>
      <c r="H568" s="78" t="s">
        <v>14119</v>
      </c>
      <c r="I568" s="78" t="s">
        <v>14120</v>
      </c>
      <c r="J568" s="78" t="str">
        <f t="shared" si="7"/>
        <v>(${Variables:E2_3_1_41_kcat} * E2_3_1_41 * C05755*C01209)/(${Variables:E2_3_1_41_km} + (E2_3_1_41 * C05755*C01209))</v>
      </c>
      <c r="K568" s="79" t="str">
        <f t="shared" si="8"/>
        <v>r567: C05755+C01209 -&gt; C05756+C00011+C00229 | (${Variables:E2_3_1_41_kcat} * E2_3_1_41 * C05755*C01209)/(${Variables:E2_3_1_41_km} + (E2_3_1_41 * C05755*C01209))</v>
      </c>
    </row>
    <row r="569" spans="1:11" ht="26.5" x14ac:dyDescent="0.35">
      <c r="A569" s="78" t="s">
        <v>4678</v>
      </c>
      <c r="B569" s="49" t="s">
        <v>4679</v>
      </c>
      <c r="C569" s="49" t="s">
        <v>14854</v>
      </c>
      <c r="D569" s="49">
        <v>568</v>
      </c>
      <c r="E569" s="78" t="str">
        <f t="shared" si="6"/>
        <v>E2_3_1_41</v>
      </c>
      <c r="F569" s="78" t="s">
        <v>14121</v>
      </c>
      <c r="G569" s="78" t="s">
        <v>14122</v>
      </c>
      <c r="H569" s="78" t="s">
        <v>14123</v>
      </c>
      <c r="I569" s="78" t="s">
        <v>14124</v>
      </c>
      <c r="J569" s="78" t="str">
        <f t="shared" si="7"/>
        <v>(${Variables:E2_3_1_41_kcat} * E2_3_1_41 * C05761*C01209)/(${Variables:E2_3_1_41_km} + (E2_3_1_41 * C05761*C01209))</v>
      </c>
      <c r="K569" s="79" t="str">
        <f t="shared" si="8"/>
        <v>r568: C05761+C01209 -&gt; C05762+C00011+C00229 | (${Variables:E2_3_1_41_kcat} * E2_3_1_41 * C05761*C01209)/(${Variables:E2_3_1_41_km} + (E2_3_1_41 * C05761*C01209))</v>
      </c>
    </row>
    <row r="570" spans="1:11" ht="26.5" x14ac:dyDescent="0.35">
      <c r="A570" s="78" t="s">
        <v>4678</v>
      </c>
      <c r="B570" s="49" t="s">
        <v>4679</v>
      </c>
      <c r="C570" s="49" t="s">
        <v>14854</v>
      </c>
      <c r="D570" s="49">
        <v>569</v>
      </c>
      <c r="E570" s="78" t="str">
        <f t="shared" si="6"/>
        <v>E2_3_1_41</v>
      </c>
      <c r="F570" s="78" t="s">
        <v>14125</v>
      </c>
      <c r="G570" s="78" t="s">
        <v>14126</v>
      </c>
      <c r="H570" s="78" t="s">
        <v>14127</v>
      </c>
      <c r="I570" s="78" t="s">
        <v>14128</v>
      </c>
      <c r="J570" s="78" t="str">
        <f t="shared" si="7"/>
        <v>(${Variables:E2_3_1_41_kcat} * E2_3_1_41 * C05764*C01209)/(${Variables:E2_3_1_41_km} + (E2_3_1_41 * C05764*C01209))</v>
      </c>
      <c r="K570" s="79" t="str">
        <f t="shared" si="8"/>
        <v>r569: C05764+C01209 -&gt; C16219+C00229+C00011 | (${Variables:E2_3_1_41_kcat} * E2_3_1_41 * C05764*C01209)/(${Variables:E2_3_1_41_km} + (E2_3_1_41 * C05764*C01209))</v>
      </c>
    </row>
    <row r="571" spans="1:11" ht="26.5" x14ac:dyDescent="0.35">
      <c r="A571" s="78" t="s">
        <v>4678</v>
      </c>
      <c r="B571" s="49" t="s">
        <v>4679</v>
      </c>
      <c r="C571" s="49" t="s">
        <v>14854</v>
      </c>
      <c r="D571" s="49">
        <v>570</v>
      </c>
      <c r="E571" s="78" t="str">
        <f t="shared" si="6"/>
        <v>E2_3_1_41</v>
      </c>
      <c r="F571" s="78" t="s">
        <v>14129</v>
      </c>
      <c r="G571" s="78" t="s">
        <v>14130</v>
      </c>
      <c r="H571" s="78" t="s">
        <v>14131</v>
      </c>
      <c r="I571" s="78" t="s">
        <v>14132</v>
      </c>
      <c r="J571" s="78" t="str">
        <f t="shared" si="7"/>
        <v>(${Variables:E2_3_1_41_kcat} * E2_3_1_41 * C19673*C01209)/(${Variables:E2_3_1_41_km} + (E2_3_1_41 * C19673*C01209))</v>
      </c>
      <c r="K571" s="79" t="str">
        <f t="shared" si="8"/>
        <v>r570: C19673+C01209 -&gt; C20372+C00011+C00229 | (${Variables:E2_3_1_41_kcat} * E2_3_1_41 * C19673*C01209)/(${Variables:E2_3_1_41_km} + (E2_3_1_41 * C19673*C01209))</v>
      </c>
    </row>
    <row r="572" spans="1:11" ht="26.5" x14ac:dyDescent="0.35">
      <c r="A572" s="78" t="s">
        <v>4678</v>
      </c>
      <c r="B572" s="49" t="s">
        <v>4679</v>
      </c>
      <c r="C572" s="49" t="s">
        <v>14854</v>
      </c>
      <c r="D572" s="49">
        <v>571</v>
      </c>
      <c r="E572" s="78" t="str">
        <f t="shared" si="6"/>
        <v>E2_3_1_41</v>
      </c>
      <c r="F572" s="78" t="s">
        <v>14133</v>
      </c>
      <c r="G572" s="78" t="s">
        <v>14134</v>
      </c>
      <c r="H572" s="78" t="s">
        <v>14135</v>
      </c>
      <c r="I572" s="78" t="s">
        <v>14136</v>
      </c>
      <c r="J572" s="78" t="str">
        <f t="shared" si="7"/>
        <v>(${Variables:E2_3_1_41_kcat} * E2_3_1_41 * C20375*C01209)/(${Variables:E2_3_1_41_km} + (E2_3_1_41 * C20375*C01209))</v>
      </c>
      <c r="K572" s="79" t="str">
        <f t="shared" si="8"/>
        <v>r571: C20375+C01209 -&gt; C20376+C00011+C00229 | (${Variables:E2_3_1_41_kcat} * E2_3_1_41 * C20375*C01209)/(${Variables:E2_3_1_41_km} + (E2_3_1_41 * C20375*C01209))</v>
      </c>
    </row>
    <row r="573" spans="1:11" ht="26.5" x14ac:dyDescent="0.35">
      <c r="A573" s="78" t="s">
        <v>4678</v>
      </c>
      <c r="B573" s="49" t="s">
        <v>4679</v>
      </c>
      <c r="C573" s="49" t="s">
        <v>14855</v>
      </c>
      <c r="D573" s="49">
        <v>572</v>
      </c>
      <c r="E573" s="78" t="str">
        <f t="shared" si="6"/>
        <v>E2_7_1_167</v>
      </c>
      <c r="F573" s="78" t="s">
        <v>14137</v>
      </c>
      <c r="G573" s="78" t="s">
        <v>14138</v>
      </c>
      <c r="H573" s="78" t="s">
        <v>14139</v>
      </c>
      <c r="I573" s="78" t="s">
        <v>14140</v>
      </c>
      <c r="J573" s="78" t="str">
        <f t="shared" si="7"/>
        <v>(${Variables:E2_7_1_167_kcat} * E2_7_1_167 * C00002*C07836)/(${Variables:E2_7_1_167_km} + (E2_7_1_167 * C00002*C07836))</v>
      </c>
      <c r="K573" s="79" t="str">
        <f t="shared" si="8"/>
        <v>r572: C00002+C07836 -&gt; C00008+C11472 | (${Variables:E2_7_1_167_kcat} * E2_7_1_167 * C00002*C07836)/(${Variables:E2_7_1_167_km} + (E2_7_1_167 * C00002*C07836))</v>
      </c>
    </row>
    <row r="574" spans="1:11" ht="26.5" x14ac:dyDescent="0.35">
      <c r="A574" s="78" t="s">
        <v>4704</v>
      </c>
      <c r="B574" s="49" t="s">
        <v>4705</v>
      </c>
      <c r="C574" s="49" t="s">
        <v>14856</v>
      </c>
      <c r="D574" s="49">
        <v>573</v>
      </c>
      <c r="E574" s="78" t="str">
        <f t="shared" si="6"/>
        <v>E6_1_1_22</v>
      </c>
      <c r="F574" s="78" t="s">
        <v>14141</v>
      </c>
      <c r="G574" s="78" t="s">
        <v>14142</v>
      </c>
      <c r="H574" s="78" t="s">
        <v>14143</v>
      </c>
      <c r="I574" s="78" t="s">
        <v>14144</v>
      </c>
      <c r="J574" s="78" t="str">
        <f t="shared" si="7"/>
        <v>(${Variables:E6_1_1_22_kcat} * E6_1_1_22 * C00002*C00152*C01637)/(${Variables:E6_1_1_22_km} + (E6_1_1_22 * C00002*C00152*C01637))</v>
      </c>
      <c r="K574" s="79" t="str">
        <f t="shared" si="8"/>
        <v>r573: C00002+C00152+C01637 -&gt; C00020+C00013+C03402 | (${Variables:E6_1_1_22_kcat} * E6_1_1_22 * C00002*C00152*C01637)/(${Variables:E6_1_1_22_km} + (E6_1_1_22 * C00002*C00152*C01637))</v>
      </c>
    </row>
    <row r="575" spans="1:11" ht="26.5" x14ac:dyDescent="0.35">
      <c r="A575" s="78" t="s">
        <v>4718</v>
      </c>
      <c r="B575" s="49" t="s">
        <v>4719</v>
      </c>
      <c r="C575" s="49" t="s">
        <v>14857</v>
      </c>
      <c r="D575" s="49">
        <v>574</v>
      </c>
      <c r="E575" s="78" t="str">
        <f t="shared" si="6"/>
        <v>E2_5_1_78</v>
      </c>
      <c r="F575" s="78" t="s">
        <v>14145</v>
      </c>
      <c r="G575" s="78" t="s">
        <v>14146</v>
      </c>
      <c r="H575" s="78" t="s">
        <v>14147</v>
      </c>
      <c r="I575" s="78" t="s">
        <v>14148</v>
      </c>
      <c r="J575" s="78" t="str">
        <f t="shared" si="7"/>
        <v>(${Variables:E2_5_1_78_kcat} * E2_5_1_78 * C04732*C15556)/(${Variables:E2_5_1_78_km} + (E2_5_1_78 * C04732*C15556))</v>
      </c>
      <c r="K575" s="79" t="str">
        <f t="shared" si="8"/>
        <v>r574: C04732+C15556 -&gt; C04332+C00001+C00009 | (${Variables:E2_5_1_78_kcat} * E2_5_1_78 * C04732*C15556)/(${Variables:E2_5_1_78_km} + (E2_5_1_78 * C04732*C15556))</v>
      </c>
    </row>
    <row r="576" spans="1:11" ht="26.5" x14ac:dyDescent="0.35">
      <c r="A576" s="78" t="s">
        <v>4721</v>
      </c>
      <c r="B576" s="49" t="s">
        <v>4722</v>
      </c>
      <c r="C576" s="49" t="s">
        <v>14858</v>
      </c>
      <c r="D576" s="49">
        <v>575</v>
      </c>
      <c r="E576" s="78" t="str">
        <f t="shared" si="6"/>
        <v>E2_7_4_16</v>
      </c>
      <c r="F576" s="78" t="s">
        <v>14149</v>
      </c>
      <c r="G576" s="78" t="s">
        <v>14150</v>
      </c>
      <c r="H576" s="78" t="s">
        <v>14151</v>
      </c>
      <c r="I576" s="78" t="s">
        <v>14152</v>
      </c>
      <c r="J576" s="78" t="str">
        <f t="shared" si="7"/>
        <v>(${Variables:E2_7_4_16_kcat} * E2_7_4_16 * C00002*C01081)/(${Variables:E2_7_4_16_km} + (E2_7_4_16 * C00002*C01081))</v>
      </c>
      <c r="K576" s="79" t="str">
        <f t="shared" si="8"/>
        <v>r575: C00002+C01081 -&gt; C00008+C00068 | (${Variables:E2_7_4_16_kcat} * E2_7_4_16 * C00002*C01081)/(${Variables:E2_7_4_16_km} + (E2_7_4_16 * C00002*C01081))</v>
      </c>
    </row>
    <row r="577" spans="1:11" ht="26.5" x14ac:dyDescent="0.35">
      <c r="A577" s="78" t="s">
        <v>4729</v>
      </c>
      <c r="B577" s="49" t="s">
        <v>4730</v>
      </c>
      <c r="C577" s="49" t="s">
        <v>14859</v>
      </c>
      <c r="D577" s="49">
        <v>576</v>
      </c>
      <c r="E577" s="78" t="str">
        <f t="shared" si="6"/>
        <v>E3_1_3_27</v>
      </c>
      <c r="F577" s="78" t="s">
        <v>14153</v>
      </c>
      <c r="G577" s="78" t="s">
        <v>14154</v>
      </c>
      <c r="H577" s="78" t="s">
        <v>14155</v>
      </c>
      <c r="I577" s="78" t="s">
        <v>14156</v>
      </c>
      <c r="J577" s="78" t="str">
        <f t="shared" si="7"/>
        <v>(${Variables:E3_1_3_27_kcat} * E3_1_3_27 * C03892*C00001)/(${Variables:E3_1_3_27_km} + (E3_1_3_27 * C03892*C00001))</v>
      </c>
      <c r="K577" s="79" t="str">
        <f t="shared" si="8"/>
        <v>r576: C03892+C00001 -&gt; C00344+C00009 | (${Variables:E3_1_3_27_kcat} * E3_1_3_27 * C03892*C00001)/(${Variables:E3_1_3_27_km} + (E3_1_3_27 * C03892*C00001))</v>
      </c>
    </row>
    <row r="578" spans="1:11" ht="26.5" x14ac:dyDescent="0.35">
      <c r="A578" s="78" t="s">
        <v>4732</v>
      </c>
      <c r="B578" s="49" t="s">
        <v>4733</v>
      </c>
      <c r="C578" s="49" t="s">
        <v>14860</v>
      </c>
      <c r="D578" s="49">
        <v>577</v>
      </c>
      <c r="E578" s="78" t="str">
        <f t="shared" si="6"/>
        <v>E1_17_1_8</v>
      </c>
      <c r="F578" s="78" t="s">
        <v>14157</v>
      </c>
      <c r="G578" s="78" t="s">
        <v>14158</v>
      </c>
      <c r="H578" s="78" t="s">
        <v>14159</v>
      </c>
      <c r="I578" s="78" t="s">
        <v>14160</v>
      </c>
      <c r="J578" s="78" t="str">
        <f t="shared" si="7"/>
        <v>(${Variables:E1_17_1_8_kcat} * E1_17_1_8 * C03972*C00003*C00001)/(${Variables:E1_17_1_8_km} + (E1_17_1_8 * C03972*C00003*C00001))</v>
      </c>
      <c r="K578" s="79" t="str">
        <f t="shared" si="8"/>
        <v>r577: C03972+C00003+C00001 -&gt; C20258+C00004+C00080 | (${Variables:E1_17_1_8_kcat} * E1_17_1_8 * C03972*C00003*C00001)/(${Variables:E1_17_1_8_km} + (E1_17_1_8 * C03972*C00003*C00001))</v>
      </c>
    </row>
    <row r="579" spans="1:11" ht="26.5" x14ac:dyDescent="0.35">
      <c r="A579" s="78" t="s">
        <v>4739</v>
      </c>
      <c r="B579" s="49" t="s">
        <v>4740</v>
      </c>
      <c r="C579" s="49" t="s">
        <v>14860</v>
      </c>
      <c r="D579" s="49">
        <v>578</v>
      </c>
      <c r="E579" s="78" t="str">
        <f t="shared" si="6"/>
        <v>E1_17_1_8</v>
      </c>
      <c r="F579" s="78" t="s">
        <v>14161</v>
      </c>
      <c r="G579" s="78" t="s">
        <v>14162</v>
      </c>
      <c r="H579" s="78" t="s">
        <v>14163</v>
      </c>
      <c r="I579" s="78" t="s">
        <v>14164</v>
      </c>
      <c r="J579" s="78" t="str">
        <f t="shared" si="7"/>
        <v>(${Variables:E1_17_1_8_kcat} * E1_17_1_8 * C03972*C00006*C00001)/(${Variables:E1_17_1_8_km} + (E1_17_1_8 * C03972*C00006*C00001))</v>
      </c>
      <c r="K579" s="79" t="str">
        <f t="shared" si="8"/>
        <v>r578: C03972+C00006+C00001 -&gt; C20258+C00005+C00080 | (${Variables:E1_17_1_8_kcat} * E1_17_1_8 * C03972*C00006*C00001)/(${Variables:E1_17_1_8_km} + (E1_17_1_8 * C03972*C00006*C00001))</v>
      </c>
    </row>
    <row r="580" spans="1:11" ht="26.5" x14ac:dyDescent="0.35">
      <c r="A580" s="78" t="s">
        <v>4739</v>
      </c>
      <c r="B580" s="49" t="s">
        <v>4740</v>
      </c>
      <c r="C580" s="49" t="s">
        <v>14861</v>
      </c>
      <c r="D580" s="49">
        <v>579</v>
      </c>
      <c r="E580" s="78" t="str">
        <f t="shared" si="6"/>
        <v>E6_1_1_20</v>
      </c>
      <c r="F580" s="78" t="s">
        <v>14165</v>
      </c>
      <c r="G580" s="78" t="s">
        <v>14166</v>
      </c>
      <c r="H580" s="78" t="s">
        <v>14167</v>
      </c>
      <c r="I580" s="78" t="s">
        <v>14168</v>
      </c>
      <c r="J580" s="78" t="str">
        <f t="shared" si="7"/>
        <v>(${Variables:E6_1_1_20_kcat} * E6_1_1_20 * C00002*C00079*C01648)/(${Variables:E6_1_1_20_km} + (E6_1_1_20 * C00002*C00079*C01648))</v>
      </c>
      <c r="K580" s="79" t="str">
        <f t="shared" si="8"/>
        <v>r579: C00002+C00079+C01648 -&gt; C00020+C00013+C03511 | (${Variables:E6_1_1_20_kcat} * E6_1_1_20 * C00002*C00079*C01648)/(${Variables:E6_1_1_20_km} + (E6_1_1_20 * C00002*C00079*C01648))</v>
      </c>
    </row>
    <row r="581" spans="1:11" ht="26" x14ac:dyDescent="0.35">
      <c r="A581" s="78" t="s">
        <v>4749</v>
      </c>
      <c r="B581" s="49" t="s">
        <v>4750</v>
      </c>
      <c r="C581" s="49" t="s">
        <v>14862</v>
      </c>
      <c r="D581" s="49">
        <v>580</v>
      </c>
      <c r="E581" s="78" t="str">
        <f t="shared" si="6"/>
        <v>E5_3_3_14</v>
      </c>
      <c r="F581" s="78" t="s">
        <v>8591</v>
      </c>
      <c r="G581" s="78" t="s">
        <v>8591</v>
      </c>
      <c r="H581" s="78" t="s">
        <v>8592</v>
      </c>
      <c r="I581" s="78" t="s">
        <v>8592</v>
      </c>
      <c r="J581" s="78" t="str">
        <f t="shared" si="7"/>
        <v>(${Variables:E5_3_3_14_kcat} * E5_3_3_14 * C05754)/(${Variables:E5_3_3_14_km} + (E5_3_3_14 * C05754))</v>
      </c>
      <c r="K581" s="79" t="str">
        <f t="shared" si="8"/>
        <v>r580: C05754 -&gt; C04180 | (${Variables:E5_3_3_14_kcat} * E5_3_3_14 * C05754)/(${Variables:E5_3_3_14_km} + (E5_3_3_14 * C05754))</v>
      </c>
    </row>
    <row r="582" spans="1:11" ht="26.5" x14ac:dyDescent="0.35">
      <c r="A582" s="78" t="s">
        <v>4818</v>
      </c>
      <c r="B582" s="49" t="s">
        <v>4819</v>
      </c>
      <c r="C582" s="49" t="s">
        <v>14863</v>
      </c>
      <c r="D582" s="49">
        <v>581</v>
      </c>
      <c r="E582" s="78" t="str">
        <f t="shared" si="6"/>
        <v>E2_5_1_15</v>
      </c>
      <c r="F582" s="78" t="s">
        <v>14169</v>
      </c>
      <c r="G582" s="78" t="s">
        <v>14170</v>
      </c>
      <c r="H582" s="78" t="s">
        <v>14171</v>
      </c>
      <c r="I582" s="78" t="s">
        <v>14172</v>
      </c>
      <c r="J582" s="78" t="str">
        <f t="shared" si="7"/>
        <v>(${Variables:E2_5_1_15_kcat} * E2_5_1_15 * C04807*C00568)/(${Variables:E2_5_1_15_km} + (E2_5_1_15 * C04807*C00568))</v>
      </c>
      <c r="K582" s="79" t="str">
        <f t="shared" si="8"/>
        <v>r581: C04807+C00568 -&gt; C00013+C00921 | (${Variables:E2_5_1_15_kcat} * E2_5_1_15 * C04807*C00568)/(${Variables:E2_5_1_15_km} + (E2_5_1_15 * C04807*C00568))</v>
      </c>
    </row>
    <row r="583" spans="1:11" ht="26.5" x14ac:dyDescent="0.35">
      <c r="A583" s="78" t="s">
        <v>4851</v>
      </c>
      <c r="B583" s="49" t="s">
        <v>4852</v>
      </c>
      <c r="C583" s="49" t="s">
        <v>14863</v>
      </c>
      <c r="D583" s="49">
        <v>582</v>
      </c>
      <c r="E583" s="78" t="str">
        <f t="shared" si="6"/>
        <v>E2_5_1_15</v>
      </c>
      <c r="F583" s="78" t="s">
        <v>14173</v>
      </c>
      <c r="G583" s="78" t="s">
        <v>14174</v>
      </c>
      <c r="H583" s="78" t="s">
        <v>14175</v>
      </c>
      <c r="I583" s="78" t="s">
        <v>14176</v>
      </c>
      <c r="J583" s="78" t="str">
        <f t="shared" si="7"/>
        <v>(${Variables:E2_5_1_15_kcat} * E2_5_1_15 * C01300*C00568)/(${Variables:E2_5_1_15_km} + (E2_5_1_15 * C01300*C00568))</v>
      </c>
      <c r="K583" s="79" t="str">
        <f t="shared" si="8"/>
        <v>r582: C01300+C00568 -&gt; C00921+C00001 | (${Variables:E2_5_1_15_kcat} * E2_5_1_15 * C01300*C00568)/(${Variables:E2_5_1_15_km} + (E2_5_1_15 * C01300*C00568))</v>
      </c>
    </row>
    <row r="584" spans="1:11" ht="26" x14ac:dyDescent="0.35">
      <c r="A584" s="78" t="s">
        <v>4851</v>
      </c>
      <c r="B584" s="49" t="s">
        <v>4852</v>
      </c>
      <c r="C584" s="49" t="s">
        <v>14864</v>
      </c>
      <c r="D584" s="49">
        <v>583</v>
      </c>
      <c r="E584" s="78" t="str">
        <f t="shared" si="6"/>
        <v>E5_4_2_10</v>
      </c>
      <c r="F584" s="78" t="s">
        <v>8608</v>
      </c>
      <c r="G584" s="78" t="s">
        <v>8608</v>
      </c>
      <c r="H584" s="78" t="s">
        <v>8609</v>
      </c>
      <c r="I584" s="78" t="s">
        <v>8609</v>
      </c>
      <c r="J584" s="78" t="str">
        <f t="shared" si="7"/>
        <v>(${Variables:E5_4_2_10_kcat} * E5_4_2_10 * C06156)/(${Variables:E5_4_2_10_km} + (E5_4_2_10 * C06156))</v>
      </c>
      <c r="K584" s="79" t="str">
        <f t="shared" si="8"/>
        <v>r583: C06156 -&gt; C00352 | (${Variables:E5_4_2_10_kcat} * E5_4_2_10 * C06156)/(${Variables:E5_4_2_10_km} + (E5_4_2_10 * C06156))</v>
      </c>
    </row>
    <row r="585" spans="1:11" ht="26.5" x14ac:dyDescent="0.35">
      <c r="A585" s="78" t="s">
        <v>4855</v>
      </c>
      <c r="B585" s="49" t="s">
        <v>4856</v>
      </c>
      <c r="C585" s="49" t="s">
        <v>14865</v>
      </c>
      <c r="D585" s="49">
        <v>584</v>
      </c>
      <c r="E585" s="78" t="str">
        <f t="shared" si="6"/>
        <v>E2_7_7_80</v>
      </c>
      <c r="F585" s="78" t="s">
        <v>14177</v>
      </c>
      <c r="G585" s="78" t="s">
        <v>14178</v>
      </c>
      <c r="H585" s="78" t="s">
        <v>14179</v>
      </c>
      <c r="I585" s="78" t="s">
        <v>14180</v>
      </c>
      <c r="J585" s="78" t="str">
        <f t="shared" si="7"/>
        <v>(${Variables:E2_7_7_80_kcat} * E2_7_7_80 * C15810*C00002)/(${Variables:E2_7_7_80_km} + (E2_7_7_80 * C15810*C00002))</v>
      </c>
      <c r="K585" s="79" t="str">
        <f t="shared" si="8"/>
        <v>r584: C15810+C00002 -&gt; C15813+C00013 | (${Variables:E2_7_7_80_kcat} * E2_7_7_80 * C15810*C00002)/(${Variables:E2_7_7_80_km} + (E2_7_7_80 * C15810*C00002))</v>
      </c>
    </row>
    <row r="586" spans="1:11" ht="26.5" x14ac:dyDescent="0.35">
      <c r="A586" s="78" t="s">
        <v>4897</v>
      </c>
      <c r="B586" s="49" t="s">
        <v>4898</v>
      </c>
      <c r="C586" s="49" t="s">
        <v>14866</v>
      </c>
      <c r="D586" s="49">
        <v>585</v>
      </c>
      <c r="E586" s="78" t="str">
        <f t="shared" si="6"/>
        <v>E2_10_1_1</v>
      </c>
      <c r="F586" s="78" t="s">
        <v>14181</v>
      </c>
      <c r="G586" s="78" t="s">
        <v>14182</v>
      </c>
      <c r="H586" s="78" t="s">
        <v>14183</v>
      </c>
      <c r="I586" s="78" t="s">
        <v>14184</v>
      </c>
      <c r="J586" s="78" t="str">
        <f t="shared" si="7"/>
        <v>(${Variables:E2_10_1_1_kcat} * E2_10_1_1 * C19848*C06232)/(${Variables:E2_10_1_1_km} + (E2_10_1_1 * C19848*C06232))</v>
      </c>
      <c r="K586" s="79" t="str">
        <f t="shared" si="8"/>
        <v>r585: C19848+C06232 -&gt; C18237+C00020+C00001 | (${Variables:E2_10_1_1_kcat} * E2_10_1_1 * C19848*C06232)/(${Variables:E2_10_1_1_km} + (E2_10_1_1 * C19848*C06232))</v>
      </c>
    </row>
    <row r="587" spans="1:11" ht="26.5" x14ac:dyDescent="0.35">
      <c r="A587" s="78" t="s">
        <v>4901</v>
      </c>
      <c r="B587" s="49" t="s">
        <v>4902</v>
      </c>
      <c r="C587" s="49" t="s">
        <v>14867</v>
      </c>
      <c r="D587" s="49">
        <v>586</v>
      </c>
      <c r="E587" s="78" t="str">
        <f t="shared" si="6"/>
        <v>E3_5_4_16</v>
      </c>
      <c r="F587" s="78" t="s">
        <v>12529</v>
      </c>
      <c r="G587" s="78" t="s">
        <v>12530</v>
      </c>
      <c r="H587" s="78" t="s">
        <v>14185</v>
      </c>
      <c r="I587" s="78" t="s">
        <v>14186</v>
      </c>
      <c r="J587" s="78" t="str">
        <f t="shared" si="7"/>
        <v>(${Variables:E3_5_4_16_kcat} * E3_5_4_16 * C00044*C00001)/(${Variables:E3_5_4_16_km} + (E3_5_4_16 * C00044*C00001))</v>
      </c>
      <c r="K587" s="79" t="str">
        <f t="shared" si="8"/>
        <v>r586: C00044+C00001 -&gt; C04895+C00058 | (${Variables:E3_5_4_16_kcat} * E3_5_4_16 * C00044*C00001)/(${Variables:E3_5_4_16_km} + (E3_5_4_16 * C00044*C00001))</v>
      </c>
    </row>
    <row r="588" spans="1:11" ht="26.5" x14ac:dyDescent="0.35">
      <c r="A588" s="78" t="s">
        <v>4905</v>
      </c>
      <c r="B588" s="49" t="s">
        <v>4906</v>
      </c>
      <c r="C588" s="49" t="s">
        <v>14867</v>
      </c>
      <c r="D588" s="49">
        <v>587</v>
      </c>
      <c r="E588" s="78" t="str">
        <f t="shared" si="6"/>
        <v>E3_5_4_16</v>
      </c>
      <c r="F588" s="78" t="s">
        <v>12529</v>
      </c>
      <c r="G588" s="78" t="s">
        <v>12530</v>
      </c>
      <c r="H588" s="78" t="s">
        <v>8625</v>
      </c>
      <c r="I588" s="78" t="s">
        <v>8625</v>
      </c>
      <c r="J588" s="78" t="str">
        <f t="shared" si="7"/>
        <v>(${Variables:E3_5_4_16_kcat} * E3_5_4_16 * C00044*C00001)/(${Variables:E3_5_4_16_km} + (E3_5_4_16 * C00044*C00001))</v>
      </c>
      <c r="K588" s="79" t="str">
        <f t="shared" si="8"/>
        <v>r587: C00044+C00001 -&gt; C05922 | (${Variables:E3_5_4_16_kcat} * E3_5_4_16 * C00044*C00001)/(${Variables:E3_5_4_16_km} + (E3_5_4_16 * C00044*C00001))</v>
      </c>
    </row>
    <row r="589" spans="1:11" ht="26.5" x14ac:dyDescent="0.35">
      <c r="A589" s="78" t="s">
        <v>4905</v>
      </c>
      <c r="B589" s="49" t="s">
        <v>4906</v>
      </c>
      <c r="C589" s="49" t="s">
        <v>14867</v>
      </c>
      <c r="D589" s="49">
        <v>588</v>
      </c>
      <c r="E589" s="78" t="str">
        <f t="shared" si="6"/>
        <v>E3_5_4_16</v>
      </c>
      <c r="F589" s="78" t="s">
        <v>13883</v>
      </c>
      <c r="G589" s="78" t="s">
        <v>13884</v>
      </c>
      <c r="H589" s="78" t="s">
        <v>8627</v>
      </c>
      <c r="I589" s="78" t="s">
        <v>8627</v>
      </c>
      <c r="J589" s="78" t="str">
        <f t="shared" si="7"/>
        <v>(${Variables:E3_5_4_16_kcat} * E3_5_4_16 * C04895*C00001)/(${Variables:E3_5_4_16_km} + (E3_5_4_16 * C04895*C00001))</v>
      </c>
      <c r="K589" s="79" t="str">
        <f t="shared" si="8"/>
        <v>r588: C04895+C00001 -&gt; C06148 | (${Variables:E3_5_4_16_kcat} * E3_5_4_16 * C04895*C00001)/(${Variables:E3_5_4_16_km} + (E3_5_4_16 * C04895*C00001))</v>
      </c>
    </row>
    <row r="590" spans="1:11" ht="26.5" x14ac:dyDescent="0.35">
      <c r="A590" s="78" t="s">
        <v>4905</v>
      </c>
      <c r="B590" s="49" t="s">
        <v>4906</v>
      </c>
      <c r="C590" s="49" t="s">
        <v>14867</v>
      </c>
      <c r="D590" s="49">
        <v>589</v>
      </c>
      <c r="E590" s="78" t="str">
        <f t="shared" si="6"/>
        <v>E3_5_4_16</v>
      </c>
      <c r="F590" s="78" t="s">
        <v>14187</v>
      </c>
      <c r="G590" s="78" t="s">
        <v>14188</v>
      </c>
      <c r="H590" s="78" t="s">
        <v>14189</v>
      </c>
      <c r="I590" s="78" t="s">
        <v>14190</v>
      </c>
      <c r="J590" s="78" t="str">
        <f t="shared" si="7"/>
        <v>(${Variables:E3_5_4_16_kcat} * E3_5_4_16 * C05922*C00001)/(${Variables:E3_5_4_16_km} + (E3_5_4_16 * C05922*C00001))</v>
      </c>
      <c r="K590" s="79" t="str">
        <f t="shared" si="8"/>
        <v>r589: C05922+C00001 -&gt; C05923+C00058 | (${Variables:E3_5_4_16_kcat} * E3_5_4_16 * C05922*C00001)/(${Variables:E3_5_4_16_km} + (E3_5_4_16 * C05922*C00001))</v>
      </c>
    </row>
    <row r="591" spans="1:11" ht="26" x14ac:dyDescent="0.35">
      <c r="A591" s="78" t="s">
        <v>4905</v>
      </c>
      <c r="B591" s="49" t="s">
        <v>4906</v>
      </c>
      <c r="C591" s="49" t="s">
        <v>14867</v>
      </c>
      <c r="D591" s="49">
        <v>590</v>
      </c>
      <c r="E591" s="78" t="str">
        <f t="shared" si="6"/>
        <v>E3_5_4_16</v>
      </c>
      <c r="F591" s="78" t="s">
        <v>8632</v>
      </c>
      <c r="G591" s="78" t="s">
        <v>8632</v>
      </c>
      <c r="H591" s="78" t="s">
        <v>8627</v>
      </c>
      <c r="I591" s="78" t="s">
        <v>8627</v>
      </c>
      <c r="J591" s="78" t="str">
        <f t="shared" si="7"/>
        <v>(${Variables:E3_5_4_16_kcat} * E3_5_4_16 * C05923)/(${Variables:E3_5_4_16_km} + (E3_5_4_16 * C05923))</v>
      </c>
      <c r="K591" s="79" t="str">
        <f t="shared" si="8"/>
        <v>r590: C05923 -&gt; C06148 | (${Variables:E3_5_4_16_kcat} * E3_5_4_16 * C05923)/(${Variables:E3_5_4_16_km} + (E3_5_4_16 * C05923))</v>
      </c>
    </row>
    <row r="592" spans="1:11" ht="26.5" x14ac:dyDescent="0.35">
      <c r="A592" s="78" t="s">
        <v>4905</v>
      </c>
      <c r="B592" s="49" t="s">
        <v>4906</v>
      </c>
      <c r="C592" s="49" t="s">
        <v>14868</v>
      </c>
      <c r="D592" s="49">
        <v>591</v>
      </c>
      <c r="E592" s="78" t="str">
        <f t="shared" si="6"/>
        <v>E1_5_1_20</v>
      </c>
      <c r="F592" s="78" t="s">
        <v>14191</v>
      </c>
      <c r="G592" s="78" t="s">
        <v>14192</v>
      </c>
      <c r="H592" s="78" t="s">
        <v>14193</v>
      </c>
      <c r="I592" s="78" t="s">
        <v>14194</v>
      </c>
      <c r="J592" s="78" t="str">
        <f t="shared" si="7"/>
        <v>(${Variables:E1_5_1_20_kcat} * E1_5_1_20 * C00440*C00006)/(${Variables:E1_5_1_20_km} + (E1_5_1_20 * C00440*C00006))</v>
      </c>
      <c r="K592" s="79" t="str">
        <f t="shared" si="8"/>
        <v>r591: C00440+C00006 -&gt; C00143+C00005+C00080 | (${Variables:E1_5_1_20_kcat} * E1_5_1_20 * C00440*C00006)/(${Variables:E1_5_1_20_km} + (E1_5_1_20 * C00440*C00006))</v>
      </c>
    </row>
    <row r="593" spans="1:11" ht="26.5" x14ac:dyDescent="0.35">
      <c r="A593" s="78" t="s">
        <v>4914</v>
      </c>
      <c r="B593" s="49" t="s">
        <v>4915</v>
      </c>
      <c r="C593" s="49" t="s">
        <v>14868</v>
      </c>
      <c r="D593" s="49">
        <v>592</v>
      </c>
      <c r="E593" s="78" t="str">
        <f t="shared" si="6"/>
        <v>E1_5_1_20</v>
      </c>
      <c r="F593" s="78" t="s">
        <v>14195</v>
      </c>
      <c r="G593" s="78" t="s">
        <v>14196</v>
      </c>
      <c r="H593" s="78" t="s">
        <v>14197</v>
      </c>
      <c r="I593" s="78" t="s">
        <v>14198</v>
      </c>
      <c r="J593" s="78" t="str">
        <f t="shared" si="7"/>
        <v>(${Variables:E1_5_1_20_kcat} * E1_5_1_20 * C00440*C00003)/(${Variables:E1_5_1_20_km} + (E1_5_1_20 * C00440*C00003))</v>
      </c>
      <c r="K593" s="79" t="str">
        <f t="shared" si="8"/>
        <v>r592: C00440+C00003 -&gt; C00143+C00004+C00080 | (${Variables:E1_5_1_20_kcat} * E1_5_1_20 * C00440*C00003)/(${Variables:E1_5_1_20_km} + (E1_5_1_20 * C00440*C00003))</v>
      </c>
    </row>
    <row r="594" spans="1:11" ht="26.5" x14ac:dyDescent="0.35">
      <c r="A594" s="78" t="s">
        <v>4914</v>
      </c>
      <c r="B594" s="49" t="s">
        <v>4915</v>
      </c>
      <c r="C594" s="49" t="s">
        <v>14869</v>
      </c>
      <c r="D594" s="49">
        <v>593</v>
      </c>
      <c r="E594" s="78" t="str">
        <f t="shared" si="6"/>
        <v>E2_2_1_7</v>
      </c>
      <c r="F594" s="78" t="s">
        <v>14199</v>
      </c>
      <c r="G594" s="78" t="s">
        <v>14200</v>
      </c>
      <c r="H594" s="78" t="s">
        <v>14201</v>
      </c>
      <c r="I594" s="78" t="s">
        <v>14202</v>
      </c>
      <c r="J594" s="78" t="str">
        <f t="shared" si="7"/>
        <v>(${Variables:E2_2_1_7_kcat} * E2_2_1_7 * C00022*C00118)/(${Variables:E2_2_1_7_km} + (E2_2_1_7 * C00022*C00118))</v>
      </c>
      <c r="K594" s="79" t="str">
        <f t="shared" si="8"/>
        <v>r593: C00022+C00118 -&gt; C11437+C00011 | (${Variables:E2_2_1_7_kcat} * E2_2_1_7 * C00022*C00118)/(${Variables:E2_2_1_7_km} + (E2_2_1_7 * C00022*C00118))</v>
      </c>
    </row>
    <row r="595" spans="1:11" ht="26.5" x14ac:dyDescent="0.35">
      <c r="A595" s="78" t="s">
        <v>4933</v>
      </c>
      <c r="B595" s="49" t="s">
        <v>4934</v>
      </c>
      <c r="C595" s="49" t="s">
        <v>14870</v>
      </c>
      <c r="D595" s="49">
        <v>594</v>
      </c>
      <c r="E595" s="78" t="str">
        <f t="shared" si="6"/>
        <v>E2_5_1_10</v>
      </c>
      <c r="F595" s="78" t="s">
        <v>14203</v>
      </c>
      <c r="G595" s="78" t="s">
        <v>14204</v>
      </c>
      <c r="H595" s="78" t="s">
        <v>14205</v>
      </c>
      <c r="I595" s="78" t="s">
        <v>14206</v>
      </c>
      <c r="J595" s="78" t="str">
        <f t="shared" si="7"/>
        <v>(${Variables:E2_5_1_10_kcat} * E2_5_1_10 * C00341*C00129)/(${Variables:E2_5_1_10_km} + (E2_5_1_10 * C00341*C00129))</v>
      </c>
      <c r="K595" s="79" t="str">
        <f t="shared" si="8"/>
        <v>r594: C00341+C00129 -&gt; C00013+C00448 | (${Variables:E2_5_1_10_kcat} * E2_5_1_10 * C00341*C00129)/(${Variables:E2_5_1_10_km} + (E2_5_1_10 * C00341*C00129))</v>
      </c>
    </row>
    <row r="596" spans="1:11" ht="26.5" x14ac:dyDescent="0.35">
      <c r="A596" s="78" t="s">
        <v>4937</v>
      </c>
      <c r="B596" s="49" t="s">
        <v>4938</v>
      </c>
      <c r="C596" s="49" t="s">
        <v>14871</v>
      </c>
      <c r="D596" s="49">
        <v>595</v>
      </c>
      <c r="E596" s="78" t="str">
        <f t="shared" si="6"/>
        <v>E2_8_1_4</v>
      </c>
      <c r="F596" s="78" t="s">
        <v>14207</v>
      </c>
      <c r="G596" s="78" t="s">
        <v>14208</v>
      </c>
      <c r="H596" s="78" t="s">
        <v>14209</v>
      </c>
      <c r="I596" s="78" t="s">
        <v>14210</v>
      </c>
      <c r="J596" s="78" t="str">
        <f t="shared" si="7"/>
        <v>(${Variables:E2_8_1_4_kcat} * E2_8_1_4 * C00097*C02342)/(${Variables:E2_8_1_4_km} + (E2_8_1_4 * C00097*C02342))</v>
      </c>
      <c r="K596" s="79" t="str">
        <f t="shared" si="8"/>
        <v>r595: C00097+C02342 -&gt; C00065+C04161 | (${Variables:E2_8_1_4_kcat} * E2_8_1_4 * C00097*C02342)/(${Variables:E2_8_1_4_km} + (E2_8_1_4 * C00097*C02342))</v>
      </c>
    </row>
    <row r="597" spans="1:11" ht="38.5" x14ac:dyDescent="0.35">
      <c r="A597" s="78" t="s">
        <v>4945</v>
      </c>
      <c r="B597" s="49" t="s">
        <v>4946</v>
      </c>
      <c r="C597" s="49" t="s">
        <v>14871</v>
      </c>
      <c r="D597" s="49">
        <v>596</v>
      </c>
      <c r="E597" s="78" t="str">
        <f t="shared" si="6"/>
        <v>E2_8_1_4</v>
      </c>
      <c r="F597" s="78" t="s">
        <v>14211</v>
      </c>
      <c r="G597" s="78" t="s">
        <v>14212</v>
      </c>
      <c r="H597" s="78" t="s">
        <v>14213</v>
      </c>
      <c r="I597" s="78" t="s">
        <v>14214</v>
      </c>
      <c r="J597" s="78" t="str">
        <f t="shared" si="7"/>
        <v>(${Variables:E2_8_1_4_kcat} * E2_8_1_4 * C15812*C15813*C00030)/(${Variables:E2_8_1_4_km} + (E2_8_1_4 * C15812*C15813*C00030))</v>
      </c>
      <c r="K597" s="79" t="str">
        <f t="shared" si="8"/>
        <v>r596: C15812+C15813+C00030 -&gt; C00020+C15814+C15811+C00028 | (${Variables:E2_8_1_4_kcat} * E2_8_1_4 * C15812*C15813*C00030)/(${Variables:E2_8_1_4_km} + (E2_8_1_4 * C15812*C15813*C00030))</v>
      </c>
    </row>
    <row r="598" spans="1:11" ht="26.5" x14ac:dyDescent="0.35">
      <c r="A598" s="78" t="s">
        <v>4945</v>
      </c>
      <c r="B598" s="49" t="s">
        <v>4946</v>
      </c>
      <c r="C598" s="49" t="s">
        <v>14872</v>
      </c>
      <c r="D598" s="49">
        <v>597</v>
      </c>
      <c r="E598" s="78" t="str">
        <f t="shared" si="6"/>
        <v>E4_2_1_20</v>
      </c>
      <c r="F598" s="78" t="s">
        <v>14215</v>
      </c>
      <c r="G598" s="78" t="s">
        <v>14216</v>
      </c>
      <c r="H598" s="78" t="s">
        <v>13201</v>
      </c>
      <c r="I598" s="78" t="s">
        <v>13202</v>
      </c>
      <c r="J598" s="78" t="str">
        <f t="shared" si="7"/>
        <v>(${Variables:E4_2_1_20_kcat} * E4_2_1_20 * C00065*C00463)/(${Variables:E4_2_1_20_km} + (E4_2_1_20 * C00065*C00463))</v>
      </c>
      <c r="K598" s="79" t="str">
        <f t="shared" si="8"/>
        <v>r597: C00065+C00463 -&gt; C00078+C00001 | (${Variables:E4_2_1_20_kcat} * E4_2_1_20 * C00065*C00463)/(${Variables:E4_2_1_20_km} + (E4_2_1_20 * C00065*C00463))</v>
      </c>
    </row>
    <row r="599" spans="1:11" ht="26" x14ac:dyDescent="0.35">
      <c r="A599" s="78" t="s">
        <v>4970</v>
      </c>
      <c r="B599" s="49" t="s">
        <v>4971</v>
      </c>
      <c r="C599" s="49" t="s">
        <v>14872</v>
      </c>
      <c r="D599" s="49">
        <v>598</v>
      </c>
      <c r="E599" s="78" t="str">
        <f t="shared" si="6"/>
        <v>E4_2_1_20</v>
      </c>
      <c r="F599" s="78" t="s">
        <v>8666</v>
      </c>
      <c r="G599" s="78" t="s">
        <v>8666</v>
      </c>
      <c r="H599" s="78" t="s">
        <v>14217</v>
      </c>
      <c r="I599" s="78" t="s">
        <v>14218</v>
      </c>
      <c r="J599" s="78" t="str">
        <f t="shared" si="7"/>
        <v>(${Variables:E4_2_1_20_kcat} * E4_2_1_20 * C03506)/(${Variables:E4_2_1_20_km} + (E4_2_1_20 * C03506))</v>
      </c>
      <c r="K599" s="79" t="str">
        <f t="shared" si="8"/>
        <v>r598: C03506 -&gt; C00463 + C00118 | (${Variables:E4_2_1_20_kcat} * E4_2_1_20 * C03506)/(${Variables:E4_2_1_20_km} + (E4_2_1_20 * C03506))</v>
      </c>
    </row>
    <row r="600" spans="1:11" ht="26.5" x14ac:dyDescent="0.35">
      <c r="A600" s="78" t="s">
        <v>4970</v>
      </c>
      <c r="B600" s="49" t="s">
        <v>4971</v>
      </c>
      <c r="C600" s="49" t="s">
        <v>14872</v>
      </c>
      <c r="D600" s="49">
        <v>599</v>
      </c>
      <c r="E600" s="78" t="str">
        <f t="shared" si="6"/>
        <v>E4_2_1_20</v>
      </c>
      <c r="F600" s="78" t="s">
        <v>14219</v>
      </c>
      <c r="G600" s="78" t="s">
        <v>14220</v>
      </c>
      <c r="H600" s="78" t="s">
        <v>14221</v>
      </c>
      <c r="I600" s="78" t="s">
        <v>14222</v>
      </c>
      <c r="J600" s="78" t="str">
        <f t="shared" si="7"/>
        <v>(${Variables:E4_2_1_20_kcat} * E4_2_1_20 * C00065*C03506)/(${Variables:E4_2_1_20_km} + (E4_2_1_20 * C00065*C03506))</v>
      </c>
      <c r="K600" s="79" t="str">
        <f t="shared" si="8"/>
        <v>r599: C00065+C03506 -&gt; C00078+C00118+C00001 | (${Variables:E4_2_1_20_kcat} * E4_2_1_20 * C00065*C03506)/(${Variables:E4_2_1_20_km} + (E4_2_1_20 * C00065*C03506))</v>
      </c>
    </row>
    <row r="601" spans="1:11" ht="26" x14ac:dyDescent="0.35">
      <c r="A601" s="78" t="s">
        <v>4970</v>
      </c>
      <c r="B601" s="49" t="s">
        <v>4971</v>
      </c>
      <c r="C601" s="49" t="s">
        <v>14872</v>
      </c>
      <c r="D601" s="49">
        <v>600</v>
      </c>
      <c r="E601" s="78" t="str">
        <f t="shared" si="6"/>
        <v>E4_2_1_20</v>
      </c>
      <c r="F601" s="78" t="s">
        <v>8666</v>
      </c>
      <c r="G601" s="78" t="s">
        <v>8666</v>
      </c>
      <c r="H601" s="78" t="s">
        <v>14223</v>
      </c>
      <c r="I601" s="78" t="s">
        <v>14224</v>
      </c>
      <c r="J601" s="78" t="str">
        <f t="shared" si="7"/>
        <v>(${Variables:E4_2_1_20_kcat} * E4_2_1_20 * C03506)/(${Variables:E4_2_1_20_km} + (E4_2_1_20 * C03506))</v>
      </c>
      <c r="K601" s="79" t="str">
        <f t="shared" si="8"/>
        <v>r600: C03506 -&gt; C00463+C00118 | (${Variables:E4_2_1_20_kcat} * E4_2_1_20 * C03506)/(${Variables:E4_2_1_20_km} + (E4_2_1_20 * C03506))</v>
      </c>
    </row>
    <row r="602" spans="1:11" ht="26.5" x14ac:dyDescent="0.35">
      <c r="A602" s="78" t="s">
        <v>4974</v>
      </c>
      <c r="B602" s="49" t="s">
        <v>4975</v>
      </c>
      <c r="C602" s="49" t="s">
        <v>14873</v>
      </c>
      <c r="D602" s="49">
        <v>601</v>
      </c>
      <c r="E602" s="78" t="str">
        <f t="shared" si="6"/>
        <v>E6_3_3_1</v>
      </c>
      <c r="F602" s="78" t="s">
        <v>14225</v>
      </c>
      <c r="G602" s="78" t="s">
        <v>14226</v>
      </c>
      <c r="H602" s="78" t="s">
        <v>14227</v>
      </c>
      <c r="I602" s="78" t="s">
        <v>14228</v>
      </c>
      <c r="J602" s="78" t="str">
        <f t="shared" si="7"/>
        <v>(${Variables:E6_3_3_1_kcat} * E6_3_3_1 * C00002*C04640)/(${Variables:E6_3_3_1_km} + (E6_3_3_1 * C00002*C04640))</v>
      </c>
      <c r="K602" s="79" t="str">
        <f t="shared" si="8"/>
        <v>r601: C00002+C04640 -&gt; C00008+C00009+C03373 | (${Variables:E6_3_3_1_kcat} * E6_3_3_1 * C00002*C04640)/(${Variables:E6_3_3_1_km} + (E6_3_3_1 * C00002*C04640))</v>
      </c>
    </row>
    <row r="603" spans="1:11" ht="26.5" x14ac:dyDescent="0.35">
      <c r="A603" s="78" t="s">
        <v>4981</v>
      </c>
      <c r="B603" s="49" t="s">
        <v>4982</v>
      </c>
      <c r="C603" s="49" t="s">
        <v>14874</v>
      </c>
      <c r="D603" s="49">
        <v>602</v>
      </c>
      <c r="E603" s="78" t="str">
        <f t="shared" si="6"/>
        <v>E2_1_2_2</v>
      </c>
      <c r="F603" s="78" t="s">
        <v>14229</v>
      </c>
      <c r="G603" s="78" t="s">
        <v>14230</v>
      </c>
      <c r="H603" s="78" t="s">
        <v>14231</v>
      </c>
      <c r="I603" s="78" t="s">
        <v>14232</v>
      </c>
      <c r="J603" s="78" t="str">
        <f t="shared" si="7"/>
        <v>(${Variables:E2_1_2_2_kcat} * E2_1_2_2 * C00234*C03838)/(${Variables:E2_1_2_2_km} + (E2_1_2_2 * C00234*C03838))</v>
      </c>
      <c r="K603" s="79" t="str">
        <f t="shared" si="8"/>
        <v>r602: C00234+C03838 -&gt; C00101+C04376 | (${Variables:E2_1_2_2_kcat} * E2_1_2_2 * C00234*C03838)/(${Variables:E2_1_2_2_km} + (E2_1_2_2 * C00234*C03838))</v>
      </c>
    </row>
    <row r="604" spans="1:11" ht="26.5" x14ac:dyDescent="0.35">
      <c r="A604" s="78" t="s">
        <v>4985</v>
      </c>
      <c r="B604" s="49" t="s">
        <v>4986</v>
      </c>
      <c r="C604" s="49" t="s">
        <v>14874</v>
      </c>
      <c r="D604" s="49">
        <v>603</v>
      </c>
      <c r="E604" s="78" t="str">
        <f t="shared" si="6"/>
        <v>E2_1_2_2</v>
      </c>
      <c r="F604" s="78" t="s">
        <v>14233</v>
      </c>
      <c r="G604" s="78" t="s">
        <v>14234</v>
      </c>
      <c r="H604" s="78" t="s">
        <v>14235</v>
      </c>
      <c r="I604" s="78" t="s">
        <v>14236</v>
      </c>
      <c r="J604" s="78" t="str">
        <f t="shared" si="7"/>
        <v>(${Variables:E2_1_2_2_kcat} * E2_1_2_2 * C03838*C00445*C00001)/(${Variables:E2_1_2_2_km} + (E2_1_2_2 * C03838*C00445*C00001))</v>
      </c>
      <c r="K604" s="79" t="str">
        <f t="shared" si="8"/>
        <v>r603: C03838+C00445+C00001 -&gt; C04376+C00101 | (${Variables:E2_1_2_2_kcat} * E2_1_2_2 * C03838*C00445*C00001)/(${Variables:E2_1_2_2_km} + (E2_1_2_2 * C03838*C00445*C00001))</v>
      </c>
    </row>
    <row r="605" spans="1:11" ht="26.5" x14ac:dyDescent="0.35">
      <c r="A605" s="78" t="s">
        <v>4985</v>
      </c>
      <c r="B605" s="49" t="s">
        <v>4986</v>
      </c>
      <c r="C605" s="49" t="s">
        <v>14875</v>
      </c>
      <c r="D605" s="49">
        <v>604</v>
      </c>
      <c r="E605" s="78" t="str">
        <f t="shared" si="6"/>
        <v>E1_3_5_2</v>
      </c>
      <c r="F605" s="78" t="s">
        <v>14237</v>
      </c>
      <c r="G605" s="78" t="s">
        <v>14238</v>
      </c>
      <c r="H605" s="78" t="s">
        <v>14239</v>
      </c>
      <c r="I605" s="78" t="s">
        <v>14240</v>
      </c>
      <c r="J605" s="78" t="str">
        <f t="shared" si="7"/>
        <v>(${Variables:E1_3_5_2_kcat} * E1_3_5_2 * C00337*C15602)/(${Variables:E1_3_5_2_km} + (E1_3_5_2 * C00337*C15602))</v>
      </c>
      <c r="K605" s="79" t="str">
        <f t="shared" si="8"/>
        <v>r604: C00337+C15602 -&gt; C00295+C15603 | (${Variables:E1_3_5_2_kcat} * E1_3_5_2 * C00337*C15602)/(${Variables:E1_3_5_2_km} + (E1_3_5_2 * C00337*C15602))</v>
      </c>
    </row>
    <row r="606" spans="1:11" ht="26" x14ac:dyDescent="0.35">
      <c r="A606" s="78" t="s">
        <v>5079</v>
      </c>
      <c r="B606" s="49" t="s">
        <v>5080</v>
      </c>
      <c r="C606" s="49" t="s">
        <v>14876</v>
      </c>
      <c r="D606" s="49">
        <v>605</v>
      </c>
      <c r="E606" s="78" t="str">
        <f t="shared" si="6"/>
        <v>E4_2_1_2</v>
      </c>
      <c r="F606" s="78" t="s">
        <v>8693</v>
      </c>
      <c r="G606" s="78" t="s">
        <v>8693</v>
      </c>
      <c r="H606" s="78" t="s">
        <v>14241</v>
      </c>
      <c r="I606" s="78" t="s">
        <v>14242</v>
      </c>
      <c r="J606" s="78" t="str">
        <f t="shared" si="7"/>
        <v>(${Variables:E4_2_1_2_kcat} * E4_2_1_2 * C00149)/(${Variables:E4_2_1_2_km} + (E4_2_1_2 * C00149))</v>
      </c>
      <c r="K606" s="79" t="str">
        <f t="shared" si="8"/>
        <v>r605: C00149 -&gt; C00122+C00001 | (${Variables:E4_2_1_2_kcat} * E4_2_1_2 * C00149)/(${Variables:E4_2_1_2_km} + (E4_2_1_2 * C00149))</v>
      </c>
    </row>
    <row r="607" spans="1:11" ht="26.5" x14ac:dyDescent="0.35">
      <c r="A607" s="78" t="s">
        <v>5089</v>
      </c>
      <c r="B607" s="49" t="s">
        <v>5090</v>
      </c>
      <c r="C607" s="49" t="s">
        <v>14877</v>
      </c>
      <c r="D607" s="49">
        <v>606</v>
      </c>
      <c r="E607" s="78" t="str">
        <f t="shared" si="6"/>
        <v>E2_1_1_37</v>
      </c>
      <c r="F607" s="78" t="s">
        <v>14243</v>
      </c>
      <c r="G607" s="78" t="s">
        <v>14244</v>
      </c>
      <c r="H607" s="78" t="s">
        <v>14245</v>
      </c>
      <c r="I607" s="78" t="s">
        <v>14246</v>
      </c>
      <c r="J607" s="78" t="str">
        <f t="shared" si="7"/>
        <v>(${Variables:E2_1_1_37_kcat} * E2_1_1_37 * C00019*C00039)/(${Variables:E2_1_1_37_km} + (E2_1_1_37 * C00019*C00039))</v>
      </c>
      <c r="K607" s="79" t="str">
        <f t="shared" si="8"/>
        <v>r606: C00019+C00039 -&gt; C00021+C02967 | (${Variables:E2_1_1_37_kcat} * E2_1_1_37 * C00019*C00039)/(${Variables:E2_1_1_37_km} + (E2_1_1_37 * C00019*C00039))</v>
      </c>
    </row>
    <row r="608" spans="1:11" ht="26.5" x14ac:dyDescent="0.35">
      <c r="A608" s="78" t="s">
        <v>5105</v>
      </c>
      <c r="B608" s="49" t="s">
        <v>5106</v>
      </c>
      <c r="C608" s="49" t="s">
        <v>14877</v>
      </c>
      <c r="D608" s="49">
        <v>607</v>
      </c>
      <c r="E608" s="78" t="str">
        <f t="shared" si="6"/>
        <v>E2_1_1_37</v>
      </c>
      <c r="F608" s="78" t="s">
        <v>14247</v>
      </c>
      <c r="G608" s="78" t="s">
        <v>14248</v>
      </c>
      <c r="H608" s="78" t="s">
        <v>14245</v>
      </c>
      <c r="I608" s="78" t="s">
        <v>14246</v>
      </c>
      <c r="J608" s="78" t="str">
        <f t="shared" si="7"/>
        <v>(${Variables:E2_1_1_37_kcat} * E2_1_1_37 * C00019*C00856)/(${Variables:E2_1_1_37_km} + (E2_1_1_37 * C00019*C00856))</v>
      </c>
      <c r="K608" s="79" t="str">
        <f t="shared" si="8"/>
        <v>r607: C00019+C00856 -&gt; C00021+C02967 | (${Variables:E2_1_1_37_kcat} * E2_1_1_37 * C00019*C00856)/(${Variables:E2_1_1_37_km} + (E2_1_1_37 * C00019*C00856))</v>
      </c>
    </row>
    <row r="609" spans="1:11" ht="26.5" x14ac:dyDescent="0.35">
      <c r="A609" s="78" t="s">
        <v>5105</v>
      </c>
      <c r="B609" s="49" t="s">
        <v>5106</v>
      </c>
      <c r="C609" s="49" t="s">
        <v>14878</v>
      </c>
      <c r="D609" s="49">
        <v>608</v>
      </c>
      <c r="E609" s="78" t="str">
        <f t="shared" si="6"/>
        <v>E6_1_1_9</v>
      </c>
      <c r="F609" s="78" t="s">
        <v>14249</v>
      </c>
      <c r="G609" s="78" t="s">
        <v>14250</v>
      </c>
      <c r="H609" s="78" t="s">
        <v>14251</v>
      </c>
      <c r="I609" s="78" t="s">
        <v>14252</v>
      </c>
      <c r="J609" s="78" t="str">
        <f t="shared" si="7"/>
        <v>(${Variables:E6_1_1_9_kcat} * E6_1_1_9 * C00002*C00183*C01653)/(${Variables:E6_1_1_9_km} + (E6_1_1_9 * C00002*C00183*C01653))</v>
      </c>
      <c r="K609" s="79" t="str">
        <f t="shared" si="8"/>
        <v>r608: C00002+C00183+C01653 -&gt; C00020+C00013+C02554 | (${Variables:E6_1_1_9_kcat} * E6_1_1_9 * C00002*C00183*C01653)/(${Variables:E6_1_1_9_km} + (E6_1_1_9 * C00002*C00183*C01653))</v>
      </c>
    </row>
    <row r="610" spans="1:11" ht="26" x14ac:dyDescent="0.35">
      <c r="A610" s="78" t="s">
        <v>5112</v>
      </c>
      <c r="B610" s="49" t="s">
        <v>5113</v>
      </c>
      <c r="C610" s="49" t="s">
        <v>14879</v>
      </c>
      <c r="D610" s="49">
        <v>609</v>
      </c>
      <c r="E610" s="78" t="str">
        <f t="shared" si="6"/>
        <v>E4_1_1_48</v>
      </c>
      <c r="F610" s="78" t="s">
        <v>8710</v>
      </c>
      <c r="G610" s="78" t="s">
        <v>8710</v>
      </c>
      <c r="H610" s="78" t="s">
        <v>14253</v>
      </c>
      <c r="I610" s="78" t="s">
        <v>14254</v>
      </c>
      <c r="J610" s="78" t="str">
        <f t="shared" si="7"/>
        <v>(${Variables:E4_1_1_48_kcat} * E4_1_1_48 * C01302)/(${Variables:E4_1_1_48_km} + (E4_1_1_48 * C01302))</v>
      </c>
      <c r="K610" s="79" t="str">
        <f t="shared" si="8"/>
        <v>r609: C01302 -&gt; C03506+C00011+C00001 | (${Variables:E4_1_1_48_kcat} * E4_1_1_48 * C01302)/(${Variables:E4_1_1_48_km} + (E4_1_1_48 * C01302))</v>
      </c>
    </row>
    <row r="611" spans="1:11" ht="26.5" x14ac:dyDescent="0.35">
      <c r="A611" s="78" t="s">
        <v>5118</v>
      </c>
      <c r="B611" s="49" t="s">
        <v>5119</v>
      </c>
      <c r="C611" s="49" t="s">
        <v>14880</v>
      </c>
      <c r="D611" s="49">
        <v>610</v>
      </c>
      <c r="E611" s="78" t="str">
        <f t="shared" si="6"/>
        <v>E4_1_3_27</v>
      </c>
      <c r="F611" s="78" t="s">
        <v>13863</v>
      </c>
      <c r="G611" s="78" t="s">
        <v>13864</v>
      </c>
      <c r="H611" s="78" t="s">
        <v>14255</v>
      </c>
      <c r="I611" s="78" t="s">
        <v>14256</v>
      </c>
      <c r="J611" s="78" t="str">
        <f t="shared" si="7"/>
        <v>(${Variables:E4_1_3_27_kcat} * E4_1_3_27 * C00251*C00064)/(${Variables:E4_1_3_27_km} + (E4_1_3_27 * C00251*C00064))</v>
      </c>
      <c r="K611" s="79" t="str">
        <f t="shared" si="8"/>
        <v>r610: C00251+C00064 -&gt; C00108+C00022+C00025 | (${Variables:E4_1_3_27_kcat} * E4_1_3_27 * C00251*C00064)/(${Variables:E4_1_3_27_km} + (E4_1_3_27 * C00251*C00064))</v>
      </c>
    </row>
    <row r="612" spans="1:11" ht="26.5" x14ac:dyDescent="0.35">
      <c r="A612" s="78" t="s">
        <v>5132</v>
      </c>
      <c r="B612" s="49" t="s">
        <v>5133</v>
      </c>
      <c r="C612" s="49" t="s">
        <v>14880</v>
      </c>
      <c r="D612" s="49">
        <v>611</v>
      </c>
      <c r="E612" s="78" t="str">
        <f t="shared" si="6"/>
        <v>E4_1_3_27</v>
      </c>
      <c r="F612" s="78" t="s">
        <v>13867</v>
      </c>
      <c r="G612" s="78" t="s">
        <v>13868</v>
      </c>
      <c r="H612" s="78" t="s">
        <v>14257</v>
      </c>
      <c r="I612" s="78" t="s">
        <v>14258</v>
      </c>
      <c r="J612" s="78" t="str">
        <f t="shared" si="7"/>
        <v>(${Variables:E4_1_3_27_kcat} * E4_1_3_27 * C00251*C00014)/(${Variables:E4_1_3_27_km} + (E4_1_3_27 * C00251*C00014))</v>
      </c>
      <c r="K612" s="79" t="str">
        <f t="shared" si="8"/>
        <v>r611: C00251+C00014 -&gt; C00108+C00022+C00001 | (${Variables:E4_1_3_27_kcat} * E4_1_3_27 * C00251*C00014)/(${Variables:E4_1_3_27_km} + (E4_1_3_27 * C00251*C00014))</v>
      </c>
    </row>
    <row r="613" spans="1:11" ht="26.5" x14ac:dyDescent="0.35">
      <c r="A613" s="78" t="s">
        <v>5132</v>
      </c>
      <c r="B613" s="49" t="s">
        <v>5133</v>
      </c>
      <c r="C613" s="49" t="s">
        <v>14881</v>
      </c>
      <c r="D613" s="49">
        <v>612</v>
      </c>
      <c r="E613" s="78" t="str">
        <f t="shared" si="6"/>
        <v>E1_16_3_2</v>
      </c>
      <c r="F613" s="78" t="s">
        <v>14259</v>
      </c>
      <c r="G613" s="78" t="s">
        <v>14260</v>
      </c>
      <c r="H613" s="78" t="s">
        <v>14261</v>
      </c>
      <c r="I613" s="78" t="s">
        <v>14262</v>
      </c>
      <c r="J613" s="78" t="str">
        <f t="shared" si="7"/>
        <v>(${Variables:E1_16_3_2_kcat} * E1_16_3_2 * C14818*C00007*C00001)/(${Variables:E1_16_3_2_km} + (E1_16_3_2 * C14818*C00007*C00001))</v>
      </c>
      <c r="K613" s="79" t="str">
        <f t="shared" si="8"/>
        <v>r612: C14818+C00007+C00001 -&gt; C22881+C00080 | (${Variables:E1_16_3_2_kcat} * E1_16_3_2 * C14818*C00007*C00001)/(${Variables:E1_16_3_2_km} + (E1_16_3_2 * C14818*C00007*C00001))</v>
      </c>
    </row>
    <row r="614" spans="1:11" ht="26.5" x14ac:dyDescent="0.35">
      <c r="A614" s="78" t="s">
        <v>5141</v>
      </c>
      <c r="B614" s="49" t="s">
        <v>5142</v>
      </c>
      <c r="C614" s="49" t="s">
        <v>14881</v>
      </c>
      <c r="D614" s="49">
        <v>613</v>
      </c>
      <c r="E614" s="78" t="str">
        <f t="shared" si="6"/>
        <v>E1_16_3_2</v>
      </c>
      <c r="F614" s="78" t="s">
        <v>14259</v>
      </c>
      <c r="G614" s="78" t="s">
        <v>14260</v>
      </c>
      <c r="H614" s="78" t="s">
        <v>14263</v>
      </c>
      <c r="I614" s="78" t="s">
        <v>14264</v>
      </c>
      <c r="J614" s="78" t="str">
        <f t="shared" si="7"/>
        <v>(${Variables:E1_16_3_2_kcat} * E1_16_3_2 * C14818*C00007*C00001)/(${Variables:E1_16_3_2_km} + (E1_16_3_2 * C14818*C00007*C00001))</v>
      </c>
      <c r="K614" s="79" t="str">
        <f t="shared" si="8"/>
        <v>r613: C14818+C00007+C00001 -&gt; C22881+C00080+C00027 | (${Variables:E1_16_3_2_kcat} * E1_16_3_2 * C14818*C00007*C00001)/(${Variables:E1_16_3_2_km} + (E1_16_3_2 * C14818*C00007*C00001))</v>
      </c>
    </row>
    <row r="615" spans="1:11" ht="26.5" x14ac:dyDescent="0.35">
      <c r="A615" s="78" t="s">
        <v>5141</v>
      </c>
      <c r="B615" s="49" t="s">
        <v>5142</v>
      </c>
      <c r="C615" s="49" t="s">
        <v>14881</v>
      </c>
      <c r="D615" s="49">
        <v>614</v>
      </c>
      <c r="E615" s="78" t="str">
        <f t="shared" si="6"/>
        <v>E1_16_3_2</v>
      </c>
      <c r="F615" s="49" t="s">
        <v>14265</v>
      </c>
      <c r="G615" s="49" t="s">
        <v>14266</v>
      </c>
      <c r="H615" s="78" t="s">
        <v>14261</v>
      </c>
      <c r="I615" s="78" t="s">
        <v>14262</v>
      </c>
      <c r="J615" s="78" t="str">
        <f t="shared" si="7"/>
        <v>(${Variables:E1_16_3_2_kcat} * E1_16_3_2 * C14818*C00027*C00001)/(${Variables:E1_16_3_2_km} + (E1_16_3_2 * C14818*C00027*C00001))</v>
      </c>
      <c r="K615" s="79" t="str">
        <f t="shared" si="8"/>
        <v>r614: C14818+C00027+C00001 -&gt; C22881+C00080 | (${Variables:E1_16_3_2_kcat} * E1_16_3_2 * C14818*C00027*C00001)/(${Variables:E1_16_3_2_km} + (E1_16_3_2 * C14818*C00027*C00001))</v>
      </c>
    </row>
    <row r="616" spans="1:11" ht="38.5" x14ac:dyDescent="0.35">
      <c r="A616" s="78" t="s">
        <v>5143</v>
      </c>
      <c r="B616" s="49" t="s">
        <v>5144</v>
      </c>
      <c r="C616" s="49" t="s">
        <v>14882</v>
      </c>
      <c r="D616" s="49">
        <v>615</v>
      </c>
      <c r="E616" s="78" t="str">
        <f t="shared" si="6"/>
        <v>E6_1_1_3</v>
      </c>
      <c r="F616" s="78" t="s">
        <v>14267</v>
      </c>
      <c r="G616" s="78" t="s">
        <v>14268</v>
      </c>
      <c r="H616" s="78" t="s">
        <v>14269</v>
      </c>
      <c r="I616" s="78" t="s">
        <v>14270</v>
      </c>
      <c r="J616" s="78" t="str">
        <f t="shared" si="7"/>
        <v>(${Variables:E6_1_1_3_kcat} * E6_1_1_3 * C00002 * C00188 * C01651)/(${Variables:E6_1_1_3_km} + (E6_1_1_3 * C00002 * C00188 * C01651))</v>
      </c>
      <c r="K616" s="79" t="str">
        <f t="shared" si="8"/>
        <v>r615: C00002 + C00188 + C01651 -&gt; C00020 + C00013 + C02992 | (${Variables:E6_1_1_3_kcat} * E6_1_1_3 * C00002 * C00188 * C01651)/(${Variables:E6_1_1_3_km} + (E6_1_1_3 * C00002 * C00188 * C01651))</v>
      </c>
    </row>
    <row r="617" spans="1:11" ht="26.5" x14ac:dyDescent="0.35">
      <c r="A617" s="78" t="s">
        <v>5214</v>
      </c>
      <c r="B617" s="49" t="s">
        <v>5215</v>
      </c>
      <c r="C617" s="49" t="s">
        <v>14883</v>
      </c>
      <c r="D617" s="49">
        <v>616</v>
      </c>
      <c r="E617" s="78" t="str">
        <f t="shared" si="6"/>
        <v>E2_4_1_21</v>
      </c>
      <c r="F617" s="78" t="s">
        <v>14271</v>
      </c>
      <c r="G617" s="78" t="s">
        <v>14272</v>
      </c>
      <c r="H617" s="78" t="s">
        <v>14273</v>
      </c>
      <c r="I617" s="78" t="s">
        <v>14274</v>
      </c>
      <c r="J617" s="78" t="str">
        <f t="shared" si="7"/>
        <v>(${Variables:E2_4_1_21_kcat} * E2_4_1_21 * C00498*C00718)/(${Variables:E2_4_1_21_km} + (E2_4_1_21 * C00498*C00718))</v>
      </c>
      <c r="K617" s="79" t="str">
        <f t="shared" si="8"/>
        <v>r616: C00498+C00718 -&gt; C00008+C00718 | (${Variables:E2_4_1_21_kcat} * E2_4_1_21 * C00498*C00718)/(${Variables:E2_4_1_21_km} + (E2_4_1_21 * C00498*C00718))</v>
      </c>
    </row>
    <row r="618" spans="1:11" ht="26.5" x14ac:dyDescent="0.35">
      <c r="A618" s="78" t="s">
        <v>5238</v>
      </c>
      <c r="B618" s="49" t="s">
        <v>5239</v>
      </c>
      <c r="C618" s="49" t="s">
        <v>14883</v>
      </c>
      <c r="D618" s="49">
        <v>617</v>
      </c>
      <c r="E618" s="78" t="str">
        <f t="shared" si="6"/>
        <v>E2_4_1_21</v>
      </c>
      <c r="F618" s="78" t="s">
        <v>14275</v>
      </c>
      <c r="G618" s="78" t="s">
        <v>14276</v>
      </c>
      <c r="H618" s="78" t="s">
        <v>14277</v>
      </c>
      <c r="I618" s="78" t="s">
        <v>14278</v>
      </c>
      <c r="J618" s="78" t="str">
        <f t="shared" si="7"/>
        <v>(${Variables:E2_4_1_21_kcat} * E2_4_1_21 * G10495*G11109)/(${Variables:E2_4_1_21_km} + (E2_4_1_21 * G10495*G11109))</v>
      </c>
      <c r="K618" s="79" t="str">
        <f t="shared" si="8"/>
        <v>r617: G10495+G11109 -&gt; G10495+G11113 | (${Variables:E2_4_1_21_kcat} * E2_4_1_21 * G10495*G11109)/(${Variables:E2_4_1_21_km} + (E2_4_1_21 * G10495*G11109))</v>
      </c>
    </row>
    <row r="619" spans="1:11" ht="26.5" x14ac:dyDescent="0.35">
      <c r="A619" s="78" t="s">
        <v>5238</v>
      </c>
      <c r="B619" s="49" t="s">
        <v>5239</v>
      </c>
      <c r="C619" s="49" t="s">
        <v>14884</v>
      </c>
      <c r="D619" s="49">
        <v>618</v>
      </c>
      <c r="E619" s="78" t="str">
        <f t="shared" si="6"/>
        <v>E2_7_7_27</v>
      </c>
      <c r="F619" s="78" t="s">
        <v>14279</v>
      </c>
      <c r="G619" s="78" t="s">
        <v>14280</v>
      </c>
      <c r="H619" s="78" t="s">
        <v>14281</v>
      </c>
      <c r="I619" s="78" t="s">
        <v>14282</v>
      </c>
      <c r="J619" s="78" t="str">
        <f t="shared" si="7"/>
        <v>(${Variables:E2_7_7_27_kcat} * E2_7_7_27 * C00002*C00103)/(${Variables:E2_7_7_27_km} + (E2_7_7_27 * C00002*C00103))</v>
      </c>
      <c r="K619" s="79" t="str">
        <f t="shared" si="8"/>
        <v>r618: C00002+C00103 -&gt; C00013+C00498 | (${Variables:E2_7_7_27_kcat} * E2_7_7_27 * C00002*C00103)/(${Variables:E2_7_7_27_km} + (E2_7_7_27 * C00002*C00103))</v>
      </c>
    </row>
    <row r="620" spans="1:11" ht="26" x14ac:dyDescent="0.35">
      <c r="A620" s="78" t="s">
        <v>5242</v>
      </c>
      <c r="B620" s="49" t="s">
        <v>5243</v>
      </c>
      <c r="C620" s="49" t="s">
        <v>14885</v>
      </c>
      <c r="D620" s="49">
        <v>619</v>
      </c>
      <c r="E620" s="78" t="str">
        <f t="shared" si="6"/>
        <v>E2_4_1_18</v>
      </c>
      <c r="F620" s="78" t="s">
        <v>8763</v>
      </c>
      <c r="G620" s="78" t="s">
        <v>8763</v>
      </c>
      <c r="H620" s="78" t="s">
        <v>8764</v>
      </c>
      <c r="I620" s="78" t="s">
        <v>8764</v>
      </c>
      <c r="J620" s="78" t="str">
        <f t="shared" si="7"/>
        <v>(${Variables:E2_4_1_18_kcat} * E2_4_1_18 * C00718)/(${Variables:E2_4_1_18_km} + (E2_4_1_18 * C00718))</v>
      </c>
      <c r="K620" s="79" t="str">
        <f t="shared" si="8"/>
        <v>r619: C00718 -&gt; C00369 | (${Variables:E2_4_1_18_kcat} * E2_4_1_18 * C00718)/(${Variables:E2_4_1_18_km} + (E2_4_1_18 * C00718))</v>
      </c>
    </row>
    <row r="621" spans="1:11" ht="26" x14ac:dyDescent="0.35">
      <c r="A621" s="78" t="s">
        <v>5250</v>
      </c>
      <c r="B621" s="49" t="s">
        <v>5251</v>
      </c>
      <c r="C621" s="49" t="s">
        <v>14885</v>
      </c>
      <c r="D621" s="49">
        <v>620</v>
      </c>
      <c r="E621" s="78" t="str">
        <f t="shared" si="6"/>
        <v>E2_4_1_18</v>
      </c>
      <c r="F621" s="78" t="s">
        <v>8766</v>
      </c>
      <c r="G621" s="78" t="s">
        <v>8766</v>
      </c>
      <c r="H621" s="78" t="s">
        <v>8767</v>
      </c>
      <c r="I621" s="78" t="s">
        <v>8767</v>
      </c>
      <c r="J621" s="78" t="str">
        <f t="shared" si="7"/>
        <v>(${Variables:E2_4_1_18_kcat} * E2_4_1_18 * G10495)/(${Variables:E2_4_1_18_km} + (E2_4_1_18 * G10495))</v>
      </c>
      <c r="K621" s="79" t="str">
        <f t="shared" si="8"/>
        <v>r620: G10495 -&gt; G10545 | (${Variables:E2_4_1_18_kcat} * E2_4_1_18 * G10495)/(${Variables:E2_4_1_18_km} + (E2_4_1_18 * G10495))</v>
      </c>
    </row>
    <row r="622" spans="1:11" ht="26.5" x14ac:dyDescent="0.35">
      <c r="A622" s="78" t="s">
        <v>5250</v>
      </c>
      <c r="B622" s="49" t="s">
        <v>5251</v>
      </c>
      <c r="C622" s="49" t="s">
        <v>14886</v>
      </c>
      <c r="D622" s="49">
        <v>621</v>
      </c>
      <c r="E622" s="78" t="str">
        <f t="shared" si="6"/>
        <v>E6_1_1_18</v>
      </c>
      <c r="F622" s="78" t="s">
        <v>14283</v>
      </c>
      <c r="G622" s="78" t="s">
        <v>14284</v>
      </c>
      <c r="H622" s="78" t="s">
        <v>14285</v>
      </c>
      <c r="I622" s="78" t="s">
        <v>14286</v>
      </c>
      <c r="J622" s="78" t="str">
        <f t="shared" si="7"/>
        <v>(${Variables:E6_1_1_18_kcat} * E6_1_1_18 * C00002*C00064*C01640)/(${Variables:E6_1_1_18_km} + (E6_1_1_18 * C00002*C00064*C01640))</v>
      </c>
      <c r="K622" s="79" t="str">
        <f t="shared" si="8"/>
        <v>r621: C00002+C00064+C01640 -&gt; C00020+C00013+C02282 | (${Variables:E6_1_1_18_kcat} * E6_1_1_18 * C00002*C00064*C01640)/(${Variables:E6_1_1_18_km} + (E6_1_1_18 * C00002*C00064*C01640))</v>
      </c>
    </row>
    <row r="623" spans="1:11" ht="26.5" x14ac:dyDescent="0.35">
      <c r="A623" s="78" t="s">
        <v>5261</v>
      </c>
      <c r="B623" s="49" t="s">
        <v>5262</v>
      </c>
      <c r="C623" s="49" t="s">
        <v>14887</v>
      </c>
      <c r="D623" s="49">
        <v>622</v>
      </c>
      <c r="E623" s="78" t="str">
        <f t="shared" si="6"/>
        <v>E3_5_4_5</v>
      </c>
      <c r="F623" s="78" t="s">
        <v>14287</v>
      </c>
      <c r="G623" s="78" t="s">
        <v>14288</v>
      </c>
      <c r="H623" s="78" t="s">
        <v>14289</v>
      </c>
      <c r="I623" s="78" t="s">
        <v>14290</v>
      </c>
      <c r="J623" s="78" t="str">
        <f t="shared" si="7"/>
        <v>(${Variables:E3_5_4_5_kcat} * E3_5_4_5 * C00475*C00001)/(${Variables:E3_5_4_5_km} + (E3_5_4_5 * C00475*C00001))</v>
      </c>
      <c r="K623" s="79" t="str">
        <f t="shared" si="8"/>
        <v>r622: C00475+C00001 -&gt; C00299+C00014 | (${Variables:E3_5_4_5_kcat} * E3_5_4_5 * C00475*C00001)/(${Variables:E3_5_4_5_km} + (E3_5_4_5 * C00475*C00001))</v>
      </c>
    </row>
    <row r="624" spans="1:11" ht="26.5" x14ac:dyDescent="0.35">
      <c r="A624" s="78" t="s">
        <v>5277</v>
      </c>
      <c r="B624" s="49" t="s">
        <v>5278</v>
      </c>
      <c r="C624" s="49" t="s">
        <v>14887</v>
      </c>
      <c r="D624" s="49">
        <v>623</v>
      </c>
      <c r="E624" s="78" t="str">
        <f t="shared" si="6"/>
        <v>E3_5_4_5</v>
      </c>
      <c r="F624" s="78" t="s">
        <v>14291</v>
      </c>
      <c r="G624" s="78" t="s">
        <v>14292</v>
      </c>
      <c r="H624" s="78" t="s">
        <v>14293</v>
      </c>
      <c r="I624" s="78" t="s">
        <v>14294</v>
      </c>
      <c r="J624" s="78" t="str">
        <f t="shared" si="7"/>
        <v>(${Variables:E3_5_4_5_kcat} * E3_5_4_5 * C00881*C00001)/(${Variables:E3_5_4_5_km} + (E3_5_4_5 * C00881*C00001))</v>
      </c>
      <c r="K624" s="79" t="str">
        <f t="shared" si="8"/>
        <v>r623: C00881+C00001 -&gt; C00526+C00014 | (${Variables:E3_5_4_5_kcat} * E3_5_4_5 * C00881*C00001)/(${Variables:E3_5_4_5_km} + (E3_5_4_5 * C00881*C00001))</v>
      </c>
    </row>
    <row r="625" spans="1:11" ht="26.5" x14ac:dyDescent="0.35">
      <c r="A625" s="78" t="s">
        <v>5277</v>
      </c>
      <c r="B625" s="49" t="s">
        <v>5278</v>
      </c>
      <c r="C625" s="49" t="s">
        <v>14887</v>
      </c>
      <c r="D625" s="49">
        <v>624</v>
      </c>
      <c r="E625" s="78" t="str">
        <f t="shared" si="6"/>
        <v>E3_5_4_5</v>
      </c>
      <c r="F625" s="78" t="s">
        <v>14295</v>
      </c>
      <c r="G625" s="78" t="s">
        <v>14296</v>
      </c>
      <c r="H625" s="78" t="s">
        <v>14297</v>
      </c>
      <c r="I625" s="78" t="s">
        <v>14298</v>
      </c>
      <c r="J625" s="78" t="str">
        <f t="shared" si="7"/>
        <v>(${Variables:E3_5_4_5_kcat} * E3_5_4_5 * C16635*C00001)/(${Variables:E3_5_4_5_km} + (E3_5_4_5 * C16635*C00001))</v>
      </c>
      <c r="K625" s="79" t="str">
        <f t="shared" si="8"/>
        <v>r624: C16635+C00001 -&gt; C12739+C00014 | (${Variables:E3_5_4_5_kcat} * E3_5_4_5 * C16635*C00001)/(${Variables:E3_5_4_5_km} + (E3_5_4_5 * C16635*C00001))</v>
      </c>
    </row>
    <row r="626" spans="1:11" ht="26.5" x14ac:dyDescent="0.35">
      <c r="A626" s="78" t="s">
        <v>5277</v>
      </c>
      <c r="B626" s="49" t="s">
        <v>5278</v>
      </c>
      <c r="C626" s="49" t="s">
        <v>14888</v>
      </c>
      <c r="D626" s="49">
        <v>625</v>
      </c>
      <c r="E626" s="78" t="str">
        <f t="shared" si="6"/>
        <v>E1_7_1_13</v>
      </c>
      <c r="F626" s="78" t="s">
        <v>14299</v>
      </c>
      <c r="G626" s="78" t="s">
        <v>14300</v>
      </c>
      <c r="H626" s="78" t="s">
        <v>14301</v>
      </c>
      <c r="I626" s="78" t="s">
        <v>14302</v>
      </c>
      <c r="J626" s="78" t="str">
        <f t="shared" si="7"/>
        <v>(${Variables:E1_7_1_13_kcat} * E1_7_1_13 * C16675*C00006)/(${Variables:E1_7_1_13_km} + (E1_7_1_13 * C16675*C00006))</v>
      </c>
      <c r="K626" s="79" t="str">
        <f t="shared" si="8"/>
        <v>r625: C16675+C00006 -&gt; C15996+C00005+C00080 | (${Variables:E1_7_1_13_kcat} * E1_7_1_13 * C16675*C00006)/(${Variables:E1_7_1_13_km} + (E1_7_1_13 * C16675*C00006))</v>
      </c>
    </row>
    <row r="627" spans="1:11" ht="26.5" x14ac:dyDescent="0.35">
      <c r="A627" s="78" t="s">
        <v>5325</v>
      </c>
      <c r="B627" s="49" t="s">
        <v>5326</v>
      </c>
      <c r="C627" s="49" t="s">
        <v>14889</v>
      </c>
      <c r="D627" s="49">
        <v>626</v>
      </c>
      <c r="E627" s="78" t="str">
        <f t="shared" si="6"/>
        <v>E1_3_1_12</v>
      </c>
      <c r="F627" s="78" t="s">
        <v>14303</v>
      </c>
      <c r="G627" s="78" t="s">
        <v>14304</v>
      </c>
      <c r="H627" s="78" t="s">
        <v>14305</v>
      </c>
      <c r="I627" s="78" t="s">
        <v>14306</v>
      </c>
      <c r="J627" s="78" t="str">
        <f t="shared" si="7"/>
        <v>(${Variables:E1_3_1_12_kcat} * E1_3_1_12 * C00254*C00003)/(${Variables:E1_3_1_12_km} + (E1_3_1_12 * C00254*C00003))</v>
      </c>
      <c r="K627" s="79" t="str">
        <f t="shared" si="8"/>
        <v>r626: C00254+C00003 -&gt; C01179+C00011+C00004+C00080 | (${Variables:E1_3_1_12_kcat} * E1_3_1_12 * C00254*C00003)/(${Variables:E1_3_1_12_km} + (E1_3_1_12 * C00254*C00003))</v>
      </c>
    </row>
    <row r="628" spans="1:11" ht="26" x14ac:dyDescent="0.35">
      <c r="A628" s="78" t="s">
        <v>5329</v>
      </c>
      <c r="B628" s="49" t="s">
        <v>5330</v>
      </c>
      <c r="C628" s="49" t="s">
        <v>14890</v>
      </c>
      <c r="D628" s="49">
        <v>627</v>
      </c>
      <c r="E628" s="78" t="str">
        <f t="shared" si="6"/>
        <v>E5_4_99_5</v>
      </c>
      <c r="F628" s="78" t="s">
        <v>8802</v>
      </c>
      <c r="G628" s="78" t="s">
        <v>8802</v>
      </c>
      <c r="H628" s="78" t="s">
        <v>8183</v>
      </c>
      <c r="I628" s="78" t="s">
        <v>8183</v>
      </c>
      <c r="J628" s="78" t="str">
        <f t="shared" si="7"/>
        <v>(${Variables:E5_4_99_5_kcat} * E5_4_99_5 * C00251)/(${Variables:E5_4_99_5_km} + (E5_4_99_5 * C00251))</v>
      </c>
      <c r="K628" s="79" t="str">
        <f t="shared" si="8"/>
        <v>r627: C00251 -&gt; C00254 | (${Variables:E5_4_99_5_kcat} * E5_4_99_5 * C00251)/(${Variables:E5_4_99_5_km} + (E5_4_99_5 * C00251))</v>
      </c>
    </row>
    <row r="629" spans="1:11" ht="26.5" x14ac:dyDescent="0.35">
      <c r="A629" s="78" t="s">
        <v>5329</v>
      </c>
      <c r="B629" s="49" t="s">
        <v>5330</v>
      </c>
      <c r="C629" s="49" t="s">
        <v>14891</v>
      </c>
      <c r="D629" s="49">
        <v>628</v>
      </c>
      <c r="E629" s="78" t="str">
        <f t="shared" si="6"/>
        <v>E6_1_1_10</v>
      </c>
      <c r="F629" s="78" t="s">
        <v>14307</v>
      </c>
      <c r="G629" s="78" t="s">
        <v>14308</v>
      </c>
      <c r="H629" s="78" t="s">
        <v>14309</v>
      </c>
      <c r="I629" s="78" t="s">
        <v>14310</v>
      </c>
      <c r="J629" s="78" t="str">
        <f t="shared" si="7"/>
        <v>(${Variables:E6_1_1_10_kcat} * E6_1_1_10 * C00002*C00073 *C01647)/(${Variables:E6_1_1_10_km} + (E6_1_1_10 * C00002*C00073 *C01647))</v>
      </c>
      <c r="K629" s="79" t="str">
        <f t="shared" si="8"/>
        <v>r628: C00002+C00073 +C01647 -&gt; C00020+C00013+C02430 | (${Variables:E6_1_1_10_kcat} * E6_1_1_10 * C00002*C00073 *C01647)/(${Variables:E6_1_1_10_km} + (E6_1_1_10 * C00002*C00073 *C01647))</v>
      </c>
    </row>
    <row r="630" spans="1:11" ht="26.5" x14ac:dyDescent="0.35">
      <c r="A630" s="78" t="s">
        <v>5466</v>
      </c>
      <c r="B630" s="49" t="s">
        <v>5467</v>
      </c>
      <c r="C630" s="49" t="s">
        <v>14891</v>
      </c>
      <c r="D630" s="49">
        <v>629</v>
      </c>
      <c r="E630" s="78" t="str">
        <f t="shared" si="6"/>
        <v>E6_1_1_10</v>
      </c>
      <c r="F630" s="78" t="s">
        <v>14311</v>
      </c>
      <c r="G630" s="78" t="s">
        <v>14312</v>
      </c>
      <c r="H630" s="78" t="s">
        <v>14313</v>
      </c>
      <c r="I630" s="78" t="s">
        <v>14314</v>
      </c>
      <c r="J630" s="78" t="str">
        <f t="shared" si="7"/>
        <v>(${Variables:E6_1_1_10_kcat} * E6_1_1_10 * C00002*C05335*C01647)/(${Variables:E6_1_1_10_km} + (E6_1_1_10 * C00002*C05335*C01647))</v>
      </c>
      <c r="K630" s="79" t="str">
        <f t="shared" si="8"/>
        <v>r629: C00002+C05335+C01647 -&gt; C00020+C00013+C05336 | (${Variables:E6_1_1_10_kcat} * E6_1_1_10 * C00002*C05335*C01647)/(${Variables:E6_1_1_10_km} + (E6_1_1_10 * C00002*C05335*C01647))</v>
      </c>
    </row>
    <row r="631" spans="1:11" ht="26.5" x14ac:dyDescent="0.35">
      <c r="A631" s="78" t="s">
        <v>5466</v>
      </c>
      <c r="B631" s="49" t="s">
        <v>5467</v>
      </c>
      <c r="C631" s="49" t="s">
        <v>14892</v>
      </c>
      <c r="D631" s="49">
        <v>630</v>
      </c>
      <c r="E631" s="78" t="str">
        <f t="shared" si="6"/>
        <v>E3_1_2_6</v>
      </c>
      <c r="F631" s="78" t="s">
        <v>14315</v>
      </c>
      <c r="G631" s="78" t="s">
        <v>14316</v>
      </c>
      <c r="H631" s="78" t="s">
        <v>14317</v>
      </c>
      <c r="I631" s="78" t="s">
        <v>14318</v>
      </c>
      <c r="J631" s="78" t="str">
        <f t="shared" si="7"/>
        <v>(${Variables:E3_1_2_6_kcat} * E3_1_2_6 * C03899*C00001)/(${Variables:E3_1_2_6_km} + (E3_1_2_6 * C03899*C00001))</v>
      </c>
      <c r="K631" s="79" t="str">
        <f t="shared" si="8"/>
        <v>r630: C03899+C00001 -&gt; C00051+C02929 | (${Variables:E3_1_2_6_kcat} * E3_1_2_6 * C03899*C00001)/(${Variables:E3_1_2_6_km} + (E3_1_2_6 * C03899*C00001))</v>
      </c>
    </row>
    <row r="632" spans="1:11" ht="26.5" x14ac:dyDescent="0.35">
      <c r="A632" s="78" t="s">
        <v>5474</v>
      </c>
      <c r="B632" s="49" t="s">
        <v>5475</v>
      </c>
      <c r="C632" s="49" t="s">
        <v>14892</v>
      </c>
      <c r="D632" s="49">
        <v>631</v>
      </c>
      <c r="E632" s="78" t="str">
        <f t="shared" si="6"/>
        <v>E3_1_2_6</v>
      </c>
      <c r="F632" s="78" t="s">
        <v>14319</v>
      </c>
      <c r="G632" s="78" t="s">
        <v>14320</v>
      </c>
      <c r="H632" s="78" t="s">
        <v>14321</v>
      </c>
      <c r="I632" s="78" t="s">
        <v>14322</v>
      </c>
      <c r="J632" s="78" t="str">
        <f t="shared" si="7"/>
        <v>(${Variables:E3_1_2_6_kcat} * E3_1_2_6 * C03451*C00001)/(${Variables:E3_1_2_6_km} + (E3_1_2_6 * C03451*C00001))</v>
      </c>
      <c r="K632" s="79" t="str">
        <f t="shared" si="8"/>
        <v>r631: C03451+C00001 -&gt; C00051+C00256 | (${Variables:E3_1_2_6_kcat} * E3_1_2_6 * C03451*C00001)/(${Variables:E3_1_2_6_km} + (E3_1_2_6 * C03451*C00001))</v>
      </c>
    </row>
    <row r="633" spans="1:11" ht="26.5" x14ac:dyDescent="0.35">
      <c r="A633" s="78" t="s">
        <v>5474</v>
      </c>
      <c r="B633" s="49" t="s">
        <v>5475</v>
      </c>
      <c r="C633" s="49" t="s">
        <v>14893</v>
      </c>
      <c r="D633" s="49">
        <v>632</v>
      </c>
      <c r="E633" s="78" t="str">
        <f t="shared" si="6"/>
        <v>E6_3_2_12</v>
      </c>
      <c r="F633" s="78" t="s">
        <v>14323</v>
      </c>
      <c r="G633" s="78" t="s">
        <v>14324</v>
      </c>
      <c r="H633" s="78" t="s">
        <v>14325</v>
      </c>
      <c r="I633" s="78" t="s">
        <v>14326</v>
      </c>
      <c r="J633" s="78" t="str">
        <f t="shared" si="7"/>
        <v>(${Variables:E6_3_2_12_kcat} * E6_3_2_12 * C00002*C00921*C00025)/(${Variables:E6_3_2_12_km} + (E6_3_2_12 * C00002*C00921*C00025))</v>
      </c>
      <c r="K633" s="79" t="str">
        <f t="shared" si="8"/>
        <v>r632: C00002+C00921+C00025 -&gt; C00008+C00009+C00415 | (${Variables:E6_3_2_12_kcat} * E6_3_2_12 * C00002*C00921*C00025)/(${Variables:E6_3_2_12_km} + (E6_3_2_12 * C00002*C00921*C00025))</v>
      </c>
    </row>
    <row r="634" spans="1:11" ht="26.5" x14ac:dyDescent="0.35">
      <c r="A634" s="78" t="s">
        <v>5495</v>
      </c>
      <c r="B634" s="49" t="s">
        <v>5496</v>
      </c>
      <c r="C634" s="49" t="s">
        <v>14893</v>
      </c>
      <c r="D634" s="49">
        <v>633</v>
      </c>
      <c r="E634" s="78" t="str">
        <f t="shared" si="6"/>
        <v>E6_3_2_12</v>
      </c>
      <c r="F634" s="78" t="s">
        <v>14327</v>
      </c>
      <c r="G634" s="78" t="s">
        <v>14328</v>
      </c>
      <c r="H634" s="78" t="s">
        <v>14329</v>
      </c>
      <c r="I634" s="78" t="s">
        <v>14330</v>
      </c>
      <c r="J634" s="78" t="str">
        <f t="shared" si="7"/>
        <v>(${Variables:E6_3_2_12_kcat} * E6_3_2_12 * C00002*C00234*C00025)/(${Variables:E6_3_2_12_km} + (E6_3_2_12 * C00002*C00234*C00025))</v>
      </c>
      <c r="K634" s="79" t="str">
        <f t="shared" si="8"/>
        <v>r633: C00002+C00234+C00025 -&gt; C00008+C00009+C05928 | (${Variables:E6_3_2_12_kcat} * E6_3_2_12 * C00002*C00234*C00025)/(${Variables:E6_3_2_12_km} + (E6_3_2_12 * C00002*C00234*C00025))</v>
      </c>
    </row>
    <row r="635" spans="1:11" ht="26.5" x14ac:dyDescent="0.35">
      <c r="A635" s="78" t="s">
        <v>5495</v>
      </c>
      <c r="B635" s="49" t="s">
        <v>5496</v>
      </c>
      <c r="C635" s="49" t="s">
        <v>14894</v>
      </c>
      <c r="D635" s="49">
        <v>634</v>
      </c>
      <c r="E635" s="78" t="str">
        <f t="shared" si="6"/>
        <v>E6_3_2_17</v>
      </c>
      <c r="F635" s="78" t="s">
        <v>14331</v>
      </c>
      <c r="G635" s="78" t="s">
        <v>14332</v>
      </c>
      <c r="H635" s="78" t="s">
        <v>14333</v>
      </c>
      <c r="I635" s="78" t="s">
        <v>14334</v>
      </c>
      <c r="J635" s="78" t="str">
        <f t="shared" si="7"/>
        <v>(${Variables:E6_3_2_17_kcat} * E6_3_2_17 * C00002*C03541*C00025)/(${Variables:E6_3_2_17_km} + (E6_3_2_17 * C00002*C03541*C00025))</v>
      </c>
      <c r="K635" s="79" t="str">
        <f t="shared" si="8"/>
        <v>r634: C00002+C03541+C00025 -&gt; C00008+C00009+C03541 | (${Variables:E6_3_2_17_kcat} * E6_3_2_17 * C00002*C03541*C00025)/(${Variables:E6_3_2_17_km} + (E6_3_2_17 * C00002*C03541*C00025))</v>
      </c>
    </row>
    <row r="636" spans="1:11" ht="26.5" x14ac:dyDescent="0.35">
      <c r="A636" s="78" t="s">
        <v>5495</v>
      </c>
      <c r="B636" s="49" t="s">
        <v>5496</v>
      </c>
      <c r="C636" s="49" t="s">
        <v>14894</v>
      </c>
      <c r="D636" s="49">
        <v>635</v>
      </c>
      <c r="E636" s="78" t="str">
        <f t="shared" si="6"/>
        <v>E6_3_2_17</v>
      </c>
      <c r="F636" s="78" t="s">
        <v>14335</v>
      </c>
      <c r="G636" s="78" t="s">
        <v>14336</v>
      </c>
      <c r="H636" s="78" t="s">
        <v>14337</v>
      </c>
      <c r="I636" s="78" t="s">
        <v>14338</v>
      </c>
      <c r="J636" s="78" t="str">
        <f t="shared" si="7"/>
        <v>(${Variables:E6_3_2_17_kcat} * E6_3_2_17 * C00002*C00101*C00025)/(${Variables:E6_3_2_17_km} + (E6_3_2_17 * C00002*C00101*C00025))</v>
      </c>
      <c r="K636" s="79" t="str">
        <f t="shared" si="8"/>
        <v>r635: C00002+C00101+C00025 -&gt; C00008+C00009+C09332 | (${Variables:E6_3_2_17_kcat} * E6_3_2_17 * C00002*C00101*C00025)/(${Variables:E6_3_2_17_km} + (E6_3_2_17 * C00002*C00101*C00025))</v>
      </c>
    </row>
    <row r="637" spans="1:11" ht="26.5" x14ac:dyDescent="0.35">
      <c r="A637" s="78" t="s">
        <v>5495</v>
      </c>
      <c r="B637" s="49" t="s">
        <v>5496</v>
      </c>
      <c r="C637" s="49" t="s">
        <v>14894</v>
      </c>
      <c r="D637" s="49">
        <v>636</v>
      </c>
      <c r="E637" s="78" t="str">
        <f t="shared" si="6"/>
        <v>E6_3_2_17</v>
      </c>
      <c r="F637" s="78" t="s">
        <v>14339</v>
      </c>
      <c r="G637" s="78" t="s">
        <v>14340</v>
      </c>
      <c r="H637" s="78" t="s">
        <v>14341</v>
      </c>
      <c r="I637" s="78" t="s">
        <v>14342</v>
      </c>
      <c r="J637" s="78" t="str">
        <f t="shared" si="7"/>
        <v>(${Variables:E6_3_2_17_kcat} * E6_3_2_17 * C00002*C05928*C00025)/(${Variables:E6_3_2_17_km} + (E6_3_2_17 * C00002*C05928*C00025))</v>
      </c>
      <c r="K637" s="79" t="str">
        <f t="shared" si="8"/>
        <v>r636: C00002+C05928+C00025 -&gt; C00008+C00009+C05929 | (${Variables:E6_3_2_17_kcat} * E6_3_2_17 * C00002*C05928*C00025)/(${Variables:E6_3_2_17_km} + (E6_3_2_17 * C00002*C05928*C00025))</v>
      </c>
    </row>
    <row r="638" spans="1:11" ht="26.5" x14ac:dyDescent="0.35">
      <c r="A638" s="78" t="s">
        <v>5495</v>
      </c>
      <c r="B638" s="49" t="s">
        <v>5496</v>
      </c>
      <c r="C638" s="49" t="s">
        <v>14895</v>
      </c>
      <c r="D638" s="49">
        <v>637</v>
      </c>
      <c r="E638" s="78" t="str">
        <f t="shared" si="6"/>
        <v>E1_2_1_41</v>
      </c>
      <c r="F638" s="78" t="s">
        <v>14343</v>
      </c>
      <c r="G638" s="78" t="s">
        <v>14344</v>
      </c>
      <c r="H638" s="78" t="s">
        <v>14345</v>
      </c>
      <c r="I638" s="78" t="s">
        <v>14346</v>
      </c>
      <c r="J638" s="78" t="str">
        <f t="shared" si="7"/>
        <v>(${Variables:E1_2_1_41_kcat} * E1_2_1_41 * C01165*C00009*C00006)/(${Variables:E1_2_1_41_km} + (E1_2_1_41 * C01165*C00009*C00006))</v>
      </c>
      <c r="K638" s="79" t="str">
        <f t="shared" si="8"/>
        <v>r637: C01165+C00009+C00006 -&gt; C03287+C00005+C00080 | (${Variables:E1_2_1_41_kcat} * E1_2_1_41 * C01165*C00009*C00006)/(${Variables:E1_2_1_41_km} + (E1_2_1_41 * C01165*C00009*C00006))</v>
      </c>
    </row>
    <row r="639" spans="1:11" ht="26" x14ac:dyDescent="0.35">
      <c r="A639" s="78" t="s">
        <v>5561</v>
      </c>
      <c r="B639" s="49" t="s">
        <v>5562</v>
      </c>
      <c r="C639" s="49" t="s">
        <v>14896</v>
      </c>
      <c r="D639" s="49">
        <v>638</v>
      </c>
      <c r="E639" s="78" t="str">
        <f t="shared" si="6"/>
        <v>E4_2_3_3</v>
      </c>
      <c r="F639" s="78" t="s">
        <v>7304</v>
      </c>
      <c r="G639" s="78" t="s">
        <v>7304</v>
      </c>
      <c r="H639" s="78" t="s">
        <v>14347</v>
      </c>
      <c r="I639" s="78" t="s">
        <v>14348</v>
      </c>
      <c r="J639" s="78" t="str">
        <f t="shared" si="7"/>
        <v>(${Variables:E4_2_3_3_kcat} * E4_2_3_3 * C00111)/(${Variables:E4_2_3_3_km} + (E4_2_3_3 * C00111))</v>
      </c>
      <c r="K639" s="79" t="str">
        <f t="shared" si="8"/>
        <v>r638: C00111 -&gt; C00546+C00009 | (${Variables:E4_2_3_3_kcat} * E4_2_3_3 * C00111)/(${Variables:E4_2_3_3_km} + (E4_2_3_3 * C00111))</v>
      </c>
    </row>
    <row r="640" spans="1:11" ht="26.5" x14ac:dyDescent="0.35">
      <c r="A640" s="78" t="s">
        <v>5576</v>
      </c>
      <c r="B640" s="49" t="s">
        <v>5577</v>
      </c>
      <c r="C640" s="49" t="s">
        <v>14897</v>
      </c>
      <c r="D640" s="49">
        <v>639</v>
      </c>
      <c r="E640" s="78" t="str">
        <f t="shared" si="6"/>
        <v>E1_2_4_1</v>
      </c>
      <c r="F640" s="78" t="s">
        <v>14349</v>
      </c>
      <c r="G640" s="78" t="s">
        <v>14350</v>
      </c>
      <c r="H640" s="78" t="s">
        <v>14351</v>
      </c>
      <c r="I640" s="78" t="s">
        <v>14352</v>
      </c>
      <c r="J640" s="78" t="str">
        <f t="shared" si="7"/>
        <v>(${Variables:E1_2_4_1_kcat} * E1_2_4_1 * C00022 * C15972)/(${Variables:E1_2_4_1_km} + (E1_2_4_1 * C00022 * C15972))</v>
      </c>
      <c r="K640" s="79" t="str">
        <f t="shared" si="8"/>
        <v>r639: C00022 + C15972 -&gt; C16255 + C00011 | (${Variables:E1_2_4_1_kcat} * E1_2_4_1 * C00022 * C15972)/(${Variables:E1_2_4_1_km} + (E1_2_4_1 * C00022 * C15972))</v>
      </c>
    </row>
    <row r="641" spans="1:11" ht="26.5" x14ac:dyDescent="0.35">
      <c r="A641" s="78" t="s">
        <v>5580</v>
      </c>
      <c r="B641" s="49" t="s">
        <v>5581</v>
      </c>
      <c r="C641" s="49" t="s">
        <v>14897</v>
      </c>
      <c r="D641" s="49">
        <v>640</v>
      </c>
      <c r="E641" s="78" t="str">
        <f t="shared" si="6"/>
        <v>E1_2_4_1</v>
      </c>
      <c r="F641" s="78" t="s">
        <v>14353</v>
      </c>
      <c r="G641" s="78" t="s">
        <v>14354</v>
      </c>
      <c r="H641" s="78" t="s">
        <v>14355</v>
      </c>
      <c r="I641" s="78" t="s">
        <v>14356</v>
      </c>
      <c r="J641" s="78" t="str">
        <f t="shared" si="7"/>
        <v>(${Variables:E1_2_4_1_kcat} * E1_2_4_1 * C05125*C15972)/(${Variables:E1_2_4_1_km} + (E1_2_4_1 * C05125*C15972))</v>
      </c>
      <c r="K641" s="79" t="str">
        <f t="shared" si="8"/>
        <v>r640: C05125+C15972 -&gt; C16255+C00068 | (${Variables:E1_2_4_1_kcat} * E1_2_4_1 * C05125*C15972)/(${Variables:E1_2_4_1_km} + (E1_2_4_1 * C05125*C15972))</v>
      </c>
    </row>
    <row r="642" spans="1:11" ht="26.5" x14ac:dyDescent="0.35">
      <c r="A642" s="78" t="s">
        <v>5580</v>
      </c>
      <c r="B642" s="49" t="s">
        <v>5581</v>
      </c>
      <c r="C642" s="49" t="s">
        <v>14898</v>
      </c>
      <c r="D642" s="49">
        <v>641</v>
      </c>
      <c r="E642" s="78" t="str">
        <f t="shared" si="6"/>
        <v>E2_3_1_12</v>
      </c>
      <c r="F642" s="78" t="s">
        <v>14357</v>
      </c>
      <c r="G642" s="78" t="s">
        <v>14358</v>
      </c>
      <c r="H642" s="78" t="s">
        <v>14359</v>
      </c>
      <c r="I642" s="78" t="s">
        <v>14360</v>
      </c>
      <c r="J642" s="78" t="str">
        <f t="shared" si="7"/>
        <v>(${Variables:E2_3_1_12_kcat} * E2_3_1_12 * C00024*C15973)/(${Variables:E2_3_1_12_km} + (E2_3_1_12 * C00024*C15973))</v>
      </c>
      <c r="K642" s="79" t="str">
        <f t="shared" si="8"/>
        <v>r641: C00024+C15973 -&gt; C00010+C16255 | (${Variables:E2_3_1_12_kcat} * E2_3_1_12 * C00024*C15973)/(${Variables:E2_3_1_12_km} + (E2_3_1_12 * C00024*C15973))</v>
      </c>
    </row>
    <row r="643" spans="1:11" ht="26.5" x14ac:dyDescent="0.35">
      <c r="A643" s="78" t="s">
        <v>5584</v>
      </c>
      <c r="B643" s="49" t="s">
        <v>5585</v>
      </c>
      <c r="C643" s="49" t="s">
        <v>14899</v>
      </c>
      <c r="D643" s="49">
        <v>642</v>
      </c>
      <c r="E643" s="78" t="str">
        <f t="shared" si="6"/>
        <v>E1_8_1_4</v>
      </c>
      <c r="F643" s="78" t="s">
        <v>14361</v>
      </c>
      <c r="G643" s="78" t="s">
        <v>14362</v>
      </c>
      <c r="H643" s="78" t="s">
        <v>14363</v>
      </c>
      <c r="I643" s="78" t="s">
        <v>14364</v>
      </c>
      <c r="J643" s="78" t="str">
        <f t="shared" si="7"/>
        <v>(${Variables:E1_8_1_4_kcat} * E1_8_1_4 * C16832*C00003)/(${Variables:E1_8_1_4_km} + (E1_8_1_4 * C16832*C00003))</v>
      </c>
      <c r="K643" s="79" t="str">
        <f t="shared" si="8"/>
        <v>r642: C16832+C00003 -&gt; C16237+C00004+C00080 | (${Variables:E1_8_1_4_kcat} * E1_8_1_4 * C16832*C00003)/(${Variables:E1_8_1_4_km} + (E1_8_1_4 * C16832*C00003))</v>
      </c>
    </row>
    <row r="644" spans="1:11" ht="26.5" x14ac:dyDescent="0.35">
      <c r="A644" s="78" t="s">
        <v>5588</v>
      </c>
      <c r="B644" s="49" t="s">
        <v>5589</v>
      </c>
      <c r="C644" s="49" t="s">
        <v>14899</v>
      </c>
      <c r="D644" s="49">
        <v>643</v>
      </c>
      <c r="E644" s="78" t="str">
        <f t="shared" si="6"/>
        <v>E1_8_1_4</v>
      </c>
      <c r="F644" s="78" t="s">
        <v>14365</v>
      </c>
      <c r="G644" s="78" t="s">
        <v>14366</v>
      </c>
      <c r="H644" s="78" t="s">
        <v>14367</v>
      </c>
      <c r="I644" s="78" t="s">
        <v>14368</v>
      </c>
      <c r="J644" s="78" t="str">
        <f t="shared" si="7"/>
        <v>(${Variables:E1_8_1_4_kcat} * E1_8_1_4 * C02972*C00003)/(${Variables:E1_8_1_4_km} + (E1_8_1_4 * C02972*C00003))</v>
      </c>
      <c r="K644" s="79" t="str">
        <f t="shared" si="8"/>
        <v>r643: C02972+C00003 -&gt; C02051+C00004+C00080 | (${Variables:E1_8_1_4_kcat} * E1_8_1_4 * C02972*C00003)/(${Variables:E1_8_1_4_km} + (E1_8_1_4 * C02972*C00003))</v>
      </c>
    </row>
    <row r="645" spans="1:11" ht="26.5" x14ac:dyDescent="0.35">
      <c r="A645" s="78" t="s">
        <v>5588</v>
      </c>
      <c r="B645" s="49" t="s">
        <v>5589</v>
      </c>
      <c r="C645" s="49" t="s">
        <v>14899</v>
      </c>
      <c r="D645" s="49">
        <v>644</v>
      </c>
      <c r="E645" s="78" t="str">
        <f t="shared" si="6"/>
        <v>E1_8_1_4</v>
      </c>
      <c r="F645" s="78" t="s">
        <v>14369</v>
      </c>
      <c r="G645" s="78" t="s">
        <v>14370</v>
      </c>
      <c r="H645" s="78" t="s">
        <v>14371</v>
      </c>
      <c r="I645" s="78" t="s">
        <v>14372</v>
      </c>
      <c r="J645" s="78" t="str">
        <f t="shared" si="7"/>
        <v>(${Variables:E1_8_1_4_kcat} * E1_8_1_4 * C15973*C00003)/(${Variables:E1_8_1_4_km} + (E1_8_1_4 * C15973*C00003))</v>
      </c>
      <c r="K645" s="79" t="str">
        <f t="shared" si="8"/>
        <v>r644: C15973+C00003 -&gt; C15972+C00004+C00080 | (${Variables:E1_8_1_4_kcat} * E1_8_1_4 * C15973*C00003)/(${Variables:E1_8_1_4_km} + (E1_8_1_4 * C15973*C00003))</v>
      </c>
    </row>
    <row r="646" spans="1:11" ht="26.5" x14ac:dyDescent="0.35">
      <c r="A646" s="78" t="s">
        <v>5588</v>
      </c>
      <c r="B646" s="49" t="s">
        <v>5589</v>
      </c>
      <c r="C646" s="49" t="s">
        <v>14899</v>
      </c>
      <c r="D646" s="49">
        <v>645</v>
      </c>
      <c r="E646" s="78" t="str">
        <f t="shared" si="6"/>
        <v>E1_8_1_4</v>
      </c>
      <c r="F646" s="78" t="s">
        <v>14373</v>
      </c>
      <c r="G646" s="78" t="s">
        <v>14374</v>
      </c>
      <c r="H646" s="78" t="s">
        <v>14375</v>
      </c>
      <c r="I646" s="78" t="s">
        <v>14376</v>
      </c>
      <c r="J646" s="78" t="str">
        <f t="shared" si="7"/>
        <v>(${Variables:E1_8_1_4_kcat} * E1_8_1_4 * C00579*C00003)/(${Variables:E1_8_1_4_km} + (E1_8_1_4 * C00579*C00003))</v>
      </c>
      <c r="K646" s="79" t="str">
        <f t="shared" si="8"/>
        <v>r645: C00579+C00003 -&gt; C00248+C00004+C00080 | (${Variables:E1_8_1_4_kcat} * E1_8_1_4 * C00579*C00003)/(${Variables:E1_8_1_4_km} + (E1_8_1_4 * C00579*C00003))</v>
      </c>
    </row>
    <row r="647" spans="1:11" ht="26.5" x14ac:dyDescent="0.35">
      <c r="A647" s="78" t="s">
        <v>5588</v>
      </c>
      <c r="B647" s="49" t="s">
        <v>5589</v>
      </c>
      <c r="C647" s="49" t="s">
        <v>14900</v>
      </c>
      <c r="D647" s="49">
        <v>646</v>
      </c>
      <c r="E647" s="78" t="str">
        <f t="shared" si="6"/>
        <v>E2_4_2_7</v>
      </c>
      <c r="F647" s="78" t="s">
        <v>12807</v>
      </c>
      <c r="G647" s="78" t="s">
        <v>12808</v>
      </c>
      <c r="H647" s="78" t="s">
        <v>14377</v>
      </c>
      <c r="I647" s="78" t="s">
        <v>14378</v>
      </c>
      <c r="J647" s="78" t="str">
        <f t="shared" si="7"/>
        <v>(${Variables:E2_4_2_7_kcat} * E2_4_2_7 * C00020*C00013)/(${Variables:E2_4_2_7_km} + (E2_4_2_7 * C00020*C00013))</v>
      </c>
      <c r="K647" s="79" t="str">
        <f t="shared" si="8"/>
        <v>r646: C00020+C00013 -&gt; C00147+C00119 | (${Variables:E2_4_2_7_kcat} * E2_4_2_7 * C00020*C00013)/(${Variables:E2_4_2_7_km} + (E2_4_2_7 * C00020*C00013))</v>
      </c>
    </row>
    <row r="648" spans="1:11" ht="26.5" x14ac:dyDescent="0.35">
      <c r="A648" s="78" t="s">
        <v>5592</v>
      </c>
      <c r="B648" s="49" t="s">
        <v>5593</v>
      </c>
      <c r="C648" s="49" t="s">
        <v>14900</v>
      </c>
      <c r="D648" s="49">
        <v>647</v>
      </c>
      <c r="E648" s="78" t="str">
        <f t="shared" si="6"/>
        <v>E2_4_2_7</v>
      </c>
      <c r="F648" s="78" t="s">
        <v>14379</v>
      </c>
      <c r="G648" s="78" t="s">
        <v>14380</v>
      </c>
      <c r="H648" s="78" t="s">
        <v>14381</v>
      </c>
      <c r="I648" s="78" t="s">
        <v>14382</v>
      </c>
      <c r="J648" s="78" t="str">
        <f t="shared" si="7"/>
        <v>(${Variables:E2_4_2_7_kcat} * E2_4_2_7 * C04677*C00013)/(${Variables:E2_4_2_7_km} + (E2_4_2_7 * C04677*C00013))</v>
      </c>
      <c r="K648" s="79" t="str">
        <f t="shared" si="8"/>
        <v>r647: C04677+C00013 -&gt; C04051+C00119 | (${Variables:E2_4_2_7_kcat} * E2_4_2_7 * C04677*C00013)/(${Variables:E2_4_2_7_km} + (E2_4_2_7 * C04677*C00013))</v>
      </c>
    </row>
    <row r="649" spans="1:11" ht="26" x14ac:dyDescent="0.35">
      <c r="A649" s="78" t="s">
        <v>5592</v>
      </c>
      <c r="B649" s="49" t="s">
        <v>5593</v>
      </c>
      <c r="C649" s="49" t="s">
        <v>14901</v>
      </c>
      <c r="D649" s="49">
        <v>648</v>
      </c>
      <c r="E649" s="78" t="str">
        <f t="shared" si="6"/>
        <v>E4_1_1_23</v>
      </c>
      <c r="F649" s="78" t="s">
        <v>8893</v>
      </c>
      <c r="G649" s="78" t="s">
        <v>8893</v>
      </c>
      <c r="H649" s="78" t="s">
        <v>14383</v>
      </c>
      <c r="I649" s="78" t="s">
        <v>14384</v>
      </c>
      <c r="J649" s="78" t="str">
        <f t="shared" si="7"/>
        <v>(${Variables:E4_1_1_23_kcat} * E4_1_1_23 * C01103)/(${Variables:E4_1_1_23_km} + (E4_1_1_23 * C01103))</v>
      </c>
      <c r="K649" s="79" t="str">
        <f t="shared" si="8"/>
        <v>r648: C01103 -&gt; C00105+C00011 | (${Variables:E4_1_1_23_kcat} * E4_1_1_23 * C01103)/(${Variables:E4_1_1_23_km} + (E4_1_1_23 * C01103))</v>
      </c>
    </row>
    <row r="650" spans="1:11" ht="26.5" x14ac:dyDescent="0.35">
      <c r="A650" s="78" t="s">
        <v>5615</v>
      </c>
      <c r="B650" s="49" t="s">
        <v>5616</v>
      </c>
      <c r="C650" s="49" t="s">
        <v>14902</v>
      </c>
      <c r="D650" s="49">
        <v>649</v>
      </c>
      <c r="E650" s="78" t="str">
        <f t="shared" si="6"/>
        <v>E2_7_4_25</v>
      </c>
      <c r="F650" s="78" t="s">
        <v>14385</v>
      </c>
      <c r="G650" s="78" t="s">
        <v>14386</v>
      </c>
      <c r="H650" s="78" t="s">
        <v>14387</v>
      </c>
      <c r="I650" s="78" t="s">
        <v>14388</v>
      </c>
      <c r="J650" s="78" t="str">
        <f t="shared" si="7"/>
        <v>(${Variables:E2_7_4_25_kcat} * E2_7_4_25 * C00002*C00055)/(${Variables:E2_7_4_25_km} + (E2_7_4_25 * C00002*C00055))</v>
      </c>
      <c r="K650" s="79" t="str">
        <f t="shared" si="8"/>
        <v>r649: C00002+C00055 -&gt; C00008+C00112 | (${Variables:E2_7_4_25_kcat} * E2_7_4_25 * C00002*C00055)/(${Variables:E2_7_4_25_km} + (E2_7_4_25 * C00002*C00055))</v>
      </c>
    </row>
    <row r="651" spans="1:11" ht="26.5" x14ac:dyDescent="0.35">
      <c r="A651" s="78" t="s">
        <v>5633</v>
      </c>
      <c r="B651" s="49" t="s">
        <v>5634</v>
      </c>
      <c r="C651" s="49" t="s">
        <v>14902</v>
      </c>
      <c r="D651" s="49">
        <v>650</v>
      </c>
      <c r="E651" s="78" t="str">
        <f t="shared" si="6"/>
        <v>E2_7_4_25</v>
      </c>
      <c r="F651" s="78" t="s">
        <v>14389</v>
      </c>
      <c r="G651" s="78" t="s">
        <v>14390</v>
      </c>
      <c r="H651" s="78" t="s">
        <v>14391</v>
      </c>
      <c r="I651" s="78" t="s">
        <v>14392</v>
      </c>
      <c r="J651" s="78" t="str">
        <f t="shared" si="7"/>
        <v>(${Variables:E2_7_4_25_kcat} * E2_7_4_25 * C00002*C00239)/(${Variables:E2_7_4_25_km} + (E2_7_4_25 * C00002*C00239))</v>
      </c>
      <c r="K651" s="79" t="str">
        <f t="shared" si="8"/>
        <v>r650: C00002+C00239 -&gt; C00008+C00705 | (${Variables:E2_7_4_25_kcat} * E2_7_4_25 * C00002*C00239)/(${Variables:E2_7_4_25_km} + (E2_7_4_25 * C00002*C00239))</v>
      </c>
    </row>
    <row r="652" spans="1:11" ht="26.5" x14ac:dyDescent="0.35">
      <c r="A652" s="78" t="s">
        <v>5633</v>
      </c>
      <c r="B652" s="49" t="s">
        <v>5634</v>
      </c>
      <c r="C652" s="49" t="s">
        <v>14903</v>
      </c>
      <c r="D652" s="49">
        <v>651</v>
      </c>
      <c r="E652" s="78" t="str">
        <f t="shared" si="6"/>
        <v>E3_5_1_2</v>
      </c>
      <c r="F652" s="78" t="s">
        <v>14393</v>
      </c>
      <c r="G652" s="78" t="s">
        <v>14394</v>
      </c>
      <c r="H652" s="78" t="s">
        <v>14395</v>
      </c>
      <c r="I652" s="78" t="s">
        <v>14396</v>
      </c>
      <c r="J652" s="78" t="str">
        <f t="shared" si="7"/>
        <v>(${Variables:E3_5_1_2_kcat} * E3_5_1_2 * C00819*C00001)/(${Variables:E3_5_1_2_km} + (E3_5_1_2 * C00819*C00001))</v>
      </c>
      <c r="K652" s="79" t="str">
        <f t="shared" si="8"/>
        <v>r651: C00819+C00001 -&gt; C00217+C00014 | (${Variables:E3_5_1_2_kcat} * E3_5_1_2 * C00819*C00001)/(${Variables:E3_5_1_2_km} + (E3_5_1_2 * C00819*C00001))</v>
      </c>
    </row>
    <row r="653" spans="1:11" ht="26.5" x14ac:dyDescent="0.35">
      <c r="A653" s="78" t="s">
        <v>5641</v>
      </c>
      <c r="B653" s="49" t="s">
        <v>5642</v>
      </c>
      <c r="C653" s="49" t="s">
        <v>14904</v>
      </c>
      <c r="D653" s="49">
        <v>652</v>
      </c>
      <c r="E653" s="78" t="str">
        <f t="shared" si="6"/>
        <v>E4_3_3_6</v>
      </c>
      <c r="F653" s="78" t="s">
        <v>14397</v>
      </c>
      <c r="G653" s="78" t="s">
        <v>14398</v>
      </c>
      <c r="H653" s="78" t="s">
        <v>14399</v>
      </c>
      <c r="I653" s="78" t="s">
        <v>14400</v>
      </c>
      <c r="J653" s="78" t="str">
        <f t="shared" si="7"/>
        <v>(${Variables:E4_3_3_6_kcat} * E4_3_3_6 * C00117*C00118*C00014)/(${Variables:E4_3_3_6_km} + (E4_3_3_6 * C00117*C00118*C00014))</v>
      </c>
      <c r="K653" s="79" t="str">
        <f t="shared" si="8"/>
        <v>r652: C00117+C00118+C00014 -&gt; C00018+C00001+C00009 | (${Variables:E4_3_3_6_kcat} * E4_3_3_6 * C00117*C00118*C00014)/(${Variables:E4_3_3_6_km} + (E4_3_3_6 * C00117*C00118*C00014))</v>
      </c>
    </row>
    <row r="654" spans="1:11" ht="38.5" x14ac:dyDescent="0.35">
      <c r="A654" s="78" t="s">
        <v>5641</v>
      </c>
      <c r="B654" s="49" t="s">
        <v>5642</v>
      </c>
      <c r="C654" s="49" t="s">
        <v>14904</v>
      </c>
      <c r="D654" s="49">
        <v>653</v>
      </c>
      <c r="E654" s="78" t="str">
        <f t="shared" si="6"/>
        <v>E4_3_3_6</v>
      </c>
      <c r="F654" s="78" t="s">
        <v>14401</v>
      </c>
      <c r="G654" s="78" t="s">
        <v>14402</v>
      </c>
      <c r="H654" s="78" t="s">
        <v>14403</v>
      </c>
      <c r="I654" s="78" t="s">
        <v>14404</v>
      </c>
      <c r="J654" s="78" t="str">
        <f t="shared" si="7"/>
        <v>(${Variables:E4_3_3_6_kcat} * E4_3_3_6 * C00117*C00118*C00064)/(${Variables:E4_3_3_6_km} + (E4_3_3_6 * C00117*C00118*C00064))</v>
      </c>
      <c r="K654" s="79" t="str">
        <f t="shared" si="8"/>
        <v>r653: C00117+C00118+C00064 -&gt; C00018+C00025+C00001+C00009 | (${Variables:E4_3_3_6_kcat} * E4_3_3_6 * C00117*C00118*C00064)/(${Variables:E4_3_3_6_km} + (E4_3_3_6 * C00117*C00118*C00064))</v>
      </c>
    </row>
    <row r="655" spans="1:11" ht="38.5" x14ac:dyDescent="0.35">
      <c r="A655" s="78" t="s">
        <v>5641</v>
      </c>
      <c r="B655" s="49" t="s">
        <v>5642</v>
      </c>
      <c r="C655" s="49" t="s">
        <v>14904</v>
      </c>
      <c r="D655" s="49">
        <v>654</v>
      </c>
      <c r="E655" s="78" t="str">
        <f t="shared" si="6"/>
        <v>E4_3_3_6</v>
      </c>
      <c r="F655" s="78" t="s">
        <v>14405</v>
      </c>
      <c r="G655" s="78" t="s">
        <v>14406</v>
      </c>
      <c r="H655" s="78" t="s">
        <v>14407</v>
      </c>
      <c r="I655" s="78" t="s">
        <v>14408</v>
      </c>
      <c r="J655" s="78" t="str">
        <f t="shared" si="7"/>
        <v>(${Variables:E4_3_3_6_kcat} * E4_3_3_6 * C00118*C00199*C00064)/(${Variables:E4_3_3_6_km} + (E4_3_3_6 * C00118*C00199*C00064))</v>
      </c>
      <c r="K655" s="79" t="str">
        <f t="shared" si="8"/>
        <v>r654: C00118+C00199+C00064 -&gt; C00018+C00025+C00009+C00001 | (${Variables:E4_3_3_6_kcat} * E4_3_3_6 * C00118*C00199*C00064)/(${Variables:E4_3_3_6_km} + (E4_3_3_6 * C00118*C00199*C00064))</v>
      </c>
    </row>
    <row r="656" spans="1:11" ht="26.5" x14ac:dyDescent="0.35">
      <c r="A656" s="78" t="s">
        <v>5641</v>
      </c>
      <c r="B656" s="49" t="s">
        <v>5642</v>
      </c>
      <c r="C656" s="49" t="s">
        <v>14905</v>
      </c>
      <c r="D656" s="49">
        <v>655</v>
      </c>
      <c r="E656" s="78" t="str">
        <f t="shared" si="6"/>
        <v>E1_1_1_28</v>
      </c>
      <c r="F656" s="78" t="s">
        <v>14409</v>
      </c>
      <c r="G656" s="78" t="s">
        <v>14410</v>
      </c>
      <c r="H656" s="78" t="s">
        <v>14411</v>
      </c>
      <c r="I656" s="78" t="s">
        <v>14412</v>
      </c>
      <c r="J656" s="78" t="str">
        <f t="shared" si="7"/>
        <v>(${Variables:E1_1_1_28_kcat} * E1_1_1_28 * C00256*C00003)/(${Variables:E1_1_1_28_km} + (E1_1_1_28 * C00256*C00003))</v>
      </c>
      <c r="K656" s="79" t="str">
        <f t="shared" si="8"/>
        <v>r655: C00256+C00003 -&gt; C00022+C00004+C00080 | (${Variables:E1_1_1_28_kcat} * E1_1_1_28 * C00256*C00003)/(${Variables:E1_1_1_28_km} + (E1_1_1_28 * C00256*C00003))</v>
      </c>
    </row>
    <row r="657" spans="1:11" ht="26.5" x14ac:dyDescent="0.35">
      <c r="A657" s="78" t="s">
        <v>5645</v>
      </c>
      <c r="B657" s="49" t="s">
        <v>5646</v>
      </c>
      <c r="C657" s="49" t="s">
        <v>14906</v>
      </c>
      <c r="D657" s="49">
        <v>656</v>
      </c>
      <c r="E657" s="78" t="str">
        <f t="shared" si="6"/>
        <v>E1_17_4_1</v>
      </c>
      <c r="F657" s="78" t="s">
        <v>14413</v>
      </c>
      <c r="G657" s="78" t="s">
        <v>14414</v>
      </c>
      <c r="H657" s="78" t="s">
        <v>14415</v>
      </c>
      <c r="I657" s="78" t="s">
        <v>14416</v>
      </c>
      <c r="J657" s="78" t="str">
        <f t="shared" si="7"/>
        <v>(${Variables:E1_17_4_1_kcat} * E1_17_4_1 * C04232*C00343*C00001)/(${Variables:E1_17_4_1_km} + (E1_17_4_1 * C04232*C00343*C00001))</v>
      </c>
      <c r="K657" s="79" t="str">
        <f t="shared" si="8"/>
        <v>r656: C04232+C00343+C00001 -&gt; C03723+C00342 | (${Variables:E1_17_4_1_kcat} * E1_17_4_1 * C04232*C00343*C00001)/(${Variables:E1_17_4_1_km} + (E1_17_4_1 * C04232*C00343*C00001))</v>
      </c>
    </row>
    <row r="658" spans="1:11" ht="26.5" x14ac:dyDescent="0.35">
      <c r="A658" s="78" t="s">
        <v>5681</v>
      </c>
      <c r="B658" s="49" t="s">
        <v>5682</v>
      </c>
      <c r="C658" s="49" t="s">
        <v>14906</v>
      </c>
      <c r="D658" s="49">
        <v>657</v>
      </c>
      <c r="E658" s="78" t="str">
        <f t="shared" si="6"/>
        <v>E1_17_4_1</v>
      </c>
      <c r="F658" s="78" t="s">
        <v>14417</v>
      </c>
      <c r="G658" s="78" t="s">
        <v>14418</v>
      </c>
      <c r="H658" s="78" t="s">
        <v>14419</v>
      </c>
      <c r="I658" s="78" t="s">
        <v>14420</v>
      </c>
      <c r="J658" s="78" t="str">
        <f t="shared" si="7"/>
        <v>(${Variables:E1_17_4_1_kcat} * E1_17_4_1 * C00206*C00343*C00001)/(${Variables:E1_17_4_1_km} + (E1_17_4_1 * C00206*C00343*C00001))</v>
      </c>
      <c r="K658" s="79" t="str">
        <f t="shared" si="8"/>
        <v>r657: C00206+C00343+C00001 -&gt; C00342+C00008 | (${Variables:E1_17_4_1_kcat} * E1_17_4_1 * C00206*C00343*C00001)/(${Variables:E1_17_4_1_km} + (E1_17_4_1 * C00206*C00343*C00001))</v>
      </c>
    </row>
    <row r="659" spans="1:11" ht="26.5" x14ac:dyDescent="0.35">
      <c r="A659" s="78" t="s">
        <v>5681</v>
      </c>
      <c r="B659" s="49" t="s">
        <v>5682</v>
      </c>
      <c r="C659" s="49" t="s">
        <v>14906</v>
      </c>
      <c r="D659" s="49">
        <v>658</v>
      </c>
      <c r="E659" s="78" t="str">
        <f t="shared" si="6"/>
        <v>E1_17_4_1</v>
      </c>
      <c r="F659" s="78" t="s">
        <v>14421</v>
      </c>
      <c r="G659" s="78" t="s">
        <v>14422</v>
      </c>
      <c r="H659" s="78" t="s">
        <v>14423</v>
      </c>
      <c r="I659" s="78" t="s">
        <v>14424</v>
      </c>
      <c r="J659" s="78" t="str">
        <f t="shared" si="7"/>
        <v>(${Variables:E1_17_4_1_kcat} * E1_17_4_1 * C01346*C00343*C00001)/(${Variables:E1_17_4_1_km} + (E1_17_4_1 * C01346*C00343*C00001))</v>
      </c>
      <c r="K659" s="79" t="str">
        <f t="shared" si="8"/>
        <v>r658: C01346+C00343+C00001 -&gt; C00342+C00015 | (${Variables:E1_17_4_1_kcat} * E1_17_4_1 * C01346*C00343*C00001)/(${Variables:E1_17_4_1_km} + (E1_17_4_1 * C01346*C00343*C00001))</v>
      </c>
    </row>
    <row r="660" spans="1:11" ht="26.5" x14ac:dyDescent="0.35">
      <c r="A660" s="78" t="s">
        <v>5681</v>
      </c>
      <c r="B660" s="49" t="s">
        <v>5682</v>
      </c>
      <c r="C660" s="49" t="s">
        <v>14906</v>
      </c>
      <c r="D660" s="49">
        <v>659</v>
      </c>
      <c r="E660" s="78" t="str">
        <f t="shared" si="6"/>
        <v>E1_17_4_1</v>
      </c>
      <c r="F660" s="78" t="s">
        <v>14425</v>
      </c>
      <c r="G660" s="78" t="s">
        <v>14426</v>
      </c>
      <c r="H660" s="78" t="s">
        <v>14427</v>
      </c>
      <c r="I660" s="78" t="s">
        <v>14428</v>
      </c>
      <c r="J660" s="78" t="str">
        <f t="shared" si="7"/>
        <v>(${Variables:E1_17_4_1_kcat} * E1_17_4_1 * C00361*C00343*C00001)/(${Variables:E1_17_4_1_km} + (E1_17_4_1 * C00361*C00343*C00001))</v>
      </c>
      <c r="K660" s="79" t="str">
        <f t="shared" si="8"/>
        <v>r659: C00361+C00343+C00001 -&gt; C00035+C00342 | (${Variables:E1_17_4_1_kcat} * E1_17_4_1 * C00361*C00343*C00001)/(${Variables:E1_17_4_1_km} + (E1_17_4_1 * C00361*C00343*C00001))</v>
      </c>
    </row>
    <row r="661" spans="1:11" ht="26.5" x14ac:dyDescent="0.35">
      <c r="A661" s="78" t="s">
        <v>5681</v>
      </c>
      <c r="B661" s="49" t="s">
        <v>5682</v>
      </c>
      <c r="C661" s="49" t="s">
        <v>14906</v>
      </c>
      <c r="D661" s="49">
        <v>660</v>
      </c>
      <c r="E661" s="78" t="str">
        <f t="shared" si="6"/>
        <v>E1_17_4_1</v>
      </c>
      <c r="F661" s="78" t="s">
        <v>14429</v>
      </c>
      <c r="G661" s="78" t="s">
        <v>14430</v>
      </c>
      <c r="H661" s="78" t="s">
        <v>14431</v>
      </c>
      <c r="I661" s="78" t="s">
        <v>14432</v>
      </c>
      <c r="J661" s="78" t="str">
        <f t="shared" si="7"/>
        <v>(${Variables:E1_17_4_1_kcat} * E1_17_4_1 * C00705*C00343*C00001)/(${Variables:E1_17_4_1_km} + (E1_17_4_1 * C00705*C00343*C00001))</v>
      </c>
      <c r="K661" s="79" t="str">
        <f t="shared" si="8"/>
        <v>r660: C00705+C00343+C00001 -&gt; C00342+C00112 | (${Variables:E1_17_4_1_kcat} * E1_17_4_1 * C00705*C00343*C00001)/(${Variables:E1_17_4_1_km} + (E1_17_4_1 * C00705*C00343*C00001))</v>
      </c>
    </row>
    <row r="662" spans="1:11" ht="26.5" x14ac:dyDescent="0.35">
      <c r="A662" s="78" t="s">
        <v>5681</v>
      </c>
      <c r="B662" s="49" t="s">
        <v>5682</v>
      </c>
      <c r="C662" s="49" t="s">
        <v>14906</v>
      </c>
      <c r="D662" s="49">
        <v>661</v>
      </c>
      <c r="E662" s="78" t="str">
        <f t="shared" si="6"/>
        <v>E1_17_4_1</v>
      </c>
      <c r="F662" s="78" t="s">
        <v>14433</v>
      </c>
      <c r="G662" s="78" t="s">
        <v>14434</v>
      </c>
      <c r="H662" s="78" t="s">
        <v>14435</v>
      </c>
      <c r="I662" s="78" t="s">
        <v>14436</v>
      </c>
      <c r="J662" s="78" t="str">
        <f t="shared" si="7"/>
        <v>(${Variables:E1_17_4_1_kcat} * E1_17_4_1 * C04232*C16664*C00001)/(${Variables:E1_17_4_1_km} + (E1_17_4_1 * C04232*C16664*C00001))</v>
      </c>
      <c r="K662" s="79" t="str">
        <f t="shared" si="8"/>
        <v>r661: C04232+C16664+C00001 -&gt; C03723 + C16663 | (${Variables:E1_17_4_1_kcat} * E1_17_4_1 * C04232*C16664*C00001)/(${Variables:E1_17_4_1_km} + (E1_17_4_1 * C04232*C16664*C00001))</v>
      </c>
    </row>
    <row r="663" spans="1:11" ht="26.5" x14ac:dyDescent="0.35">
      <c r="A663" s="78" t="s">
        <v>5681</v>
      </c>
      <c r="B663" s="49" t="s">
        <v>5682</v>
      </c>
      <c r="C663" s="49" t="s">
        <v>14906</v>
      </c>
      <c r="D663" s="49">
        <v>662</v>
      </c>
      <c r="E663" s="78" t="str">
        <f t="shared" si="6"/>
        <v>E1_17_4_1</v>
      </c>
      <c r="F663" s="78" t="s">
        <v>14437</v>
      </c>
      <c r="G663" s="78" t="s">
        <v>14438</v>
      </c>
      <c r="H663" s="78" t="s">
        <v>14439</v>
      </c>
      <c r="I663" s="78" t="s">
        <v>14440</v>
      </c>
      <c r="J663" s="78" t="str">
        <f t="shared" si="7"/>
        <v>(${Variables:E1_17_4_1_kcat} * E1_17_4_1 * C04232*C03170*C00001)/(${Variables:E1_17_4_1_km} + (E1_17_4_1 * C04232*C03170*C00001))</v>
      </c>
      <c r="K663" s="79" t="str">
        <f t="shared" si="8"/>
        <v>r662: C04232+C03170+C00001 -&gt; C03723+C02090 | (${Variables:E1_17_4_1_kcat} * E1_17_4_1 * C04232*C03170*C00001)/(${Variables:E1_17_4_1_km} + (E1_17_4_1 * C04232*C03170*C00001))</v>
      </c>
    </row>
    <row r="664" spans="1:11" ht="26.5" x14ac:dyDescent="0.35">
      <c r="A664" s="78" t="s">
        <v>5681</v>
      </c>
      <c r="B664" s="49" t="s">
        <v>5682</v>
      </c>
      <c r="C664" s="49" t="s">
        <v>14906</v>
      </c>
      <c r="D664" s="49">
        <v>663</v>
      </c>
      <c r="E664" s="78" t="str">
        <f t="shared" si="6"/>
        <v>E1_17_4_1</v>
      </c>
      <c r="F664" s="78" t="s">
        <v>14441</v>
      </c>
      <c r="G664" s="78" t="s">
        <v>14442</v>
      </c>
      <c r="H664" s="78" t="s">
        <v>14443</v>
      </c>
      <c r="I664" s="78" t="s">
        <v>14444</v>
      </c>
      <c r="J664" s="78" t="str">
        <f t="shared" si="7"/>
        <v>(${Variables:E1_17_4_1_kcat} * E1_17_4_1 * C21750*C00343*C00001)/(${Variables:E1_17_4_1_km} + (E1_17_4_1 * C21750*C00343*C00001))</v>
      </c>
      <c r="K664" s="79" t="str">
        <f t="shared" si="8"/>
        <v>r663: C21750+C00343+C00001 -&gt; C21748+C00342 | (${Variables:E1_17_4_1_kcat} * E1_17_4_1 * C21750*C00343*C00001)/(${Variables:E1_17_4_1_km} + (E1_17_4_1 * C21750*C00343*C00001))</v>
      </c>
    </row>
    <row r="665" spans="1:11" ht="26.5" x14ac:dyDescent="0.35">
      <c r="A665" s="78" t="s">
        <v>5681</v>
      </c>
      <c r="B665" s="49" t="s">
        <v>5682</v>
      </c>
      <c r="C665" s="49" t="s">
        <v>14907</v>
      </c>
      <c r="D665" s="49">
        <v>664</v>
      </c>
      <c r="E665" s="78" t="str">
        <f t="shared" si="6"/>
        <v>E2_3_1_61</v>
      </c>
      <c r="F665" s="78" t="s">
        <v>14445</v>
      </c>
      <c r="G665" s="78" t="s">
        <v>14446</v>
      </c>
      <c r="H665" s="78" t="s">
        <v>14447</v>
      </c>
      <c r="I665" s="78" t="s">
        <v>14448</v>
      </c>
      <c r="J665" s="78" t="str">
        <f t="shared" si="7"/>
        <v>(${Variables:E2_3_1_61_kcat} * E2_3_1_61 * C00091*C15973)/(${Variables:E2_3_1_61_km} + (E2_3_1_61 * C00091*C15973))</v>
      </c>
      <c r="K665" s="79" t="str">
        <f t="shared" si="8"/>
        <v>r664: C00091+C15973 -&gt; C00010+C16254 | (${Variables:E2_3_1_61_kcat} * E2_3_1_61 * C00091*C15973)/(${Variables:E2_3_1_61_km} + (E2_3_1_61 * C00091*C15973))</v>
      </c>
    </row>
    <row r="666" spans="1:11" ht="26.5" x14ac:dyDescent="0.35">
      <c r="A666" s="78" t="s">
        <v>5685</v>
      </c>
      <c r="B666" s="49" t="s">
        <v>5686</v>
      </c>
      <c r="C666" s="49" t="s">
        <v>14907</v>
      </c>
      <c r="D666" s="49">
        <v>665</v>
      </c>
      <c r="E666" s="78" t="str">
        <f t="shared" si="6"/>
        <v>E2_3_1_61</v>
      </c>
      <c r="F666" s="78" t="s">
        <v>14449</v>
      </c>
      <c r="G666" s="78" t="s">
        <v>14450</v>
      </c>
      <c r="H666" s="78" t="s">
        <v>14451</v>
      </c>
      <c r="I666" s="78" t="s">
        <v>14452</v>
      </c>
      <c r="J666" s="78" t="str">
        <f t="shared" si="7"/>
        <v>(${Variables:E2_3_1_61_kcat} * E2_3_1_61 * C00527*C15973)/(${Variables:E2_3_1_61_km} + (E2_3_1_61 * C00527*C15973))</v>
      </c>
      <c r="K666" s="79" t="str">
        <f t="shared" si="8"/>
        <v>r665: C00527+C15973 -&gt; C00010+C06157 | (${Variables:E2_3_1_61_kcat} * E2_3_1_61 * C00527*C15973)/(${Variables:E2_3_1_61_km} + (E2_3_1_61 * C00527*C15973))</v>
      </c>
    </row>
    <row r="667" spans="1:11" ht="26.5" x14ac:dyDescent="0.35">
      <c r="A667" s="78" t="s">
        <v>5685</v>
      </c>
      <c r="B667" s="49" t="s">
        <v>5686</v>
      </c>
      <c r="C667" s="49" t="s">
        <v>14908</v>
      </c>
      <c r="D667" s="49">
        <v>666</v>
      </c>
      <c r="E667" s="78" t="str">
        <f t="shared" si="6"/>
        <v>E1_2_4_2</v>
      </c>
      <c r="F667" s="78" t="s">
        <v>14453</v>
      </c>
      <c r="G667" s="78" t="s">
        <v>14454</v>
      </c>
      <c r="H667" s="78" t="s">
        <v>14455</v>
      </c>
      <c r="I667" s="78" t="s">
        <v>14456</v>
      </c>
      <c r="J667" s="78" t="str">
        <f t="shared" si="7"/>
        <v>(${Variables:E1_2_4_2_kcat} * E1_2_4_2 * C00026*C15972)/(${Variables:E1_2_4_2_km} + (E1_2_4_2 * C00026*C15972))</v>
      </c>
      <c r="K667" s="79" t="str">
        <f t="shared" si="8"/>
        <v>r666: C00026+C15972 -&gt; C16254+C00011 | (${Variables:E1_2_4_2_kcat} * E1_2_4_2 * C00026*C15972)/(${Variables:E1_2_4_2_km} + (E1_2_4_2 * C00026*C15972))</v>
      </c>
    </row>
    <row r="668" spans="1:11" ht="26.5" x14ac:dyDescent="0.35">
      <c r="A668" s="78" t="s">
        <v>5689</v>
      </c>
      <c r="B668" s="49" t="s">
        <v>5690</v>
      </c>
      <c r="C668" s="49" t="s">
        <v>14908</v>
      </c>
      <c r="D668" s="49">
        <v>667</v>
      </c>
      <c r="E668" s="78" t="str">
        <f t="shared" si="6"/>
        <v>E1_2_4_2</v>
      </c>
      <c r="F668" s="78" t="s">
        <v>14457</v>
      </c>
      <c r="G668" s="78" t="s">
        <v>14458</v>
      </c>
      <c r="H668" s="78" t="s">
        <v>14459</v>
      </c>
      <c r="I668" s="78" t="s">
        <v>14460</v>
      </c>
      <c r="J668" s="78" t="str">
        <f t="shared" si="7"/>
        <v>(${Variables:E1_2_4_2_kcat} * E1_2_4_2 * C00026*C00068)/(${Variables:E1_2_4_2_km} + (E1_2_4_2 * C00026*C00068))</v>
      </c>
      <c r="K668" s="79" t="str">
        <f t="shared" si="8"/>
        <v>r667: C00026+C00068 -&gt; C05381+C0001 | (${Variables:E1_2_4_2_kcat} * E1_2_4_2 * C00026*C00068)/(${Variables:E1_2_4_2_km} + (E1_2_4_2 * C00026*C00068))</v>
      </c>
    </row>
    <row r="669" spans="1:11" ht="26.5" x14ac:dyDescent="0.35">
      <c r="A669" s="78" t="s">
        <v>5689</v>
      </c>
      <c r="B669" s="49" t="s">
        <v>5690</v>
      </c>
      <c r="C669" s="49" t="s">
        <v>14908</v>
      </c>
      <c r="D669" s="49">
        <v>668</v>
      </c>
      <c r="E669" s="78" t="str">
        <f t="shared" si="6"/>
        <v>E1_2_4_2</v>
      </c>
      <c r="F669" s="78" t="s">
        <v>14461</v>
      </c>
      <c r="G669" s="78" t="s">
        <v>14462</v>
      </c>
      <c r="H669" s="78" t="s">
        <v>14463</v>
      </c>
      <c r="I669" s="78" t="s">
        <v>14464</v>
      </c>
      <c r="J669" s="78" t="str">
        <f t="shared" si="7"/>
        <v>(${Variables:E1_2_4_2_kcat} * E1_2_4_2 * C05381*C15972)/(${Variables:E1_2_4_2_km} + (E1_2_4_2 * C05381*C15972))</v>
      </c>
      <c r="K669" s="79" t="str">
        <f t="shared" si="8"/>
        <v>r668: C05381+C15972 -&gt; C16254+C00068 | (${Variables:E1_2_4_2_kcat} * E1_2_4_2 * C05381*C15972)/(${Variables:E1_2_4_2_km} + (E1_2_4_2 * C05381*C15972))</v>
      </c>
    </row>
    <row r="670" spans="1:11" ht="26.5" x14ac:dyDescent="0.35">
      <c r="A670" s="78" t="s">
        <v>5689</v>
      </c>
      <c r="B670" s="49" t="s">
        <v>5690</v>
      </c>
      <c r="C670" s="49" t="s">
        <v>14909</v>
      </c>
      <c r="D670" s="49">
        <v>669</v>
      </c>
      <c r="E670" s="78" t="str">
        <f t="shared" si="6"/>
        <v>E2_8_1_12</v>
      </c>
      <c r="F670" s="78" t="s">
        <v>14465</v>
      </c>
      <c r="G670" s="78" t="s">
        <v>14466</v>
      </c>
      <c r="H670" s="78" t="s">
        <v>14467</v>
      </c>
      <c r="I670" s="78" t="s">
        <v>14468</v>
      </c>
      <c r="J670" s="78" t="str">
        <f t="shared" si="7"/>
        <v>(${Variables:E2_8_1_12_kcat} * E2_8_1_12 * C18239*C15814)/(${Variables:E2_8_1_12_km} + (E2_8_1_12 * C18239*C15814))</v>
      </c>
      <c r="K670" s="79" t="str">
        <f t="shared" si="8"/>
        <v>r669: C18239+C15814 -&gt; C05924+C15810 | (${Variables:E2_8_1_12_kcat} * E2_8_1_12 * C18239*C15814)/(${Variables:E2_8_1_12_km} + (E2_8_1_12 * C18239*C15814))</v>
      </c>
    </row>
    <row r="671" spans="1:11" ht="26.5" x14ac:dyDescent="0.35">
      <c r="A671" s="78" t="s">
        <v>5718</v>
      </c>
      <c r="B671" s="49" t="s">
        <v>5719</v>
      </c>
      <c r="C671" s="49" t="s">
        <v>14910</v>
      </c>
      <c r="D671" s="49">
        <v>670</v>
      </c>
      <c r="E671" s="78" t="str">
        <f t="shared" si="6"/>
        <v>E4_6_1_17</v>
      </c>
      <c r="F671" s="78" t="s">
        <v>14469</v>
      </c>
      <c r="G671" s="78" t="s">
        <v>14470</v>
      </c>
      <c r="H671" s="78" t="s">
        <v>14471</v>
      </c>
      <c r="I671" s="78" t="s">
        <v>14472</v>
      </c>
      <c r="J671" s="78" t="str">
        <f t="shared" si="7"/>
        <v>(${Variables:E4_6_1_17_kcat} * E4_6_1_17 * C21310*C00001)/(${Variables:E4_6_1_17_km} + (E4_6_1_17 * C21310*C00001))</v>
      </c>
      <c r="K671" s="79" t="str">
        <f t="shared" si="8"/>
        <v>r670: C21310+C00001 -&gt; C18239+C00013 | (${Variables:E4_6_1_17_kcat} * E4_6_1_17 * C21310*C00001)/(${Variables:E4_6_1_17_km} + (E4_6_1_17 * C21310*C00001))</v>
      </c>
    </row>
    <row r="672" spans="1:11" ht="38.5" x14ac:dyDescent="0.35">
      <c r="A672" s="78" t="s">
        <v>5726</v>
      </c>
      <c r="B672" s="49" t="s">
        <v>5727</v>
      </c>
      <c r="C672" s="49" t="s">
        <v>14911</v>
      </c>
      <c r="D672" s="49">
        <v>671</v>
      </c>
      <c r="E672" s="78" t="str">
        <f t="shared" si="6"/>
        <v>E4_1_99_22</v>
      </c>
      <c r="F672" s="78" t="s">
        <v>14473</v>
      </c>
      <c r="G672" s="78" t="s">
        <v>14474</v>
      </c>
      <c r="H672" s="78" t="s">
        <v>14475</v>
      </c>
      <c r="I672" s="78" t="s">
        <v>14476</v>
      </c>
      <c r="J672" s="78" t="str">
        <f t="shared" si="7"/>
        <v>(${Variables:E4_1_99_22_kcat} * E4_1_99_22 * C00044*C00019*C00030)/(${Variables:E4_1_99_22_km} + (E4_1_99_22 * C00044*C00019*C00030))</v>
      </c>
      <c r="K672" s="79" t="str">
        <f t="shared" si="8"/>
        <v>r671: C00044+C00019+C00030 -&gt; C21310+C05198+C00073+C00028 | (${Variables:E4_1_99_22_kcat} * E4_1_99_22 * C00044*C00019*C00030)/(${Variables:E4_1_99_22_km} + (E4_1_99_22 * C00044*C00019*C00030))</v>
      </c>
    </row>
    <row r="673" spans="1:11" ht="26.5" x14ac:dyDescent="0.35">
      <c r="A673" s="78" t="s">
        <v>5730</v>
      </c>
      <c r="B673" s="49" t="s">
        <v>5731</v>
      </c>
      <c r="C673" s="49" t="s">
        <v>14912</v>
      </c>
      <c r="D673" s="49">
        <v>672</v>
      </c>
      <c r="E673" s="78" t="str">
        <f t="shared" si="6"/>
        <v>E2_1_1_14</v>
      </c>
      <c r="F673" s="78" t="s">
        <v>14477</v>
      </c>
      <c r="G673" s="78" t="s">
        <v>14478</v>
      </c>
      <c r="H673" s="78" t="s">
        <v>14479</v>
      </c>
      <c r="I673" s="78" t="s">
        <v>14480</v>
      </c>
      <c r="J673" s="78" t="str">
        <f t="shared" si="7"/>
        <v>(${Variables:E2_1_1_14_kcat} * E2_1_1_14 * C04489*C00155)/(${Variables:E2_1_1_14_km} + (E2_1_1_14 * C04489*C00155))</v>
      </c>
      <c r="K673" s="79" t="str">
        <f t="shared" si="8"/>
        <v>r672: C04489+C00155 -&gt; C04144+C00073 | (${Variables:E2_1_1_14_kcat} * E2_1_1_14 * C04489*C00155)/(${Variables:E2_1_1_14_km} + (E2_1_1_14 * C04489*C00155))</v>
      </c>
    </row>
    <row r="674" spans="1:11" ht="26.5" x14ac:dyDescent="0.35">
      <c r="A674" s="78" t="s">
        <v>5845</v>
      </c>
      <c r="B674" s="49" t="s">
        <v>5846</v>
      </c>
      <c r="C674" s="49" t="s">
        <v>14912</v>
      </c>
      <c r="D674" s="49">
        <v>673</v>
      </c>
      <c r="E674" s="78" t="str">
        <f t="shared" si="6"/>
        <v>E2_1_1_14</v>
      </c>
      <c r="F674" s="78" t="s">
        <v>14481</v>
      </c>
      <c r="G674" s="78" t="s">
        <v>14482</v>
      </c>
      <c r="H674" s="78" t="s">
        <v>14483</v>
      </c>
      <c r="I674" s="78" t="s">
        <v>14484</v>
      </c>
      <c r="J674" s="78" t="str">
        <f t="shared" si="7"/>
        <v>(${Variables:E2_1_1_14_kcat} * E2_1_1_14 * C05698*C04489)/(${Variables:E2_1_1_14_km} + (E2_1_1_14 * C05698*C04489))</v>
      </c>
      <c r="K674" s="79" t="str">
        <f t="shared" si="8"/>
        <v>r673: C05698+C04489 -&gt; C05335+C04144 | (${Variables:E2_1_1_14_kcat} * E2_1_1_14 * C05698*C04489)/(${Variables:E2_1_1_14_km} + (E2_1_1_14 * C05698*C04489))</v>
      </c>
    </row>
    <row r="675" spans="1:11" ht="26.5" x14ac:dyDescent="0.35">
      <c r="A675" s="78" t="s">
        <v>5845</v>
      </c>
      <c r="B675" s="49" t="s">
        <v>5846</v>
      </c>
      <c r="C675" s="49" t="s">
        <v>14913</v>
      </c>
      <c r="D675" s="49">
        <v>674</v>
      </c>
      <c r="E675" s="78" t="str">
        <f t="shared" si="6"/>
        <v>E2_7_1_199</v>
      </c>
      <c r="F675" s="78" t="s">
        <v>14485</v>
      </c>
      <c r="G675" s="78" t="s">
        <v>14486</v>
      </c>
      <c r="H675" s="78" t="s">
        <v>14487</v>
      </c>
      <c r="I675" s="78" t="s">
        <v>14488</v>
      </c>
      <c r="J675" s="78" t="str">
        <f t="shared" si="7"/>
        <v>(${Variables:E2_7_1_199_kcat} * E2_7_1_199 * C04261*C00031)/(${Variables:E2_7_1_199_km} + (E2_7_1_199 * C04261*C00031))</v>
      </c>
      <c r="K675" s="79" t="str">
        <f t="shared" si="8"/>
        <v>r674: C04261+C00031 -&gt; C00615+C00668 | (${Variables:E2_7_1_199_kcat} * E2_7_1_199 * C04261*C00031)/(${Variables:E2_7_1_199_km} + (E2_7_1_199 * C04261*C00031))</v>
      </c>
    </row>
    <row r="676" spans="1:11" ht="26.5" x14ac:dyDescent="0.35">
      <c r="A676" s="78" t="s">
        <v>5874</v>
      </c>
      <c r="B676" s="49" t="s">
        <v>5875</v>
      </c>
      <c r="C676" s="49" t="s">
        <v>14914</v>
      </c>
      <c r="D676" s="49">
        <v>675</v>
      </c>
      <c r="E676" s="78" t="str">
        <f t="shared" si="6"/>
        <v>E2_7_3_9</v>
      </c>
      <c r="F676" s="78" t="s">
        <v>14489</v>
      </c>
      <c r="G676" s="78" t="s">
        <v>14490</v>
      </c>
      <c r="H676" s="78" t="s">
        <v>14491</v>
      </c>
      <c r="I676" s="78" t="s">
        <v>14492</v>
      </c>
      <c r="J676" s="78" t="str">
        <f t="shared" si="7"/>
        <v>(${Variables:E2_7_3_9_kcat} * E2_7_3_9 * C00074*C00615)/(${Variables:E2_7_3_9_km} + (E2_7_3_9 * C00074*C00615))</v>
      </c>
      <c r="K676" s="79" t="str">
        <f t="shared" si="8"/>
        <v>r675: C00074+C00615 -&gt; C00022+C04261 | (${Variables:E2_7_3_9_kcat} * E2_7_3_9 * C00074*C00615)/(${Variables:E2_7_3_9_km} + (E2_7_3_9 * C00074*C00615))</v>
      </c>
    </row>
    <row r="677" spans="1:11" ht="26.5" x14ac:dyDescent="0.35">
      <c r="A677" s="78" t="s">
        <v>5878</v>
      </c>
      <c r="B677" s="49" t="s">
        <v>5879</v>
      </c>
      <c r="C677" s="49" t="s">
        <v>14915</v>
      </c>
      <c r="D677" s="49">
        <v>676</v>
      </c>
      <c r="E677" s="78" t="str">
        <f t="shared" si="6"/>
        <v>E6_3_2_6</v>
      </c>
      <c r="F677" s="78" t="s">
        <v>14493</v>
      </c>
      <c r="G677" s="78" t="s">
        <v>14494</v>
      </c>
      <c r="H677" s="78" t="s">
        <v>14495</v>
      </c>
      <c r="I677" s="78" t="s">
        <v>14496</v>
      </c>
      <c r="J677" s="78" t="str">
        <f t="shared" si="7"/>
        <v>(${Variables:E6_3_2_6_kcat} * E6_3_2_6 * C00002*C04751*C00049)/(${Variables:E6_3_2_6_km} + (E6_3_2_6 * C00002*C04751*C00049))</v>
      </c>
      <c r="K677" s="79" t="str">
        <f t="shared" si="8"/>
        <v>r676: C00002+C04751+C00049 -&gt; C00008+C00009+C04823 | (${Variables:E6_3_2_6_kcat} * E6_3_2_6 * C00002*C04751*C00049)/(${Variables:E6_3_2_6_km} + (E6_3_2_6 * C00002*C04751*C00049))</v>
      </c>
    </row>
    <row r="678" spans="1:11" ht="26.5" x14ac:dyDescent="0.35">
      <c r="A678" s="78" t="s">
        <v>5918</v>
      </c>
      <c r="B678" s="49" t="s">
        <v>5919</v>
      </c>
      <c r="C678" s="49" t="s">
        <v>14916</v>
      </c>
      <c r="D678" s="49">
        <v>677</v>
      </c>
      <c r="E678" s="78" t="str">
        <f t="shared" si="6"/>
        <v>E6_3_4_5</v>
      </c>
      <c r="F678" s="78" t="s">
        <v>14497</v>
      </c>
      <c r="G678" s="78" t="s">
        <v>14498</v>
      </c>
      <c r="H678" s="78" t="s">
        <v>14499</v>
      </c>
      <c r="I678" s="78" t="s">
        <v>14500</v>
      </c>
      <c r="J678" s="78" t="str">
        <f t="shared" si="7"/>
        <v>(${Variables:E6_3_4_5_kcat} * E6_3_4_5 * C00002*C00327*C00049)/(${Variables:E6_3_4_5_km} + (E6_3_4_5 * C00002*C00327*C00049))</v>
      </c>
      <c r="K678" s="79" t="str">
        <f t="shared" si="8"/>
        <v>r677: C00002+C00327+C00049 -&gt; C00020+C00013+C03406 | (${Variables:E6_3_4_5_kcat} * E6_3_4_5 * C00002*C00327*C00049)/(${Variables:E6_3_4_5_km} + (E6_3_4_5 * C00002*C00327*C00049))</v>
      </c>
    </row>
    <row r="679" spans="1:11" ht="26.5" x14ac:dyDescent="0.35">
      <c r="A679" s="78" t="s">
        <v>5922</v>
      </c>
      <c r="B679" s="49" t="s">
        <v>5923</v>
      </c>
      <c r="C679" s="49" t="s">
        <v>14917</v>
      </c>
      <c r="D679" s="49">
        <v>678</v>
      </c>
      <c r="E679" s="78" t="str">
        <f t="shared" si="6"/>
        <v>E3_5_2_9</v>
      </c>
      <c r="F679" s="78" t="s">
        <v>14501</v>
      </c>
      <c r="G679" s="78" t="s">
        <v>14502</v>
      </c>
      <c r="H679" s="78" t="s">
        <v>14503</v>
      </c>
      <c r="I679" s="78" t="s">
        <v>14504</v>
      </c>
      <c r="J679" s="78" t="str">
        <f t="shared" si="7"/>
        <v>(${Variables:E3_5_2_9_kcat} * E3_5_2_9 * C00002*C01879*C00001)/(${Variables:E3_5_2_9_km} + (E3_5_2_9 * C00002*C01879*C00001))</v>
      </c>
      <c r="K679" s="79" t="str">
        <f t="shared" si="8"/>
        <v>r678: C00002+C01879+C00001 -&gt; C00008+C00009+C00025 | (${Variables:E3_5_2_9_kcat} * E3_5_2_9 * C00002*C01879*C00001)/(${Variables:E3_5_2_9_km} + (E3_5_2_9 * C00002*C01879*C00001))</v>
      </c>
    </row>
    <row r="680" spans="1:11" ht="26" x14ac:dyDescent="0.35">
      <c r="A680" s="78" t="s">
        <v>5929</v>
      </c>
      <c r="B680" s="49" t="s">
        <v>5930</v>
      </c>
      <c r="C680" s="49" t="s">
        <v>14918</v>
      </c>
      <c r="D680" s="49">
        <v>679</v>
      </c>
      <c r="E680" s="78" t="str">
        <f t="shared" si="6"/>
        <v>E5_1_1_3</v>
      </c>
      <c r="F680" s="78" t="s">
        <v>9038</v>
      </c>
      <c r="G680" s="78" t="s">
        <v>9038</v>
      </c>
      <c r="H680" s="78" t="s">
        <v>9039</v>
      </c>
      <c r="I680" s="78" t="s">
        <v>9039</v>
      </c>
      <c r="J680" s="78" t="str">
        <f t="shared" si="7"/>
        <v>(${Variables:E5_1_1_3_kcat} * E5_1_1_3 * C00025)/(${Variables:E5_1_1_3_km} + (E5_1_1_3 * C00025))</v>
      </c>
      <c r="K680" s="79" t="str">
        <f t="shared" si="8"/>
        <v>r679: C00025 -&gt; C00217 | (${Variables:E5_1_1_3_kcat} * E5_1_1_3 * C00025)/(${Variables:E5_1_1_3_km} + (E5_1_1_3 * C00025))</v>
      </c>
    </row>
    <row r="681" spans="1:11" ht="26.5" x14ac:dyDescent="0.35">
      <c r="A681" s="78" t="s">
        <v>5971</v>
      </c>
      <c r="B681" s="49" t="s">
        <v>5972</v>
      </c>
      <c r="C681" s="49" t="s">
        <v>14919</v>
      </c>
      <c r="D681" s="49">
        <v>680</v>
      </c>
      <c r="E681" s="78" t="str">
        <f t="shared" si="6"/>
        <v>E3_1_7_2</v>
      </c>
      <c r="F681" s="78" t="s">
        <v>14505</v>
      </c>
      <c r="G681" s="78" t="s">
        <v>14506</v>
      </c>
      <c r="H681" s="78" t="s">
        <v>14507</v>
      </c>
      <c r="I681" s="78" t="s">
        <v>14508</v>
      </c>
      <c r="J681" s="78" t="str">
        <f t="shared" si="7"/>
        <v>(${Variables:E3_1_7_2_kcat} * E3_1_7_2 * C01228*C00001)/(${Variables:E3_1_7_2_km} + (E3_1_7_2 * C01228*C00001))</v>
      </c>
      <c r="K681" s="79" t="str">
        <f t="shared" si="8"/>
        <v>r680: C01228+C00001 -&gt; C00035+C00013 | (${Variables:E3_1_7_2_kcat} * E3_1_7_2 * C01228*C00001)/(${Variables:E3_1_7_2_km} + (E3_1_7_2 * C01228*C00001))</v>
      </c>
    </row>
    <row r="682" spans="1:11" ht="26.5" x14ac:dyDescent="0.35">
      <c r="A682" s="78" t="s">
        <v>5979</v>
      </c>
      <c r="B682" s="49" t="s">
        <v>5980</v>
      </c>
      <c r="C682" s="49" t="s">
        <v>14675</v>
      </c>
      <c r="D682" s="49">
        <v>681</v>
      </c>
      <c r="E682" s="78" t="str">
        <f t="shared" si="6"/>
        <v>E2_7_7_6</v>
      </c>
      <c r="F682" s="78" t="s">
        <v>14509</v>
      </c>
      <c r="G682" s="78" t="s">
        <v>14510</v>
      </c>
      <c r="H682" s="78" t="s">
        <v>12263</v>
      </c>
      <c r="I682" s="78" t="s">
        <v>12264</v>
      </c>
      <c r="J682" s="78" t="str">
        <f t="shared" si="7"/>
        <v>(${Variables:E2_7_7_6_kcat} * E2_7_7_6 * C00063 * C00046)/(${Variables:E2_7_7_6_km} + (E2_7_7_6 * C00063 * C00046))</v>
      </c>
      <c r="K682" s="79" t="str">
        <f t="shared" si="8"/>
        <v>r681: C00063 + C00046 -&gt; C00013+C00046 | (${Variables:E2_7_7_6_kcat} * E2_7_7_6 * C00063 * C00046)/(${Variables:E2_7_7_6_km} + (E2_7_7_6 * C00063 * C00046))</v>
      </c>
    </row>
    <row r="683" spans="1:11" ht="26.5" x14ac:dyDescent="0.35">
      <c r="A683" s="78" t="s">
        <v>5983</v>
      </c>
      <c r="B683" s="49" t="s">
        <v>5984</v>
      </c>
      <c r="C683" s="49" t="s">
        <v>14675</v>
      </c>
      <c r="D683" s="49">
        <v>682</v>
      </c>
      <c r="E683" s="78" t="str">
        <f t="shared" si="6"/>
        <v>E2_7_7_6</v>
      </c>
      <c r="F683" s="78" t="s">
        <v>14511</v>
      </c>
      <c r="G683" s="78" t="s">
        <v>14512</v>
      </c>
      <c r="H683" s="78" t="s">
        <v>12263</v>
      </c>
      <c r="I683" s="78" t="s">
        <v>12264</v>
      </c>
      <c r="J683" s="78" t="str">
        <f t="shared" si="7"/>
        <v>(${Variables:E2_7_7_6_kcat} * E2_7_7_6 * C00075 * C00046)/(${Variables:E2_7_7_6_km} + (E2_7_7_6 * C00075 * C00046))</v>
      </c>
      <c r="K683" s="79" t="str">
        <f t="shared" si="8"/>
        <v>r682: C00075 + C00046 -&gt; C00013+C00046 | (${Variables:E2_7_7_6_kcat} * E2_7_7_6 * C00075 * C00046)/(${Variables:E2_7_7_6_km} + (E2_7_7_6 * C00075 * C00046))</v>
      </c>
    </row>
    <row r="684" spans="1:11" ht="26.5" x14ac:dyDescent="0.35">
      <c r="A684" s="78" t="s">
        <v>5983</v>
      </c>
      <c r="B684" s="49" t="s">
        <v>5984</v>
      </c>
      <c r="C684" s="49" t="s">
        <v>14920</v>
      </c>
      <c r="D684" s="49">
        <v>683</v>
      </c>
      <c r="E684" s="78" t="str">
        <f t="shared" si="6"/>
        <v>E1_17_5_3</v>
      </c>
      <c r="F684" s="78" t="s">
        <v>14513</v>
      </c>
      <c r="G684" s="78" t="s">
        <v>14514</v>
      </c>
      <c r="H684" s="78" t="s">
        <v>14515</v>
      </c>
      <c r="I684" s="78" t="s">
        <v>14516</v>
      </c>
      <c r="J684" s="78" t="str">
        <f t="shared" si="7"/>
        <v>(${Variables:E1_17_5_3_kcat} * E1_17_5_3 * C00058*C15602)/(${Variables:E1_17_5_3_km} + (E1_17_5_3 * C00058*C15602))</v>
      </c>
      <c r="K684" s="79" t="str">
        <f t="shared" si="8"/>
        <v>r683: C00058+C15602 -&gt; C00011+C15603 | (${Variables:E1_17_5_3_kcat} * E1_17_5_3 * C00058*C15602)/(${Variables:E1_17_5_3_km} + (E1_17_5_3 * C00058*C15602))</v>
      </c>
    </row>
    <row r="685" spans="1:11" ht="26.5" x14ac:dyDescent="0.35">
      <c r="A685" s="78" t="s">
        <v>6008</v>
      </c>
      <c r="B685" s="49" t="s">
        <v>6009</v>
      </c>
      <c r="C685" s="49" t="s">
        <v>14921</v>
      </c>
      <c r="D685" s="49">
        <v>684</v>
      </c>
      <c r="E685" s="78" t="str">
        <f t="shared" si="6"/>
        <v>E1_17_1_9</v>
      </c>
      <c r="F685" s="78" t="s">
        <v>14517</v>
      </c>
      <c r="G685" s="78" t="s">
        <v>14518</v>
      </c>
      <c r="H685" s="78" t="s">
        <v>14519</v>
      </c>
      <c r="I685" s="78" t="s">
        <v>14520</v>
      </c>
      <c r="J685" s="78" t="str">
        <f t="shared" si="7"/>
        <v>(${Variables:E1_17_1_9_kcat} * E1_17_1_9 * C00058*C00003)/(${Variables:E1_17_1_9_km} + (E1_17_1_9 * C00058*C00003))</v>
      </c>
      <c r="K685" s="79" t="str">
        <f t="shared" si="8"/>
        <v>r684: C00058+C00003 -&gt; C00080+C00011+C00004 | (${Variables:E1_17_1_9_kcat} * E1_17_1_9 * C00058*C00003)/(${Variables:E1_17_1_9_km} + (E1_17_1_9 * C00058*C00003))</v>
      </c>
    </row>
    <row r="686" spans="1:11" ht="26.5" x14ac:dyDescent="0.35">
      <c r="A686" s="78" t="s">
        <v>6012</v>
      </c>
      <c r="B686" s="49" t="s">
        <v>6013</v>
      </c>
      <c r="C686" s="49" t="s">
        <v>14922</v>
      </c>
      <c r="D686" s="49">
        <v>685</v>
      </c>
      <c r="E686" s="78" t="str">
        <f t="shared" si="6"/>
        <v>E2_3_1_266</v>
      </c>
      <c r="F686" s="78" t="s">
        <v>14521</v>
      </c>
      <c r="G686" s="78" t="s">
        <v>14522</v>
      </c>
      <c r="H686" s="78" t="s">
        <v>14523</v>
      </c>
      <c r="I686" s="78" t="s">
        <v>14524</v>
      </c>
      <c r="J686" s="78" t="str">
        <f t="shared" si="7"/>
        <v>(${Variables:E2_3_1_266_kcat} * E2_3_1_266 * C00024*C03803)/(${Variables:E2_3_1_266_km} + (E2_3_1_266 * C00024*C03803))</v>
      </c>
      <c r="K686" s="79" t="str">
        <f t="shared" si="8"/>
        <v>r685: C00024+C03803 -&gt; C00010+C04341 | (${Variables:E2_3_1_266_kcat} * E2_3_1_266 * C00024*C03803)/(${Variables:E2_3_1_266_km} + (E2_3_1_266 * C00024*C03803))</v>
      </c>
    </row>
    <row r="687" spans="1:11" ht="26.5" x14ac:dyDescent="0.35">
      <c r="A687" s="78" t="s">
        <v>6023</v>
      </c>
      <c r="B687" s="49" t="s">
        <v>6024</v>
      </c>
      <c r="C687" s="49" t="s">
        <v>14923</v>
      </c>
      <c r="D687" s="49">
        <v>686</v>
      </c>
      <c r="E687" s="78" t="str">
        <f t="shared" si="6"/>
        <v>E2_4_2_52</v>
      </c>
      <c r="F687" s="78" t="s">
        <v>13449</v>
      </c>
      <c r="G687" s="78" t="s">
        <v>13450</v>
      </c>
      <c r="H687" s="78" t="s">
        <v>14525</v>
      </c>
      <c r="I687" s="78" t="s">
        <v>14526</v>
      </c>
      <c r="J687" s="78" t="str">
        <f t="shared" si="7"/>
        <v>(${Variables:E2_4_2_52_kcat} * E2_4_2_52 * C00002*C00882)/(${Variables:E2_4_2_52_km} + (E2_4_2_52 * C00002*C00882))</v>
      </c>
      <c r="K687" s="79" t="str">
        <f t="shared" si="8"/>
        <v>r686: C00002+C00882 -&gt; C19771+C00147 | (${Variables:E2_4_2_52_kcat} * E2_4_2_52 * C00002*C00882)/(${Variables:E2_4_2_52_km} + (E2_4_2_52 * C00002*C00882))</v>
      </c>
    </row>
    <row r="688" spans="1:11" ht="26.5" x14ac:dyDescent="0.35">
      <c r="A688" s="78" t="s">
        <v>6066</v>
      </c>
      <c r="B688" s="49" t="s">
        <v>6067</v>
      </c>
      <c r="C688" s="49" t="s">
        <v>14924</v>
      </c>
      <c r="D688" s="49">
        <v>687</v>
      </c>
      <c r="E688" s="78" t="str">
        <f t="shared" si="6"/>
        <v>E2_8_3_10</v>
      </c>
      <c r="F688" s="78" t="s">
        <v>14527</v>
      </c>
      <c r="G688" s="78" t="s">
        <v>14528</v>
      </c>
      <c r="H688" s="78" t="s">
        <v>14529</v>
      </c>
      <c r="I688" s="78" t="s">
        <v>14530</v>
      </c>
      <c r="J688" s="78" t="str">
        <f t="shared" si="7"/>
        <v>(${Variables:E2_8_3_10_kcat} * E2_8_3_10 * C00024*C00158)/(${Variables:E2_8_3_10_km} + (E2_8_3_10 * C00024*C00158))</v>
      </c>
      <c r="K688" s="79" t="str">
        <f t="shared" si="8"/>
        <v>r687: C00024+C00158 -&gt; C00033+C00566 | (${Variables:E2_8_3_10_kcat} * E2_8_3_10 * C00024*C00158)/(${Variables:E2_8_3_10_km} + (E2_8_3_10 * C00024*C00158))</v>
      </c>
    </row>
    <row r="689" spans="1:11" ht="26" x14ac:dyDescent="0.35">
      <c r="A689" s="78" t="s">
        <v>6070</v>
      </c>
      <c r="B689" s="49" t="s">
        <v>6071</v>
      </c>
      <c r="C689" s="49" t="s">
        <v>14925</v>
      </c>
      <c r="D689" s="49">
        <v>688</v>
      </c>
      <c r="E689" s="78" t="str">
        <f t="shared" si="6"/>
        <v>E4_1_3_34</v>
      </c>
      <c r="F689" s="78" t="s">
        <v>9089</v>
      </c>
      <c r="G689" s="78" t="s">
        <v>9089</v>
      </c>
      <c r="H689" s="78" t="s">
        <v>14531</v>
      </c>
      <c r="I689" s="78" t="s">
        <v>14532</v>
      </c>
      <c r="J689" s="78" t="str">
        <f t="shared" si="7"/>
        <v>(${Variables:E4_1_3_34_kcat} * E4_1_3_34 * C00566)/(${Variables:E4_1_3_34_km} + (E4_1_3_34 * C00566))</v>
      </c>
      <c r="K689" s="79" t="str">
        <f t="shared" si="8"/>
        <v>r688: C00566 -&gt; C00024+C00036 | (${Variables:E4_1_3_34_kcat} * E4_1_3_34 * C00566)/(${Variables:E4_1_3_34_km} + (E4_1_3_34 * C00566))</v>
      </c>
    </row>
    <row r="690" spans="1:11" ht="26" x14ac:dyDescent="0.35">
      <c r="A690" s="78" t="s">
        <v>6074</v>
      </c>
      <c r="B690" s="49" t="s">
        <v>6075</v>
      </c>
      <c r="C690" s="49" t="s">
        <v>14926</v>
      </c>
      <c r="D690" s="49">
        <v>689</v>
      </c>
      <c r="E690" s="78" t="str">
        <f t="shared" si="6"/>
        <v>E4_1_3_6</v>
      </c>
      <c r="F690" s="78" t="s">
        <v>9084</v>
      </c>
      <c r="G690" s="78" t="s">
        <v>9084</v>
      </c>
      <c r="H690" s="78" t="s">
        <v>14533</v>
      </c>
      <c r="I690" s="78" t="s">
        <v>14534</v>
      </c>
      <c r="J690" s="78" t="str">
        <f t="shared" si="7"/>
        <v>(${Variables:E4_1_3_6_kcat} * E4_1_3_6 * C00158)/(${Variables:E4_1_3_6_km} + (E4_1_3_6 * C00158))</v>
      </c>
      <c r="K690" s="79" t="str">
        <f t="shared" si="8"/>
        <v>r689: C00158 -&gt; C00033+C00036 | (${Variables:E4_1_3_6_kcat} * E4_1_3_6 * C00158)/(${Variables:E4_1_3_6_km} + (E4_1_3_6 * C00158))</v>
      </c>
    </row>
    <row r="691" spans="1:11" ht="26.5" x14ac:dyDescent="0.35">
      <c r="A691" s="78" t="s">
        <v>6078</v>
      </c>
      <c r="B691" s="49" t="s">
        <v>6079</v>
      </c>
      <c r="C691" s="49" t="s">
        <v>14927</v>
      </c>
      <c r="D691" s="49">
        <v>690</v>
      </c>
      <c r="E691" s="78" t="str">
        <f t="shared" si="6"/>
        <v>E6_2_1_22</v>
      </c>
      <c r="F691" s="78" t="s">
        <v>14535</v>
      </c>
      <c r="G691" s="78" t="s">
        <v>14536</v>
      </c>
      <c r="H691" s="78" t="s">
        <v>14537</v>
      </c>
      <c r="I691" s="78" t="s">
        <v>14538</v>
      </c>
      <c r="J691" s="78" t="str">
        <f t="shared" si="7"/>
        <v>(${Variables:E6_2_1_22_kcat} * E6_2_1_22 * C00002*C00033*C04298)/(${Variables:E6_2_1_22_km} + (E6_2_1_22 * C00002*C00033*C04298))</v>
      </c>
      <c r="K691" s="79" t="str">
        <f t="shared" si="8"/>
        <v>r690: C00002+C00033+C04298 -&gt; C00020+C00013+C04334 | (${Variables:E6_2_1_22_kcat} * E6_2_1_22 * C00002*C00033*C04298)/(${Variables:E6_2_1_22_km} + (E6_2_1_22 * C00002*C00033*C04298))</v>
      </c>
    </row>
    <row r="692" spans="1:11" ht="51" x14ac:dyDescent="0.35">
      <c r="A692" s="78" t="s">
        <v>6082</v>
      </c>
      <c r="B692" s="49" t="s">
        <v>6083</v>
      </c>
      <c r="C692" s="49" t="s">
        <v>14928</v>
      </c>
      <c r="D692" s="49">
        <v>691</v>
      </c>
      <c r="E692" s="78" t="str">
        <f t="shared" si="6"/>
        <v>E2_8_1_8</v>
      </c>
      <c r="F692" s="78" t="s">
        <v>14539</v>
      </c>
      <c r="G692" s="78" t="s">
        <v>14540</v>
      </c>
      <c r="H692" s="78" t="s">
        <v>14541</v>
      </c>
      <c r="I692" s="78" t="s">
        <v>14542</v>
      </c>
      <c r="J692" s="78" t="str">
        <f t="shared" si="7"/>
        <v>(${Variables:E2_8_1_8_kcat} * E2_8_1_8 * C16236*C22154*C00019*C22150*C00080)/(${Variables:E2_8_1_8_km} + (E2_8_1_8 * C16236*C22154*C00019*C22150*C00080))</v>
      </c>
      <c r="K692" s="79" t="str">
        <f t="shared" si="8"/>
        <v>r691: C16236+C22154+C00019+C22150+C00080 -&gt; C16832+C22155+C00283+C14818+C00073+C05198+C22151 | (${Variables:E2_8_1_8_kcat} * E2_8_1_8 * C16236*C22154*C00019*C22150*C00080)/(${Variables:E2_8_1_8_km} + (E2_8_1_8 * C16236*C22154*C00019*C22150*C00080))</v>
      </c>
    </row>
    <row r="693" spans="1:11" ht="51" x14ac:dyDescent="0.35">
      <c r="A693" s="78" t="s">
        <v>6086</v>
      </c>
      <c r="B693" s="49" t="s">
        <v>6087</v>
      </c>
      <c r="C693" s="49" t="s">
        <v>14928</v>
      </c>
      <c r="D693" s="49">
        <v>692</v>
      </c>
      <c r="E693" s="78" t="str">
        <f t="shared" si="6"/>
        <v>E2_8_1_8</v>
      </c>
      <c r="F693" s="78" t="s">
        <v>14543</v>
      </c>
      <c r="G693" s="78" t="s">
        <v>14544</v>
      </c>
      <c r="H693" s="78" t="s">
        <v>14545</v>
      </c>
      <c r="I693" s="78" t="s">
        <v>14546</v>
      </c>
      <c r="J693" s="78" t="str">
        <f t="shared" si="7"/>
        <v>(${Variables:E2_8_1_8_kcat} * E2_8_1_8 * C22160*C22154*C00019*C22150*C00080)/(${Variables:E2_8_1_8_km} + (E2_8_1_8 * C22160*C22154*C00019*C22150*C00080))</v>
      </c>
      <c r="K693" s="79" t="str">
        <f t="shared" si="8"/>
        <v>r692: C22160+C22154+C00019+C22150+C00080 -&gt; C15973+C22155+C00283+C14818+C00073+ C05198+C22151 | (${Variables:E2_8_1_8_kcat} * E2_8_1_8 * C22160*C22154*C00019*C22150*C00080)/(${Variables:E2_8_1_8_km} + (E2_8_1_8 * C22160*C22154*C00019*C22150*C00080))</v>
      </c>
    </row>
    <row r="694" spans="1:11" ht="51" x14ac:dyDescent="0.35">
      <c r="A694" s="78" t="s">
        <v>6086</v>
      </c>
      <c r="B694" s="49" t="s">
        <v>6087</v>
      </c>
      <c r="C694" s="49" t="s">
        <v>14928</v>
      </c>
      <c r="D694" s="49">
        <v>693</v>
      </c>
      <c r="E694" s="78" t="str">
        <f t="shared" si="6"/>
        <v>E2_8_1_8</v>
      </c>
      <c r="F694" s="78" t="s">
        <v>14547</v>
      </c>
      <c r="G694" s="78" t="s">
        <v>14548</v>
      </c>
      <c r="H694" s="78" t="s">
        <v>14549</v>
      </c>
      <c r="I694" s="78" t="s">
        <v>14550</v>
      </c>
      <c r="J694" s="78" t="str">
        <f t="shared" si="7"/>
        <v>(${Variables:E2_8_1_8_kcat} * E2_8_1_8 * C22159*C22154*C00019*C22150*C00080)/(${Variables:E2_8_1_8_km} + (E2_8_1_8 * C22159*C22154*C00019*C22150*C00080))</v>
      </c>
      <c r="K694" s="79" t="str">
        <f t="shared" si="8"/>
        <v>r693: C22159+C22154+C00019+C22150+C00080 -&gt; C02972+C22155+C00283+ C14818+C00073+C05198+C22151 | (${Variables:E2_8_1_8_kcat} * E2_8_1_8 * C22159*C22154*C00019*C22150*C00080)/(${Variables:E2_8_1_8_km} + (E2_8_1_8 * C22159*C22154*C00019*C22150*C00080))</v>
      </c>
    </row>
    <row r="695" spans="1:11" ht="26.5" x14ac:dyDescent="0.35">
      <c r="A695" s="78" t="s">
        <v>6086</v>
      </c>
      <c r="B695" s="49" t="s">
        <v>6087</v>
      </c>
      <c r="C695" s="49" t="s">
        <v>14929</v>
      </c>
      <c r="D695" s="49">
        <v>694</v>
      </c>
      <c r="E695" s="78" t="str">
        <f t="shared" si="6"/>
        <v>E2_3_1_181</v>
      </c>
      <c r="F695" s="78" t="s">
        <v>14551</v>
      </c>
      <c r="G695" s="78" t="s">
        <v>14552</v>
      </c>
      <c r="H695" s="78" t="s">
        <v>14553</v>
      </c>
      <c r="I695" s="78" t="s">
        <v>14554</v>
      </c>
      <c r="J695" s="78" t="str">
        <f t="shared" si="7"/>
        <v>(${Variables:E2_3_1_181_kcat} * E2_3_1_181 * C05752*C16240)/(${Variables:E2_3_1_181_km} + (E2_3_1_181 * C05752*C16240))</v>
      </c>
      <c r="K695" s="79" t="str">
        <f t="shared" si="8"/>
        <v>r694: C05752+C16240 -&gt; C16236+C00229 | (${Variables:E2_3_1_181_kcat} * E2_3_1_181 * C05752*C16240)/(${Variables:E2_3_1_181_km} + (E2_3_1_181 * C05752*C16240))</v>
      </c>
    </row>
    <row r="696" spans="1:11" ht="26.5" x14ac:dyDescent="0.35">
      <c r="A696" s="78" t="s">
        <v>6090</v>
      </c>
      <c r="B696" s="49" t="s">
        <v>6091</v>
      </c>
      <c r="C696" s="49" t="s">
        <v>14929</v>
      </c>
      <c r="D696" s="49">
        <v>695</v>
      </c>
      <c r="E696" s="78" t="str">
        <f t="shared" si="6"/>
        <v>E2_3_1_181</v>
      </c>
      <c r="F696" s="78" t="s">
        <v>14555</v>
      </c>
      <c r="G696" s="78" t="s">
        <v>14556</v>
      </c>
      <c r="H696" s="78" t="s">
        <v>14557</v>
      </c>
      <c r="I696" s="78" t="s">
        <v>14558</v>
      </c>
      <c r="J696" s="78" t="str">
        <f t="shared" si="7"/>
        <v>(${Variables:E2_3_1_181_kcat} * E2_3_1_181 * C05752*C22158)/(${Variables:E2_3_1_181_km} + (E2_3_1_181 * C05752*C22158))</v>
      </c>
      <c r="K696" s="79" t="str">
        <f t="shared" si="8"/>
        <v>r695: C05752+C22158 -&gt; C22160+C00229 | (${Variables:E2_3_1_181_kcat} * E2_3_1_181 * C05752*C22158)/(${Variables:E2_3_1_181_km} + (E2_3_1_181 * C05752*C22158))</v>
      </c>
    </row>
    <row r="697" spans="1:11" ht="26.5" x14ac:dyDescent="0.35">
      <c r="A697" s="78" t="s">
        <v>6090</v>
      </c>
      <c r="B697" s="49" t="s">
        <v>6091</v>
      </c>
      <c r="C697" s="49" t="s">
        <v>14929</v>
      </c>
      <c r="D697" s="49">
        <v>696</v>
      </c>
      <c r="E697" s="78" t="str">
        <f t="shared" si="6"/>
        <v>E2_3_1_181</v>
      </c>
      <c r="F697" s="78" t="s">
        <v>14559</v>
      </c>
      <c r="G697" s="78" t="s">
        <v>14560</v>
      </c>
      <c r="H697" s="78" t="s">
        <v>14561</v>
      </c>
      <c r="I697" s="78" t="s">
        <v>14562</v>
      </c>
      <c r="J697" s="78" t="str">
        <f t="shared" si="7"/>
        <v>(${Variables:E2_3_1_181_kcat} * E2_3_1_181 * C05752*C22157)/(${Variables:E2_3_1_181_km} + (E2_3_1_181 * C05752*C22157))</v>
      </c>
      <c r="K697" s="79" t="str">
        <f t="shared" si="8"/>
        <v>r696: C05752+C22157 -&gt; C22159+C00229 | (${Variables:E2_3_1_181_kcat} * E2_3_1_181 * C05752*C22157)/(${Variables:E2_3_1_181_km} + (E2_3_1_181 * C05752*C22157))</v>
      </c>
    </row>
    <row r="698" spans="1:11" ht="26.5" x14ac:dyDescent="0.35">
      <c r="A698" s="78" t="s">
        <v>6090</v>
      </c>
      <c r="B698" s="49" t="s">
        <v>6091</v>
      </c>
      <c r="C698" s="49" t="s">
        <v>14929</v>
      </c>
      <c r="D698" s="49">
        <v>697</v>
      </c>
      <c r="E698" s="78" t="str">
        <f t="shared" si="6"/>
        <v>E2_3_1_181</v>
      </c>
      <c r="F698" s="78" t="s">
        <v>14563</v>
      </c>
      <c r="G698" s="78" t="s">
        <v>14564</v>
      </c>
      <c r="H698" s="78" t="s">
        <v>14565</v>
      </c>
      <c r="I698" s="78" t="s">
        <v>14566</v>
      </c>
      <c r="J698" s="78" t="str">
        <f t="shared" si="7"/>
        <v>(${Variables:E2_3_1_181_kcat} * E2_3_1_181 * C16239*C16240)/(${Variables:E2_3_1_181_km} + (E2_3_1_181 * C16239*C16240))</v>
      </c>
      <c r="K698" s="79" t="str">
        <f t="shared" si="8"/>
        <v>r697: C16239+C16240 -&gt; C16237+C00229 | (${Variables:E2_3_1_181_kcat} * E2_3_1_181 * C16239*C16240)/(${Variables:E2_3_1_181_km} + (E2_3_1_181 * C16239*C16240))</v>
      </c>
    </row>
    <row r="699" spans="1:11" ht="26" x14ac:dyDescent="0.35">
      <c r="A699" s="78" t="s">
        <v>6090</v>
      </c>
      <c r="B699" s="49" t="s">
        <v>6091</v>
      </c>
      <c r="C699" s="49" t="s">
        <v>14930</v>
      </c>
      <c r="D699" s="49">
        <v>698</v>
      </c>
      <c r="E699" s="78" t="str">
        <f t="shared" si="6"/>
        <v>E5_3_1_12</v>
      </c>
      <c r="F699" s="78" t="s">
        <v>9128</v>
      </c>
      <c r="G699" s="78" t="s">
        <v>9128</v>
      </c>
      <c r="H699" s="78" t="s">
        <v>9129</v>
      </c>
      <c r="I699" s="78" t="s">
        <v>9129</v>
      </c>
      <c r="J699" s="78" t="str">
        <f t="shared" si="7"/>
        <v>(${Variables:E5_3_1_12_kcat} * E5_3_1_12 * C00191)/(${Variables:E5_3_1_12_km} + (E5_3_1_12 * C00191))</v>
      </c>
      <c r="K699" s="79" t="str">
        <f t="shared" si="8"/>
        <v>r698: C00191 -&gt; C00905 | (${Variables:E5_3_1_12_kcat} * E5_3_1_12 * C00191)/(${Variables:E5_3_1_12_km} + (E5_3_1_12 * C00191))</v>
      </c>
    </row>
    <row r="700" spans="1:11" ht="26" x14ac:dyDescent="0.35">
      <c r="A700" s="78" t="s">
        <v>6161</v>
      </c>
      <c r="B700" s="49" t="s">
        <v>6162</v>
      </c>
      <c r="C700" s="49" t="s">
        <v>14930</v>
      </c>
      <c r="D700" s="49">
        <v>699</v>
      </c>
      <c r="E700" s="78" t="str">
        <f t="shared" si="6"/>
        <v>E5_3_1_12</v>
      </c>
      <c r="F700" s="78" t="s">
        <v>9131</v>
      </c>
      <c r="G700" s="78" t="s">
        <v>9131</v>
      </c>
      <c r="H700" s="78" t="s">
        <v>9132</v>
      </c>
      <c r="I700" s="78" t="s">
        <v>9132</v>
      </c>
      <c r="J700" s="78" t="str">
        <f t="shared" si="7"/>
        <v>(${Variables:E5_3_1_12_kcat} * E5_3_1_12 * C00333)/(${Variables:E5_3_1_12_km} + (E5_3_1_12 * C00333))</v>
      </c>
      <c r="K700" s="79" t="str">
        <f t="shared" si="8"/>
        <v>r699: C00333 -&gt; C00558 | (${Variables:E5_3_1_12_kcat} * E5_3_1_12 * C00333)/(${Variables:E5_3_1_12_km} + (E5_3_1_12 * C00333))</v>
      </c>
    </row>
    <row r="701" spans="1:11" ht="14.5" x14ac:dyDescent="0.35">
      <c r="A701" s="80"/>
      <c r="B701" s="27"/>
      <c r="C701" s="27"/>
      <c r="D701" s="27"/>
      <c r="E701" s="74"/>
      <c r="F701" s="74"/>
      <c r="G701" s="74"/>
      <c r="H701" s="74"/>
      <c r="I701" s="74"/>
      <c r="J701" s="74"/>
      <c r="K701" s="81"/>
    </row>
    <row r="702" spans="1:11" ht="14.5" x14ac:dyDescent="0.35">
      <c r="A702" s="80"/>
      <c r="B702" s="27"/>
      <c r="C702" s="27"/>
      <c r="D702" s="27"/>
      <c r="E702" s="74"/>
      <c r="F702" s="74"/>
      <c r="G702" s="74"/>
      <c r="H702" s="74"/>
      <c r="I702" s="74"/>
      <c r="J702" s="74"/>
      <c r="K702" s="81"/>
    </row>
    <row r="703" spans="1:11" ht="14.5" x14ac:dyDescent="0.35">
      <c r="A703" s="80"/>
      <c r="B703" s="27"/>
      <c r="C703" s="27"/>
      <c r="D703" s="27"/>
      <c r="E703" s="74"/>
      <c r="F703" s="74"/>
      <c r="G703" s="74"/>
      <c r="H703" s="74"/>
      <c r="I703" s="74"/>
      <c r="J703" s="74"/>
      <c r="K703" s="81"/>
    </row>
    <row r="704" spans="1:11" ht="14.5" x14ac:dyDescent="0.35">
      <c r="A704" s="80"/>
      <c r="B704" s="27"/>
      <c r="C704" s="27"/>
      <c r="D704" s="27"/>
      <c r="E704" s="74"/>
      <c r="F704" s="74"/>
      <c r="G704" s="74"/>
      <c r="H704" s="74"/>
      <c r="I704" s="74"/>
      <c r="J704" s="74"/>
      <c r="K704" s="81"/>
    </row>
    <row r="705" spans="1:11" ht="14.5" x14ac:dyDescent="0.35">
      <c r="A705" s="80"/>
      <c r="B705" s="27"/>
      <c r="C705" s="27"/>
      <c r="D705" s="27"/>
      <c r="E705" s="74"/>
      <c r="F705" s="74"/>
      <c r="G705" s="74"/>
      <c r="H705" s="74"/>
      <c r="I705" s="74"/>
      <c r="J705" s="74"/>
      <c r="K705" s="81"/>
    </row>
    <row r="706" spans="1:11" ht="14.5" x14ac:dyDescent="0.35">
      <c r="A706" s="80"/>
      <c r="B706" s="27"/>
      <c r="C706" s="27"/>
      <c r="D706" s="27"/>
      <c r="E706" s="74"/>
      <c r="F706" s="74"/>
      <c r="G706" s="74"/>
      <c r="H706" s="74"/>
      <c r="I706" s="74"/>
      <c r="J706" s="74"/>
      <c r="K706" s="81"/>
    </row>
    <row r="707" spans="1:11" ht="14.5" x14ac:dyDescent="0.35">
      <c r="A707" s="80"/>
      <c r="B707" s="27"/>
      <c r="C707" s="27"/>
      <c r="D707" s="27"/>
      <c r="E707" s="74"/>
      <c r="F707" s="74"/>
      <c r="G707" s="74"/>
      <c r="H707" s="74"/>
      <c r="I707" s="74"/>
      <c r="J707" s="74"/>
      <c r="K707" s="81"/>
    </row>
    <row r="708" spans="1:11" ht="14.5" x14ac:dyDescent="0.35">
      <c r="A708" s="80"/>
      <c r="B708" s="27"/>
      <c r="C708" s="27"/>
      <c r="D708" s="27"/>
      <c r="E708" s="74"/>
      <c r="F708" s="74"/>
      <c r="G708" s="74"/>
      <c r="H708" s="74"/>
      <c r="I708" s="74"/>
      <c r="J708" s="74"/>
      <c r="K708" s="81"/>
    </row>
    <row r="709" spans="1:11" ht="14.5" x14ac:dyDescent="0.35">
      <c r="A709" s="80"/>
      <c r="B709" s="27"/>
      <c r="C709" s="27"/>
      <c r="D709" s="27"/>
      <c r="E709" s="74"/>
      <c r="F709" s="74"/>
      <c r="G709" s="74"/>
      <c r="H709" s="74"/>
      <c r="I709" s="74"/>
      <c r="J709" s="74"/>
      <c r="K709" s="81"/>
    </row>
    <row r="710" spans="1:11" ht="14.5" x14ac:dyDescent="0.35">
      <c r="A710" s="80"/>
      <c r="B710" s="27"/>
      <c r="C710" s="27"/>
      <c r="D710" s="27"/>
      <c r="E710" s="74"/>
      <c r="F710" s="74"/>
      <c r="G710" s="74"/>
      <c r="H710" s="74"/>
      <c r="I710" s="74"/>
      <c r="J710" s="74"/>
      <c r="K710" s="81"/>
    </row>
    <row r="711" spans="1:11" ht="14.5" x14ac:dyDescent="0.35">
      <c r="A711" s="80"/>
      <c r="B711" s="27"/>
      <c r="C711" s="27"/>
      <c r="D711" s="27"/>
      <c r="E711" s="74"/>
      <c r="F711" s="74"/>
      <c r="G711" s="74"/>
      <c r="H711" s="74"/>
      <c r="I711" s="74"/>
      <c r="J711" s="74"/>
      <c r="K711" s="81"/>
    </row>
    <row r="712" spans="1:11" ht="14.5" x14ac:dyDescent="0.35">
      <c r="A712" s="80"/>
      <c r="B712" s="27"/>
      <c r="C712" s="27"/>
      <c r="D712" s="27"/>
      <c r="E712" s="74"/>
      <c r="F712" s="74"/>
      <c r="G712" s="74"/>
      <c r="H712" s="74"/>
      <c r="I712" s="74"/>
      <c r="J712" s="74"/>
      <c r="K712" s="81"/>
    </row>
    <row r="713" spans="1:11" ht="14.5" x14ac:dyDescent="0.35">
      <c r="A713" s="80"/>
      <c r="B713" s="27"/>
      <c r="C713" s="27"/>
      <c r="D713" s="27"/>
      <c r="E713" s="74"/>
      <c r="F713" s="74"/>
      <c r="G713" s="74"/>
      <c r="H713" s="74"/>
      <c r="I713" s="74"/>
      <c r="J713" s="74"/>
      <c r="K713" s="81"/>
    </row>
    <row r="714" spans="1:11" ht="14.5" x14ac:dyDescent="0.35">
      <c r="A714" s="80"/>
      <c r="B714" s="27"/>
      <c r="C714" s="27"/>
      <c r="D714" s="27"/>
      <c r="E714" s="74"/>
      <c r="F714" s="74"/>
      <c r="G714" s="74"/>
      <c r="H714" s="74"/>
      <c r="I714" s="74"/>
      <c r="J714" s="74"/>
      <c r="K714" s="81"/>
    </row>
    <row r="715" spans="1:11" ht="14.5" x14ac:dyDescent="0.35">
      <c r="A715" s="80"/>
      <c r="B715" s="27"/>
      <c r="C715" s="27"/>
      <c r="D715" s="27"/>
      <c r="E715" s="74"/>
      <c r="F715" s="74"/>
      <c r="G715" s="74"/>
      <c r="H715" s="74"/>
      <c r="I715" s="74"/>
      <c r="J715" s="74"/>
      <c r="K715" s="81"/>
    </row>
    <row r="716" spans="1:11" ht="14.5" x14ac:dyDescent="0.35">
      <c r="A716" s="80"/>
      <c r="B716" s="27"/>
      <c r="C716" s="27"/>
      <c r="D716" s="27"/>
      <c r="E716" s="74"/>
      <c r="F716" s="74"/>
      <c r="G716" s="74"/>
      <c r="H716" s="74"/>
      <c r="I716" s="74"/>
      <c r="J716" s="74"/>
      <c r="K716" s="81"/>
    </row>
    <row r="717" spans="1:11" ht="14.5" x14ac:dyDescent="0.35">
      <c r="A717" s="80"/>
      <c r="B717" s="27"/>
      <c r="C717" s="27"/>
      <c r="D717" s="27"/>
      <c r="E717" s="74"/>
      <c r="F717" s="74"/>
      <c r="G717" s="74"/>
      <c r="H717" s="74"/>
      <c r="I717" s="74"/>
      <c r="J717" s="74"/>
      <c r="K717" s="81"/>
    </row>
    <row r="718" spans="1:11" ht="14.5" x14ac:dyDescent="0.35">
      <c r="A718" s="80"/>
      <c r="B718" s="27"/>
      <c r="C718" s="27"/>
      <c r="D718" s="27"/>
      <c r="E718" s="74"/>
      <c r="F718" s="74"/>
      <c r="G718" s="74"/>
      <c r="H718" s="74"/>
      <c r="I718" s="74"/>
      <c r="J718" s="74"/>
      <c r="K718" s="81"/>
    </row>
    <row r="719" spans="1:11" ht="14.5" x14ac:dyDescent="0.35">
      <c r="A719" s="80"/>
      <c r="B719" s="27"/>
      <c r="C719" s="27"/>
      <c r="D719" s="27"/>
      <c r="E719" s="74"/>
      <c r="F719" s="74"/>
      <c r="G719" s="74"/>
      <c r="H719" s="74"/>
      <c r="I719" s="74"/>
      <c r="J719" s="74"/>
      <c r="K719" s="81"/>
    </row>
    <row r="720" spans="1:11" ht="14.5" x14ac:dyDescent="0.35">
      <c r="A720" s="80"/>
      <c r="B720" s="27"/>
      <c r="C720" s="27"/>
      <c r="D720" s="27"/>
      <c r="E720" s="74"/>
      <c r="F720" s="74"/>
      <c r="G720" s="74"/>
      <c r="H720" s="74"/>
      <c r="I720" s="74"/>
      <c r="J720" s="74"/>
      <c r="K720" s="81"/>
    </row>
    <row r="721" spans="1:11" ht="14.5" x14ac:dyDescent="0.35">
      <c r="A721" s="80"/>
      <c r="B721" s="27"/>
      <c r="C721" s="27"/>
      <c r="D721" s="27"/>
      <c r="E721" s="74"/>
      <c r="F721" s="74"/>
      <c r="G721" s="74"/>
      <c r="H721" s="74"/>
      <c r="I721" s="74"/>
      <c r="J721" s="74"/>
      <c r="K721" s="81"/>
    </row>
    <row r="722" spans="1:11" ht="14.5" x14ac:dyDescent="0.35">
      <c r="A722" s="80"/>
      <c r="B722" s="27"/>
      <c r="C722" s="27"/>
      <c r="D722" s="27"/>
      <c r="E722" s="74"/>
      <c r="F722" s="74"/>
      <c r="G722" s="74"/>
      <c r="H722" s="74"/>
      <c r="I722" s="74"/>
      <c r="J722" s="74"/>
      <c r="K722" s="81"/>
    </row>
    <row r="723" spans="1:11" ht="14.5" x14ac:dyDescent="0.35">
      <c r="A723" s="80"/>
      <c r="B723" s="27"/>
      <c r="C723" s="27"/>
      <c r="D723" s="27"/>
      <c r="E723" s="74"/>
      <c r="F723" s="74"/>
      <c r="G723" s="74"/>
      <c r="H723" s="74"/>
      <c r="I723" s="74"/>
      <c r="J723" s="74"/>
      <c r="K723" s="81"/>
    </row>
    <row r="724" spans="1:11" ht="14.5" x14ac:dyDescent="0.35">
      <c r="A724" s="80"/>
      <c r="B724" s="27"/>
      <c r="C724" s="27"/>
      <c r="D724" s="27"/>
      <c r="E724" s="74"/>
      <c r="F724" s="74"/>
      <c r="G724" s="74"/>
      <c r="H724" s="74"/>
      <c r="I724" s="74"/>
      <c r="J724" s="74"/>
      <c r="K724" s="81"/>
    </row>
    <row r="725" spans="1:11" ht="14.5" x14ac:dyDescent="0.35">
      <c r="A725" s="80"/>
      <c r="B725" s="27"/>
      <c r="C725" s="27"/>
      <c r="D725" s="27"/>
      <c r="E725" s="74"/>
      <c r="F725" s="74"/>
      <c r="G725" s="74"/>
      <c r="H725" s="74"/>
      <c r="I725" s="74"/>
      <c r="J725" s="74"/>
      <c r="K725" s="81"/>
    </row>
    <row r="726" spans="1:11" ht="14.5" x14ac:dyDescent="0.35">
      <c r="A726" s="80"/>
      <c r="B726" s="27"/>
      <c r="C726" s="27"/>
      <c r="D726" s="27"/>
      <c r="E726" s="74"/>
      <c r="F726" s="74"/>
      <c r="G726" s="74"/>
      <c r="H726" s="74"/>
      <c r="I726" s="74"/>
      <c r="J726" s="74"/>
      <c r="K726" s="81"/>
    </row>
    <row r="727" spans="1:11" ht="14.5" x14ac:dyDescent="0.35">
      <c r="A727" s="74"/>
      <c r="B727" s="27"/>
      <c r="C727" s="27"/>
      <c r="D727" s="27"/>
      <c r="E727" s="74"/>
      <c r="F727" s="74"/>
      <c r="G727" s="74"/>
      <c r="H727" s="74"/>
      <c r="I727" s="74"/>
      <c r="J727" s="74"/>
      <c r="K727" s="81"/>
    </row>
    <row r="728" spans="1:11" ht="14.5" x14ac:dyDescent="0.35">
      <c r="A728" s="74"/>
      <c r="B728" s="27"/>
      <c r="C728" s="27"/>
      <c r="D728" s="27"/>
      <c r="E728" s="74"/>
      <c r="F728" s="74"/>
      <c r="G728" s="74"/>
      <c r="H728" s="74"/>
      <c r="I728" s="74"/>
      <c r="J728" s="74"/>
      <c r="K728" s="81"/>
    </row>
    <row r="729" spans="1:11" ht="14.5" x14ac:dyDescent="0.35">
      <c r="A729" s="74"/>
      <c r="B729" s="27"/>
      <c r="C729" s="27"/>
      <c r="D729" s="27"/>
      <c r="E729" s="74"/>
      <c r="F729" s="74"/>
      <c r="G729" s="74"/>
      <c r="H729" s="74"/>
      <c r="I729" s="74"/>
      <c r="J729" s="74"/>
      <c r="K729" s="81"/>
    </row>
    <row r="730" spans="1:11" ht="14.5" x14ac:dyDescent="0.35">
      <c r="A730" s="74"/>
      <c r="B730" s="27"/>
      <c r="C730" s="27"/>
      <c r="D730" s="27"/>
      <c r="E730" s="74"/>
      <c r="F730" s="74"/>
      <c r="G730" s="74"/>
      <c r="H730" s="74"/>
      <c r="I730" s="74"/>
      <c r="J730" s="74"/>
      <c r="K730" s="81"/>
    </row>
    <row r="731" spans="1:11" ht="14.5" x14ac:dyDescent="0.35">
      <c r="A731" s="74"/>
      <c r="B731" s="27"/>
      <c r="C731" s="27"/>
      <c r="D731" s="27"/>
      <c r="E731" s="74"/>
      <c r="F731" s="74"/>
      <c r="G731" s="74"/>
      <c r="H731" s="74"/>
      <c r="I731" s="74"/>
      <c r="J731" s="74"/>
      <c r="K731" s="81"/>
    </row>
    <row r="732" spans="1:11" ht="14.5" x14ac:dyDescent="0.35">
      <c r="A732" s="74"/>
      <c r="B732" s="27"/>
      <c r="C732" s="27"/>
      <c r="D732" s="27"/>
      <c r="E732" s="74"/>
      <c r="F732" s="74"/>
      <c r="G732" s="74"/>
      <c r="H732" s="74"/>
      <c r="I732" s="74"/>
      <c r="J732" s="74"/>
      <c r="K732" s="81"/>
    </row>
    <row r="733" spans="1:11" ht="14.5" x14ac:dyDescent="0.35">
      <c r="A733" s="74"/>
      <c r="B733" s="27"/>
      <c r="C733" s="27"/>
      <c r="D733" s="27"/>
      <c r="E733" s="74"/>
      <c r="F733" s="74"/>
      <c r="G733" s="74"/>
      <c r="H733" s="74"/>
      <c r="I733" s="74"/>
      <c r="J733" s="74"/>
      <c r="K733" s="81"/>
    </row>
    <row r="734" spans="1:11" ht="14.5" x14ac:dyDescent="0.35">
      <c r="A734" s="74"/>
      <c r="B734" s="27"/>
      <c r="C734" s="27"/>
      <c r="D734" s="27"/>
      <c r="E734" s="74"/>
      <c r="F734" s="74"/>
      <c r="G734" s="74"/>
      <c r="H734" s="74"/>
      <c r="I734" s="74"/>
      <c r="J734" s="74"/>
      <c r="K734" s="81"/>
    </row>
    <row r="735" spans="1:11" ht="14.5" x14ac:dyDescent="0.35">
      <c r="A735" s="74"/>
      <c r="B735" s="27"/>
      <c r="C735" s="27"/>
      <c r="D735" s="27"/>
      <c r="E735" s="74"/>
      <c r="F735" s="74"/>
      <c r="G735" s="74"/>
      <c r="H735" s="74"/>
      <c r="I735" s="74"/>
      <c r="J735" s="74"/>
      <c r="K735" s="81"/>
    </row>
    <row r="736" spans="1:11" ht="14.5" x14ac:dyDescent="0.35">
      <c r="A736" s="74"/>
      <c r="B736" s="27"/>
      <c r="C736" s="27"/>
      <c r="D736" s="27"/>
      <c r="E736" s="74"/>
      <c r="F736" s="74"/>
      <c r="G736" s="74"/>
      <c r="H736" s="74"/>
      <c r="I736" s="74"/>
      <c r="J736" s="74"/>
      <c r="K736" s="81"/>
    </row>
    <row r="737" spans="1:11" ht="14.5" x14ac:dyDescent="0.35">
      <c r="A737" s="74"/>
      <c r="B737" s="27"/>
      <c r="C737" s="27"/>
      <c r="D737" s="27"/>
      <c r="E737" s="74"/>
      <c r="F737" s="74"/>
      <c r="G737" s="74"/>
      <c r="H737" s="74"/>
      <c r="I737" s="74"/>
      <c r="J737" s="74"/>
      <c r="K737" s="81"/>
    </row>
    <row r="738" spans="1:11" ht="14.5" x14ac:dyDescent="0.35">
      <c r="A738" s="74"/>
      <c r="B738" s="27"/>
      <c r="C738" s="27"/>
      <c r="D738" s="27"/>
      <c r="E738" s="74"/>
      <c r="F738" s="74"/>
      <c r="G738" s="74"/>
      <c r="H738" s="74"/>
      <c r="I738" s="74"/>
      <c r="J738" s="74"/>
      <c r="K738" s="81"/>
    </row>
    <row r="739" spans="1:11" ht="14.5" x14ac:dyDescent="0.35">
      <c r="A739" s="74"/>
      <c r="B739" s="27"/>
      <c r="C739" s="27"/>
      <c r="D739" s="27"/>
      <c r="E739" s="74"/>
      <c r="F739" s="74"/>
      <c r="G739" s="74"/>
      <c r="H739" s="74"/>
      <c r="I739" s="74"/>
      <c r="J739" s="74"/>
      <c r="K739" s="81"/>
    </row>
    <row r="740" spans="1:11" ht="14.5" x14ac:dyDescent="0.35">
      <c r="A740" s="74"/>
      <c r="B740" s="27"/>
      <c r="C740" s="27"/>
      <c r="D740" s="27"/>
      <c r="E740" s="74"/>
      <c r="F740" s="74"/>
      <c r="G740" s="74"/>
      <c r="H740" s="74"/>
      <c r="I740" s="74"/>
      <c r="J740" s="74"/>
      <c r="K740" s="81"/>
    </row>
    <row r="741" spans="1:11" ht="14.5" x14ac:dyDescent="0.35">
      <c r="A741" s="74"/>
      <c r="B741" s="27"/>
      <c r="C741" s="27"/>
      <c r="D741" s="27"/>
      <c r="E741" s="74"/>
      <c r="F741" s="74"/>
      <c r="G741" s="74"/>
      <c r="H741" s="74"/>
      <c r="I741" s="74"/>
      <c r="J741" s="74"/>
      <c r="K741" s="81"/>
    </row>
    <row r="742" spans="1:11" ht="14.5" x14ac:dyDescent="0.35">
      <c r="A742" s="74"/>
      <c r="B742" s="27"/>
      <c r="C742" s="27"/>
      <c r="D742" s="27"/>
      <c r="E742" s="74"/>
      <c r="F742" s="74"/>
      <c r="G742" s="74"/>
      <c r="H742" s="74"/>
      <c r="I742" s="74"/>
      <c r="J742" s="74"/>
      <c r="K742" s="81"/>
    </row>
    <row r="743" spans="1:11" ht="14.5" x14ac:dyDescent="0.35">
      <c r="A743" s="74"/>
      <c r="B743" s="27"/>
      <c r="C743" s="27"/>
      <c r="D743" s="27"/>
      <c r="E743" s="74"/>
      <c r="F743" s="74"/>
      <c r="G743" s="74"/>
      <c r="H743" s="74"/>
      <c r="I743" s="74"/>
      <c r="J743" s="74"/>
      <c r="K743" s="81"/>
    </row>
    <row r="744" spans="1:11" ht="14.5" x14ac:dyDescent="0.35">
      <c r="A744" s="74"/>
      <c r="B744" s="27"/>
      <c r="C744" s="27"/>
      <c r="D744" s="27"/>
      <c r="E744" s="74"/>
      <c r="F744" s="74"/>
      <c r="G744" s="74"/>
      <c r="H744" s="74"/>
      <c r="I744" s="74"/>
      <c r="J744" s="74"/>
      <c r="K744" s="81"/>
    </row>
    <row r="745" spans="1:11" ht="14.5" x14ac:dyDescent="0.35">
      <c r="A745" s="74"/>
      <c r="B745" s="27"/>
      <c r="C745" s="27"/>
      <c r="D745" s="27"/>
      <c r="E745" s="74"/>
      <c r="F745" s="74"/>
      <c r="G745" s="74"/>
      <c r="H745" s="74"/>
      <c r="I745" s="74"/>
      <c r="J745" s="74"/>
      <c r="K745" s="81"/>
    </row>
    <row r="746" spans="1:11" ht="14.5" x14ac:dyDescent="0.35">
      <c r="A746" s="74"/>
      <c r="B746" s="27"/>
      <c r="C746" s="27"/>
      <c r="D746" s="27"/>
      <c r="E746" s="74"/>
      <c r="F746" s="74"/>
      <c r="G746" s="74"/>
      <c r="H746" s="74"/>
      <c r="I746" s="74"/>
      <c r="J746" s="74"/>
      <c r="K746" s="81"/>
    </row>
    <row r="747" spans="1:11" ht="14.5" x14ac:dyDescent="0.35">
      <c r="A747" s="74"/>
      <c r="B747" s="27"/>
      <c r="C747" s="27"/>
      <c r="D747" s="27"/>
      <c r="E747" s="74"/>
      <c r="F747" s="74"/>
      <c r="G747" s="74"/>
      <c r="H747" s="74"/>
      <c r="I747" s="74"/>
      <c r="J747" s="74"/>
      <c r="K747" s="81"/>
    </row>
    <row r="748" spans="1:11" ht="14.5" x14ac:dyDescent="0.35">
      <c r="A748" s="74"/>
      <c r="B748" s="27"/>
      <c r="C748" s="27"/>
      <c r="D748" s="27"/>
      <c r="E748" s="74"/>
      <c r="F748" s="74"/>
      <c r="G748" s="74"/>
      <c r="H748" s="74"/>
      <c r="I748" s="74"/>
      <c r="J748" s="74"/>
      <c r="K748" s="81"/>
    </row>
    <row r="749" spans="1:11" ht="14.5" x14ac:dyDescent="0.35">
      <c r="A749" s="74"/>
      <c r="B749" s="27"/>
      <c r="C749" s="27"/>
      <c r="D749" s="27"/>
      <c r="E749" s="74"/>
      <c r="F749" s="74"/>
      <c r="G749" s="74"/>
      <c r="H749" s="74"/>
      <c r="I749" s="74"/>
      <c r="J749" s="74"/>
      <c r="K749" s="81"/>
    </row>
    <row r="750" spans="1:11" ht="14.5" x14ac:dyDescent="0.35">
      <c r="A750" s="74"/>
      <c r="B750" s="27"/>
      <c r="C750" s="27"/>
      <c r="D750" s="27"/>
      <c r="E750" s="74"/>
      <c r="F750" s="74"/>
      <c r="G750" s="74"/>
      <c r="H750" s="74"/>
      <c r="I750" s="74"/>
      <c r="J750" s="74"/>
      <c r="K750" s="81"/>
    </row>
    <row r="751" spans="1:11" ht="14.5" x14ac:dyDescent="0.35">
      <c r="A751" s="74"/>
      <c r="B751" s="27"/>
      <c r="C751" s="27"/>
      <c r="D751" s="27"/>
      <c r="E751" s="74"/>
      <c r="F751" s="74"/>
      <c r="G751" s="74"/>
      <c r="H751" s="74"/>
      <c r="I751" s="74"/>
      <c r="J751" s="74"/>
      <c r="K751" s="81"/>
    </row>
    <row r="752" spans="1:11" ht="14.5" x14ac:dyDescent="0.35">
      <c r="A752" s="74"/>
      <c r="B752" s="27"/>
      <c r="C752" s="27"/>
      <c r="D752" s="27"/>
      <c r="E752" s="74"/>
      <c r="F752" s="74"/>
      <c r="G752" s="74"/>
      <c r="H752" s="74"/>
      <c r="I752" s="74"/>
      <c r="J752" s="74"/>
      <c r="K752" s="81"/>
    </row>
    <row r="753" spans="1:11" ht="14.5" x14ac:dyDescent="0.35">
      <c r="A753" s="74"/>
      <c r="B753" s="27"/>
      <c r="C753" s="27"/>
      <c r="D753" s="27"/>
      <c r="E753" s="74"/>
      <c r="F753" s="74"/>
      <c r="G753" s="74"/>
      <c r="H753" s="74"/>
      <c r="I753" s="74"/>
      <c r="J753" s="74"/>
      <c r="K753" s="81"/>
    </row>
    <row r="754" spans="1:11" ht="14.5" x14ac:dyDescent="0.35">
      <c r="A754" s="74"/>
      <c r="B754" s="27"/>
      <c r="C754" s="27"/>
      <c r="D754" s="27"/>
      <c r="E754" s="74"/>
      <c r="F754" s="74"/>
      <c r="G754" s="74"/>
      <c r="H754" s="74"/>
      <c r="I754" s="74"/>
      <c r="J754" s="74"/>
      <c r="K754" s="81"/>
    </row>
    <row r="755" spans="1:11" ht="14.5" x14ac:dyDescent="0.35">
      <c r="A755" s="74"/>
      <c r="B755" s="27"/>
      <c r="C755" s="27"/>
      <c r="D755" s="27"/>
      <c r="E755" s="74"/>
      <c r="F755" s="74"/>
      <c r="G755" s="74"/>
      <c r="H755" s="74"/>
      <c r="I755" s="74"/>
      <c r="J755" s="74"/>
      <c r="K755" s="81"/>
    </row>
    <row r="756" spans="1:11" ht="14.5" x14ac:dyDescent="0.35">
      <c r="A756" s="74"/>
      <c r="B756" s="27"/>
      <c r="C756" s="27"/>
      <c r="D756" s="27"/>
      <c r="E756" s="74"/>
      <c r="F756" s="74"/>
      <c r="G756" s="74"/>
      <c r="H756" s="74"/>
      <c r="I756" s="74"/>
      <c r="J756" s="74"/>
      <c r="K756" s="81"/>
    </row>
    <row r="757" spans="1:11" ht="14.5" x14ac:dyDescent="0.35">
      <c r="A757" s="74"/>
      <c r="B757" s="27"/>
      <c r="C757" s="27"/>
      <c r="D757" s="27"/>
      <c r="E757" s="74"/>
      <c r="F757" s="74"/>
      <c r="G757" s="74"/>
      <c r="H757" s="74"/>
      <c r="I757" s="74"/>
      <c r="J757" s="74"/>
      <c r="K757" s="81"/>
    </row>
    <row r="758" spans="1:11" ht="14.5" x14ac:dyDescent="0.35">
      <c r="A758" s="74"/>
      <c r="B758" s="27"/>
      <c r="C758" s="27"/>
      <c r="D758" s="27"/>
      <c r="E758" s="74"/>
      <c r="F758" s="74"/>
      <c r="G758" s="74"/>
      <c r="H758" s="74"/>
      <c r="I758" s="74"/>
      <c r="J758" s="74"/>
      <c r="K758" s="81"/>
    </row>
    <row r="759" spans="1:11" ht="14.5" x14ac:dyDescent="0.35">
      <c r="A759" s="74"/>
      <c r="B759" s="27"/>
      <c r="C759" s="27"/>
      <c r="D759" s="27"/>
      <c r="E759" s="74"/>
      <c r="F759" s="74"/>
      <c r="G759" s="74"/>
      <c r="H759" s="74"/>
      <c r="I759" s="74"/>
      <c r="J759" s="74"/>
      <c r="K759" s="81"/>
    </row>
    <row r="760" spans="1:11" ht="14.5" x14ac:dyDescent="0.35">
      <c r="A760" s="74"/>
      <c r="B760" s="27"/>
      <c r="C760" s="27"/>
      <c r="D760" s="27"/>
      <c r="E760" s="74"/>
      <c r="F760" s="74"/>
      <c r="G760" s="74"/>
      <c r="H760" s="74"/>
      <c r="I760" s="74"/>
      <c r="J760" s="74"/>
      <c r="K760" s="81"/>
    </row>
    <row r="761" spans="1:11" ht="14.5" x14ac:dyDescent="0.35">
      <c r="A761" s="74"/>
      <c r="B761" s="27"/>
      <c r="C761" s="27"/>
      <c r="D761" s="27"/>
      <c r="E761" s="74"/>
      <c r="F761" s="74"/>
      <c r="G761" s="74"/>
      <c r="H761" s="74"/>
      <c r="I761" s="74"/>
      <c r="J761" s="74"/>
      <c r="K761" s="81"/>
    </row>
    <row r="762" spans="1:11" ht="14.5" x14ac:dyDescent="0.35">
      <c r="A762" s="74"/>
      <c r="B762" s="27"/>
      <c r="C762" s="27"/>
      <c r="D762" s="27"/>
      <c r="E762" s="74"/>
      <c r="F762" s="74"/>
      <c r="G762" s="74"/>
      <c r="H762" s="74"/>
      <c r="I762" s="74"/>
      <c r="J762" s="74"/>
      <c r="K762" s="81"/>
    </row>
    <row r="763" spans="1:11" ht="14.5" x14ac:dyDescent="0.35">
      <c r="A763" s="74"/>
      <c r="B763" s="27"/>
      <c r="C763" s="27"/>
      <c r="D763" s="27"/>
      <c r="E763" s="74"/>
      <c r="F763" s="74"/>
      <c r="G763" s="74"/>
      <c r="H763" s="74"/>
      <c r="I763" s="74"/>
      <c r="J763" s="74"/>
      <c r="K763" s="81"/>
    </row>
    <row r="764" spans="1:11" ht="14.5" x14ac:dyDescent="0.35">
      <c r="A764" s="74"/>
      <c r="B764" s="27"/>
      <c r="C764" s="27"/>
      <c r="D764" s="27"/>
      <c r="E764" s="74"/>
      <c r="F764" s="74"/>
      <c r="G764" s="74"/>
      <c r="H764" s="74"/>
      <c r="I764" s="74"/>
      <c r="J764" s="74"/>
      <c r="K764" s="81"/>
    </row>
    <row r="765" spans="1:11" ht="14.5" x14ac:dyDescent="0.35">
      <c r="A765" s="74"/>
      <c r="B765" s="27"/>
      <c r="C765" s="27"/>
      <c r="D765" s="27"/>
      <c r="E765" s="74"/>
      <c r="F765" s="74"/>
      <c r="G765" s="74"/>
      <c r="H765" s="74"/>
      <c r="I765" s="74"/>
      <c r="J765" s="74"/>
      <c r="K765" s="81"/>
    </row>
    <row r="766" spans="1:11" ht="14.5" x14ac:dyDescent="0.35">
      <c r="A766" s="74"/>
      <c r="B766" s="27"/>
      <c r="C766" s="27"/>
      <c r="D766" s="27"/>
      <c r="E766" s="74"/>
      <c r="F766" s="74"/>
      <c r="G766" s="74"/>
      <c r="H766" s="74"/>
      <c r="I766" s="74"/>
      <c r="J766" s="74"/>
      <c r="K766" s="81"/>
    </row>
    <row r="767" spans="1:11" ht="14.5" x14ac:dyDescent="0.35">
      <c r="A767" s="74"/>
      <c r="B767" s="27"/>
      <c r="C767" s="27"/>
      <c r="D767" s="27"/>
      <c r="E767" s="74"/>
      <c r="F767" s="74"/>
      <c r="G767" s="74"/>
      <c r="H767" s="74"/>
      <c r="I767" s="74"/>
      <c r="J767" s="74"/>
      <c r="K767" s="81"/>
    </row>
    <row r="768" spans="1:11" ht="14.5" x14ac:dyDescent="0.35">
      <c r="A768" s="74"/>
      <c r="B768" s="27"/>
      <c r="C768" s="27"/>
      <c r="D768" s="27"/>
      <c r="E768" s="74"/>
      <c r="F768" s="74"/>
      <c r="G768" s="74"/>
      <c r="H768" s="74"/>
      <c r="I768" s="74"/>
      <c r="J768" s="74"/>
      <c r="K768" s="81"/>
    </row>
    <row r="769" spans="1:11" ht="14.5" x14ac:dyDescent="0.35">
      <c r="A769" s="74"/>
      <c r="B769" s="27"/>
      <c r="C769" s="27"/>
      <c r="D769" s="27"/>
      <c r="E769" s="74"/>
      <c r="F769" s="74"/>
      <c r="G769" s="74"/>
      <c r="H769" s="74"/>
      <c r="I769" s="74"/>
      <c r="J769" s="74"/>
      <c r="K769" s="81"/>
    </row>
    <row r="770" spans="1:11" ht="14.5" x14ac:dyDescent="0.35">
      <c r="A770" s="74"/>
      <c r="B770" s="27"/>
      <c r="C770" s="27"/>
      <c r="D770" s="27"/>
      <c r="E770" s="74"/>
      <c r="F770" s="74"/>
      <c r="G770" s="74"/>
      <c r="H770" s="74"/>
      <c r="I770" s="74"/>
      <c r="J770" s="74"/>
      <c r="K770" s="81"/>
    </row>
    <row r="771" spans="1:11" ht="14.5" x14ac:dyDescent="0.35">
      <c r="A771" s="74"/>
      <c r="B771" s="27"/>
      <c r="C771" s="27"/>
      <c r="D771" s="27"/>
      <c r="E771" s="74"/>
      <c r="F771" s="74"/>
      <c r="G771" s="74"/>
      <c r="H771" s="74"/>
      <c r="I771" s="74"/>
      <c r="J771" s="74"/>
      <c r="K771" s="81"/>
    </row>
    <row r="772" spans="1:11" ht="14.5" x14ac:dyDescent="0.35">
      <c r="A772" s="74"/>
      <c r="B772" s="27"/>
      <c r="C772" s="27"/>
      <c r="D772" s="27"/>
      <c r="E772" s="74"/>
      <c r="F772" s="74"/>
      <c r="G772" s="74"/>
      <c r="H772" s="74"/>
      <c r="I772" s="74"/>
      <c r="J772" s="74"/>
      <c r="K772" s="81"/>
    </row>
    <row r="773" spans="1:11" ht="14.5" x14ac:dyDescent="0.35">
      <c r="A773" s="74"/>
      <c r="B773" s="27"/>
      <c r="C773" s="27"/>
      <c r="D773" s="27"/>
      <c r="E773" s="74"/>
      <c r="F773" s="74"/>
      <c r="G773" s="74"/>
      <c r="H773" s="74"/>
      <c r="I773" s="74"/>
      <c r="J773" s="74"/>
      <c r="K773" s="81"/>
    </row>
    <row r="774" spans="1:11" ht="14.5" x14ac:dyDescent="0.35">
      <c r="A774" s="74"/>
      <c r="B774" s="27"/>
      <c r="C774" s="27"/>
      <c r="D774" s="27"/>
      <c r="E774" s="74"/>
      <c r="F774" s="74"/>
      <c r="G774" s="74"/>
      <c r="H774" s="74"/>
      <c r="I774" s="74"/>
      <c r="J774" s="74"/>
      <c r="K774" s="81"/>
    </row>
    <row r="775" spans="1:11" ht="14.5" x14ac:dyDescent="0.35">
      <c r="A775" s="74"/>
      <c r="B775" s="27"/>
      <c r="C775" s="27"/>
      <c r="D775" s="27"/>
      <c r="E775" s="74"/>
      <c r="F775" s="74"/>
      <c r="G775" s="74"/>
      <c r="H775" s="74"/>
      <c r="I775" s="74"/>
      <c r="J775" s="74"/>
      <c r="K775" s="81"/>
    </row>
    <row r="776" spans="1:11" ht="14.5" x14ac:dyDescent="0.35">
      <c r="A776" s="74"/>
      <c r="B776" s="27"/>
      <c r="C776" s="27"/>
      <c r="D776" s="27"/>
      <c r="E776" s="74"/>
      <c r="F776" s="74"/>
      <c r="G776" s="74"/>
      <c r="H776" s="74"/>
      <c r="I776" s="74"/>
      <c r="J776" s="74"/>
      <c r="K776" s="81"/>
    </row>
    <row r="777" spans="1:11" ht="14.5" x14ac:dyDescent="0.35">
      <c r="A777" s="74"/>
      <c r="B777" s="27"/>
      <c r="C777" s="27"/>
      <c r="D777" s="27"/>
      <c r="E777" s="74"/>
      <c r="F777" s="74"/>
      <c r="G777" s="74"/>
      <c r="H777" s="74"/>
      <c r="I777" s="74"/>
      <c r="J777" s="74"/>
      <c r="K777" s="81"/>
    </row>
    <row r="778" spans="1:11" ht="14.5" x14ac:dyDescent="0.35">
      <c r="A778" s="74"/>
      <c r="B778" s="27"/>
      <c r="C778" s="27"/>
      <c r="D778" s="27"/>
      <c r="E778" s="74"/>
      <c r="F778" s="74"/>
      <c r="G778" s="74"/>
      <c r="H778" s="74"/>
      <c r="I778" s="74"/>
      <c r="J778" s="74"/>
      <c r="K778" s="81"/>
    </row>
    <row r="779" spans="1:11" ht="14.5" x14ac:dyDescent="0.35">
      <c r="A779" s="74"/>
      <c r="B779" s="27"/>
      <c r="C779" s="27"/>
      <c r="D779" s="27"/>
      <c r="E779" s="74"/>
      <c r="F779" s="74"/>
      <c r="G779" s="74"/>
      <c r="H779" s="74"/>
      <c r="I779" s="74"/>
      <c r="J779" s="74"/>
      <c r="K779" s="81"/>
    </row>
    <row r="780" spans="1:11" ht="14.5" x14ac:dyDescent="0.35">
      <c r="A780" s="74"/>
      <c r="B780" s="27"/>
      <c r="C780" s="27"/>
      <c r="D780" s="27"/>
      <c r="E780" s="74"/>
      <c r="F780" s="74"/>
      <c r="G780" s="74"/>
      <c r="H780" s="74"/>
      <c r="I780" s="74"/>
      <c r="J780" s="74"/>
      <c r="K780" s="81"/>
    </row>
    <row r="781" spans="1:11" ht="14.5" x14ac:dyDescent="0.35">
      <c r="A781" s="74"/>
      <c r="B781" s="27"/>
      <c r="C781" s="27"/>
      <c r="D781" s="27"/>
      <c r="E781" s="74"/>
      <c r="F781" s="74"/>
      <c r="G781" s="74"/>
      <c r="H781" s="74"/>
      <c r="I781" s="74"/>
      <c r="J781" s="74"/>
      <c r="K781" s="81"/>
    </row>
    <row r="782" spans="1:11" ht="14.5" x14ac:dyDescent="0.35">
      <c r="A782" s="74"/>
      <c r="B782" s="27"/>
      <c r="C782" s="27"/>
      <c r="D782" s="27"/>
      <c r="E782" s="74"/>
      <c r="F782" s="74"/>
      <c r="G782" s="74"/>
      <c r="H782" s="74"/>
      <c r="I782" s="74"/>
      <c r="J782" s="74"/>
      <c r="K782" s="81"/>
    </row>
    <row r="783" spans="1:11" ht="14.5" x14ac:dyDescent="0.35">
      <c r="A783" s="74"/>
      <c r="B783" s="27"/>
      <c r="C783" s="27"/>
      <c r="D783" s="27"/>
      <c r="E783" s="74"/>
      <c r="F783" s="74"/>
      <c r="G783" s="74"/>
      <c r="H783" s="74"/>
      <c r="I783" s="74"/>
      <c r="J783" s="74"/>
      <c r="K783" s="81"/>
    </row>
    <row r="784" spans="1:11" ht="14.5" x14ac:dyDescent="0.35">
      <c r="A784" s="74"/>
      <c r="B784" s="27"/>
      <c r="C784" s="27"/>
      <c r="D784" s="27"/>
      <c r="E784" s="74"/>
      <c r="F784" s="74"/>
      <c r="G784" s="74"/>
      <c r="H784" s="74"/>
      <c r="I784" s="74"/>
      <c r="J784" s="74"/>
      <c r="K784" s="81"/>
    </row>
    <row r="785" spans="1:11" ht="14.5" x14ac:dyDescent="0.35">
      <c r="A785" s="74"/>
      <c r="B785" s="27"/>
      <c r="C785" s="27"/>
      <c r="D785" s="27"/>
      <c r="E785" s="74"/>
      <c r="F785" s="74"/>
      <c r="G785" s="74"/>
      <c r="H785" s="74"/>
      <c r="I785" s="74"/>
      <c r="J785" s="74"/>
      <c r="K785" s="81"/>
    </row>
    <row r="786" spans="1:11" ht="14.5" x14ac:dyDescent="0.35">
      <c r="A786" s="74"/>
      <c r="B786" s="27"/>
      <c r="C786" s="27"/>
      <c r="D786" s="27"/>
      <c r="E786" s="74"/>
      <c r="F786" s="74"/>
      <c r="G786" s="74"/>
      <c r="H786" s="74"/>
      <c r="I786" s="74"/>
      <c r="J786" s="74"/>
      <c r="K786" s="81"/>
    </row>
    <row r="787" spans="1:11" ht="14.5" x14ac:dyDescent="0.35">
      <c r="A787" s="74"/>
      <c r="B787" s="27"/>
      <c r="C787" s="27"/>
      <c r="D787" s="27"/>
      <c r="E787" s="74"/>
      <c r="F787" s="74"/>
      <c r="G787" s="74"/>
      <c r="H787" s="74"/>
      <c r="I787" s="74"/>
      <c r="J787" s="74"/>
      <c r="K787" s="81"/>
    </row>
    <row r="788" spans="1:11" ht="14.5" x14ac:dyDescent="0.35">
      <c r="A788" s="74"/>
      <c r="B788" s="27"/>
      <c r="C788" s="27"/>
      <c r="D788" s="27"/>
      <c r="E788" s="74"/>
      <c r="F788" s="74"/>
      <c r="G788" s="74"/>
      <c r="H788" s="74"/>
      <c r="I788" s="74"/>
      <c r="J788" s="74"/>
      <c r="K788" s="81"/>
    </row>
    <row r="789" spans="1:11" ht="14.5" x14ac:dyDescent="0.35">
      <c r="A789" s="74"/>
      <c r="B789" s="27"/>
      <c r="C789" s="27"/>
      <c r="D789" s="27"/>
      <c r="E789" s="74"/>
      <c r="F789" s="74"/>
      <c r="G789" s="74"/>
      <c r="H789" s="74"/>
      <c r="I789" s="74"/>
      <c r="J789" s="74"/>
      <c r="K789" s="81"/>
    </row>
    <row r="790" spans="1:11" ht="14.5" x14ac:dyDescent="0.35">
      <c r="A790" s="74"/>
      <c r="B790" s="27"/>
      <c r="C790" s="27"/>
      <c r="D790" s="27"/>
      <c r="E790" s="74"/>
      <c r="F790" s="74"/>
      <c r="G790" s="74"/>
      <c r="H790" s="74"/>
      <c r="I790" s="74"/>
      <c r="J790" s="74"/>
      <c r="K790" s="81"/>
    </row>
    <row r="791" spans="1:11" ht="14.5" x14ac:dyDescent="0.35">
      <c r="A791" s="74"/>
      <c r="B791" s="27"/>
      <c r="C791" s="27"/>
      <c r="D791" s="27"/>
      <c r="E791" s="74"/>
      <c r="F791" s="74"/>
      <c r="G791" s="74"/>
      <c r="H791" s="74"/>
      <c r="I791" s="74"/>
      <c r="J791" s="74"/>
      <c r="K791" s="81"/>
    </row>
    <row r="792" spans="1:11" ht="14.5" x14ac:dyDescent="0.35">
      <c r="A792" s="74"/>
      <c r="B792" s="27"/>
      <c r="C792" s="27"/>
      <c r="D792" s="27"/>
      <c r="E792" s="74"/>
      <c r="F792" s="74"/>
      <c r="G792" s="74"/>
      <c r="H792" s="74"/>
      <c r="I792" s="74"/>
      <c r="J792" s="74"/>
      <c r="K792" s="81"/>
    </row>
    <row r="793" spans="1:11" ht="14.5" x14ac:dyDescent="0.35">
      <c r="A793" s="74"/>
      <c r="B793" s="27"/>
      <c r="C793" s="27"/>
      <c r="D793" s="27"/>
      <c r="E793" s="74"/>
      <c r="F793" s="74"/>
      <c r="G793" s="74"/>
      <c r="H793" s="74"/>
      <c r="I793" s="74"/>
      <c r="J793" s="74"/>
      <c r="K793" s="81"/>
    </row>
    <row r="794" spans="1:11" ht="14.5" x14ac:dyDescent="0.35">
      <c r="A794" s="74"/>
      <c r="B794" s="27"/>
      <c r="C794" s="27"/>
      <c r="D794" s="27"/>
      <c r="E794" s="74"/>
      <c r="F794" s="74"/>
      <c r="G794" s="74"/>
      <c r="H794" s="74"/>
      <c r="I794" s="74"/>
      <c r="J794" s="74"/>
      <c r="K794" s="81"/>
    </row>
    <row r="795" spans="1:11" ht="14.5" x14ac:dyDescent="0.35">
      <c r="A795" s="74"/>
      <c r="B795" s="27"/>
      <c r="C795" s="27"/>
      <c r="D795" s="27"/>
      <c r="E795" s="74"/>
      <c r="F795" s="74"/>
      <c r="G795" s="74"/>
      <c r="H795" s="74"/>
      <c r="I795" s="74"/>
      <c r="J795" s="74"/>
      <c r="K795" s="81"/>
    </row>
    <row r="796" spans="1:11" ht="14.5" x14ac:dyDescent="0.35">
      <c r="A796" s="74"/>
      <c r="B796" s="27"/>
      <c r="C796" s="27"/>
      <c r="D796" s="27"/>
      <c r="E796" s="74"/>
      <c r="F796" s="74"/>
      <c r="G796" s="74"/>
      <c r="H796" s="74"/>
      <c r="I796" s="74"/>
      <c r="J796" s="74"/>
      <c r="K796" s="81"/>
    </row>
    <row r="797" spans="1:11" ht="14.5" x14ac:dyDescent="0.35">
      <c r="A797" s="74"/>
      <c r="B797" s="27"/>
      <c r="C797" s="27"/>
      <c r="D797" s="27"/>
      <c r="E797" s="74"/>
      <c r="F797" s="74"/>
      <c r="G797" s="74"/>
      <c r="H797" s="74"/>
      <c r="I797" s="74"/>
      <c r="J797" s="74"/>
      <c r="K797" s="81"/>
    </row>
    <row r="798" spans="1:11" ht="14.5" x14ac:dyDescent="0.35">
      <c r="A798" s="74"/>
      <c r="B798" s="27"/>
      <c r="C798" s="27"/>
      <c r="D798" s="27"/>
      <c r="E798" s="74"/>
      <c r="F798" s="74"/>
      <c r="G798" s="74"/>
      <c r="H798" s="74"/>
      <c r="I798" s="74"/>
      <c r="J798" s="74"/>
      <c r="K798" s="81"/>
    </row>
    <row r="799" spans="1:11" ht="14.5" x14ac:dyDescent="0.35">
      <c r="A799" s="74"/>
      <c r="B799" s="27"/>
      <c r="C799" s="27"/>
      <c r="D799" s="27"/>
      <c r="E799" s="74"/>
      <c r="F799" s="74"/>
      <c r="G799" s="74"/>
      <c r="H799" s="74"/>
      <c r="I799" s="74"/>
      <c r="J799" s="74"/>
      <c r="K799" s="81"/>
    </row>
    <row r="800" spans="1:11" ht="14.5" x14ac:dyDescent="0.35">
      <c r="A800" s="74"/>
      <c r="B800" s="27"/>
      <c r="C800" s="27"/>
      <c r="D800" s="27"/>
      <c r="E800" s="74"/>
      <c r="F800" s="74"/>
      <c r="G800" s="74"/>
      <c r="H800" s="74"/>
      <c r="I800" s="74"/>
      <c r="J800" s="74"/>
      <c r="K800" s="81"/>
    </row>
    <row r="801" spans="1:11" ht="14.5" x14ac:dyDescent="0.35">
      <c r="A801" s="74"/>
      <c r="B801" s="27"/>
      <c r="C801" s="27"/>
      <c r="D801" s="27"/>
      <c r="E801" s="74"/>
      <c r="F801" s="74"/>
      <c r="G801" s="74"/>
      <c r="H801" s="74"/>
      <c r="I801" s="74"/>
      <c r="J801" s="74"/>
      <c r="K801" s="81"/>
    </row>
    <row r="802" spans="1:11" ht="14.5" x14ac:dyDescent="0.35">
      <c r="A802" s="74"/>
      <c r="B802" s="27"/>
      <c r="C802" s="27"/>
      <c r="D802" s="27"/>
      <c r="E802" s="74"/>
      <c r="F802" s="74"/>
      <c r="G802" s="74"/>
      <c r="H802" s="74"/>
      <c r="I802" s="74"/>
      <c r="J802" s="74"/>
      <c r="K802" s="81"/>
    </row>
    <row r="803" spans="1:11" ht="14.5" x14ac:dyDescent="0.35">
      <c r="A803" s="74"/>
      <c r="B803" s="27"/>
      <c r="C803" s="27"/>
      <c r="D803" s="27"/>
      <c r="E803" s="74"/>
      <c r="F803" s="74"/>
      <c r="G803" s="74"/>
      <c r="H803" s="74"/>
      <c r="I803" s="74"/>
      <c r="J803" s="74"/>
      <c r="K803" s="81"/>
    </row>
    <row r="804" spans="1:11" ht="14.5" x14ac:dyDescent="0.35">
      <c r="A804" s="74"/>
      <c r="B804" s="27"/>
      <c r="C804" s="27"/>
      <c r="D804" s="27"/>
      <c r="E804" s="74"/>
      <c r="F804" s="74"/>
      <c r="G804" s="74"/>
      <c r="H804" s="74"/>
      <c r="I804" s="74"/>
      <c r="J804" s="74"/>
      <c r="K804" s="81"/>
    </row>
    <row r="805" spans="1:11" ht="14.5" x14ac:dyDescent="0.35">
      <c r="A805" s="74"/>
      <c r="B805" s="27"/>
      <c r="C805" s="27"/>
      <c r="D805" s="27"/>
      <c r="E805" s="74"/>
      <c r="F805" s="74"/>
      <c r="G805" s="74"/>
      <c r="H805" s="74"/>
      <c r="I805" s="74"/>
      <c r="J805" s="74"/>
      <c r="K805" s="81"/>
    </row>
    <row r="806" spans="1:11" ht="14.5" x14ac:dyDescent="0.35">
      <c r="A806" s="74"/>
      <c r="B806" s="27"/>
      <c r="C806" s="27"/>
      <c r="D806" s="27"/>
      <c r="E806" s="74"/>
      <c r="F806" s="74"/>
      <c r="G806" s="74"/>
      <c r="H806" s="74"/>
      <c r="I806" s="74"/>
      <c r="J806" s="74"/>
      <c r="K806" s="81"/>
    </row>
    <row r="807" spans="1:11" ht="14.5" x14ac:dyDescent="0.35">
      <c r="A807" s="74"/>
      <c r="B807" s="27"/>
      <c r="C807" s="27"/>
      <c r="D807" s="27"/>
      <c r="E807" s="74"/>
      <c r="F807" s="74"/>
      <c r="G807" s="74"/>
      <c r="H807" s="74"/>
      <c r="I807" s="74"/>
      <c r="J807" s="74"/>
      <c r="K807" s="81"/>
    </row>
    <row r="808" spans="1:11" ht="14.5" x14ac:dyDescent="0.35">
      <c r="A808" s="74"/>
      <c r="B808" s="27"/>
      <c r="C808" s="27"/>
      <c r="D808" s="27"/>
      <c r="E808" s="74"/>
      <c r="F808" s="74"/>
      <c r="G808" s="74"/>
      <c r="H808" s="74"/>
      <c r="I808" s="74"/>
      <c r="J808" s="74"/>
      <c r="K808" s="81"/>
    </row>
    <row r="809" spans="1:11" ht="14.5" x14ac:dyDescent="0.35">
      <c r="A809" s="74"/>
      <c r="B809" s="27"/>
      <c r="C809" s="27"/>
      <c r="D809" s="27"/>
      <c r="E809" s="74"/>
      <c r="F809" s="74"/>
      <c r="G809" s="74"/>
      <c r="H809" s="74"/>
      <c r="I809" s="74"/>
      <c r="J809" s="74"/>
      <c r="K809" s="81"/>
    </row>
    <row r="810" spans="1:11" ht="14.5" x14ac:dyDescent="0.35">
      <c r="A810" s="74"/>
      <c r="B810" s="27"/>
      <c r="C810" s="27"/>
      <c r="D810" s="27"/>
      <c r="E810" s="74"/>
      <c r="F810" s="74"/>
      <c r="G810" s="74"/>
      <c r="H810" s="74"/>
      <c r="I810" s="74"/>
      <c r="J810" s="74"/>
      <c r="K810" s="81"/>
    </row>
    <row r="811" spans="1:11" ht="14.5" x14ac:dyDescent="0.35">
      <c r="A811" s="74"/>
      <c r="B811" s="27"/>
      <c r="C811" s="27"/>
      <c r="D811" s="27"/>
      <c r="E811" s="74"/>
      <c r="F811" s="74"/>
      <c r="G811" s="74"/>
      <c r="H811" s="74"/>
      <c r="I811" s="74"/>
      <c r="J811" s="74"/>
      <c r="K811" s="81"/>
    </row>
    <row r="812" spans="1:11" ht="14.5" x14ac:dyDescent="0.35">
      <c r="A812" s="74"/>
      <c r="B812" s="27"/>
      <c r="C812" s="27"/>
      <c r="D812" s="27"/>
      <c r="E812" s="74"/>
      <c r="F812" s="74"/>
      <c r="G812" s="74"/>
      <c r="H812" s="74"/>
      <c r="I812" s="74"/>
      <c r="J812" s="74"/>
      <c r="K812" s="81"/>
    </row>
    <row r="813" spans="1:11" ht="14.5" x14ac:dyDescent="0.35">
      <c r="A813" s="74"/>
      <c r="B813" s="27"/>
      <c r="C813" s="27"/>
      <c r="D813" s="27"/>
      <c r="E813" s="74"/>
      <c r="F813" s="74"/>
      <c r="G813" s="74"/>
      <c r="H813" s="74"/>
      <c r="I813" s="74"/>
      <c r="J813" s="74"/>
      <c r="K813" s="81"/>
    </row>
    <row r="814" spans="1:11" ht="14.5" x14ac:dyDescent="0.35">
      <c r="A814" s="74"/>
      <c r="B814" s="27"/>
      <c r="C814" s="27"/>
      <c r="D814" s="27"/>
      <c r="E814" s="74"/>
      <c r="F814" s="74"/>
      <c r="G814" s="74"/>
      <c r="H814" s="74"/>
      <c r="I814" s="74"/>
      <c r="J814" s="74"/>
      <c r="K814" s="81"/>
    </row>
    <row r="815" spans="1:11" ht="14.5" x14ac:dyDescent="0.35">
      <c r="A815" s="74"/>
      <c r="B815" s="27"/>
      <c r="C815" s="27"/>
      <c r="D815" s="27"/>
      <c r="E815" s="74"/>
      <c r="F815" s="74"/>
      <c r="G815" s="74"/>
      <c r="H815" s="74"/>
      <c r="I815" s="74"/>
      <c r="J815" s="74"/>
      <c r="K815" s="81"/>
    </row>
    <row r="816" spans="1:11" ht="14.5" x14ac:dyDescent="0.35">
      <c r="A816" s="74"/>
      <c r="B816" s="27"/>
      <c r="C816" s="27"/>
      <c r="D816" s="27"/>
      <c r="E816" s="74"/>
      <c r="F816" s="74"/>
      <c r="G816" s="74"/>
      <c r="H816" s="74"/>
      <c r="I816" s="74"/>
      <c r="J816" s="74"/>
      <c r="K816" s="81"/>
    </row>
    <row r="817" spans="1:11" ht="14.5" x14ac:dyDescent="0.35">
      <c r="A817" s="74"/>
      <c r="B817" s="27"/>
      <c r="C817" s="27"/>
      <c r="D817" s="27"/>
      <c r="E817" s="74"/>
      <c r="F817" s="74"/>
      <c r="G817" s="74"/>
      <c r="H817" s="74"/>
      <c r="I817" s="74"/>
      <c r="J817" s="74"/>
      <c r="K817" s="81"/>
    </row>
    <row r="818" spans="1:11" ht="14.5" x14ac:dyDescent="0.35">
      <c r="A818" s="74"/>
      <c r="B818" s="27"/>
      <c r="C818" s="27"/>
      <c r="D818" s="27"/>
      <c r="E818" s="74"/>
      <c r="F818" s="74"/>
      <c r="G818" s="74"/>
      <c r="H818" s="74"/>
      <c r="I818" s="74"/>
      <c r="J818" s="74"/>
      <c r="K818" s="81"/>
    </row>
    <row r="819" spans="1:11" ht="14.5" x14ac:dyDescent="0.35">
      <c r="A819" s="74"/>
      <c r="B819" s="27"/>
      <c r="C819" s="27"/>
      <c r="D819" s="27"/>
      <c r="E819" s="74"/>
      <c r="F819" s="74"/>
      <c r="G819" s="74"/>
      <c r="H819" s="74"/>
      <c r="I819" s="74"/>
      <c r="J819" s="74"/>
      <c r="K819" s="81"/>
    </row>
    <row r="820" spans="1:11" ht="14.5" x14ac:dyDescent="0.35">
      <c r="A820" s="74"/>
      <c r="B820" s="27"/>
      <c r="C820" s="27"/>
      <c r="D820" s="27"/>
      <c r="E820" s="74"/>
      <c r="F820" s="74"/>
      <c r="G820" s="74"/>
      <c r="H820" s="74"/>
      <c r="I820" s="74"/>
      <c r="J820" s="74"/>
      <c r="K820" s="81"/>
    </row>
    <row r="821" spans="1:11" ht="14.5" x14ac:dyDescent="0.35">
      <c r="A821" s="74"/>
      <c r="B821" s="27"/>
      <c r="C821" s="27"/>
      <c r="D821" s="27"/>
      <c r="E821" s="74"/>
      <c r="F821" s="74"/>
      <c r="G821" s="74"/>
      <c r="H821" s="74"/>
      <c r="I821" s="74"/>
      <c r="J821" s="74"/>
      <c r="K821" s="81"/>
    </row>
    <row r="822" spans="1:11" ht="14.5" x14ac:dyDescent="0.35">
      <c r="A822" s="74"/>
      <c r="B822" s="27"/>
      <c r="C822" s="27"/>
      <c r="D822" s="27"/>
      <c r="E822" s="74"/>
      <c r="F822" s="74"/>
      <c r="G822" s="74"/>
      <c r="H822" s="74"/>
      <c r="I822" s="74"/>
      <c r="J822" s="74"/>
      <c r="K822" s="81"/>
    </row>
    <row r="823" spans="1:11" ht="14.5" x14ac:dyDescent="0.35">
      <c r="A823" s="74"/>
      <c r="B823" s="27"/>
      <c r="C823" s="27"/>
      <c r="D823" s="27"/>
      <c r="E823" s="74"/>
      <c r="F823" s="74"/>
      <c r="G823" s="74"/>
      <c r="H823" s="74"/>
      <c r="I823" s="74"/>
      <c r="J823" s="74"/>
      <c r="K823" s="81"/>
    </row>
    <row r="824" spans="1:11" ht="14.5" x14ac:dyDescent="0.35">
      <c r="A824" s="74"/>
      <c r="B824" s="27"/>
      <c r="C824" s="27"/>
      <c r="D824" s="27"/>
      <c r="E824" s="74"/>
      <c r="F824" s="74"/>
      <c r="G824" s="74"/>
      <c r="H824" s="74"/>
      <c r="I824" s="74"/>
      <c r="J824" s="74"/>
      <c r="K824" s="81"/>
    </row>
    <row r="825" spans="1:11" ht="14.5" x14ac:dyDescent="0.35">
      <c r="A825" s="74"/>
      <c r="B825" s="27"/>
      <c r="C825" s="27"/>
      <c r="D825" s="27"/>
      <c r="E825" s="74"/>
      <c r="F825" s="74"/>
      <c r="G825" s="74"/>
      <c r="H825" s="74"/>
      <c r="I825" s="74"/>
      <c r="J825" s="74"/>
      <c r="K825" s="81"/>
    </row>
    <row r="826" spans="1:11" ht="14.5" x14ac:dyDescent="0.35">
      <c r="A826" s="74"/>
      <c r="B826" s="27"/>
      <c r="C826" s="27"/>
      <c r="D826" s="27"/>
      <c r="E826" s="74"/>
      <c r="F826" s="74"/>
      <c r="G826" s="74"/>
      <c r="H826" s="74"/>
      <c r="I826" s="74"/>
      <c r="J826" s="74"/>
      <c r="K826" s="81"/>
    </row>
    <row r="827" spans="1:11" ht="14.5" x14ac:dyDescent="0.35">
      <c r="A827" s="74"/>
      <c r="B827" s="27"/>
      <c r="C827" s="27"/>
      <c r="D827" s="27"/>
      <c r="E827" s="74"/>
      <c r="F827" s="74"/>
      <c r="G827" s="74"/>
      <c r="H827" s="74"/>
      <c r="I827" s="74"/>
      <c r="J827" s="74"/>
      <c r="K827" s="81"/>
    </row>
    <row r="828" spans="1:11" ht="14.5" x14ac:dyDescent="0.35">
      <c r="A828" s="74"/>
      <c r="B828" s="27"/>
      <c r="C828" s="27"/>
      <c r="D828" s="27"/>
      <c r="E828" s="74"/>
      <c r="F828" s="74"/>
      <c r="G828" s="74"/>
      <c r="H828" s="74"/>
      <c r="I828" s="74"/>
      <c r="J828" s="74"/>
      <c r="K828" s="81"/>
    </row>
    <row r="829" spans="1:11" ht="14.5" x14ac:dyDescent="0.35">
      <c r="A829" s="74"/>
      <c r="B829" s="27"/>
      <c r="C829" s="27"/>
      <c r="D829" s="27"/>
      <c r="E829" s="74"/>
      <c r="F829" s="74"/>
      <c r="G829" s="74"/>
      <c r="H829" s="74"/>
      <c r="I829" s="74"/>
      <c r="J829" s="74"/>
      <c r="K829" s="81"/>
    </row>
    <row r="830" spans="1:11" ht="14.5" x14ac:dyDescent="0.35">
      <c r="A830" s="74"/>
      <c r="B830" s="27"/>
      <c r="C830" s="27"/>
      <c r="D830" s="27"/>
      <c r="E830" s="74"/>
      <c r="F830" s="74"/>
      <c r="G830" s="74"/>
      <c r="H830" s="74"/>
      <c r="I830" s="74"/>
      <c r="J830" s="74"/>
      <c r="K830" s="81"/>
    </row>
    <row r="831" spans="1:11" ht="14.5" x14ac:dyDescent="0.35">
      <c r="A831" s="74"/>
      <c r="B831" s="27"/>
      <c r="C831" s="27"/>
      <c r="D831" s="27"/>
      <c r="E831" s="74"/>
      <c r="F831" s="74"/>
      <c r="G831" s="74"/>
      <c r="H831" s="74"/>
      <c r="I831" s="74"/>
      <c r="J831" s="74"/>
      <c r="K831" s="81"/>
    </row>
    <row r="832" spans="1:11" ht="14.5" x14ac:dyDescent="0.35">
      <c r="A832" s="74"/>
      <c r="B832" s="27"/>
      <c r="C832" s="27"/>
      <c r="D832" s="27"/>
      <c r="E832" s="74"/>
      <c r="F832" s="74"/>
      <c r="G832" s="74"/>
      <c r="H832" s="74"/>
      <c r="I832" s="74"/>
      <c r="J832" s="74"/>
      <c r="K832" s="81"/>
    </row>
    <row r="833" spans="1:11" ht="14.5" x14ac:dyDescent="0.35">
      <c r="A833" s="74"/>
      <c r="B833" s="27"/>
      <c r="C833" s="27"/>
      <c r="D833" s="27"/>
      <c r="E833" s="74"/>
      <c r="F833" s="74"/>
      <c r="G833" s="74"/>
      <c r="H833" s="74"/>
      <c r="I833" s="74"/>
      <c r="J833" s="74"/>
      <c r="K833" s="81"/>
    </row>
    <row r="834" spans="1:11" ht="14.5" x14ac:dyDescent="0.35">
      <c r="A834" s="74"/>
      <c r="B834" s="27"/>
      <c r="C834" s="27"/>
      <c r="D834" s="27"/>
      <c r="E834" s="74"/>
      <c r="F834" s="74"/>
      <c r="G834" s="74"/>
      <c r="H834" s="74"/>
      <c r="I834" s="74"/>
      <c r="J834" s="74"/>
      <c r="K834" s="81"/>
    </row>
    <row r="835" spans="1:11" ht="14.5" x14ac:dyDescent="0.35">
      <c r="A835" s="74"/>
      <c r="B835" s="27"/>
      <c r="C835" s="27"/>
      <c r="D835" s="27"/>
      <c r="E835" s="74"/>
      <c r="F835" s="74"/>
      <c r="G835" s="74"/>
      <c r="H835" s="74"/>
      <c r="I835" s="74"/>
      <c r="J835" s="74"/>
      <c r="K835" s="81"/>
    </row>
    <row r="836" spans="1:11" ht="14.5" x14ac:dyDescent="0.35">
      <c r="A836" s="74"/>
      <c r="B836" s="27"/>
      <c r="C836" s="27"/>
      <c r="D836" s="27"/>
      <c r="E836" s="74"/>
      <c r="F836" s="74"/>
      <c r="G836" s="74"/>
      <c r="H836" s="74"/>
      <c r="I836" s="74"/>
      <c r="J836" s="74"/>
      <c r="K836" s="81"/>
    </row>
    <row r="837" spans="1:11" ht="14.5" x14ac:dyDescent="0.35">
      <c r="A837" s="74"/>
      <c r="B837" s="27"/>
      <c r="C837" s="27"/>
      <c r="D837" s="27"/>
      <c r="E837" s="74"/>
      <c r="F837" s="74"/>
      <c r="G837" s="74"/>
      <c r="H837" s="74"/>
      <c r="I837" s="74"/>
      <c r="J837" s="74"/>
      <c r="K837" s="81"/>
    </row>
    <row r="838" spans="1:11" ht="14.5" x14ac:dyDescent="0.35">
      <c r="A838" s="74"/>
      <c r="B838" s="27"/>
      <c r="C838" s="27"/>
      <c r="D838" s="27"/>
      <c r="E838" s="74"/>
      <c r="F838" s="74"/>
      <c r="G838" s="74"/>
      <c r="H838" s="74"/>
      <c r="I838" s="74"/>
      <c r="J838" s="74"/>
      <c r="K838" s="81"/>
    </row>
    <row r="839" spans="1:11" ht="14.5" x14ac:dyDescent="0.35">
      <c r="A839" s="74"/>
      <c r="B839" s="27"/>
      <c r="C839" s="27"/>
      <c r="D839" s="27"/>
      <c r="E839" s="74"/>
      <c r="F839" s="74"/>
      <c r="G839" s="74"/>
      <c r="H839" s="74"/>
      <c r="I839" s="74"/>
      <c r="J839" s="74"/>
      <c r="K839" s="81"/>
    </row>
    <row r="840" spans="1:11" ht="14.5" x14ac:dyDescent="0.35">
      <c r="A840" s="74"/>
      <c r="B840" s="27"/>
      <c r="C840" s="27"/>
      <c r="D840" s="27"/>
      <c r="E840" s="74"/>
      <c r="F840" s="74"/>
      <c r="G840" s="74"/>
      <c r="H840" s="74"/>
      <c r="I840" s="74"/>
      <c r="J840" s="74"/>
      <c r="K840" s="81"/>
    </row>
    <row r="841" spans="1:11" ht="14.5" x14ac:dyDescent="0.35">
      <c r="A841" s="74"/>
      <c r="B841" s="27"/>
      <c r="C841" s="27"/>
      <c r="D841" s="27"/>
      <c r="E841" s="74"/>
      <c r="F841" s="74"/>
      <c r="G841" s="74"/>
      <c r="H841" s="74"/>
      <c r="I841" s="74"/>
      <c r="J841" s="74"/>
      <c r="K841" s="81"/>
    </row>
    <row r="842" spans="1:11" ht="14.5" x14ac:dyDescent="0.35">
      <c r="A842" s="74"/>
      <c r="B842" s="27"/>
      <c r="C842" s="27"/>
      <c r="D842" s="27"/>
      <c r="E842" s="74"/>
      <c r="F842" s="74"/>
      <c r="G842" s="74"/>
      <c r="H842" s="74"/>
      <c r="I842" s="74"/>
      <c r="J842" s="74"/>
      <c r="K842" s="81"/>
    </row>
    <row r="843" spans="1:11" ht="14.5" x14ac:dyDescent="0.35">
      <c r="A843" s="74"/>
      <c r="B843" s="27"/>
      <c r="C843" s="27"/>
      <c r="D843" s="27"/>
      <c r="E843" s="74"/>
      <c r="F843" s="74"/>
      <c r="G843" s="74"/>
      <c r="H843" s="74"/>
      <c r="I843" s="74"/>
      <c r="J843" s="74"/>
      <c r="K843" s="81"/>
    </row>
    <row r="844" spans="1:11" ht="14.5" x14ac:dyDescent="0.35">
      <c r="A844" s="74"/>
      <c r="B844" s="27"/>
      <c r="C844" s="27"/>
      <c r="D844" s="27"/>
      <c r="E844" s="74"/>
      <c r="F844" s="74"/>
      <c r="G844" s="74"/>
      <c r="H844" s="74"/>
      <c r="I844" s="74"/>
      <c r="J844" s="74"/>
      <c r="K844" s="81"/>
    </row>
    <row r="845" spans="1:11" ht="14.5" x14ac:dyDescent="0.35">
      <c r="A845" s="74"/>
      <c r="B845" s="27"/>
      <c r="C845" s="27"/>
      <c r="D845" s="27"/>
      <c r="E845" s="74"/>
      <c r="F845" s="74"/>
      <c r="G845" s="74"/>
      <c r="H845" s="74"/>
      <c r="I845" s="74"/>
      <c r="J845" s="74"/>
      <c r="K845" s="81"/>
    </row>
    <row r="846" spans="1:11" ht="14.5" x14ac:dyDescent="0.35">
      <c r="A846" s="74"/>
      <c r="B846" s="27"/>
      <c r="C846" s="27"/>
      <c r="D846" s="27"/>
      <c r="E846" s="74"/>
      <c r="F846" s="74"/>
      <c r="G846" s="74"/>
      <c r="H846" s="74"/>
      <c r="I846" s="74"/>
      <c r="J846" s="74"/>
      <c r="K846" s="81"/>
    </row>
    <row r="847" spans="1:11" ht="14.5" x14ac:dyDescent="0.35">
      <c r="A847" s="74"/>
      <c r="B847" s="27"/>
      <c r="C847" s="27"/>
      <c r="D847" s="27"/>
      <c r="E847" s="74"/>
      <c r="F847" s="74"/>
      <c r="G847" s="74"/>
      <c r="H847" s="74"/>
      <c r="I847" s="74"/>
      <c r="J847" s="74"/>
      <c r="K847" s="81"/>
    </row>
    <row r="848" spans="1:11" ht="14.5" x14ac:dyDescent="0.35">
      <c r="A848" s="74"/>
      <c r="B848" s="27"/>
      <c r="C848" s="27"/>
      <c r="D848" s="27"/>
      <c r="E848" s="74"/>
      <c r="F848" s="74"/>
      <c r="G848" s="74"/>
      <c r="H848" s="74"/>
      <c r="I848" s="74"/>
      <c r="J848" s="74"/>
      <c r="K848" s="81"/>
    </row>
    <row r="849" spans="1:11" ht="14.5" x14ac:dyDescent="0.35">
      <c r="A849" s="74"/>
      <c r="B849" s="27"/>
      <c r="C849" s="27"/>
      <c r="D849" s="27"/>
      <c r="E849" s="74"/>
      <c r="F849" s="74"/>
      <c r="G849" s="74"/>
      <c r="H849" s="74"/>
      <c r="I849" s="74"/>
      <c r="J849" s="74"/>
      <c r="K849" s="81"/>
    </row>
    <row r="850" spans="1:11" ht="14.5" x14ac:dyDescent="0.35">
      <c r="A850" s="74"/>
      <c r="B850" s="27"/>
      <c r="C850" s="27"/>
      <c r="D850" s="27"/>
      <c r="E850" s="74"/>
      <c r="F850" s="74"/>
      <c r="G850" s="74"/>
      <c r="H850" s="74"/>
      <c r="I850" s="74"/>
      <c r="J850" s="74"/>
      <c r="K850" s="81"/>
    </row>
    <row r="851" spans="1:11" ht="14.5" x14ac:dyDescent="0.35">
      <c r="A851" s="74"/>
      <c r="B851" s="27"/>
      <c r="C851" s="27"/>
      <c r="D851" s="27"/>
      <c r="E851" s="74"/>
      <c r="F851" s="74"/>
      <c r="G851" s="74"/>
      <c r="H851" s="74"/>
      <c r="I851" s="74"/>
      <c r="J851" s="74"/>
      <c r="K851" s="81"/>
    </row>
    <row r="852" spans="1:11" ht="14.5" x14ac:dyDescent="0.35">
      <c r="A852" s="74"/>
      <c r="B852" s="27"/>
      <c r="C852" s="27"/>
      <c r="D852" s="27"/>
      <c r="E852" s="74"/>
      <c r="F852" s="74"/>
      <c r="G852" s="74"/>
      <c r="H852" s="74"/>
      <c r="I852" s="74"/>
      <c r="J852" s="74"/>
      <c r="K852" s="81"/>
    </row>
    <row r="853" spans="1:11" ht="14.5" x14ac:dyDescent="0.35">
      <c r="A853" s="74"/>
      <c r="B853" s="27"/>
      <c r="C853" s="27"/>
      <c r="D853" s="27"/>
      <c r="E853" s="74"/>
      <c r="F853" s="74"/>
      <c r="G853" s="74"/>
      <c r="H853" s="74"/>
      <c r="I853" s="74"/>
      <c r="J853" s="74"/>
      <c r="K853" s="81"/>
    </row>
    <row r="854" spans="1:11" ht="14.5" x14ac:dyDescent="0.35">
      <c r="A854" s="74"/>
      <c r="B854" s="27"/>
      <c r="C854" s="27"/>
      <c r="D854" s="27"/>
      <c r="E854" s="74"/>
      <c r="F854" s="74"/>
      <c r="G854" s="74"/>
      <c r="H854" s="74"/>
      <c r="I854" s="74"/>
      <c r="J854" s="74"/>
      <c r="K854" s="81"/>
    </row>
    <row r="855" spans="1:11" ht="14.5" x14ac:dyDescent="0.35">
      <c r="A855" s="74"/>
      <c r="B855" s="27"/>
      <c r="C855" s="27"/>
      <c r="D855" s="27"/>
      <c r="E855" s="74"/>
      <c r="F855" s="74"/>
      <c r="G855" s="74"/>
      <c r="H855" s="74"/>
      <c r="I855" s="74"/>
      <c r="J855" s="74"/>
      <c r="K855" s="81"/>
    </row>
    <row r="856" spans="1:11" ht="14.5" x14ac:dyDescent="0.35">
      <c r="A856" s="74"/>
      <c r="B856" s="27"/>
      <c r="C856" s="27"/>
      <c r="D856" s="27"/>
      <c r="E856" s="74"/>
      <c r="F856" s="74"/>
      <c r="G856" s="74"/>
      <c r="H856" s="74"/>
      <c r="I856" s="74"/>
      <c r="J856" s="74"/>
      <c r="K856" s="81"/>
    </row>
    <row r="857" spans="1:11" ht="14.5" x14ac:dyDescent="0.35">
      <c r="A857" s="74"/>
      <c r="B857" s="27"/>
      <c r="C857" s="27"/>
      <c r="D857" s="27"/>
      <c r="E857" s="74"/>
      <c r="F857" s="74"/>
      <c r="G857" s="74"/>
      <c r="H857" s="74"/>
      <c r="I857" s="74"/>
      <c r="J857" s="74"/>
      <c r="K857" s="81"/>
    </row>
    <row r="858" spans="1:11" ht="14.5" x14ac:dyDescent="0.35">
      <c r="A858" s="74"/>
      <c r="B858" s="27"/>
      <c r="C858" s="27"/>
      <c r="D858" s="27"/>
      <c r="E858" s="74"/>
      <c r="F858" s="74"/>
      <c r="G858" s="74"/>
      <c r="H858" s="74"/>
      <c r="I858" s="74"/>
      <c r="J858" s="74"/>
      <c r="K858" s="81"/>
    </row>
    <row r="859" spans="1:11" ht="14.5" x14ac:dyDescent="0.35">
      <c r="A859" s="74"/>
      <c r="B859" s="27"/>
      <c r="C859" s="27"/>
      <c r="D859" s="27"/>
      <c r="E859" s="74"/>
      <c r="F859" s="74"/>
      <c r="G859" s="74"/>
      <c r="H859" s="74"/>
      <c r="I859" s="74"/>
      <c r="J859" s="74"/>
      <c r="K859" s="81"/>
    </row>
    <row r="860" spans="1:11" ht="14.5" x14ac:dyDescent="0.35">
      <c r="A860" s="74"/>
      <c r="B860" s="27"/>
      <c r="C860" s="27"/>
      <c r="D860" s="27"/>
      <c r="E860" s="74"/>
      <c r="F860" s="74"/>
      <c r="G860" s="74"/>
      <c r="H860" s="74"/>
      <c r="I860" s="74"/>
      <c r="J860" s="74"/>
      <c r="K860" s="81"/>
    </row>
    <row r="861" spans="1:11" ht="14.5" x14ac:dyDescent="0.35">
      <c r="A861" s="74"/>
      <c r="B861" s="27"/>
      <c r="C861" s="27"/>
      <c r="D861" s="27"/>
      <c r="E861" s="74"/>
      <c r="F861" s="74"/>
      <c r="G861" s="74"/>
      <c r="H861" s="74"/>
      <c r="I861" s="74"/>
      <c r="J861" s="74"/>
      <c r="K861" s="81"/>
    </row>
    <row r="862" spans="1:11" ht="14.5" x14ac:dyDescent="0.35">
      <c r="A862" s="74"/>
      <c r="B862" s="27"/>
      <c r="C862" s="27"/>
      <c r="D862" s="27"/>
      <c r="E862" s="74"/>
      <c r="F862" s="74"/>
      <c r="G862" s="74"/>
      <c r="H862" s="74"/>
      <c r="I862" s="74"/>
      <c r="J862" s="74"/>
      <c r="K862" s="81"/>
    </row>
    <row r="863" spans="1:11" ht="14.5" x14ac:dyDescent="0.35">
      <c r="A863" s="74"/>
      <c r="B863" s="27"/>
      <c r="C863" s="27"/>
      <c r="D863" s="27"/>
      <c r="E863" s="74"/>
      <c r="F863" s="74"/>
      <c r="G863" s="74"/>
      <c r="H863" s="74"/>
      <c r="I863" s="74"/>
      <c r="J863" s="74"/>
      <c r="K863" s="81"/>
    </row>
    <row r="864" spans="1:11" ht="14.5" x14ac:dyDescent="0.35">
      <c r="A864" s="74"/>
      <c r="B864" s="27"/>
      <c r="C864" s="27"/>
      <c r="D864" s="27"/>
      <c r="E864" s="74"/>
      <c r="F864" s="74"/>
      <c r="G864" s="74"/>
      <c r="H864" s="74"/>
      <c r="I864" s="74"/>
      <c r="J864" s="74"/>
      <c r="K864" s="81"/>
    </row>
    <row r="865" spans="1:11" ht="14.5" x14ac:dyDescent="0.35">
      <c r="A865" s="74"/>
      <c r="B865" s="27"/>
      <c r="C865" s="27"/>
      <c r="D865" s="27"/>
      <c r="E865" s="74"/>
      <c r="F865" s="74"/>
      <c r="G865" s="74"/>
      <c r="H865" s="74"/>
      <c r="I865" s="74"/>
      <c r="J865" s="74"/>
      <c r="K865" s="81"/>
    </row>
    <row r="866" spans="1:11" ht="14.5" x14ac:dyDescent="0.35">
      <c r="A866" s="74"/>
      <c r="B866" s="27"/>
      <c r="C866" s="27"/>
      <c r="D866" s="27"/>
      <c r="E866" s="74"/>
      <c r="F866" s="74"/>
      <c r="G866" s="74"/>
      <c r="H866" s="74"/>
      <c r="I866" s="74"/>
      <c r="J866" s="74"/>
      <c r="K866" s="81"/>
    </row>
    <row r="867" spans="1:11" ht="14.5" x14ac:dyDescent="0.35">
      <c r="A867" s="74"/>
      <c r="B867" s="27"/>
      <c r="C867" s="27"/>
      <c r="D867" s="27"/>
      <c r="E867" s="74"/>
      <c r="F867" s="74"/>
      <c r="G867" s="74"/>
      <c r="H867" s="74"/>
      <c r="I867" s="74"/>
      <c r="J867" s="74"/>
      <c r="K867" s="81"/>
    </row>
    <row r="868" spans="1:11" ht="14.5" x14ac:dyDescent="0.35">
      <c r="A868" s="74"/>
      <c r="B868" s="27"/>
      <c r="C868" s="27"/>
      <c r="D868" s="27"/>
      <c r="E868" s="74"/>
      <c r="F868" s="74"/>
      <c r="G868" s="74"/>
      <c r="H868" s="74"/>
      <c r="I868" s="74"/>
      <c r="J868" s="74"/>
      <c r="K868" s="81"/>
    </row>
    <row r="869" spans="1:11" ht="14.5" x14ac:dyDescent="0.35">
      <c r="A869" s="74"/>
      <c r="B869" s="27"/>
      <c r="C869" s="27"/>
      <c r="D869" s="27"/>
      <c r="E869" s="74"/>
      <c r="F869" s="74"/>
      <c r="G869" s="74"/>
      <c r="H869" s="74"/>
      <c r="I869" s="74"/>
      <c r="J869" s="74"/>
      <c r="K869" s="81"/>
    </row>
    <row r="870" spans="1:11" ht="14.5" x14ac:dyDescent="0.35">
      <c r="A870" s="74"/>
      <c r="B870" s="27"/>
      <c r="C870" s="27"/>
      <c r="D870" s="27"/>
      <c r="E870" s="74"/>
      <c r="F870" s="74"/>
      <c r="G870" s="74"/>
      <c r="H870" s="74"/>
      <c r="I870" s="74"/>
      <c r="J870" s="74"/>
      <c r="K870" s="81"/>
    </row>
    <row r="871" spans="1:11" ht="14.5" x14ac:dyDescent="0.35">
      <c r="A871" s="74"/>
      <c r="B871" s="27"/>
      <c r="C871" s="27"/>
      <c r="D871" s="27"/>
      <c r="E871" s="74"/>
      <c r="F871" s="74"/>
      <c r="G871" s="74"/>
      <c r="H871" s="74"/>
      <c r="I871" s="74"/>
      <c r="J871" s="74"/>
      <c r="K871" s="81"/>
    </row>
    <row r="872" spans="1:11" ht="14.5" x14ac:dyDescent="0.35">
      <c r="A872" s="74"/>
      <c r="B872" s="27"/>
      <c r="C872" s="27"/>
      <c r="D872" s="27"/>
      <c r="E872" s="74"/>
      <c r="F872" s="74"/>
      <c r="G872" s="74"/>
      <c r="H872" s="74"/>
      <c r="I872" s="74"/>
      <c r="J872" s="74"/>
      <c r="K872" s="81"/>
    </row>
    <row r="873" spans="1:11" ht="14.5" x14ac:dyDescent="0.35">
      <c r="A873" s="74"/>
      <c r="B873" s="27"/>
      <c r="C873" s="27"/>
      <c r="D873" s="27"/>
      <c r="E873" s="74"/>
      <c r="F873" s="74"/>
      <c r="G873" s="74"/>
      <c r="H873" s="74"/>
      <c r="I873" s="74"/>
      <c r="J873" s="74"/>
      <c r="K873" s="81"/>
    </row>
    <row r="874" spans="1:11" ht="14.5" x14ac:dyDescent="0.35">
      <c r="A874" s="74"/>
      <c r="B874" s="27"/>
      <c r="C874" s="27"/>
      <c r="D874" s="27"/>
      <c r="E874" s="74"/>
      <c r="F874" s="74"/>
      <c r="G874" s="74"/>
      <c r="H874" s="74"/>
      <c r="I874" s="74"/>
      <c r="J874" s="74"/>
      <c r="K874" s="81"/>
    </row>
    <row r="875" spans="1:11" ht="14.5" x14ac:dyDescent="0.35">
      <c r="A875" s="74"/>
      <c r="B875" s="27"/>
      <c r="C875" s="27"/>
      <c r="D875" s="27"/>
      <c r="E875" s="74"/>
      <c r="F875" s="74"/>
      <c r="G875" s="74"/>
      <c r="H875" s="74"/>
      <c r="I875" s="74"/>
      <c r="J875" s="74"/>
      <c r="K875" s="81"/>
    </row>
    <row r="876" spans="1:11" ht="14.5" x14ac:dyDescent="0.35">
      <c r="A876" s="74"/>
      <c r="B876" s="27"/>
      <c r="C876" s="27"/>
      <c r="D876" s="27"/>
      <c r="E876" s="74"/>
      <c r="F876" s="74"/>
      <c r="G876" s="74"/>
      <c r="H876" s="74"/>
      <c r="I876" s="74"/>
      <c r="J876" s="74"/>
      <c r="K876" s="81"/>
    </row>
    <row r="877" spans="1:11" ht="14.5" x14ac:dyDescent="0.35">
      <c r="A877" s="74"/>
      <c r="B877" s="27"/>
      <c r="C877" s="27"/>
      <c r="D877" s="27"/>
      <c r="E877" s="74"/>
      <c r="F877" s="74"/>
      <c r="G877" s="74"/>
      <c r="H877" s="74"/>
      <c r="I877" s="74"/>
      <c r="J877" s="74"/>
      <c r="K877" s="81"/>
    </row>
    <row r="878" spans="1:11" ht="14.5" x14ac:dyDescent="0.35">
      <c r="A878" s="74"/>
      <c r="B878" s="27"/>
      <c r="C878" s="27"/>
      <c r="D878" s="27"/>
      <c r="E878" s="74"/>
      <c r="F878" s="74"/>
      <c r="G878" s="74"/>
      <c r="H878" s="74"/>
      <c r="I878" s="74"/>
      <c r="J878" s="74"/>
      <c r="K878" s="81"/>
    </row>
    <row r="879" spans="1:11" ht="14.5" x14ac:dyDescent="0.35">
      <c r="A879" s="74"/>
      <c r="B879" s="27"/>
      <c r="C879" s="27"/>
      <c r="D879" s="27"/>
      <c r="E879" s="74"/>
      <c r="F879" s="74"/>
      <c r="G879" s="74"/>
      <c r="H879" s="74"/>
      <c r="I879" s="74"/>
      <c r="J879" s="74"/>
      <c r="K879" s="81"/>
    </row>
    <row r="880" spans="1:11" ht="14.5" x14ac:dyDescent="0.35">
      <c r="A880" s="74"/>
      <c r="B880" s="27"/>
      <c r="C880" s="27"/>
      <c r="D880" s="27"/>
      <c r="E880" s="74"/>
      <c r="F880" s="74"/>
      <c r="G880" s="74"/>
      <c r="H880" s="74"/>
      <c r="I880" s="74"/>
      <c r="J880" s="74"/>
      <c r="K880" s="81"/>
    </row>
    <row r="881" spans="1:11" ht="14.5" x14ac:dyDescent="0.35">
      <c r="A881" s="74"/>
      <c r="B881" s="27"/>
      <c r="C881" s="27"/>
      <c r="D881" s="27"/>
      <c r="E881" s="74"/>
      <c r="F881" s="74"/>
      <c r="G881" s="74"/>
      <c r="H881" s="74"/>
      <c r="I881" s="74"/>
      <c r="J881" s="74"/>
      <c r="K881" s="81"/>
    </row>
    <row r="882" spans="1:11" ht="14.5" x14ac:dyDescent="0.35">
      <c r="A882" s="74"/>
      <c r="B882" s="27"/>
      <c r="C882" s="27"/>
      <c r="D882" s="27"/>
      <c r="E882" s="74"/>
      <c r="F882" s="74"/>
      <c r="G882" s="74"/>
      <c r="H882" s="74"/>
      <c r="I882" s="74"/>
      <c r="J882" s="74"/>
      <c r="K882" s="81"/>
    </row>
    <row r="883" spans="1:11" ht="14.5" x14ac:dyDescent="0.35">
      <c r="A883" s="74"/>
      <c r="B883" s="27"/>
      <c r="C883" s="27"/>
      <c r="D883" s="27"/>
      <c r="E883" s="74"/>
      <c r="F883" s="74"/>
      <c r="G883" s="74"/>
      <c r="H883" s="74"/>
      <c r="I883" s="74"/>
      <c r="J883" s="74"/>
      <c r="K883" s="81"/>
    </row>
    <row r="884" spans="1:11" ht="14.5" x14ac:dyDescent="0.35">
      <c r="A884" s="74"/>
      <c r="B884" s="27"/>
      <c r="C884" s="27"/>
      <c r="D884" s="27"/>
      <c r="E884" s="74"/>
      <c r="F884" s="74"/>
      <c r="G884" s="74"/>
      <c r="H884" s="74"/>
      <c r="I884" s="74"/>
      <c r="J884" s="74"/>
      <c r="K884" s="81"/>
    </row>
    <row r="885" spans="1:11" ht="14.5" x14ac:dyDescent="0.35">
      <c r="A885" s="74"/>
      <c r="B885" s="27"/>
      <c r="C885" s="27"/>
      <c r="D885" s="27"/>
      <c r="E885" s="74"/>
      <c r="F885" s="74"/>
      <c r="G885" s="74"/>
      <c r="H885" s="74"/>
      <c r="I885" s="74"/>
      <c r="J885" s="74"/>
      <c r="K885" s="81"/>
    </row>
    <row r="886" spans="1:11" ht="14.5" x14ac:dyDescent="0.35">
      <c r="A886" s="74"/>
      <c r="B886" s="27"/>
      <c r="C886" s="27"/>
      <c r="D886" s="27"/>
      <c r="E886" s="74"/>
      <c r="F886" s="74"/>
      <c r="G886" s="74"/>
      <c r="H886" s="74"/>
      <c r="I886" s="74"/>
      <c r="J886" s="74"/>
      <c r="K886" s="81"/>
    </row>
    <row r="887" spans="1:11" ht="14.5" x14ac:dyDescent="0.35">
      <c r="A887" s="74"/>
      <c r="B887" s="27"/>
      <c r="C887" s="27"/>
      <c r="D887" s="27"/>
      <c r="E887" s="74"/>
      <c r="F887" s="74"/>
      <c r="G887" s="74"/>
      <c r="H887" s="74"/>
      <c r="I887" s="74"/>
      <c r="J887" s="74"/>
      <c r="K887" s="81"/>
    </row>
    <row r="888" spans="1:11" ht="14.5" x14ac:dyDescent="0.35">
      <c r="A888" s="74"/>
      <c r="B888" s="27"/>
      <c r="C888" s="27"/>
      <c r="D888" s="27"/>
      <c r="E888" s="74"/>
      <c r="F888" s="74"/>
      <c r="G888" s="74"/>
      <c r="H888" s="74"/>
      <c r="I888" s="74"/>
      <c r="J888" s="74"/>
      <c r="K888" s="81"/>
    </row>
    <row r="889" spans="1:11" ht="14.5" x14ac:dyDescent="0.35">
      <c r="A889" s="74"/>
      <c r="B889" s="27"/>
      <c r="C889" s="27"/>
      <c r="D889" s="27"/>
      <c r="E889" s="74"/>
      <c r="F889" s="74"/>
      <c r="G889" s="74"/>
      <c r="H889" s="74"/>
      <c r="I889" s="74"/>
      <c r="J889" s="74"/>
      <c r="K889" s="81"/>
    </row>
    <row r="890" spans="1:11" ht="14.5" x14ac:dyDescent="0.35">
      <c r="A890" s="74"/>
      <c r="B890" s="27"/>
      <c r="C890" s="27"/>
      <c r="D890" s="27"/>
      <c r="E890" s="74"/>
      <c r="F890" s="74"/>
      <c r="G890" s="74"/>
      <c r="H890" s="74"/>
      <c r="I890" s="74"/>
      <c r="J890" s="74"/>
      <c r="K890" s="81"/>
    </row>
    <row r="891" spans="1:11" ht="14.5" x14ac:dyDescent="0.35">
      <c r="A891" s="74"/>
      <c r="B891" s="27"/>
      <c r="C891" s="27"/>
      <c r="D891" s="27"/>
      <c r="E891" s="74"/>
      <c r="F891" s="74"/>
      <c r="G891" s="74"/>
      <c r="H891" s="74"/>
      <c r="I891" s="74"/>
      <c r="J891" s="74"/>
      <c r="K891" s="81"/>
    </row>
    <row r="892" spans="1:11" ht="14.5" x14ac:dyDescent="0.35">
      <c r="A892" s="74"/>
      <c r="B892" s="27"/>
      <c r="C892" s="27"/>
      <c r="D892" s="27"/>
      <c r="E892" s="74"/>
      <c r="F892" s="74"/>
      <c r="G892" s="74"/>
      <c r="H892" s="74"/>
      <c r="I892" s="74"/>
      <c r="J892" s="74"/>
      <c r="K892" s="81"/>
    </row>
    <row r="893" spans="1:11" ht="14.5" x14ac:dyDescent="0.35">
      <c r="A893" s="74"/>
      <c r="B893" s="27"/>
      <c r="C893" s="27"/>
      <c r="D893" s="27"/>
      <c r="E893" s="74"/>
      <c r="F893" s="74"/>
      <c r="G893" s="74"/>
      <c r="H893" s="74"/>
      <c r="I893" s="74"/>
      <c r="J893" s="74"/>
      <c r="K893" s="81"/>
    </row>
    <row r="894" spans="1:11" ht="14.5" x14ac:dyDescent="0.35">
      <c r="A894" s="74"/>
      <c r="B894" s="27"/>
      <c r="C894" s="27"/>
      <c r="D894" s="27"/>
      <c r="E894" s="74"/>
      <c r="F894" s="74"/>
      <c r="G894" s="74"/>
      <c r="H894" s="74"/>
      <c r="I894" s="74"/>
      <c r="J894" s="74"/>
      <c r="K894" s="81"/>
    </row>
    <row r="895" spans="1:11" ht="14.5" x14ac:dyDescent="0.35">
      <c r="A895" s="74"/>
      <c r="B895" s="27"/>
      <c r="C895" s="27"/>
      <c r="D895" s="27"/>
      <c r="E895" s="74"/>
      <c r="F895" s="74"/>
      <c r="G895" s="74"/>
      <c r="H895" s="74"/>
      <c r="I895" s="74"/>
      <c r="J895" s="74"/>
      <c r="K895" s="81"/>
    </row>
    <row r="896" spans="1:11" ht="14.5" x14ac:dyDescent="0.35">
      <c r="A896" s="74"/>
      <c r="B896" s="27"/>
      <c r="C896" s="27"/>
      <c r="D896" s="27"/>
      <c r="E896" s="74"/>
      <c r="F896" s="74"/>
      <c r="G896" s="74"/>
      <c r="H896" s="74"/>
      <c r="I896" s="74"/>
      <c r="J896" s="74"/>
      <c r="K896" s="81"/>
    </row>
    <row r="897" spans="1:11" ht="14.5" x14ac:dyDescent="0.35">
      <c r="A897" s="74"/>
      <c r="B897" s="27"/>
      <c r="C897" s="27"/>
      <c r="D897" s="27"/>
      <c r="E897" s="74"/>
      <c r="F897" s="74"/>
      <c r="G897" s="74"/>
      <c r="H897" s="74"/>
      <c r="I897" s="74"/>
      <c r="J897" s="74"/>
      <c r="K897" s="81"/>
    </row>
    <row r="898" spans="1:11" ht="14.5" x14ac:dyDescent="0.35">
      <c r="A898" s="74"/>
      <c r="B898" s="27"/>
      <c r="C898" s="27"/>
      <c r="D898" s="27"/>
      <c r="E898" s="74"/>
      <c r="F898" s="74"/>
      <c r="G898" s="74"/>
      <c r="H898" s="74"/>
      <c r="I898" s="74"/>
      <c r="J898" s="74"/>
      <c r="K898" s="81"/>
    </row>
    <row r="899" spans="1:11" ht="14.5" x14ac:dyDescent="0.35">
      <c r="A899" s="74"/>
      <c r="B899" s="27"/>
      <c r="C899" s="27"/>
      <c r="D899" s="27"/>
      <c r="E899" s="74"/>
      <c r="F899" s="74"/>
      <c r="G899" s="74"/>
      <c r="H899" s="74"/>
      <c r="I899" s="74"/>
      <c r="J899" s="74"/>
      <c r="K899" s="81"/>
    </row>
    <row r="900" spans="1:11" ht="14.5" x14ac:dyDescent="0.35">
      <c r="A900" s="74"/>
      <c r="B900" s="27"/>
      <c r="C900" s="27"/>
      <c r="D900" s="27"/>
      <c r="E900" s="74"/>
      <c r="F900" s="74"/>
      <c r="G900" s="74"/>
      <c r="H900" s="74"/>
      <c r="I900" s="74"/>
      <c r="J900" s="74"/>
      <c r="K900" s="81"/>
    </row>
    <row r="901" spans="1:11" ht="14.5" x14ac:dyDescent="0.35">
      <c r="A901" s="74"/>
      <c r="B901" s="27"/>
      <c r="C901" s="27"/>
      <c r="D901" s="27"/>
      <c r="E901" s="74"/>
      <c r="F901" s="74"/>
      <c r="G901" s="74"/>
      <c r="H901" s="74"/>
      <c r="I901" s="74"/>
      <c r="J901" s="74"/>
      <c r="K901" s="81"/>
    </row>
    <row r="902" spans="1:11" ht="14.5" x14ac:dyDescent="0.35">
      <c r="A902" s="74"/>
      <c r="B902" s="27"/>
      <c r="C902" s="27"/>
      <c r="D902" s="27"/>
      <c r="E902" s="74"/>
      <c r="F902" s="74"/>
      <c r="G902" s="74"/>
      <c r="H902" s="74"/>
      <c r="I902" s="74"/>
      <c r="J902" s="74"/>
      <c r="K902" s="81"/>
    </row>
    <row r="903" spans="1:11" ht="14.5" x14ac:dyDescent="0.35">
      <c r="A903" s="74"/>
      <c r="B903" s="27"/>
      <c r="C903" s="27"/>
      <c r="D903" s="27"/>
      <c r="E903" s="74"/>
      <c r="F903" s="74"/>
      <c r="G903" s="74"/>
      <c r="H903" s="74"/>
      <c r="I903" s="74"/>
      <c r="J903" s="74"/>
      <c r="K903" s="81"/>
    </row>
    <row r="904" spans="1:11" ht="14.5" x14ac:dyDescent="0.35">
      <c r="A904" s="74"/>
      <c r="B904" s="27"/>
      <c r="C904" s="27"/>
      <c r="D904" s="27"/>
      <c r="E904" s="74"/>
      <c r="F904" s="74"/>
      <c r="G904" s="74"/>
      <c r="H904" s="74"/>
      <c r="I904" s="74"/>
      <c r="J904" s="74"/>
      <c r="K904" s="81"/>
    </row>
    <row r="905" spans="1:11" ht="14.5" x14ac:dyDescent="0.35">
      <c r="A905" s="74"/>
      <c r="B905" s="27"/>
      <c r="C905" s="27"/>
      <c r="D905" s="27"/>
      <c r="E905" s="74"/>
      <c r="F905" s="74"/>
      <c r="G905" s="74"/>
      <c r="H905" s="74"/>
      <c r="I905" s="74"/>
      <c r="J905" s="74"/>
      <c r="K905" s="81"/>
    </row>
    <row r="906" spans="1:11" ht="14.5" x14ac:dyDescent="0.35">
      <c r="A906" s="74"/>
      <c r="B906" s="27"/>
      <c r="C906" s="27"/>
      <c r="D906" s="27"/>
      <c r="E906" s="74"/>
      <c r="F906" s="74"/>
      <c r="G906" s="74"/>
      <c r="H906" s="74"/>
      <c r="I906" s="74"/>
      <c r="J906" s="74"/>
      <c r="K906" s="81"/>
    </row>
    <row r="907" spans="1:11" ht="14.5" x14ac:dyDescent="0.35">
      <c r="A907" s="74"/>
      <c r="B907" s="27"/>
      <c r="C907" s="27"/>
      <c r="D907" s="27"/>
      <c r="E907" s="74"/>
      <c r="F907" s="74"/>
      <c r="G907" s="74"/>
      <c r="H907" s="74"/>
      <c r="I907" s="74"/>
      <c r="J907" s="74"/>
      <c r="K907" s="81"/>
    </row>
    <row r="908" spans="1:11" ht="14.5" x14ac:dyDescent="0.35">
      <c r="A908" s="74"/>
      <c r="B908" s="27"/>
      <c r="C908" s="27"/>
      <c r="D908" s="27"/>
      <c r="E908" s="74"/>
      <c r="F908" s="74"/>
      <c r="G908" s="74"/>
      <c r="H908" s="74"/>
      <c r="I908" s="74"/>
      <c r="J908" s="74"/>
      <c r="K908" s="81"/>
    </row>
    <row r="909" spans="1:11" ht="14.5" x14ac:dyDescent="0.35">
      <c r="A909" s="74"/>
      <c r="B909" s="27"/>
      <c r="C909" s="27"/>
      <c r="D909" s="27"/>
      <c r="E909" s="74"/>
      <c r="F909" s="74"/>
      <c r="G909" s="74"/>
      <c r="H909" s="74"/>
      <c r="I909" s="74"/>
      <c r="J909" s="74"/>
      <c r="K909" s="81"/>
    </row>
    <row r="910" spans="1:11" ht="14.5" x14ac:dyDescent="0.35">
      <c r="A910" s="74"/>
      <c r="B910" s="27"/>
      <c r="C910" s="27"/>
      <c r="D910" s="27"/>
      <c r="E910" s="74"/>
      <c r="F910" s="74"/>
      <c r="G910" s="74"/>
      <c r="H910" s="74"/>
      <c r="I910" s="74"/>
      <c r="J910" s="74"/>
      <c r="K910" s="81"/>
    </row>
    <row r="911" spans="1:11" ht="14.5" x14ac:dyDescent="0.35">
      <c r="A911" s="74"/>
      <c r="B911" s="27"/>
      <c r="C911" s="27"/>
      <c r="D911" s="27"/>
      <c r="E911" s="74"/>
      <c r="F911" s="74"/>
      <c r="G911" s="74"/>
      <c r="H911" s="74"/>
      <c r="I911" s="74"/>
      <c r="J911" s="74"/>
      <c r="K911" s="81"/>
    </row>
    <row r="912" spans="1:11" ht="14.5" x14ac:dyDescent="0.35">
      <c r="A912" s="74"/>
      <c r="B912" s="27"/>
      <c r="C912" s="27"/>
      <c r="D912" s="27"/>
      <c r="E912" s="74"/>
      <c r="F912" s="74"/>
      <c r="G912" s="74"/>
      <c r="H912" s="74"/>
      <c r="I912" s="74"/>
      <c r="J912" s="74"/>
      <c r="K912" s="81"/>
    </row>
    <row r="913" spans="1:11" ht="14.5" x14ac:dyDescent="0.35">
      <c r="A913" s="74"/>
      <c r="B913" s="27"/>
      <c r="C913" s="27"/>
      <c r="D913" s="27"/>
      <c r="E913" s="74"/>
      <c r="F913" s="74"/>
      <c r="G913" s="74"/>
      <c r="H913" s="74"/>
      <c r="I913" s="74"/>
      <c r="J913" s="74"/>
      <c r="K913" s="81"/>
    </row>
    <row r="914" spans="1:11" ht="14.5" x14ac:dyDescent="0.35">
      <c r="A914" s="74"/>
      <c r="B914" s="27"/>
      <c r="C914" s="27"/>
      <c r="D914" s="27"/>
      <c r="E914" s="74"/>
      <c r="F914" s="74"/>
      <c r="G914" s="74"/>
      <c r="H914" s="74"/>
      <c r="I914" s="74"/>
      <c r="J914" s="74"/>
      <c r="K914" s="81"/>
    </row>
    <row r="915" spans="1:11" ht="14.5" x14ac:dyDescent="0.35">
      <c r="A915" s="74"/>
      <c r="B915" s="27"/>
      <c r="C915" s="27"/>
      <c r="D915" s="27"/>
      <c r="E915" s="74"/>
      <c r="F915" s="74"/>
      <c r="G915" s="74"/>
      <c r="H915" s="74"/>
      <c r="I915" s="74"/>
      <c r="J915" s="74"/>
      <c r="K915" s="81"/>
    </row>
    <row r="916" spans="1:11" ht="14.5" x14ac:dyDescent="0.35">
      <c r="A916" s="74"/>
      <c r="B916" s="27"/>
      <c r="C916" s="27"/>
      <c r="D916" s="27"/>
      <c r="E916" s="74"/>
      <c r="F916" s="74"/>
      <c r="G916" s="74"/>
      <c r="H916" s="74"/>
      <c r="I916" s="74"/>
      <c r="J916" s="74"/>
      <c r="K916" s="81"/>
    </row>
    <row r="917" spans="1:11" ht="14.5" x14ac:dyDescent="0.35">
      <c r="A917" s="74"/>
      <c r="B917" s="27"/>
      <c r="C917" s="27"/>
      <c r="D917" s="27"/>
      <c r="E917" s="74"/>
      <c r="F917" s="74"/>
      <c r="G917" s="74"/>
      <c r="H917" s="74"/>
      <c r="I917" s="74"/>
      <c r="J917" s="74"/>
      <c r="K917" s="81"/>
    </row>
    <row r="918" spans="1:11" ht="14.5" x14ac:dyDescent="0.35">
      <c r="A918" s="74"/>
      <c r="B918" s="27"/>
      <c r="C918" s="27"/>
      <c r="D918" s="27"/>
      <c r="E918" s="74"/>
      <c r="F918" s="74"/>
      <c r="G918" s="74"/>
      <c r="H918" s="74"/>
      <c r="I918" s="74"/>
      <c r="J918" s="74"/>
      <c r="K918" s="81"/>
    </row>
    <row r="919" spans="1:11" ht="14.5" x14ac:dyDescent="0.35">
      <c r="A919" s="74"/>
      <c r="B919" s="27"/>
      <c r="C919" s="27"/>
      <c r="D919" s="27"/>
      <c r="E919" s="74"/>
      <c r="F919" s="74"/>
      <c r="G919" s="74"/>
      <c r="H919" s="74"/>
      <c r="I919" s="74"/>
      <c r="J919" s="74"/>
      <c r="K919" s="81"/>
    </row>
    <row r="920" spans="1:11" ht="14.5" x14ac:dyDescent="0.35">
      <c r="A920" s="74"/>
      <c r="B920" s="27"/>
      <c r="C920" s="27"/>
      <c r="D920" s="27"/>
      <c r="E920" s="74"/>
      <c r="F920" s="74"/>
      <c r="G920" s="74"/>
      <c r="H920" s="74"/>
      <c r="I920" s="74"/>
      <c r="J920" s="74"/>
      <c r="K920" s="81"/>
    </row>
    <row r="921" spans="1:11" ht="14.5" x14ac:dyDescent="0.35">
      <c r="A921" s="74"/>
      <c r="B921" s="27"/>
      <c r="C921" s="27"/>
      <c r="D921" s="27"/>
      <c r="E921" s="74"/>
      <c r="F921" s="74"/>
      <c r="G921" s="74"/>
      <c r="H921" s="74"/>
      <c r="I921" s="74"/>
      <c r="J921" s="74"/>
      <c r="K921" s="81"/>
    </row>
    <row r="922" spans="1:11" ht="14.5" x14ac:dyDescent="0.35">
      <c r="A922" s="74"/>
      <c r="B922" s="27"/>
      <c r="C922" s="27"/>
      <c r="D922" s="27"/>
      <c r="E922" s="74"/>
      <c r="F922" s="74"/>
      <c r="G922" s="74"/>
      <c r="H922" s="74"/>
      <c r="I922" s="74"/>
      <c r="J922" s="74"/>
      <c r="K922" s="81"/>
    </row>
    <row r="923" spans="1:11" ht="14.5" x14ac:dyDescent="0.35">
      <c r="A923" s="74"/>
      <c r="B923" s="27"/>
      <c r="C923" s="27"/>
      <c r="D923" s="27"/>
      <c r="E923" s="74"/>
      <c r="F923" s="74"/>
      <c r="G923" s="74"/>
      <c r="H923" s="74"/>
      <c r="I923" s="74"/>
      <c r="J923" s="74"/>
      <c r="K923" s="81"/>
    </row>
    <row r="924" spans="1:11" ht="14.5" x14ac:dyDescent="0.35">
      <c r="A924" s="74"/>
      <c r="B924" s="27"/>
      <c r="C924" s="27"/>
      <c r="D924" s="27"/>
      <c r="E924" s="74"/>
      <c r="F924" s="74"/>
      <c r="G924" s="74"/>
      <c r="H924" s="74"/>
      <c r="I924" s="74"/>
      <c r="J924" s="74"/>
      <c r="K924" s="81"/>
    </row>
    <row r="925" spans="1:11" ht="14.5" x14ac:dyDescent="0.35">
      <c r="A925" s="74"/>
      <c r="B925" s="27"/>
      <c r="C925" s="27"/>
      <c r="D925" s="27"/>
      <c r="E925" s="74"/>
      <c r="F925" s="74"/>
      <c r="G925" s="74"/>
      <c r="H925" s="74"/>
      <c r="I925" s="74"/>
      <c r="J925" s="74"/>
      <c r="K925" s="81"/>
    </row>
    <row r="926" spans="1:11" ht="14.5" x14ac:dyDescent="0.35">
      <c r="A926" s="74"/>
      <c r="B926" s="27"/>
      <c r="C926" s="27"/>
      <c r="D926" s="27"/>
      <c r="E926" s="74"/>
      <c r="F926" s="74"/>
      <c r="G926" s="74"/>
      <c r="H926" s="74"/>
      <c r="I926" s="74"/>
      <c r="J926" s="74"/>
      <c r="K926" s="81"/>
    </row>
    <row r="927" spans="1:11" ht="14.5" x14ac:dyDescent="0.35">
      <c r="A927" s="74"/>
      <c r="B927" s="27"/>
      <c r="C927" s="27"/>
      <c r="D927" s="27"/>
      <c r="E927" s="74"/>
      <c r="F927" s="74"/>
      <c r="G927" s="74"/>
      <c r="H927" s="74"/>
      <c r="I927" s="74"/>
      <c r="J927" s="74"/>
      <c r="K927" s="81"/>
    </row>
    <row r="928" spans="1:11" ht="14.5" x14ac:dyDescent="0.35">
      <c r="A928" s="74"/>
      <c r="B928" s="27"/>
      <c r="C928" s="27"/>
      <c r="D928" s="27"/>
      <c r="E928" s="74"/>
      <c r="F928" s="74"/>
      <c r="G928" s="74"/>
      <c r="H928" s="74"/>
      <c r="I928" s="74"/>
      <c r="J928" s="74"/>
      <c r="K928" s="81"/>
    </row>
    <row r="929" spans="1:11" ht="14.5" x14ac:dyDescent="0.35">
      <c r="A929" s="74"/>
      <c r="B929" s="27"/>
      <c r="C929" s="27"/>
      <c r="D929" s="27"/>
      <c r="E929" s="74"/>
      <c r="F929" s="74"/>
      <c r="G929" s="74"/>
      <c r="H929" s="74"/>
      <c r="I929" s="74"/>
      <c r="J929" s="74"/>
      <c r="K929" s="81"/>
    </row>
    <row r="930" spans="1:11" ht="14.5" x14ac:dyDescent="0.35">
      <c r="A930" s="74"/>
      <c r="B930" s="27"/>
      <c r="C930" s="27"/>
      <c r="D930" s="27"/>
      <c r="E930" s="74"/>
      <c r="F930" s="74"/>
      <c r="G930" s="74"/>
      <c r="H930" s="74"/>
      <c r="I930" s="74"/>
      <c r="J930" s="74"/>
      <c r="K930" s="81"/>
    </row>
    <row r="931" spans="1:11" ht="14.5" x14ac:dyDescent="0.35">
      <c r="A931" s="74"/>
      <c r="B931" s="27"/>
      <c r="C931" s="27"/>
      <c r="D931" s="27"/>
      <c r="E931" s="74"/>
      <c r="F931" s="74"/>
      <c r="G931" s="74"/>
      <c r="H931" s="74"/>
      <c r="I931" s="74"/>
      <c r="J931" s="74"/>
      <c r="K931" s="81"/>
    </row>
    <row r="932" spans="1:11" ht="14.5" x14ac:dyDescent="0.35">
      <c r="A932" s="74"/>
      <c r="B932" s="27"/>
      <c r="C932" s="27"/>
      <c r="D932" s="27"/>
      <c r="E932" s="74"/>
      <c r="F932" s="74"/>
      <c r="G932" s="74"/>
      <c r="H932" s="74"/>
      <c r="I932" s="74"/>
      <c r="J932" s="74"/>
      <c r="K932" s="81"/>
    </row>
    <row r="933" spans="1:11" ht="14.5" x14ac:dyDescent="0.35">
      <c r="A933" s="74"/>
      <c r="B933" s="27"/>
      <c r="C933" s="27"/>
      <c r="D933" s="27"/>
      <c r="E933" s="74"/>
      <c r="F933" s="74"/>
      <c r="G933" s="74"/>
      <c r="H933" s="74"/>
      <c r="I933" s="74"/>
      <c r="J933" s="74"/>
      <c r="K933" s="81"/>
    </row>
    <row r="934" spans="1:11" ht="14.5" x14ac:dyDescent="0.35">
      <c r="A934" s="74"/>
      <c r="B934" s="27"/>
      <c r="C934" s="27"/>
      <c r="D934" s="27"/>
      <c r="E934" s="74"/>
      <c r="F934" s="74"/>
      <c r="G934" s="74"/>
      <c r="H934" s="74"/>
      <c r="I934" s="74"/>
      <c r="J934" s="74"/>
      <c r="K934" s="81"/>
    </row>
    <row r="935" spans="1:11" ht="14.5" x14ac:dyDescent="0.35">
      <c r="A935" s="74"/>
      <c r="B935" s="27"/>
      <c r="C935" s="27"/>
      <c r="D935" s="27"/>
      <c r="E935" s="74"/>
      <c r="F935" s="74"/>
      <c r="G935" s="74"/>
      <c r="H935" s="74"/>
      <c r="I935" s="74"/>
      <c r="J935" s="74"/>
      <c r="K935" s="81"/>
    </row>
    <row r="936" spans="1:11" ht="14.5" x14ac:dyDescent="0.35">
      <c r="A936" s="74"/>
      <c r="B936" s="27"/>
      <c r="C936" s="27"/>
      <c r="D936" s="27"/>
      <c r="E936" s="74"/>
      <c r="F936" s="74"/>
      <c r="G936" s="74"/>
      <c r="H936" s="74"/>
      <c r="I936" s="74"/>
      <c r="J936" s="74"/>
      <c r="K936" s="81"/>
    </row>
    <row r="937" spans="1:11" ht="14.5" x14ac:dyDescent="0.35">
      <c r="A937" s="74"/>
      <c r="B937" s="27"/>
      <c r="C937" s="27"/>
      <c r="D937" s="27"/>
      <c r="E937" s="74"/>
      <c r="F937" s="74"/>
      <c r="G937" s="74"/>
      <c r="H937" s="74"/>
      <c r="I937" s="74"/>
      <c r="J937" s="74"/>
      <c r="K937" s="81"/>
    </row>
    <row r="938" spans="1:11" ht="14.5" x14ac:dyDescent="0.35">
      <c r="A938" s="74"/>
      <c r="B938" s="27"/>
      <c r="C938" s="27"/>
      <c r="D938" s="27"/>
      <c r="E938" s="74"/>
      <c r="F938" s="74"/>
      <c r="G938" s="74"/>
      <c r="H938" s="74"/>
      <c r="I938" s="74"/>
      <c r="J938" s="74"/>
      <c r="K938" s="81"/>
    </row>
    <row r="939" spans="1:11" ht="14.5" x14ac:dyDescent="0.35">
      <c r="A939" s="74"/>
      <c r="B939" s="27"/>
      <c r="C939" s="27"/>
      <c r="D939" s="27"/>
      <c r="E939" s="74"/>
      <c r="F939" s="74"/>
      <c r="G939" s="74"/>
      <c r="H939" s="74"/>
      <c r="I939" s="74"/>
      <c r="J939" s="74"/>
      <c r="K939" s="81"/>
    </row>
    <row r="940" spans="1:11" ht="14.5" x14ac:dyDescent="0.35">
      <c r="A940" s="74"/>
      <c r="B940" s="27"/>
      <c r="C940" s="27"/>
      <c r="D940" s="27"/>
      <c r="E940" s="74"/>
      <c r="F940" s="74"/>
      <c r="G940" s="74"/>
      <c r="H940" s="74"/>
      <c r="I940" s="74"/>
      <c r="J940" s="74"/>
      <c r="K940" s="81"/>
    </row>
    <row r="941" spans="1:11" ht="14.5" x14ac:dyDescent="0.35">
      <c r="A941" s="74"/>
      <c r="B941" s="27"/>
      <c r="C941" s="27"/>
      <c r="D941" s="27"/>
      <c r="E941" s="74"/>
      <c r="F941" s="74"/>
      <c r="G941" s="74"/>
      <c r="H941" s="74"/>
      <c r="I941" s="74"/>
      <c r="J941" s="74"/>
      <c r="K941" s="81"/>
    </row>
    <row r="942" spans="1:11" ht="14.5" x14ac:dyDescent="0.35">
      <c r="A942" s="74"/>
      <c r="B942" s="27"/>
      <c r="C942" s="27"/>
      <c r="D942" s="27"/>
      <c r="E942" s="74"/>
      <c r="F942" s="74"/>
      <c r="G942" s="74"/>
      <c r="H942" s="74"/>
      <c r="I942" s="74"/>
      <c r="J942" s="74"/>
      <c r="K942" s="81"/>
    </row>
    <row r="943" spans="1:11" ht="14.5" x14ac:dyDescent="0.35">
      <c r="A943" s="74"/>
      <c r="B943" s="27"/>
      <c r="C943" s="27"/>
      <c r="D943" s="27"/>
      <c r="E943" s="74"/>
      <c r="F943" s="74"/>
      <c r="G943" s="74"/>
      <c r="H943" s="74"/>
      <c r="I943" s="74"/>
      <c r="J943" s="74"/>
      <c r="K943" s="81"/>
    </row>
    <row r="944" spans="1:11" ht="14.5" x14ac:dyDescent="0.35">
      <c r="A944" s="74"/>
      <c r="B944" s="27"/>
      <c r="C944" s="27"/>
      <c r="D944" s="27"/>
      <c r="E944" s="74"/>
      <c r="F944" s="74"/>
      <c r="G944" s="74"/>
      <c r="H944" s="74"/>
      <c r="I944" s="74"/>
      <c r="J944" s="74"/>
      <c r="K944" s="81"/>
    </row>
    <row r="945" spans="1:11" ht="14.5" x14ac:dyDescent="0.35">
      <c r="A945" s="74"/>
      <c r="B945" s="27"/>
      <c r="C945" s="27"/>
      <c r="D945" s="27"/>
      <c r="E945" s="74"/>
      <c r="F945" s="74"/>
      <c r="G945" s="74"/>
      <c r="H945" s="74"/>
      <c r="I945" s="74"/>
      <c r="J945" s="74"/>
      <c r="K945" s="81"/>
    </row>
    <row r="946" spans="1:11" ht="14.5" x14ac:dyDescent="0.35">
      <c r="A946" s="74"/>
      <c r="B946" s="27"/>
      <c r="C946" s="27"/>
      <c r="D946" s="27"/>
      <c r="E946" s="74"/>
      <c r="F946" s="74"/>
      <c r="G946" s="74"/>
      <c r="H946" s="74"/>
      <c r="I946" s="74"/>
      <c r="J946" s="74"/>
      <c r="K946" s="81"/>
    </row>
    <row r="947" spans="1:11" ht="14.5" x14ac:dyDescent="0.35">
      <c r="A947" s="74"/>
      <c r="B947" s="27"/>
      <c r="C947" s="27"/>
      <c r="D947" s="27"/>
      <c r="E947" s="74"/>
      <c r="F947" s="74"/>
      <c r="G947" s="74"/>
      <c r="H947" s="74"/>
      <c r="I947" s="74"/>
      <c r="J947" s="74"/>
      <c r="K947" s="81"/>
    </row>
    <row r="948" spans="1:11" ht="14.5" x14ac:dyDescent="0.35">
      <c r="A948" s="74"/>
      <c r="B948" s="27"/>
      <c r="C948" s="27"/>
      <c r="D948" s="27"/>
      <c r="E948" s="74"/>
      <c r="F948" s="74"/>
      <c r="G948" s="74"/>
      <c r="H948" s="74"/>
      <c r="I948" s="74"/>
      <c r="J948" s="74"/>
      <c r="K948" s="81"/>
    </row>
    <row r="949" spans="1:11" ht="14.5" x14ac:dyDescent="0.35">
      <c r="A949" s="74"/>
      <c r="B949" s="27"/>
      <c r="C949" s="27"/>
      <c r="D949" s="27"/>
      <c r="E949" s="74"/>
      <c r="F949" s="74"/>
      <c r="G949" s="74"/>
      <c r="H949" s="74"/>
      <c r="I949" s="74"/>
      <c r="J949" s="74"/>
      <c r="K949" s="81"/>
    </row>
    <row r="950" spans="1:11" ht="14.5" x14ac:dyDescent="0.35">
      <c r="A950" s="74"/>
      <c r="B950" s="27"/>
      <c r="C950" s="27"/>
      <c r="D950" s="27"/>
      <c r="E950" s="74"/>
      <c r="F950" s="74"/>
      <c r="G950" s="74"/>
      <c r="H950" s="74"/>
      <c r="I950" s="74"/>
      <c r="J950" s="74"/>
      <c r="K950" s="81"/>
    </row>
    <row r="951" spans="1:11" ht="14.5" x14ac:dyDescent="0.35">
      <c r="A951" s="74"/>
      <c r="B951" s="27"/>
      <c r="C951" s="27"/>
      <c r="D951" s="27"/>
      <c r="E951" s="74"/>
      <c r="F951" s="74"/>
      <c r="G951" s="74"/>
      <c r="H951" s="74"/>
      <c r="I951" s="74"/>
      <c r="J951" s="74"/>
      <c r="K951" s="81"/>
    </row>
    <row r="952" spans="1:11" ht="14.5" x14ac:dyDescent="0.35">
      <c r="A952" s="74"/>
      <c r="B952" s="27"/>
      <c r="C952" s="27"/>
      <c r="D952" s="27"/>
      <c r="E952" s="74"/>
      <c r="F952" s="74"/>
      <c r="G952" s="74"/>
      <c r="H952" s="74"/>
      <c r="I952" s="74"/>
      <c r="J952" s="74"/>
      <c r="K952" s="81"/>
    </row>
    <row r="953" spans="1:11" ht="14.5" x14ac:dyDescent="0.35">
      <c r="A953" s="74"/>
      <c r="B953" s="27"/>
      <c r="C953" s="27"/>
      <c r="D953" s="27"/>
      <c r="E953" s="74"/>
      <c r="F953" s="74"/>
      <c r="G953" s="74"/>
      <c r="H953" s="74"/>
      <c r="I953" s="74"/>
      <c r="J953" s="74"/>
      <c r="K953" s="81"/>
    </row>
    <row r="954" spans="1:11" ht="14.5" x14ac:dyDescent="0.35">
      <c r="A954" s="74"/>
      <c r="B954" s="27"/>
      <c r="C954" s="27"/>
      <c r="D954" s="27"/>
      <c r="E954" s="74"/>
      <c r="F954" s="74"/>
      <c r="G954" s="74"/>
      <c r="H954" s="74"/>
      <c r="I954" s="74"/>
      <c r="J954" s="74"/>
      <c r="K954" s="81"/>
    </row>
    <row r="955" spans="1:11" ht="14.5" x14ac:dyDescent="0.35">
      <c r="A955" s="74"/>
      <c r="B955" s="27"/>
      <c r="C955" s="27"/>
      <c r="D955" s="27"/>
      <c r="E955" s="74"/>
      <c r="F955" s="74"/>
      <c r="G955" s="74"/>
      <c r="H955" s="74"/>
      <c r="I955" s="74"/>
      <c r="J955" s="74"/>
      <c r="K955" s="81"/>
    </row>
    <row r="956" spans="1:11" ht="14.5" x14ac:dyDescent="0.35">
      <c r="A956" s="74"/>
      <c r="B956" s="27"/>
      <c r="C956" s="27"/>
      <c r="D956" s="27"/>
      <c r="E956" s="74"/>
      <c r="F956" s="74"/>
      <c r="G956" s="74"/>
      <c r="H956" s="74"/>
      <c r="I956" s="74"/>
      <c r="J956" s="74"/>
      <c r="K956" s="81"/>
    </row>
    <row r="957" spans="1:11" ht="14.5" x14ac:dyDescent="0.35">
      <c r="A957" s="74"/>
      <c r="B957" s="27"/>
      <c r="C957" s="27"/>
      <c r="D957" s="27"/>
      <c r="E957" s="74"/>
      <c r="F957" s="74"/>
      <c r="G957" s="74"/>
      <c r="H957" s="74"/>
      <c r="I957" s="74"/>
      <c r="J957" s="74"/>
      <c r="K957" s="81"/>
    </row>
    <row r="958" spans="1:11" ht="14.5" x14ac:dyDescent="0.35">
      <c r="A958" s="74"/>
      <c r="B958" s="27"/>
      <c r="C958" s="27"/>
      <c r="D958" s="27"/>
      <c r="E958" s="74"/>
      <c r="F958" s="74"/>
      <c r="G958" s="74"/>
      <c r="H958" s="74"/>
      <c r="I958" s="74"/>
      <c r="J958" s="74"/>
      <c r="K958" s="81"/>
    </row>
    <row r="959" spans="1:11" ht="14.5" x14ac:dyDescent="0.35">
      <c r="A959" s="74"/>
      <c r="B959" s="27"/>
      <c r="C959" s="27"/>
      <c r="D959" s="27"/>
      <c r="E959" s="74"/>
      <c r="F959" s="74"/>
      <c r="G959" s="74"/>
      <c r="H959" s="74"/>
      <c r="I959" s="74"/>
      <c r="J959" s="74"/>
      <c r="K959" s="81"/>
    </row>
    <row r="960" spans="1:11" ht="14.5" x14ac:dyDescent="0.35">
      <c r="A960" s="74"/>
      <c r="B960" s="27"/>
      <c r="C960" s="27"/>
      <c r="D960" s="27"/>
      <c r="E960" s="74"/>
      <c r="F960" s="74"/>
      <c r="G960" s="74"/>
      <c r="H960" s="74"/>
      <c r="I960" s="74"/>
      <c r="J960" s="74"/>
      <c r="K960" s="81"/>
    </row>
    <row r="961" spans="1:11" ht="14.5" x14ac:dyDescent="0.35">
      <c r="A961" s="74"/>
      <c r="B961" s="27"/>
      <c r="C961" s="27"/>
      <c r="D961" s="27"/>
      <c r="E961" s="74"/>
      <c r="F961" s="74"/>
      <c r="G961" s="74"/>
      <c r="H961" s="74"/>
      <c r="I961" s="74"/>
      <c r="J961" s="74"/>
      <c r="K961" s="81"/>
    </row>
    <row r="962" spans="1:11" ht="14.5" x14ac:dyDescent="0.35">
      <c r="A962" s="74"/>
      <c r="B962" s="27"/>
      <c r="C962" s="27"/>
      <c r="D962" s="27"/>
      <c r="E962" s="74"/>
      <c r="F962" s="74"/>
      <c r="G962" s="74"/>
      <c r="H962" s="74"/>
      <c r="I962" s="74"/>
      <c r="J962" s="74"/>
      <c r="K962" s="81"/>
    </row>
    <row r="963" spans="1:11" ht="14.5" x14ac:dyDescent="0.35">
      <c r="A963" s="74"/>
      <c r="B963" s="27"/>
      <c r="C963" s="27"/>
      <c r="D963" s="27"/>
      <c r="E963" s="74"/>
      <c r="F963" s="74"/>
      <c r="G963" s="74"/>
      <c r="H963" s="74"/>
      <c r="I963" s="74"/>
      <c r="J963" s="74"/>
      <c r="K963" s="81"/>
    </row>
    <row r="964" spans="1:11" ht="14.5" x14ac:dyDescent="0.35">
      <c r="A964" s="74"/>
      <c r="B964" s="27"/>
      <c r="C964" s="27"/>
      <c r="D964" s="27"/>
      <c r="E964" s="74"/>
      <c r="F964" s="74"/>
      <c r="G964" s="74"/>
      <c r="H964" s="74"/>
      <c r="I964" s="74"/>
      <c r="J964" s="74"/>
      <c r="K964" s="81"/>
    </row>
    <row r="965" spans="1:11" ht="14.5" x14ac:dyDescent="0.35">
      <c r="A965" s="74"/>
      <c r="B965" s="27"/>
      <c r="C965" s="27"/>
      <c r="D965" s="27"/>
      <c r="E965" s="74"/>
      <c r="F965" s="74"/>
      <c r="G965" s="74"/>
      <c r="H965" s="74"/>
      <c r="I965" s="74"/>
      <c r="J965" s="74"/>
      <c r="K965" s="81"/>
    </row>
    <row r="966" spans="1:11" ht="14.5" x14ac:dyDescent="0.35">
      <c r="A966" s="74"/>
      <c r="B966" s="27"/>
      <c r="C966" s="27"/>
      <c r="D966" s="27"/>
      <c r="E966" s="74"/>
      <c r="F966" s="74"/>
      <c r="G966" s="74"/>
      <c r="H966" s="74"/>
      <c r="I966" s="74"/>
      <c r="J966" s="74"/>
      <c r="K966" s="81"/>
    </row>
    <row r="967" spans="1:11" ht="14.5" x14ac:dyDescent="0.35">
      <c r="A967" s="74"/>
      <c r="B967" s="27"/>
      <c r="C967" s="27"/>
      <c r="D967" s="27"/>
      <c r="E967" s="74"/>
      <c r="F967" s="74"/>
      <c r="G967" s="74"/>
      <c r="H967" s="74"/>
      <c r="I967" s="74"/>
      <c r="J967" s="74"/>
      <c r="K967" s="81"/>
    </row>
    <row r="968" spans="1:11" ht="14.5" x14ac:dyDescent="0.35">
      <c r="A968" s="74"/>
      <c r="B968" s="27"/>
      <c r="C968" s="27"/>
      <c r="D968" s="27"/>
      <c r="E968" s="74"/>
      <c r="F968" s="74"/>
      <c r="G968" s="74"/>
      <c r="H968" s="74"/>
      <c r="I968" s="74"/>
      <c r="J968" s="74"/>
      <c r="K968" s="81"/>
    </row>
    <row r="969" spans="1:11" ht="14.5" x14ac:dyDescent="0.35">
      <c r="A969" s="74"/>
      <c r="B969" s="27"/>
      <c r="C969" s="27"/>
      <c r="D969" s="27"/>
      <c r="E969" s="74"/>
      <c r="F969" s="74"/>
      <c r="G969" s="74"/>
      <c r="H969" s="74"/>
      <c r="I969" s="74"/>
      <c r="J969" s="74"/>
      <c r="K969" s="81"/>
    </row>
    <row r="970" spans="1:11" ht="14.5" x14ac:dyDescent="0.35">
      <c r="A970" s="74"/>
      <c r="B970" s="27"/>
      <c r="C970" s="27"/>
      <c r="D970" s="27"/>
      <c r="E970" s="74"/>
      <c r="F970" s="74"/>
      <c r="G970" s="74"/>
      <c r="H970" s="74"/>
      <c r="I970" s="74"/>
      <c r="J970" s="74"/>
      <c r="K970" s="81"/>
    </row>
    <row r="971" spans="1:11" ht="14.5" x14ac:dyDescent="0.35">
      <c r="A971" s="74"/>
      <c r="B971" s="27"/>
      <c r="C971" s="27"/>
      <c r="D971" s="27"/>
      <c r="E971" s="74"/>
      <c r="F971" s="74"/>
      <c r="G971" s="74"/>
      <c r="H971" s="74"/>
      <c r="I971" s="74"/>
      <c r="J971" s="74"/>
      <c r="K971" s="81"/>
    </row>
    <row r="972" spans="1:11" ht="14.5" x14ac:dyDescent="0.35">
      <c r="A972" s="74"/>
      <c r="B972" s="27"/>
      <c r="C972" s="27"/>
      <c r="D972" s="27"/>
      <c r="E972" s="74"/>
      <c r="F972" s="74"/>
      <c r="G972" s="74"/>
      <c r="H972" s="74"/>
      <c r="I972" s="74"/>
      <c r="J972" s="74"/>
      <c r="K972" s="81"/>
    </row>
    <row r="973" spans="1:11" ht="14.5" x14ac:dyDescent="0.35">
      <c r="A973" s="74"/>
      <c r="B973" s="27"/>
      <c r="C973" s="27"/>
      <c r="D973" s="27"/>
      <c r="E973" s="74"/>
      <c r="F973" s="74"/>
      <c r="G973" s="74"/>
      <c r="H973" s="74"/>
      <c r="I973" s="74"/>
      <c r="J973" s="74"/>
      <c r="K973" s="81"/>
    </row>
    <row r="974" spans="1:11" ht="14.5" x14ac:dyDescent="0.35">
      <c r="A974" s="74"/>
      <c r="B974" s="27"/>
      <c r="C974" s="27"/>
      <c r="D974" s="27"/>
      <c r="E974" s="74"/>
      <c r="F974" s="74"/>
      <c r="G974" s="74"/>
      <c r="H974" s="74"/>
      <c r="I974" s="74"/>
      <c r="J974" s="74"/>
      <c r="K974" s="81"/>
    </row>
    <row r="975" spans="1:11" ht="14.5" x14ac:dyDescent="0.35">
      <c r="A975" s="74"/>
      <c r="B975" s="27"/>
      <c r="C975" s="27"/>
      <c r="D975" s="27"/>
      <c r="E975" s="74"/>
      <c r="F975" s="74"/>
      <c r="G975" s="74"/>
      <c r="H975" s="74"/>
      <c r="I975" s="74"/>
      <c r="J975" s="74"/>
      <c r="K975" s="81"/>
    </row>
    <row r="976" spans="1:11" ht="14.5" x14ac:dyDescent="0.35">
      <c r="A976" s="74"/>
      <c r="B976" s="27"/>
      <c r="C976" s="27"/>
      <c r="D976" s="27"/>
      <c r="E976" s="74"/>
      <c r="F976" s="74"/>
      <c r="G976" s="74"/>
      <c r="H976" s="74"/>
      <c r="I976" s="74"/>
      <c r="J976" s="74"/>
      <c r="K976" s="81"/>
    </row>
    <row r="977" spans="1:11" ht="14.5" x14ac:dyDescent="0.35">
      <c r="A977" s="74"/>
      <c r="B977" s="27"/>
      <c r="C977" s="27"/>
      <c r="D977" s="27"/>
      <c r="E977" s="74"/>
      <c r="F977" s="74"/>
      <c r="G977" s="74"/>
      <c r="H977" s="74"/>
      <c r="I977" s="74"/>
      <c r="J977" s="74"/>
      <c r="K977" s="81"/>
    </row>
    <row r="978" spans="1:11" ht="14.5" x14ac:dyDescent="0.35">
      <c r="A978" s="74"/>
      <c r="B978" s="27"/>
      <c r="C978" s="27"/>
      <c r="D978" s="27"/>
      <c r="E978" s="74"/>
      <c r="F978" s="74"/>
      <c r="G978" s="74"/>
      <c r="H978" s="74"/>
      <c r="I978" s="74"/>
      <c r="J978" s="74"/>
      <c r="K978" s="81"/>
    </row>
    <row r="979" spans="1:11" ht="14.5" x14ac:dyDescent="0.35">
      <c r="A979" s="74"/>
      <c r="B979" s="27"/>
      <c r="C979" s="27"/>
      <c r="D979" s="27"/>
      <c r="E979" s="74"/>
      <c r="F979" s="74"/>
      <c r="G979" s="74"/>
      <c r="H979" s="74"/>
      <c r="I979" s="74"/>
      <c r="J979" s="74"/>
      <c r="K979" s="81"/>
    </row>
    <row r="980" spans="1:11" ht="14.5" x14ac:dyDescent="0.35">
      <c r="A980" s="74"/>
      <c r="B980" s="27"/>
      <c r="C980" s="27"/>
      <c r="D980" s="27"/>
      <c r="E980" s="74"/>
      <c r="F980" s="74"/>
      <c r="G980" s="74"/>
      <c r="H980" s="74"/>
      <c r="I980" s="74"/>
      <c r="J980" s="74"/>
      <c r="K980" s="81"/>
    </row>
    <row r="981" spans="1:11" ht="14.5" x14ac:dyDescent="0.35">
      <c r="A981" s="74"/>
      <c r="B981" s="27"/>
      <c r="C981" s="27"/>
      <c r="D981" s="27"/>
      <c r="E981" s="74"/>
      <c r="F981" s="74"/>
      <c r="G981" s="74"/>
      <c r="H981" s="74"/>
      <c r="I981" s="74"/>
      <c r="J981" s="74"/>
      <c r="K981" s="81"/>
    </row>
    <row r="982" spans="1:11" ht="14.5" x14ac:dyDescent="0.35">
      <c r="A982" s="74"/>
      <c r="B982" s="27"/>
      <c r="C982" s="27"/>
      <c r="D982" s="27"/>
      <c r="E982" s="74"/>
      <c r="F982" s="74"/>
      <c r="G982" s="74"/>
      <c r="H982" s="74"/>
      <c r="I982" s="74"/>
      <c r="J982" s="74"/>
      <c r="K982" s="81"/>
    </row>
    <row r="983" spans="1:11" ht="14.5" x14ac:dyDescent="0.35">
      <c r="A983" s="74"/>
      <c r="B983" s="27"/>
      <c r="C983" s="27"/>
      <c r="D983" s="27"/>
      <c r="E983" s="74"/>
      <c r="F983" s="74"/>
      <c r="G983" s="74"/>
      <c r="H983" s="74"/>
      <c r="I983" s="74"/>
      <c r="J983" s="74"/>
      <c r="K983" s="81"/>
    </row>
    <row r="984" spans="1:11" ht="14.5" x14ac:dyDescent="0.35">
      <c r="A984" s="74"/>
      <c r="B984" s="27"/>
      <c r="C984" s="27"/>
      <c r="D984" s="27"/>
      <c r="E984" s="74"/>
      <c r="F984" s="74"/>
      <c r="G984" s="74"/>
      <c r="H984" s="74"/>
      <c r="I984" s="74"/>
      <c r="J984" s="74"/>
      <c r="K984" s="81"/>
    </row>
    <row r="985" spans="1:11" ht="14.5" x14ac:dyDescent="0.35">
      <c r="A985" s="74"/>
      <c r="B985" s="27"/>
      <c r="C985" s="27"/>
      <c r="D985" s="27"/>
      <c r="E985" s="74"/>
      <c r="F985" s="74"/>
      <c r="G985" s="74"/>
      <c r="H985" s="74"/>
      <c r="I985" s="74"/>
      <c r="J985" s="74"/>
      <c r="K985" s="81"/>
    </row>
    <row r="986" spans="1:11" ht="14.5" x14ac:dyDescent="0.35">
      <c r="A986" s="74"/>
      <c r="B986" s="27"/>
      <c r="C986" s="27"/>
      <c r="D986" s="27"/>
      <c r="E986" s="74"/>
      <c r="F986" s="74"/>
      <c r="G986" s="74"/>
      <c r="H986" s="74"/>
      <c r="I986" s="74"/>
      <c r="J986" s="74"/>
      <c r="K986" s="81"/>
    </row>
    <row r="987" spans="1:11" ht="14.5" x14ac:dyDescent="0.35">
      <c r="A987" s="74"/>
      <c r="B987" s="27"/>
      <c r="C987" s="27"/>
      <c r="D987" s="27"/>
      <c r="E987" s="74"/>
      <c r="F987" s="74"/>
      <c r="G987" s="74"/>
      <c r="H987" s="74"/>
      <c r="I987" s="74"/>
      <c r="J987" s="74"/>
      <c r="K987" s="81"/>
    </row>
    <row r="988" spans="1:11" ht="14.5" x14ac:dyDescent="0.35">
      <c r="A988" s="74"/>
      <c r="B988" s="27"/>
      <c r="C988" s="27"/>
      <c r="D988" s="27"/>
      <c r="E988" s="74"/>
      <c r="F988" s="74"/>
      <c r="G988" s="74"/>
      <c r="H988" s="74"/>
      <c r="I988" s="74"/>
      <c r="J988" s="74"/>
      <c r="K988" s="81"/>
    </row>
    <row r="989" spans="1:11" ht="14.5" x14ac:dyDescent="0.35">
      <c r="A989" s="74"/>
      <c r="B989" s="27"/>
      <c r="C989" s="27"/>
      <c r="D989" s="27"/>
      <c r="E989" s="74"/>
      <c r="F989" s="74"/>
      <c r="G989" s="74"/>
      <c r="H989" s="74"/>
      <c r="I989" s="74"/>
      <c r="J989" s="74"/>
      <c r="K989" s="81"/>
    </row>
    <row r="990" spans="1:11" ht="14.5" x14ac:dyDescent="0.35">
      <c r="A990" s="74"/>
      <c r="B990" s="27"/>
      <c r="C990" s="27"/>
      <c r="D990" s="27"/>
      <c r="E990" s="74"/>
      <c r="F990" s="74"/>
      <c r="G990" s="74"/>
      <c r="H990" s="74"/>
      <c r="I990" s="74"/>
      <c r="J990" s="74"/>
      <c r="K990" s="81"/>
    </row>
    <row r="991" spans="1:11" ht="14.5" x14ac:dyDescent="0.35">
      <c r="A991" s="74"/>
      <c r="B991" s="27"/>
      <c r="C991" s="27"/>
      <c r="D991" s="27"/>
      <c r="E991" s="74"/>
      <c r="F991" s="74"/>
      <c r="G991" s="74"/>
      <c r="H991" s="74"/>
      <c r="I991" s="74"/>
      <c r="J991" s="74"/>
      <c r="K991" s="81"/>
    </row>
    <row r="992" spans="1:11" ht="14.5" x14ac:dyDescent="0.35">
      <c r="A992" s="74"/>
      <c r="B992" s="27"/>
      <c r="C992" s="27"/>
      <c r="D992" s="27"/>
      <c r="E992" s="74"/>
      <c r="F992" s="74"/>
      <c r="G992" s="74"/>
      <c r="H992" s="74"/>
      <c r="I992" s="74"/>
      <c r="J992" s="74"/>
      <c r="K992" s="81"/>
    </row>
    <row r="993" spans="1:11" ht="14.5" x14ac:dyDescent="0.35">
      <c r="A993" s="74"/>
      <c r="B993" s="27"/>
      <c r="C993" s="27"/>
      <c r="D993" s="27"/>
      <c r="E993" s="74"/>
      <c r="F993" s="74"/>
      <c r="G993" s="74"/>
      <c r="H993" s="74"/>
      <c r="I993" s="74"/>
      <c r="J993" s="74"/>
      <c r="K993" s="81"/>
    </row>
    <row r="994" spans="1:11" ht="14.5" x14ac:dyDescent="0.35">
      <c r="A994" s="74"/>
      <c r="B994" s="27"/>
      <c r="C994" s="27"/>
      <c r="D994" s="27"/>
      <c r="E994" s="74"/>
      <c r="F994" s="74"/>
      <c r="G994" s="74"/>
      <c r="H994" s="74"/>
      <c r="I994" s="74"/>
      <c r="J994" s="74"/>
      <c r="K994" s="81"/>
    </row>
    <row r="995" spans="1:11" ht="14.5" x14ac:dyDescent="0.35">
      <c r="A995" s="74"/>
      <c r="B995" s="27"/>
      <c r="C995" s="27"/>
      <c r="D995" s="27"/>
      <c r="E995" s="74"/>
      <c r="F995" s="74"/>
      <c r="G995" s="74"/>
      <c r="H995" s="74"/>
      <c r="I995" s="74"/>
      <c r="J995" s="74"/>
      <c r="K995" s="81"/>
    </row>
    <row r="996" spans="1:11" ht="14.5" x14ac:dyDescent="0.35">
      <c r="A996" s="74"/>
      <c r="B996" s="27"/>
      <c r="C996" s="27"/>
      <c r="D996" s="27"/>
      <c r="E996" s="74"/>
      <c r="F996" s="74"/>
      <c r="G996" s="74"/>
      <c r="H996" s="74"/>
      <c r="I996" s="74"/>
      <c r="J996" s="74"/>
      <c r="K996" s="81"/>
    </row>
    <row r="997" spans="1:11" ht="14.5" x14ac:dyDescent="0.35">
      <c r="A997" s="74"/>
      <c r="B997" s="27"/>
      <c r="C997" s="27"/>
      <c r="D997" s="27"/>
      <c r="E997" s="74"/>
      <c r="F997" s="74"/>
      <c r="G997" s="74"/>
      <c r="H997" s="74"/>
      <c r="I997" s="74"/>
      <c r="J997" s="74"/>
      <c r="K997" s="81"/>
    </row>
    <row r="998" spans="1:11" ht="14.5" x14ac:dyDescent="0.35">
      <c r="A998" s="74"/>
      <c r="B998" s="27"/>
      <c r="C998" s="27"/>
      <c r="D998" s="27"/>
      <c r="E998" s="74"/>
      <c r="F998" s="74"/>
      <c r="G998" s="74"/>
      <c r="H998" s="74"/>
      <c r="I998" s="74"/>
      <c r="J998" s="74"/>
      <c r="K998" s="81"/>
    </row>
    <row r="999" spans="1:11" ht="14.5" x14ac:dyDescent="0.35">
      <c r="A999" s="74"/>
      <c r="B999" s="27"/>
      <c r="C999" s="27"/>
      <c r="D999" s="27"/>
      <c r="E999" s="74"/>
      <c r="F999" s="74"/>
      <c r="G999" s="74"/>
      <c r="H999" s="74"/>
      <c r="I999" s="74"/>
      <c r="J999" s="74"/>
      <c r="K999" s="81"/>
    </row>
    <row r="1000" spans="1:11" ht="14.5" x14ac:dyDescent="0.35">
      <c r="A1000" s="74"/>
      <c r="B1000" s="27"/>
      <c r="C1000" s="27"/>
      <c r="D1000" s="27"/>
      <c r="E1000" s="74"/>
      <c r="F1000" s="74"/>
      <c r="G1000" s="74"/>
      <c r="H1000" s="74"/>
      <c r="I1000" s="74"/>
      <c r="J1000" s="74"/>
      <c r="K1000" s="8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 </vt:lpstr>
      <vt:lpstr>Metabolites</vt:lpstr>
      <vt:lpstr>Enzymes </vt:lpstr>
      <vt:lpstr>Reactions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L</cp:lastModifiedBy>
  <dcterms:modified xsi:type="dcterms:W3CDTF">2025-11-19T01:40:58Z</dcterms:modified>
</cp:coreProperties>
</file>